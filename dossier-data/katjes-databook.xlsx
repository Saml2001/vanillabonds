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inancials" sheetId="2" state="visible" r:id="rId2"/>
    <sheet xmlns:r="http://schemas.openxmlformats.org/officeDocument/2006/relationships" name="Bridge" sheetId="3" state="visible" r:id="rId3"/>
    <sheet xmlns:r="http://schemas.openxmlformats.org/officeDocument/2006/relationships" name="Ratios" sheetId="4" state="visible" r:id="rId4"/>
    <sheet xmlns:r="http://schemas.openxmlformats.org/officeDocument/2006/relationships" name="Maturities" sheetId="5" state="visible" r:id="rId5"/>
    <sheet xmlns:r="http://schemas.openxmlformats.org/officeDocument/2006/relationships" name="Debt" sheetId="6" state="visible" r:id="rId6"/>
    <sheet xmlns:r="http://schemas.openxmlformats.org/officeDocument/2006/relationships" name="Guidance" sheetId="7" state="visible" r:id="rId7"/>
    <sheet xmlns:r="http://schemas.openxmlformats.org/officeDocument/2006/relationships" name="Management" sheetId="8" state="visible" r:id="rId8"/>
    <sheet xmlns:r="http://schemas.openxmlformats.org/officeDocument/2006/relationships" name="Risks" sheetId="9" state="visible" r:id="rId9"/>
    <sheet xmlns:r="http://schemas.openxmlformats.org/officeDocument/2006/relationships" name="Facts" sheetId="10" state="visible" r:id="rId10"/>
    <sheet xmlns:r="http://schemas.openxmlformats.org/officeDocument/2006/relationships" name="Documents"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3">
    <font>
      <name val="Calibri"/>
      <family val="2"/>
      <color theme="1"/>
      <sz val="11"/>
      <scheme val="minor"/>
    </font>
    <font>
      <b val="1"/>
      <color rgb="00FFFFFF"/>
    </font>
    <font>
      <b val="1"/>
      <color rgb="000E2A47"/>
    </font>
  </fonts>
  <fills count="4">
    <fill>
      <patternFill/>
    </fill>
    <fill>
      <patternFill patternType="gray125"/>
    </fill>
    <fill>
      <patternFill patternType="solid">
        <fgColor rgb="000E2A47"/>
      </patternFill>
    </fill>
    <fill>
      <patternFill patternType="solid">
        <fgColor rgb="00EDEDED"/>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164" fontId="0" fillId="0" borderId="0" pivotButton="0" quotePrefix="0" xfId="0"/>
    <xf numFmtId="164" fontId="0" fillId="3"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VanillaBonds</author>
  </authors>
  <commentList>
    <comment ref="E3" authorId="0" shapeId="0">
      <text>
        <t>F009 · Employees (FTE, period end) · FY2022
Average employees for the year (not period end): 980
Document: S1, annual report, FY2023, 2024-03-27, audited, katjes-2023-annual-report.pdf
Page: 50
Quote: "The Company employed an average of 998 employees in the financial year 2023 (2022: 980)"
Status: approved by a named reviewer
Approver: demo reviewer, date not recorded
Proof: https://vanillabonds.com/dossier.html?c=katjes&amp;viewer=1&amp;item=F009</t>
      </text>
    </comment>
    <comment ref="F3" authorId="0" shapeId="0">
      <text>
        <t>F332 · Employees (FTE, period end) · FY2023
Average number of employees in 2023 (not period-end FTE): 998, of which 596 in Germany, 373 in Italy, 15 in the UK, 14 in the Netherlands.
Document: S2, annual report, FY2024, 2025-04-09, audited, katjes-2024-annual-report.pdf
Page: 47
Quote: "Germany (2023: 596), 374 in Italy (2023: 373), and 17 in the United Kingdom (2023: 15). In the Netherlands, an average of 14 employees were employed during the reporting year (2023: 14)."
Status: approved by a named reviewer
Approver: demo reviewer, date not recorded
Proof: https://vanillabonds.com/dossier.html?c=katjes&amp;viewer=1&amp;item=F332</t>
      </text>
    </comment>
    <comment ref="G3" authorId="0" shapeId="0">
      <text>
        <t>F626 · Employees (FTE, period end) · FY2024
Average number of employees 2024 (not period end): 1,097, of which 692 in Germany
Document: S3, annual report, FY2025, 2026-04-02, audited, katjes-2025-annual-report.pdf
Page: 44
Quote: "In the financial year 2025, the Group employed an average of 1,648 employees (2024: 1,097), of which 1,137 were employed in Germany (2024: 692)"
Status: approved by a named reviewer
Approver: demo reviewer, date not recorded
Proof: https://vanillabonds.com/dossier.html?c=katjes&amp;viewer=1&amp;item=F626</t>
      </text>
    </comment>
    <comment ref="H3" authorId="0" shapeId="0">
      <text>
        <t>F627 · Employees (FTE, period end) · FY2025
Average number of employees 2025 (not period end): 1,648, of which 1,137 in Germany
Document: S3, annual report, FY2025, 2026-04-02, audited, katjes-2025-annual-report.pdf
Page: 44
Quote: "In the financial year 2025, the Group employed an average of 1,648 employees (2024: 1,097), of which 1,137 were employed in Germany (2024: 692)"
Status: approved by a named reviewer
Approver: demo reviewer, date not recorded
Proof: https://vanillabonds.com/dossier.html?c=katjes&amp;viewer=1&amp;item=F627</t>
      </text>
    </comment>
    <comment ref="I3" authorId="0" shapeId="0">
      <text>
        <t>F1010 · Employees (FTE, period end) · H1-2025
Average headcount in H1-2025 (not period-end FTE).
Document: S5, interim report, H1-2026, 2026-09-08, unaudited, katjes-h1-2026-interim-report.pdf
Page: 25
Quote: "In the first half of 2026, the Company employed an average of 1,787 employees (6M 2025: 1,118)."
Status: approved by a named reviewer
Approver: demo reviewer, date not recorded
Proof: https://vanillabonds.com/dossier.html?c=katjes&amp;viewer=1&amp;item=F1010</t>
      </text>
    </comment>
    <comment ref="J3" authorId="0" shapeId="0">
      <text>
        <t>F1011 · Employees (FTE, period end) · H1-2026
Average headcount in H1-2026 (not period-end FTE); 63% Germany, 21% Italy, 11% UK.
Document: S5, interim report, H1-2026, 2026-09-08, unaudited, katjes-h1-2026-interim-report.pdf
Page: 25
Quote: "In the first half of 2026, the Company employed an average of 1,787 employees (6M 2025: 1,118)."
Status: approved by a named reviewer
Approver: demo reviewer, date not recorded
Proof: https://vanillabonds.com/dossier.html?c=katjes&amp;viewer=1&amp;item=F1011</t>
      </text>
    </comment>
    <comment ref="B5" authorId="0" shapeId="0">
      <text>
        <t>F040 · Revenue · FY2019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https://vanillabonds.com/dossier.html?c=katjes&amp;viewer=1&amp;item=F040</t>
      </text>
    </comment>
    <comment ref="C5" authorId="0" shapeId="0">
      <text>
        <t>F041 · Revenue · FY2020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https://vanillabonds.com/dossier.html?c=katjes&amp;viewer=1&amp;item=F041</t>
      </text>
    </comment>
    <comment ref="D5" authorId="0" shapeId="0">
      <text>
        <t>F652 · Revenue · FY2021
Rounded chart value from the At a glance sales development series
Document: S3, annual report, FY2025, 2026-04-02, audited, katjes-2025-annual-report.pdf
Page: 7
Quote: "255 295 377 393 2021 2022 2023 2024 2025 503"
Status: approved by a named reviewer
Approver: demo reviewer, date not recorded
Proof: https://vanillabonds.com/dossier.html?c=katjes&amp;viewer=1&amp;item=F652</t>
      </text>
    </comment>
    <comment ref="E5" authorId="0" shapeId="0">
      <text>
        <t>F653 · Revenue · FY2022
Rounded chart value from the At a glance sales development series
Document: S3, annual report, FY2025, 2026-04-02, audited, katjes-2025-annual-report.pdf
Page: 7
Quote: "255 295 377 393 2021 2022 2023 2024 2025 503"
Status: approved by a named reviewer
Approver: demo reviewer, date not recorded
Proof: https://vanillabonds.com/dossier.html?c=katjes&amp;viewer=1&amp;item=F653</t>
      </text>
    </comment>
    <comment ref="F5" authorId="0" shapeId="0">
      <text>
        <t>F654 · Revenue · FY2023
Rounded chart value from the At a glance sales development series (2021-2025: 255, 295, 377, 393, 503)
Document: S3, annual report, FY2025, 2026-04-02, audited, katjes-2025-annual-report.pdf
Page: 7
Quote: "255 295 377 393 2021 2022 2023 2024 2025 503"
Status: approved by a named reviewer
Approver: demo reviewer, date not recorded
Proof: https://vanillabonds.com/dossier.html?c=katjes&amp;viewer=1&amp;item=F654</t>
      </text>
    </comment>
    <comment ref="G5" authorId="0" shapeId="0">
      <text>
        <t>F655 · Revenue · FY2024
Group revenue 2024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https://vanillabonds.com/dossier.html?c=katjes&amp;viewer=1&amp;item=F655</t>
      </text>
    </comment>
    <comment ref="H5" authorId="0" shapeId="0">
      <text>
        <t>F656 · Revenue · FY2025
Group revenue 2025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https://vanillabonds.com/dossier.html?c=katjes&amp;viewer=1&amp;item=F656</t>
      </text>
    </comment>
    <comment ref="I5" authorId="0" shapeId="0">
      <text>
        <t>F1064 · Revenue · H1-2025
Group revenue H1-2025 comparative.
Document: S5, interim report, H1-2026, 2026-09-08, unaudited, katjes-h1-2026-interim-report.pdf
Page: 29
Quote: "Revenue 6 256.0 164.8"
Status: approved by a named reviewer
Approver: demo reviewer, date not recorded
Proof: https://vanillabonds.com/dossier.html?c=katjes&amp;viewer=1&amp;item=F1064</t>
      </text>
    </comment>
    <comment ref="J5" authorId="0" shapeId="0">
      <text>
        <t>F1065 · Revenue · H1-2026
Group revenue H1-2026, up EUR 91.2m (around 55%) on H1-2025.
Document: S5, interim report, H1-2026, 2026-09-08, unaudited, katjes-h1-2026-interim-report.pdf
Page: 29
Quote: "Revenue 6 256.0 164.8"
Status: approved by a named reviewer
Approver: demo reviewer, date not recorded
Proof: https://vanillabonds.com/dossier.html?c=katjes&amp;viewer=1&amp;item=F1065</t>
      </text>
    </comment>
    <comment ref="B6" authorId="0" shapeId="0">
      <text>
        <t>F046 · EBITDA (as reported) · FY2019
From the five-year EBITDA chart (rounded to EUR m); year order read left to right
Document: S1, annual report, FY2023, 2024-03-27, audited, katjes-2023-annual-report.pdf
Page: 7
Quote: "23 25 17 2019 2020 2021 2022 2023 37 41"
Status: approved by a named reviewer
Approver: demo reviewer, date not recorded
Proof: https://vanillabonds.com/dossier.html?c=katjes&amp;viewer=1&amp;item=F046</t>
      </text>
    </comment>
    <comment ref="C6" authorId="0" shapeId="0">
      <text>
        <t>F047 · EBITDA (as reported) · FY2020
From the five-year EBITDA chart (rounded to EUR m); year order read left to right
Document: S1, annual report, FY2023, 2024-03-27, audited, katjes-2023-annual-report.pdf
Page: 7
Quote: "23 25 17 2019 2020 2021 2022 2023 37 41"
Status: approved by a named reviewer
Approver: demo reviewer, date not recorded
Proof: https://vanillabonds.com/dossier.html?c=katjes&amp;viewer=1&amp;item=F047</t>
      </text>
    </comment>
    <comment ref="D6" authorId="0" shapeId="0">
      <text>
        <t>F657 · EBITDA (as reported) · FY2021
Rounded chart value from the At a glance EBITDA series
Document: S3, annual report, FY2025, 2026-04-02, audited, katjes-2025-annual-report.pdf
Page: 7
Quote: "41 37 23 2021 2022 2023 2024 2025 45 99"
Status: extracted, pending review
Approver: none yet
Note on file: conflict: S1·p7 17.0 vs S3·p7 41.0; primary per fact agent: open - no audited statement on file carries FY2021 EBITDA, and the chart text layers in S1 p7, S2 p7 and S3 p7 list bar values without a year for …
Proof: https://vanillabonds.com/dossier.html?c=katjes&amp;viewer=1&amp;item=F657</t>
      </text>
    </comment>
    <comment ref="E6" authorId="0" shapeId="0">
      <text>
        <t>F658 · EBITDA (as reported) · FY2022
Rounded chart value from the At a glance EBITDA series
Document: S3, annual report, FY2025, 2026-04-02, audited, katjes-2025-annual-report.pdf
Page: 7
Quote: "41 37 23 2021 2022 2023 2024 2025 45 99"
Status: approved by a named reviewer
Approver: demo reviewer, date not recorded
Proof: https://vanillabonds.com/dossier.html?c=katjes&amp;viewer=1&amp;item=F658</t>
      </text>
    </comment>
    <comment ref="F6" authorId="0" shapeId="0">
      <text>
        <t>F368 · EBITDA (as reported) · FY2023
EBITDA as reported by the company; EBITDA margin 10.8%.
Document: S2, annual report, FY2024, 2025-04-09, audited, katjes-2024-annual-report.pdf
Page: 29
Quote: "The operating result (EBITDA) amounted to EUR 44.8 million in the financial year 2024 (2023: EUR 40.8 million)."
Status: extracted, pending review
Approver: none yet
Note on file: conflict: S1·p32 40.8 vs S2·p29 40.8 vs S3·p7 23.0; primary per fact agent: S2 p29 - S2 is the later audited report carrying FY2023 and its comparative equals S1 p32; S3 carries no FY2023 statement, and its 23.0 is a …
Proof: https://vanillabonds.com/dossier.html?c=katjes&amp;viewer=1&amp;item=F368</t>
      </text>
    </comment>
    <comment ref="G6" authorId="0" shapeId="0">
      <text>
        <t>F660 · EBITDA (as reported) · FY2024
EBITDA as reported in the group management report; EBITDA margin 11.4%
Document: S3, annual report, FY2025, 2026-04-02, audited, katjes-2025-annual-report.pdf
Page: 25
Quote: "EBITDA amounted to EUR 98.8 million in the financial year 2025 (2024: EUR 44.8 million)."
Status: approved by a named reviewer
Approver: demo reviewer, date not recorded
Proof: https://vanillabonds.com/dossier.html?c=katjes&amp;viewer=1&amp;item=F660</t>
      </text>
    </comment>
    <comment ref="H6" authorId="0" shapeId="0">
      <text>
        <t>F661 · EBITDA (as reported) · FY2025
EBITDA as reported in the group management report; EBITDA margin 19.7%
Document: S3, annual report, FY2025, 2026-04-02, audited, katjes-2025-annual-report.pdf
Page: 25
Quote: "EBITDA amounted to EUR 98.8 million in the financial year 2025 (2024: EUR 44.8 million)."
Status: approved by a named reviewer
Approver: demo reviewer, date not recorded
Proof: https://vanillabonds.com/dossier.html?c=katjes&amp;viewer=1&amp;item=F661</t>
      </text>
    </comment>
    <comment ref="I6" authorId="0" shapeId="0">
      <text>
        <t>F1066 · EBITDA (as reported) · H1-2025
EBITDA as reported H1-2025; EBITDA margin 8.4%.
Document: S5, interim report, H1-2026, 2026-09-08, unaudited, katjes-h1-2026-interim-report.pdf
Page: 23
Quote: "(EBITDA) – the key management metric for the Group – stood at EUR 15.8 million (6M 2025: EUR 13.9 million)"
Status: approved by a named reviewer
Approver: demo reviewer, date not recorded
Proof: https://vanillabonds.com/dossier.html?c=katjes&amp;viewer=1&amp;item=F1066</t>
      </text>
    </comment>
    <comment ref="J6" authorId="0" shapeId="0">
      <text>
        <t>F1067 · EBITDA (as reported) · H1-2026
EBITDA as reported, 'the key management metric for the Group'; EBITDA margin 6.2%.
Document: S5, interim report, H1-2026, 2026-09-08, unaudited, katjes-h1-2026-interim-report.pdf
Page: 23
Quote: "(EBITDA) – the key management metric for the Group – stood at EUR 15.8 million (6M 2025: EUR 13.9 million)"
Status: approved by a named reviewer
Approver: demo reviewer, date not recorded
Proof: https://vanillabonds.com/dossier.html?c=katjes&amp;viewer=1&amp;item=F1067</t>
      </text>
    </comment>
    <comment ref="E7" authorId="0" shapeId="0">
      <text>
        <t>F052 · EBIT / operating result · FY2022
Operating result; 2022 includes EUR 24.4m negative goodwill in other operating income
Document: S1, annual report, FY2023, 2024-03-27, audited, katjes-2023-annual-report.pdf
Page: 43
Quote: "Operating result 22.5 22.2"
Status: approved by a named reviewer
Approver: demo reviewer, date not recorded
Proof: https://vanillabonds.com/dossier.html?c=katjes&amp;viewer=1&amp;item=F052</t>
      </text>
    </comment>
    <comment ref="F7" authorId="0" shapeId="0">
      <text>
        <t>F370 · EBIT / operating result · FY2023
Operating result 2023.
Document: S2, annual report, FY2024, 2025-04-09, audited, katjes-2024-annual-report.pdf
Page: 40
Quote: "Operating result 25.0 22.5"
Status: approved by a named reviewer
Approver: demo reviewer, date not recorded
Proof: https://vanillabonds.com/dossier.html?c=katjes&amp;viewer=1&amp;item=F370</t>
      </text>
    </comment>
    <comment ref="G7" authorId="0" shapeId="0">
      <text>
        <t>F662 · EBIT / operating result · FY2024
Operating result per consolidated income statement
Document: S3, annual report, FY2025, 2026-04-02, audited, katjes-2025-annual-report.pdf
Page: 37
Quote: "Operating result 71.1 25.0"
Status: approved by a named reviewer
Approver: demo reviewer, date not recorded
Proof: https://vanillabonds.com/dossier.html?c=katjes&amp;viewer=1&amp;item=F662</t>
      </text>
    </comment>
    <comment ref="H7" authorId="0" shapeId="0">
      <text>
        <t>F663 · EBIT / operating result · FY2025
Operating result per consolidated income statement
Document: S3, annual report, FY2025, 2026-04-02, audited, katjes-2025-annual-report.pdf
Page: 37
Quote: "Operating result 71.1 25.0"
Status: approved by a named reviewer
Approver: demo reviewer, date not recorded
Proof: https://vanillabonds.com/dossier.html?c=katjes&amp;viewer=1&amp;item=F663</t>
      </text>
    </comment>
    <comment ref="I7" authorId="0" shapeId="0">
      <text>
        <t>F1068 · EBIT / operating result · H1-2025
Operating profit H1-2025 comparative.
Document: S5, interim report, H1-2026, 2026-09-08, unaudited, katjes-h1-2026-interim-report.pdf
Page: 29
Quote: "Operating profit -6.8 3.7"
Status: approved by a named reviewer
Approver: demo reviewer, date not recorded
Proof: https://vanillabonds.com/dossier.html?c=katjes&amp;viewer=1&amp;item=F1068</t>
      </text>
    </comment>
    <comment ref="J7" authorId="0" shapeId="0">
      <text>
        <t>F1069 · EBIT / operating result · H1-2026
Operating profit H1-2026; the report attributes the decline to Bogner seasonality and two instances of damage caused by third parties.
Document: S5, interim report, H1-2026, 2026-09-08, unaudited, katjes-h1-2026-interim-report.pdf
Page: 29
Quote: "Operating profit -6.8 3.7"
Status: approved by a named reviewer
Approver: demo reviewer, date not recorded
Proof: https://vanillabonds.com/dossier.html?c=katjes&amp;viewer=1&amp;item=F1069</t>
      </text>
    </comment>
    <comment ref="E8" authorId="0" shapeId="0">
      <text>
        <t>F054 · Net result · FY2022
Earnings after tax; attributable to Katjes International 15.2, non-controlling interests -0.4
Document: S1, annual report, FY2023, 2024-03-27, audited, katjes-2023-annual-report.pdf
Page: 43
Quote: "Earnings after tax 10.2 14.8"
Status: approved by a named reviewer
Approver: demo reviewer, date not recorded
Proof: https://vanillabonds.com/dossier.html?c=katjes&amp;viewer=1&amp;item=F054</t>
      </text>
    </comment>
    <comment ref="F8" authorId="0" shapeId="0">
      <text>
        <t>F372 · Net result · FY2023
Earnings after tax 2023; attributable to Katjes International 10.1, non-controlling interests 0.1.
Document: S2, annual report, FY2024, 2025-04-09, audited, katjes-2024-annual-report.pdf
Page: 40
Quote: "Earnings after tax 3.2 10.2"
Status: approved by a named reviewer
Approver: demo reviewer, date not recorded
Proof: https://vanillabonds.com/dossier.html?c=katjes&amp;viewer=1&amp;item=F372</t>
      </text>
    </comment>
    <comment ref="G8" authorId="0" shapeId="0">
      <text>
        <t>F664 · Net result · FY2024
Earnings after tax; non-controlling interests 0.0
Document: S3, annual report, FY2025, 2026-04-02, audited, katjes-2025-annual-report.pdf
Page: 37
Quote: "Earnings after tax 53.2 3.2"
Status: approved by a named reviewer
Approver: demo reviewer, date not recorded
Proof: https://vanillabonds.com/dossier.html?c=katjes&amp;viewer=1&amp;item=F664</t>
      </text>
    </comment>
    <comment ref="H8" authorId="0" shapeId="0">
      <text>
        <t>F665 · Net result · FY2025
Earnings after tax; of which non-controlling interests 3.1 and attributable to Katjes International 50.1
Document: S3, annual report, FY2025, 2026-04-02, audited, katjes-2025-annual-report.pdf
Page: 37
Quote: "Earnings after tax 53.2 3.2"
Status: approved by a named reviewer
Approver: demo reviewer, date not recorded
Proof: https://vanillabonds.com/dossier.html?c=katjes&amp;viewer=1&amp;item=F665</t>
      </text>
    </comment>
    <comment ref="I8" authorId="0" shapeId="0">
      <text>
        <t>F1070 · Net result · H1-2025
Earnings after tax H1-2025 comparative.
Document: S5, interim report, H1-2026, 2026-09-08, unaudited, katjes-h1-2026-interim-report.pdf
Page: 29
Quote: "Earnings after tax (net profit for the period) -15.9 -1.0"
Status: approved by a named reviewer
Approver: demo reviewer, date not recorded
Proof: https://vanillabonds.com/dossier.html?c=katjes&amp;viewer=1&amp;item=F1070</t>
      </text>
    </comment>
    <comment ref="J8" authorId="0" shapeId="0">
      <text>
        <t>F1071 · Net result · H1-2026
Earnings after tax H1-2026; of which non-controlling interests -7.8 and Katjes International shareholders -8.1.
Document: S5, interim report, H1-2026, 2026-09-08, unaudited, katjes-h1-2026-interim-report.pdf
Page: 29
Quote: "Earnings after tax (net profit for the period) -15.9 -1.0"
Status: approved by a named reviewer
Approver: demo reviewer, date not recorded
Proof: https://vanillabonds.com/dossier.html?c=katjes&amp;viewer=1&amp;item=F1071</t>
      </text>
    </comment>
    <comment ref="E9" authorId="0" shapeId="0">
      <text>
        <t>F056 · Depreciation &amp; amortisation · FY2022
Depreciation and amortisation per expense breakdown
Document: S1, annual report, FY2023, 2024-03-27, audited, katjes-2023-annual-report.pdf
Page: 78
Quote: "Depreciation and amortisation 18.1 15.1"
Status: approved by a named reviewer
Approver: demo reviewer, date not recorded
Proof: https://vanillabonds.com/dossier.html?c=katjes&amp;viewer=1&amp;item=F056</t>
      </text>
    </comment>
    <comment ref="F9" authorId="0" shapeId="0">
      <text>
        <t>F374 · Depreciation &amp; amortisation · FY2023
Depreciation and amortisation 2023 (note 7.2).
Document: S2, annual report, FY2024, 2025-04-09, audited, katjes-2024-annual-report.pdf
Page: 74
Quote: "Depreciation and amortisation 19.8 18.1"
Status: approved by a named reviewer
Approver: demo reviewer, date not recorded
Proof: https://vanillabonds.com/dossier.html?c=katjes&amp;viewer=1&amp;item=F374</t>
      </text>
    </comment>
    <comment ref="G9" authorId="0" shapeId="0">
      <text>
        <t>F375 · Depreciation &amp; amortisation · FY2024
Depreciation and amortisation 2024 (note 7.2); cash flow statement: PP&amp;E 10.4, right-of-use 4.8, intangibles 4.6.
Document: S2, annual report, FY2024, 2025-04-09, audited, katjes-2024-annual-report.pdf
Page: 74
Quote: "Depreciation and amortisation 19.8 18.1"
Status: extracted, pending review
Approver: none yet
Note on file: conflict: S2·p74 19.8 vs S3·p86 20.8; primary per fact agent: S2 p74 - S3 does not restate FY2024: its 2024 cash flow lines on p42 (10.4, 4.8, 4.6) are the same as S2's, S3 shows no labelled D&amp;A total for …
Proof: https://vanillabonds.com/dossier.html?c=katjes&amp;viewer=1&amp;item=F375</t>
      </text>
    </comment>
    <comment ref="H9" authorId="0" shapeId="0">
      <text>
        <t>F667 · Depreciation &amp; amortisation · FY2025
Total depreciation/amortisation additions per statement of changes in fixed assets incl. right-of-use assets; cash flow statement lists depreciation of PP&amp;E 11.4, amortisation of right-of-use assets 9.9, amortisation of intangibles 6.3
Document: S3, annual report, FY2025, 2026-04-02, audited, katjes-2025-annual-report.pdf
Page: 85
Quote: "443.9 23.3 -1.1 -65.7 291.1 691.6 127.4 27.2 -1.0 91.8 245.5 446.0 316.4"
Status: approved by a named reviewer
Approver: demo reviewer, date not recorded
Proof: https://vanillabonds.com/dossier.html?c=katjes&amp;viewer=1&amp;item=F667</t>
      </text>
    </comment>
    <comment ref="E10" authorId="0" shapeId="0">
      <text>
        <t>F058 · Net finance cost · FY2022
Financial result EUR -6.4m incl. at-equity loss share CPK -0.1; financial expenses 6.8 (bond interest 4.7, bank interest 1.2); interest paid 5.7
Document: S1, annual report, FY2023, 2024-03-27, audited, katjes-2023-annual-report.pdf
Page: 43
Quote: "Financial result -11.4 -6.4"
Status: approved by a named reviewer
Approver: demo reviewer, date not recorded
Proof: https://vanillabonds.com/dossier.html?c=katjes&amp;viewer=1&amp;item=F058</t>
      </text>
    </comment>
    <comment ref="F10" authorId="0" shapeId="0">
      <text>
        <t>F376 · Net finance cost · FY2023
Financial result EUR -11.4m, reported as net finance cost; includes the at-equity result from CPK of -0.7; financial expenses 12.0.
Document: S2, annual report, FY2024, 2025-04-09, audited, katjes-2024-annual-report.pdf
Page: 40
Quote: "Financial result -11.6 -11.4"
Status: approved by a named reviewer
Approver: demo reviewer, date not recorded
Proof: https://vanillabonds.com/dossier.html?c=katjes&amp;viewer=1&amp;item=F376</t>
      </text>
    </comment>
    <comment ref="G10" authorId="0" shapeId="0">
      <text>
        <t>F668 · Net finance cost · FY2024
Financial result -11.6 reported as net finance cost
Document: S3, annual report, FY2025, 2026-04-02, audited, katjes-2025-annual-report.pdf
Page: 37
Quote: "Financial result 7.4 -19.2 -11.6"
Status: approved by a named reviewer
Approver: demo reviewer, date not recorded
Proof: https://vanillabonds.com/dossier.html?c=katjes&amp;viewer=1&amp;item=F668</t>
      </text>
    </comment>
    <comment ref="H10" authorId="0" shapeId="0">
      <text>
        <t>F669 · Net finance cost · FY2025
Financial result -19.2 reported as net finance cost; includes share of loss of Bogner GCA Holding -1.8 and share of profit of CPK 1.8
Document: S3, annual report, FY2025, 2026-04-02, audited, katjes-2025-annual-report.pdf
Page: 37
Quote: "Financial result 7.4 -19.2 -11.6"
Status: approved by a named reviewer
Approver: demo reviewer, date not recorded
Proof: https://vanillabonds.com/dossier.html?c=katjes&amp;viewer=1&amp;item=F669</t>
      </text>
    </comment>
    <comment ref="I10" authorId="0" shapeId="0">
      <text>
        <t>F1074 · Net finance cost · H1-2025
Financial result -4.1 (financial expenses 6.2, financial income 2.1), including equity-accounted result of 1.9.
Document: S5, interim report, H1-2026, 2026-09-08, unaudited, katjes-h1-2026-interim-report.pdf
Page: 23
Quote: "The financial result amounted to EUR -11.2 million (6M 2025: EUR -4.1 million)."
Status: approved by a named reviewer
Approver: demo reviewer, date not recorded
Proof: https://vanillabonds.com/dossier.html?c=katjes&amp;viewer=1&amp;item=F1074</t>
      </text>
    </comment>
    <comment ref="J10" authorId="0" shapeId="0">
      <text>
        <t>F1075 · Net finance cost · H1-2026
Financial result -11.2 (financial expenses 13.2, financial income 2.0), including the Group's share of an equity-accounted result of -0.4.
Document: S5, interim report, H1-2026, 2026-09-08, unaudited, katjes-h1-2026-interim-report.pdf
Page: 23
Quote: "The financial result amounted to EUR -11.2 million (6M 2025: EUR -4.1 million)."
Status: approved by a named reviewer
Approver: demo reviewer, date not recorded
Proof: https://vanillabonds.com/dossier.html?c=katjes&amp;viewer=1&amp;item=F1075</t>
      </text>
    </comment>
    <comment ref="E11" authorId="0" shapeId="0">
      <text>
        <t>F060 · Cash flow from operating activities · FY2022
Cash flow from operating activities
Document: S1, annual report, FY2023, 2024-03-27, audited, katjes-2023-annual-report.pdf
Page: 48
Quote: "Cash flow from operating activities 31.8 10.4"
Status: approved by a named reviewer
Approver: demo reviewer, date not recorded
Proof: https://vanillabonds.com/dossier.html?c=katjes&amp;viewer=1&amp;item=F060</t>
      </text>
    </comment>
    <comment ref="F11" authorId="0" shapeId="0">
      <text>
        <t>F378 · Cash flow from operating activities · FY2023
Cash flow from operating activities 2023.
Document: S2, annual report, FY2024, 2025-04-09, audited, katjes-2024-annual-report.pdf
Page: 45
Quote: "Cash flow from operating activities 45.6 31.8"
Status: approved by a named reviewer
Approver: demo reviewer, date not recorded
Proof: https://vanillabonds.com/dossier.html?c=katjes&amp;viewer=1&amp;item=F378</t>
      </text>
    </comment>
    <comment ref="G11" authorId="0" shapeId="0">
      <text>
        <t>F670 · Cash flow from operating activities · FY2024
Cash flow from operating activities
Document: S3, annual report, FY2025, 2026-04-02, audited, katjes-2025-annual-report.pdf
Page: 42
Quote: "Cash flow from operating activities 19.1 45.6"
Status: approved by a named reviewer
Approver: demo reviewer, date not recorded
Proof: https://vanillabonds.com/dossier.html?c=katjes&amp;viewer=1&amp;item=F670</t>
      </text>
    </comment>
    <comment ref="H11" authorId="0" shapeId="0">
      <text>
        <t>F671 · Cash flow from operating activities · FY2025
Cash flow from operating activities; decrease attributed to inclusion of the Bogner Group and its seasonal working capital
Document: S3, annual report, FY2025, 2026-04-02, audited, katjes-2025-annual-report.pdf
Page: 42
Quote: "Cash flow from operating activities 19.1 45.6"
Status: approved by a named reviewer
Approver: demo reviewer, date not recorded
Proof: https://vanillabonds.com/dossier.html?c=katjes&amp;viewer=1&amp;item=F671</t>
      </text>
    </comment>
    <comment ref="I11" authorId="0" shapeId="0">
      <text>
        <t>F1076 · Cash flow from operating activities · H1-2025
Cash flow from operating activities H1-2025.
Document: S5, interim report, H1-2026, 2026-09-08, unaudited, katjes-h1-2026-interim-report.pdf
Page: 34
Quote: "Cash flow from operating activities 1.1 -9.8"
Status: approved by a named reviewer
Approver: demo reviewer, date not recorded
Proof: https://vanillabonds.com/dossier.html?c=katjes&amp;viewer=1&amp;item=F1076</t>
      </text>
    </comment>
    <comment ref="J11" authorId="0" shapeId="0">
      <text>
        <t>F1077 · Cash flow from operating activities · H1-2026
Cash flow from operating activities H1-2026.
Document: S5, interim report, H1-2026, 2026-09-08, unaudited, katjes-h1-2026-interim-report.pdf
Page: 34
Quote: "Cash flow from operating activities 1.1 -9.8"
Status: approved by a named reviewer
Approver: demo reviewer, date not recorded
Proof: https://vanillabonds.com/dossier.html?c=katjes&amp;viewer=1&amp;item=F1077</t>
      </text>
    </comment>
    <comment ref="E12" authorId="0" shapeId="0">
      <text>
        <t>F062 · Capex (PP&amp;E + intangibles) · FY2022
Additions to intangible assets (1.3) and PP&amp;E (6.7) per fixed-asset schedule, excl. initial consolidation 77.5; cash flow shows PP&amp;E -6.1 and intangibles -1.2
Document: S1, annual report, FY2023, 2024-03-27, audited, katjes-2023-annual-report.pdf
Page: 89
Quote: "232.4 8.0 77.5 0.0 -0.8 317.0"
Status: approved by a named reviewer
Approver: demo reviewer, date not recorded
Proof: https://vanillabonds.com/dossier.html?c=katjes&amp;viewer=1&amp;item=F062</t>
      </text>
    </comment>
    <comment ref="F12" authorId="0" shapeId="0">
      <text>
        <t>F380 · Capex (PP&amp;E + intangibles) · FY2023
Sum of the two cash flow lines: acquisition of PP&amp;E 7.4 plus acquisition of intangible assets 7.2.
Document: S2, annual report, FY2024, 2025-04-09, audited, katjes-2024-annual-report.pdf
Page: 45
Quote: "Acquisition of property, plant and equipment 6.1 -13.0 -7.4 Acquisition of intangible assets 6.1 -4.9 -7.2"
Status: extracted, pending review
Approver: none yet
Note on file: conflict: S1·p88 14.3 vs S2·p45 14.6; primary per fact agent: S2 p45 - S2 is the later audited report; its 2023 cash flow lines (-7.4 and -7.2) are the same lines S1's own cash flow statement shows, and S1's 14.3 …
Proof: https://vanillabonds.com/dossier.html?c=katjes&amp;viewer=1&amp;item=F380</t>
      </text>
    </comment>
    <comment ref="G12" authorId="0" shapeId="0">
      <text>
        <t>F672 · Capex (PP&amp;E + intangibles) · FY2024
Additions at cost to intangible assets (5.2) and property, plant and equipment (13.6) per statement of changes in fixed assets; cash flow statement shows -13.0 PP&amp;E and -4.9 intangibles
Document: S3, annual report, FY2025, 2026-04-02, audited, katjes-2025-annual-report.pdf
Page: 86
Quote: "330.1 18.8 0.0 -1.4 347.5 95.4 14.4 -0.5 109.3 238.2 234.8"
Status: extracted, pending review
Approver: none yet
Note on file: conflict: S2·p45 17.9 vs S3·p86 18.8; primary per fact agent: S3 p42 - S3 is the later audited report; its FY2024 cash flow comparatives (-13.0 and -4.9) are the same lines as S2's, so S2's 17.9 on the cash flow …
Proof: https://vanillabonds.com/dossier.html?c=katjes&amp;viewer=1&amp;item=F672</t>
      </text>
    </comment>
    <comment ref="H12" authorId="0" shapeId="0">
      <text>
        <t>F673 · Capex (PP&amp;E + intangibles) · FY2025
Additions at cost to intangible assets (2.1) and property, plant and equipment (17.5) per statement of changes in fixed assets; cash flow statement shows acquisitions of PP&amp;E -16.6 and intangibles -1.2
Document: S3, annual report, FY2025, 2026-04-02, audited, katjes-2025-annual-report.pdf
Page: 85
Quote: "347.5 19.6 -1.1 -3.8 221.9 584.1 109.3 18.2 -1.0 90.6 217.1 367.0 238.2"
Status: approved by a named reviewer
Approver: demo reviewer, date not recorded
Proof: https://vanillabonds.com/dossier.html?c=katjes&amp;viewer=1&amp;item=F673</t>
      </text>
    </comment>
    <comment ref="I12" authorId="0" shapeId="0">
      <text>
        <t>F1078 · Capex (PP&amp;E + intangibles) · H1-2025
Sum of the two cash flow lines: acquisition of property, plant and equipment 6.0 plus acquisition of intangible assets 1.0.
Document: S5, interim report, H1-2026, 2026-09-08, unaudited, katjes-h1-2026-interim-report.pdf
Page: 34
Quote: "Acquisition of property, plant and equipment -7.4 -6.0 Acquisition of intangible assets -0.9 -1.0"
Status: approved by a named reviewer
Approver: demo reviewer, date not recorded
Proof: https://vanillabonds.com/dossier.html?c=katjes&amp;viewer=1&amp;item=F1078</t>
      </text>
    </comment>
    <comment ref="J12" authorId="0" shapeId="0">
      <text>
        <t>F1079 · Capex (PP&amp;E + intangibles) · H1-2026
Sum of the two cash flow lines: acquisition of property, plant and equipment 7.4 plus acquisition of intangible assets 0.9.
Document: S5, interim report, H1-2026, 2026-09-08, unaudited, katjes-h1-2026-interim-report.pdf
Page: 34
Quote: "Acquisition of property, plant and equipment -7.4 -6.0 Acquisition of intangible assets -0.9 -1.0"
Status: approved by a named reviewer
Approver: demo reviewer, date not recorded
Proof: https://vanillabonds.com/dossier.html?c=katjes&amp;viewer=1&amp;item=F1079</t>
      </text>
    </comment>
    <comment ref="E13" authorId="0" shapeId="0">
      <text>
        <t>F064 · Cash &amp; equivalents · FY2022
Cash and cash equivalents
Document: S1, annual report, FY2023, 2024-03-27, audited, katjes-2023-annual-report.pdf
Page: 45
Quote: "Cash and cash equivalents 6.7 58.4 35.5"
Status: approved by a named reviewer
Approver: demo reviewer, date not recorded
Proof: https://vanillabonds.com/dossier.html?c=katjes&amp;viewer=1&amp;item=F064</t>
      </text>
    </comment>
    <comment ref="F13" authorId="0" shapeId="0">
      <text>
        <t>F674 · Cash &amp; equivalents · FY2023
Cash and cash equivalents at 1 January 2024 per cash flow statement
Document: S3, annual report, FY2025, 2026-04-02, audited, katjes-2025-annual-report.pdf
Page: 42
Quote: "Cash and cash equivalents as at 1 January 54.0 58.4"
Status: approved by a named reviewer
Approver: demo reviewer, date not recorded
Proof: https://vanillabonds.com/dossier.html?c=katjes&amp;viewer=1&amp;item=F674</t>
      </text>
    </comment>
    <comment ref="G13" authorId="0" shapeId="0">
      <text>
        <t>F675 · Cash &amp; equivalents · FY2024
Cash and cash equivalents at 31 Dec 2024
Document: S3, annual report, FY2025, 2026-04-02, audited, katjes-2025-annual-report.pdf
Page: 39
Quote: "Cash and cash equivalents 6.7 146.8 54.0"
Status: approved by a named reviewer
Approver: demo reviewer, date not recorded
Proof: https://vanillabonds.com/dossier.html?c=katjes&amp;viewer=1&amp;item=F675</t>
      </text>
    </comment>
    <comment ref="H13" authorId="0" shapeId="0">
      <text>
        <t>F676 · Cash &amp; equivalents · FY2025
Cash and cash equivalents at 31 Dec 2025
Document: S3, annual report, FY2025, 2026-04-02, audited, katjes-2025-annual-report.pdf
Page: 39
Quote: "Cash and cash equivalents 6.7 146.8 54.0"
Status: approved by a named reviewer
Approver: demo reviewer, date not recorded
Proof: https://vanillabonds.com/dossier.html?c=katjes&amp;viewer=1&amp;item=F676</t>
      </text>
    </comment>
    <comment ref="I13" authorId="0" shapeId="0">
      <text>
        <t>F1081 · Cash &amp; equivalents · H1-2025
Cash and cash equivalents at 30 June 2025 (cash flow statement).
Document: S5, interim report, H1-2026, 2026-09-08, unaudited, katjes-h1-2026-interim-report.pdf
Page: 34
Quote: "Cash and cash equivalents as at June 30 5.3 74.1 38.4"
Status: approved by a named reviewer
Approver: demo reviewer, date not recorded
Proof: https://vanillabonds.com/dossier.html?c=katjes&amp;viewer=1&amp;item=F1081</t>
      </text>
    </comment>
    <comment ref="J13" authorId="0" shapeId="0">
      <text>
        <t>F1082 · Cash &amp; equivalents · H1-2026
Cash and cash equivalents at 30 June 2026; balances at banks and cash on hand.
Document: S5, interim report, H1-2026, 2026-09-08, unaudited, katjes-h1-2026-interim-report.pdf
Page: 31
Quote: "Cash and cash equivalents 5.3 74.1 146.8"
Status: approved by a named reviewer
Approver: demo reviewer, date not recorded
Proof: https://vanillabonds.com/dossier.html?c=katjes&amp;viewer=1&amp;item=F1082</t>
      </text>
    </comment>
    <comment ref="E14" authorId="0" shapeId="0">
      <text>
        <t>F066 · Gross financial debt (bonds + loans, excl. leases) · FY2022
Total financial liabilities as reported (prior-year figure adjusted for PPA finalisation), INCLUDING lease liabilities 6.4; bond 110.0, accrued interest 3.4, banks 42.5, hire-purchase 2.7
Document: S1, annual report, FY2023, 2024-03-27, audited, katjes-2023-annual-report.pdf
Page: 72
Quote: "Total 191.9 173.5"
Status: approved by a named reviewer
Approver: demo reviewer, date not recorded
Proof: https://vanillabonds.com/dossier.html?c=katjes&amp;viewer=1&amp;item=F066</t>
      </text>
    </comment>
    <comment ref="F14" authorId="0" shapeId="0">
      <text>
        <t>F384 · Gross financial debt (bonds + loans, excl. leases) · FY2023
Financial liabilities per note 6.9 of 191.9 less lease liabilities 6.8: bond 115.0, banks and other 37.7 non-current + 30.2 current, interest liabilities 2.1 (incl. EUR 6.4m purchase-price liability for the Viersen site).
Document: S2, annual report, FY2024, 2025-04-09, audited, katjes-2024-annual-report.pdf
Page: 68
Quote: "Total current liabilities 37.4 35.2 Total 189.4 191.9"
Status: extracted, pending review
Approver: none yet
Note on file: conflict: S1·p72 191.9 vs S2·p68 185.1; primary per fact agent: S2 p68 - No restatement: S2 shows the same FY2023 total of 191.9 as S1 p72; the S1 fact keeps the 6.8 lease liabilities inside, which the field excludes, so …
Proof: https://vanillabonds.com/dossier.html?c=katjes&amp;viewer=1&amp;item=F384</t>
      </text>
    </comment>
    <comment ref="G14" authorId="0" shapeId="0">
      <text>
        <t>F385 · Gross financial debt (bonds + loans, excl. leases) · FY2024
Financial liabilities per note 6.9 of 189.4 less lease liabilities 13.2: bond 115.0, banks and other financial liabilities 27.5 non-current + 31.2 current, interest liabilities 2.5.
Document: S2, annual report, FY2024, 2025-04-09, audited, katjes-2024-annual-report.pdf
Page: 68
Quote: "Total current liabilities 37.4 35.2 Total 189.4 191.9"
Status: approved by a named reviewer
Approver: demo reviewer, date not recorded
Proof: https://vanillabonds.com/dossier.html?c=katjes&amp;viewer=1&amp;item=F385</t>
      </text>
    </comment>
    <comment ref="E15" authorId="0" shapeId="0">
      <text>
        <t>F068 · Lease liabilities · FY2022
IFRS 16 lease liabilities
Document: S1, annual report, FY2023, 2024-03-27, audited, katjes-2023-annual-report.pdf
Page: 83
Quote: "Due after five or more years 0.1 0.2 Total 6.8 6.4"
Status: approved by a named reviewer
Approver: demo reviewer, date not recorded
Proof: https://vanillabonds.com/dossier.html?c=katjes&amp;viewer=1&amp;item=F068</t>
      </text>
    </comment>
    <comment ref="F15" authorId="0" shapeId="0">
      <text>
        <t>F386 · Lease liabilities · FY2023
IFRS 16 lease liabilities at 31 Dec 2023: 2.9 current, 4.0 non-current.
Document: S2, annual report, FY2024, 2025-04-09, audited, katjes-2024-annual-report.pdf
Page: 69
Quote: "More than five years 0.4 0.1 Total 13.2 6.8"
Status: approved by a named reviewer
Approver: demo reviewer, date not recorded
Proof: https://vanillabonds.com/dossier.html?c=katjes&amp;viewer=1&amp;item=F386</t>
      </text>
    </comment>
    <comment ref="G15" authorId="0" shapeId="0">
      <text>
        <t>F677 · Lease liabilities · FY2024
IFRS 16 lease liabilities (non-current 9.5, current 3.7)
Document: S3, annual report, FY2025, 2026-04-02, audited, katjes-2025-annual-report.pdf
Page: 58
Quote: "financial liabilities include lease liabilities in accordance with IFRS 16 in the amount of EUR 74.7 million (2024: EUR 13.2 million)"
Status: approved by a named reviewer
Approver: demo reviewer, date not recorded
Proof: https://vanillabonds.com/dossier.html?c=katjes&amp;viewer=1&amp;item=F677</t>
      </text>
    </comment>
    <comment ref="H15" authorId="0" shapeId="0">
      <text>
        <t>F678 · Lease liabilities · FY2025
IFRS 16 lease liabilities (non-current 58.0, current 16.7)
Document: S3, annual report, FY2025, 2026-04-02, audited, katjes-2025-annual-report.pdf
Page: 58
Quote: "financial liabilities include lease liabilities in accordance with IFRS 16 in the amount of EUR 74.7 million (2024: EUR 13.2 million)"
Status: approved by a named reviewer
Approver: demo reviewer, date not recorded
Proof: https://vanillabonds.com/dossier.html?c=katjes&amp;viewer=1&amp;item=F678</t>
      </text>
    </comment>
    <comment ref="J15" authorId="0" shapeId="0">
      <text>
        <t>F1085 · Lease liabilities · H1-2026
IFRS 16 lease liabilities at 30 June 2026, including Graze's leases.
Document: S5, interim report, H1-2026, 2026-09-08, unaudited, katjes-h1-2026-interim-report.pdf
Page: 41
Quote: "As at June 30, 2026, lease liabilities amounted to a total of EUR 85.8 million (December 31, 2025: EUR 74.7 million)."
Status: approved by a named reviewer
Approver: demo reviewer, date not recorded
Proof: https://vanillabonds.com/dossier.html?c=katjes&amp;viewer=1&amp;item=F1085</t>
      </text>
    </comment>
    <comment ref="E16" authorId="0" shapeId="0">
      <text>
        <t>F070 · Net debt (as reported) · FY2022
Net debt as reported (adjusted) = financial liabilities 173.5 less cash 35.5; leverage ratio 45%
Document: S1, annual report, FY2023, 2024-03-27, audited, katjes-2023-annual-report.pdf
Page: 64
Quote: "Net debt 133.5 138.0"
Status: approved by a named reviewer
Approver: demo reviewer, date not recorded
Proof: https://vanillabonds.com/dossier.html?c=katjes&amp;viewer=1&amp;item=F070</t>
      </text>
    </comment>
    <comment ref="F16" authorId="0" shapeId="0">
      <text>
        <t>F388 · Net debt (as reported) · FY2023
Net debt as reported (financial liabilities 191.9 incl. leases, less cash 58.4); leverage ratio 43%.
Document: S2, annual report, FY2024, 2025-04-09, audited, katjes-2024-annual-report.pdf
Page: 60
Quote: "Net debt 135.4 133.5"
Status: approved by a named reviewer
Approver: demo reviewer, date not recorded
Proof: https://vanillabonds.com/dossier.html?c=katjes&amp;viewer=1&amp;item=F388</t>
      </text>
    </comment>
    <comment ref="G16" authorId="0" shapeId="0">
      <text>
        <t>F679 · Net debt (as reported) · FY2024
Net debt as reported = financial liabilities 189.4 (incl. lease liabilities 13.2) less cash 54.0
Document: S3, annual report, FY2025, 2026-04-02, audited, katjes-2025-annual-report.pdf
Page: 58
Quote: "Net debt 206.0 135.4"
Status: approved by a named reviewer
Approver: demo reviewer, date not recorded
Proof: https://vanillabonds.com/dossier.html?c=katjes&amp;viewer=1&amp;item=F679</t>
      </text>
    </comment>
    <comment ref="H16" authorId="0" shapeId="0">
      <text>
        <t>F680 · Net debt (as reported) · FY2025
Net debt as reported = financial liabilities 352.8 (incl. lease liabilities 74.7, hire purchase 8.2, option liabilities 7.1, accrued bond interest 3.5) less cash 146.8
Document: S3, annual report, FY2025, 2026-04-02, audited, katjes-2025-annual-report.pdf
Page: 58
Quote: "Net debt 206.0 135.4"
Status: approved by a named reviewer
Approver: demo reviewer, date not recorded
Proof: https://vanillabonds.com/dossier.html?c=katjes&amp;viewer=1&amp;item=F680</t>
      </text>
    </comment>
    <comment ref="B17" authorId="0" shapeId="0">
      <text>
        <t>F072 · Total equity · FY2019
From the five-year equity chart
Document: S1, annual report, FY2023, 2024-03-27, audited, katjes-2023-annual-report.pdf
Page: 8
Quote: "2019 2020 137.9 139.5"
Status: approved by a named reviewer
Approver: demo reviewer, date not recorded
Proof: https://vanillabonds.com/dossier.html?c=katjes&amp;viewer=1&amp;item=F072</t>
      </text>
    </comment>
    <comment ref="C17" authorId="0" shapeId="0">
      <text>
        <t>F073 · Total equity · FY2020
From the five-year equity chart
Document: S1, annual report, FY2023, 2024-03-27, audited, katjes-2023-annual-report.pdf
Page: 8
Quote: "2019 2020 137.9 139.5"
Status: approved by a named reviewer
Approver: demo reviewer, date not recorded
Proof: https://vanillabonds.com/dossier.html?c=katjes&amp;viewer=1&amp;item=F073</t>
      </text>
    </comment>
    <comment ref="D17" authorId="0" shapeId="0">
      <text>
        <t>F074 · Total equity · FY2021
Total equity at 31 Dec 2021 per statement of changes in equity
Document: S1, annual report, FY2023, 2024-03-27, audited, katjes-2023-annual-report.pdf
Page: 47
Quote: "As at 31 Dec 2021 / 01 Jan 2022 0.6 2.0 2.0 129.5 0.9 2.1 0.2 2.3 137.3 4.1 141.4"
Status: approved by a named reviewer
Approver: demo reviewer, date not recorded
Proof: https://vanillabonds.com/dossier.html?c=katjes&amp;viewer=1&amp;item=F074</t>
      </text>
    </comment>
    <comment ref="E17" authorId="0" shapeId="0">
      <text>
        <t>F075 · Total equity · FY2022
Total equity, prior-year figure adjusted for PPA finalisation (+7.7); shareholders' equity 164.1, NCI 2.9
Document: S1, annual report, FY2023, 2024-03-27, audited, katjes-2023-annual-report.pdf
Page: 46
Quote: "Total equity 6.8 176.0 167.0"
Status: approved by a named reviewer
Approver: demo reviewer, date not recorded
Proof: https://vanillabonds.com/dossier.html?c=katjes&amp;viewer=1&amp;item=F075</t>
      </text>
    </comment>
    <comment ref="F17" authorId="0" shapeId="0">
      <text>
        <t>F681 · Total equity · FY2023
Total equity at 31 Dec 2023 per statement of changes in equity (shareholders 173.0, non-controlling 3.0)
Document: S3, annual report, FY2025, 2026-04-02, audited, katjes-2025-annual-report.pdf
Page: 41
Quote: "As at 31 Dec 2023/ 01 Jan 2024 0.6 2.0 2.0 153.5 10.1 1.2 3.6 0.0 4,8 173.0 3.0 176.0"
Status: approved by a named reviewer
Approver: demo reviewer, date not recorded
Proof: https://vanillabonds.com/dossier.html?c=katjes&amp;viewer=1&amp;item=F681</t>
      </text>
    </comment>
    <comment ref="G17" authorId="0" shapeId="0">
      <text>
        <t>F682 · Total equity · FY2024
Total equity incl. non-controlling interests 1.2; shareholders' equity 175.0; equity ratio 35.9%
Document: S3, annual report, FY2025, 2026-04-02, audited, katjes-2025-annual-report.pdf
Page: 40
Quote: "Total equity 6.8 266.9 176.2"
Status: approved by a named reviewer
Approver: demo reviewer, date not recorded
Proof: https://vanillabonds.com/dossier.html?c=katjes&amp;viewer=1&amp;item=F682</t>
      </text>
    </comment>
    <comment ref="H17" authorId="0" shapeId="0">
      <text>
        <t>F683 · Total equity · FY2025
Total equity incl. non-controlling interests 47.5; shareholders' equity 219.4; equity ratio 32.9%
Document: S3, annual report, FY2025, 2026-04-02, audited, katjes-2025-annual-report.pdf
Page: 40
Quote: "Total equity 6.8 266.9 176.2"
Status: approved by a named reviewer
Approver: demo reviewer, date not recorded
Proof: https://vanillabonds.com/dossier.html?c=katjes&amp;viewer=1&amp;item=F683</t>
      </text>
    </comment>
    <comment ref="I17" authorId="0" shapeId="0">
      <text>
        <t>F1087 · Total equity · H1-2025
Total equity at 30 June 2025 per statement of changes in equity (shareholders 174.2, NCI 1.1).
Document: S5, interim report, H1-2026, 2026-09-08, unaudited, katjes-h1-2026-interim-report.pdf
Page: 33
Quote: "As at June 30, 2025 1.0 -2.7 6.2 167.1 -1.0 -0.3 3.9 0.0 3.6 174.2 1.1 175.3"
Status: approved by a named reviewer
Approver: demo reviewer, date not recorded
Proof: https://vanillabonds.com/dossier.html?c=katjes&amp;viewer=1&amp;item=F1087</t>
      </text>
    </comment>
    <comment ref="J17" authorId="0" shapeId="0">
      <text>
        <t>F1088 · Total equity · H1-2026
Total equity at 30 June 2026: shareholders' equity 214.8 plus non-controlling interests 40.3.
Document: S5, interim report, H1-2026, 2026-09-08, unaudited, katjes-h1-2026-interim-report.pdf
Page: 32
Quote: "Total equity 255.1 266.9"
Status: approved by a named reviewer
Approver: demo reviewer, date not recorded
Proof: https://vanillabonds.com/dossier.html?c=katjes&amp;viewer=1&amp;item=F1088</t>
      </text>
    </comment>
    <comment ref="E18" authorId="0" shapeId="0">
      <text>
        <t>F077 · Total assets · FY2022
Total assets, prior-year figure adjusted for PPA finalisation; non-current 317.6, current 123.8
Document: S1, annual report, FY2023, 2024-03-27, audited, katjes-2023-annual-report.pdf
Page: 45
Quote: "Total assets 477.6 441.4"
Status: approved by a named reviewer
Approver: demo reviewer, date not recorded
Proof: https://vanillabonds.com/dossier.html?c=katjes&amp;viewer=1&amp;item=F077</t>
      </text>
    </comment>
    <comment ref="F18" authorId="0" shapeId="0">
      <text>
        <t>F392 · Total assets · FY2023
Total assets at 31 Dec 2023; non-current 313.0, current 164.6.
Document: S2, annual report, FY2024, 2025-04-09, audited, katjes-2024-annual-report.pdf
Page: 42
Quote: "Total assets 491.7 477.6"
Status: approved by a named reviewer
Approver: demo reviewer, date not recorded
Proof: https://vanillabonds.com/dossier.html?c=katjes&amp;viewer=1&amp;item=F392</t>
      </text>
    </comment>
    <comment ref="G18" authorId="0" shapeId="0">
      <text>
        <t>F684 · Total assets · FY2024
Total assets at 31 Dec 2024
Document: S3, annual report, FY2025, 2026-04-02, audited, katjes-2025-annual-report.pdf
Page: 39
Quote: "Total assets 812.3 491.7"
Status: approved by a named reviewer
Approver: demo reviewer, date not recorded
Proof: https://vanillabonds.com/dossier.html?c=katjes&amp;viewer=1&amp;item=F684</t>
      </text>
    </comment>
    <comment ref="H18" authorId="0" shapeId="0">
      <text>
        <t>F685 · Total assets · FY2025
Total assets at 31 Dec 2025
Document: S3, annual report, FY2025, 2026-04-02, audited, katjes-2025-annual-report.pdf
Page: 39
Quote: "Total assets 812.3 491.7"
Status: approved by a named reviewer
Approver: demo reviewer, date not recorded
Proof: https://vanillabonds.com/dossier.html?c=katjes&amp;viewer=1&amp;item=F685</t>
      </text>
    </comment>
    <comment ref="J18" authorId="0" shapeId="0">
      <text>
        <t>F1090 · Total assets · H1-2026
Total assets at 30 June 2026.
Document: S5, interim report, H1-2026, 2026-09-08, unaudited, katjes-h1-2026-interim-report.pdf
Page: 31
Quote: "Total assets 850.9 812.3"
Status: approved by a named reviewer
Approver: demo reviewer, date not recorded
Proof: https://vanillabonds.com/dossier.html?c=katjes&amp;viewer=1&amp;item=F1090</t>
      </text>
    </comment>
    <comment ref="F19" authorId="0" shapeId="0">
      <text>
        <t>F241 · Days from year end to filing of the accounts · FY2023
Year end 31 Dec 2023 to approval for publication and auditor's report on 27 March 2024
Document: S1, annual report, FY2023, 2024-03-27, audited, katjes-2023-annual-report.pdf
Page: 85
Quote: "These consolidated financial statements were approved for publication by the management on 27 March 2024."
Status: approved by a named reviewer
Approver: demo reviewer, date not recorded
Proof: https://vanillabonds.com/dossier.html?c=katjes&amp;viewer=1&amp;item=F241</t>
      </text>
    </comment>
    <comment ref="G19" authorId="0" shapeId="0">
      <text>
        <t>F542 · Days from year end to filing of the accounts · FY2024
Auditor's report dated 9 April 2025, 99 days after the 31 Dec 2024 year end; management authorised the statements for issue on the same day.
Document: S2, annual report, FY2024, 2025-04-09, audited, katjes-2024-annual-report.pdf
Page: 90
Quote: "Dusseldorf, 9th April 2025"
Status: approved by a named reviewer
Approver: demo reviewer, date not recorded
Proof: https://vanillabonds.com/dossier.html?c=katjes&amp;viewer=1&amp;item=F542</t>
      </text>
    </comment>
    <comment ref="H19" authorId="0" shapeId="0">
      <text>
        <t>F848 · Days from year end to filing of the accounts · FY2025
Year end 31 Dec 2025 to auditor's report dated April 2, 2026 (consolidated statements approved for publication the same day)
Document: S3, annual report, FY2025, 2026-04-02, audited, katjes-2025-annual-report.pdf
Page: 91
Quote: "Köln, April 2, 2026 EY GmbH &amp; Co. KG"
Status: approved by a named reviewer
Approver: demo reviewer, date not recorded
Proof: https://vanillabonds.com/dossier.html?c=katjes&amp;viewer=1&amp;item=F848</t>
      </text>
    </comment>
    <comment ref="J19" authorId="0" shapeId="0">
      <text>
        <t>F1190 · Days from year end to filing of the accounts · H1-2026
70 days from the 30 June 2026 period end to management's approval and release on 8 September 2026 (unaudited interim).
Document: S5, interim report, H1-2026, 2026-09-08, unaudited, katjes-h1-2026-interim-report.pdf
Page: 49
Quote: "These interim consolidated financial statements were approved and released for publication by management on September 8, 2026."
Status: approved by a named reviewer
Approver: demo reviewer, date not recorded
Proof: https://vanillabonds.com/dossier.html?c=katjes&amp;viewer=1&amp;item=F1190</t>
      </text>
    </comment>
    <comment ref="E20" authorId="0" shapeId="0">
      <text>
        <t>F277 · Income taxes paid (cash flow statement) · FY2022
Income taxes paid (cash outflow)
Document: S1, annual report, FY2023, 2024-03-27, audited, katjes-2023-annual-report.pdf
Page: 48
Quote: "Income taxes paid -2.5 -2.6"
Status: approved by a named reviewer
Approver: demo reviewer, date not recorded
Proof: https://vanillabonds.com/dossier.html?c=katjes&amp;viewer=1&amp;item=F277</t>
      </text>
    </comment>
    <comment ref="F20" authorId="0" shapeId="0">
      <text>
        <t>F579 · Income taxes paid (cash flow statement) · FY2023
Income taxes paid per cash flow statement 2023.
Document: S2, annual report, FY2024, 2025-04-09, audited, katjes-2024-annual-report.pdf
Page: 45
Quote: "Income taxes paid -2.5 -2.5"
Status: approved by a named reviewer
Approver: demo reviewer, date not recorded
Proof: https://vanillabonds.com/dossier.html?c=katjes&amp;viewer=1&amp;item=F579</t>
      </text>
    </comment>
    <comment ref="G20" authorId="0" shapeId="0">
      <text>
        <t>F898 · Income taxes paid (cash flow statement) · FY2024
Income taxes paid per cash flow statement
Document: S3, annual report, FY2025, 2026-04-02, audited, katjes-2025-annual-report.pdf
Page: 42
Quote: "Income taxes paid -0.6 -2.5"
Status: approved by a named reviewer
Approver: demo reviewer, date not recorded
Proof: https://vanillabonds.com/dossier.html?c=katjes&amp;viewer=1&amp;item=F898</t>
      </text>
    </comment>
    <comment ref="H20" authorId="0" shapeId="0">
      <text>
        <t>F899 · Income taxes paid (cash flow statement) · FY2025
Income taxes paid per cash flow statement
Document: S3, annual report, FY2025, 2026-04-02, audited, katjes-2025-annual-report.pdf
Page: 42
Quote: "Income taxes paid -0.6 -2.5"
Status: approved by a named reviewer
Approver: demo reviewer, date not recorded
Proof: https://vanillabonds.com/dossier.html?c=katjes&amp;viewer=1&amp;item=F899</t>
      </text>
    </comment>
    <comment ref="I20" authorId="0" shapeId="0">
      <text>
        <t>F1232 · Income taxes paid (cash flow statement) · H1-2025
Income taxes paid H1-2025 (cash flow statement).
Document: S5, interim report, H1-2026, 2026-09-08, unaudited, katjes-h1-2026-interim-report.pdf
Page: 34
Quote: "Income taxes paid -0.9 -0.3"
Status: approved by a named reviewer
Approver: demo reviewer, date not recorded
Proof: https://vanillabonds.com/dossier.html?c=katjes&amp;viewer=1&amp;item=F1232</t>
      </text>
    </comment>
    <comment ref="J20" authorId="0" shapeId="0">
      <text>
        <t>F1233 · Income taxes paid (cash flow statement) · H1-2026
Income taxes paid H1-2026 (cash flow statement).
Document: S5, interim report, H1-2026, 2026-09-08, unaudited, katjes-h1-2026-interim-report.pdf
Page: 34
Quote: "Income taxes paid -0.9 -0.3"
Status: approved by a named reviewer
Approver: demo reviewer, date not recorded
Proof: https://vanillabonds.com/dossier.html?c=katjes&amp;viewer=1&amp;item=F1233</t>
      </text>
    </comment>
    <comment ref="H22" authorId="0" shapeId="0">
      <text>
        <t>F716 · Revenue as budgeted for that year (management plan at the time) · FY2025
Guidance for 2025 was Group revenue of at least EUR 400m; actual 503.0
Document: S3, annual report, FY2025, 2026-04-02, audited, katjes-2025-annual-report.pdf
Page: 35
Quote: "Group revenue of at least EUR 400 million for the financial year 2025 in its guidance."
Status: approved by a named reviewer
Approver: demo reviewer, date not recorded
Proof: https://vanillabonds.com/dossier.html?c=katjes&amp;viewer=1&amp;item=F716</t>
      </text>
    </comment>
    <comment ref="K22" authorId="0" shapeId="0">
      <text>
        <t>F717 · Revenue as budgeted for that year (management plan at the time) · FY2026E
Guidance for 2026: revenue of more than EUR 650m (management forecast, status rep)
Document: S3, annual report, FY2025, 2026-04-02, audited, katjes-2025-annual-report.pdf
Page: 35
Quote: "For the financial year 2026, the Company expects revenue of more than EUR 650 million."
Status: approved by a named reviewer
Approver: demo reviewer, date not recorded
Proof: https://vanillabonds.com/dossier.html?c=katjes&amp;viewer=1&amp;item=F717</t>
      </text>
    </comment>
    <comment ref="G24" authorId="0" shapeId="0">
      <text>
        <t>F470 · Debt principal falling due in the period · FY2024
Current financial liabilities (incl. 2.9 lease liabilities) due within one year as at 31 Dec 2023, undiscounted contractual cash flows.
Document: S2, annual report, FY2024, 2025-04-09, audited, katjes-2024-annual-report.pdf
Page: 59
Quote: "Current financial liabilities (incl. liabilities from leases) 35.2 0.0 0.0 0.0 35.2 35.2"
Status: approved by a named reviewer
Approver: demo reviewer, date not recorded
Proof: https://vanillabonds.com/dossier.html?c=katjes&amp;viewer=1&amp;item=F470</t>
      </text>
    </comment>
    <comment ref="H24" authorId="0" shapeId="0">
      <text>
        <t>F471 · Debt principal falling due in the period · FY2025E
Financial liabilities due within one year as at 31 Dec 2024, incl. 3.7 lease liabilities (undiscounted contractual maturities).
Document: S2, annual report, FY2024, 2025-04-09, audited, katjes-2024-annual-report.pdf
Page: 59
Quote: "Current financial liabilities (incl. liabilities from leases) 37.4 0.0 0.0 0.0 37.4 37.4"
Status: extracted, pending review
Approver: none yet
Note on file: conflict: S1·p63 15.1 vs S2·p59 37.4; primary per fact agent: S2 p59 - S2's maturity table at 31 Dec 2024 is the later audited measurement of amounts due in 2025; S1's 15.1 is the one-to-two-year band at 31 Dec 2023.
Proof: https://vanillabonds.com/dossier.html?c=katjes&amp;viewer=1&amp;item=F471</t>
      </text>
    </comment>
    <comment ref="K24" authorId="0" shapeId="0">
      <text>
        <t>F754 · Debt principal falling due in the period · FY2026E
Current financial liabilities due within one year at 31 Dec 2025 incl. lease liabilities 16.7 and interest liabilities 3.8 (maturity table, partly undiscounted)
Document: S3, annual report, FY2025, 2026-04-02, audited, katjes-2025-annual-report.pdf
Page: 57
Quote: "Current financial liabilities (incl. liabilities from leases) 74.3 0.0 0.0 0.0 74.3 74.3"
Status: extracted, pending review
Approver: none yet
Note on file: conflict: S2·p59 12.3 vs S3·p57 74.3; primary per fact agent: S3 p57 - S3's maturity table at 31 Dec 2025 is the later audited measurement of amounts due in 2026; S2's 12.3 is the one-to-two-year band at 31 Dec 2024.
Proof: https://vanillabonds.com/dossier.html?c=katjes&amp;viewer=1&amp;item=F754</t>
      </text>
    </comment>
    <comment ref="L24" authorId="0" shapeId="0">
      <text>
        <t>F755 · Debt principal falling due in the period · FY2027E
Non-current financial liabilities due in one to two years at 31 Dec 2025 incl. lease liabilities 15.8 (maturity table, partly undiscounted)
Document: S3, annual report, FY2025, 2026-04-02, audited, katjes-2025-annual-report.pdf
Page: 57
Quote: "As of 31 Dec 2025 Non-current financial liabilities (incl. liabilities from leases) 0.0 30.7 232.6 15.2 278.5 278.5"
Status: approved by a named reviewer
Approver: demo reviewer, date not recorded
Proof: https://vanillabonds.com/dossier.html?c=katjes&amp;viewer=1&amp;item=F755</t>
      </text>
    </comment>
    <comment ref="M24" authorId="0" shapeId="0">
      <text>
        <t>F756 · Debt principal falling due in the period · FY2028E
2023/2028 corporate bond outstanding 185.0 at 31 Dec 2025 due 2028 (increased to 200.0 in March 2026); maturity table shows 232.6 of non-current financial liabilities incl. leases due in two to five years
Document: S3, annual report, FY2025, 2026-04-02, audited, katjes-2025-annual-report.pdf
Page: 57
Quote: "As of 31 Dec 2025 Non-current financial liabilities (incl. liabilities from leases) 0.0 30.7 232.6 15.2 278.5 278.5"
Status: approved by a named reviewer
Approver: demo reviewer, date not recorded
Note on file: conflict: S3·p57 185.0 vs S13·p26 115.0
Proof: https://vanillabonds.com/dossier.html?c=katjes&amp;viewer=1&amp;item=F756</t>
      </text>
    </comment>
  </commentList>
</comments>
</file>

<file path=xl/comments/comment2.xml><?xml version="1.0" encoding="utf-8"?>
<comments xmlns="http://schemas.openxmlformats.org/spreadsheetml/2006/main">
  <authors>
    <author>VanillaBonds</author>
  </authors>
  <commentList>
    <comment ref="B2" authorId="0" shapeId="0">
      <text>
        <t>F227 · One-off item · FY2022
Document: S1, annual report, FY2023, 2024-03-27, audited, katjes-2023-annual-report.pdf
Page: 59
Quote: "At the time of initial consolidation on 7 December 2022, a difference on the liabilities side in the amount of EUR 10.3 million was recognised in other operating income"
Status: approved by a named reviewer
Approver: demo reviewer, date not recorded
Proof: https://vanillabonds.com/dossier.html?c=katjes&amp;viewer=1&amp;item=F227</t>
      </text>
    </comment>
    <comment ref="B3" authorId="0" shapeId="0">
      <text>
        <t>F228 · One-off item · FY2022
Document: S1, annual report, FY2023, 2024-03-27, audited, katjes-2023-annual-report.pdf
Page: 79
Quote: "Recognition of negative goodwill in profit or loss 0.0 24.4"
Status: approved by a named reviewer
Approver: demo reviewer, date not recorded
Proof: https://vanillabonds.com/dossier.html?c=katjes&amp;viewer=1&amp;item=F228</t>
      </text>
    </comment>
    <comment ref="C3" authorId="0" shapeId="0">
      <text>
        <t>F228 · One-off item · FY2022
item: recognition of negative goodwill in profit or loss (other operating income); amount: 24.4; recurrence: 2022 only (2023: 0.0)
Document: S1, annual report, FY2023, 2024-03-27, audited, katjes-2023-annual-report.pdf
Page: 79
Quote: "Recognition of negative goodwill in profit or loss 0.0 24.4"
Status: approved by a named reviewer
Approver: demo reviewer, date not recorded
Proof: https://vanillabonds.com/dossier.html?c=katjes&amp;viewer=1&amp;item=F228</t>
      </text>
    </comment>
    <comment ref="B4" authorId="0" shapeId="0">
      <text>
        <t>F837 · One-off item · FY2025
Document: S3, annual report, FY2025, 2026-04-02, audited, katjes-2025-annual-report.pdf
Page: 75
Quote: "Income from badwill 35.1 0.0"
Status: approved by a named reviewer
Approver: demo reviewer, date not recorded
Proof: https://vanillabonds.com/dossier.html?c=katjes&amp;viewer=1&amp;item=F837</t>
      </text>
    </comment>
    <comment ref="C4" authorId="0" shapeId="0">
      <text>
        <t>F837 · One-off item · FY2025
item: badwill from initial consolidation of Bogner (other operating income); amount: 35.1; recurrence: none
Document: S3, annual report, FY2025, 2026-04-02, audited, katjes-2025-annual-report.pdf
Page: 75
Quote: "Income from badwill 35.1 0.0"
Status: approved by a named reviewer
Approver: demo reviewer, date not recorded
Proof: https://vanillabonds.com/dossier.html?c=katjes&amp;viewer=1&amp;item=F837</t>
      </text>
    </comment>
    <comment ref="B5" authorId="0" shapeId="0">
      <text>
        <t>F838 · One-off item · FY2025
Document: S3, annual report, FY2025, 2026-04-02, audited, katjes-2025-annual-report.pdf
Page: 75
Quote: "Gains on disposal of fixed assets 20.1 0.0"
Status: approved by a named reviewer
Approver: demo reviewer, date not recorded
Proof: https://vanillabonds.com/dossier.html?c=katjes&amp;viewer=1&amp;item=F838</t>
      </text>
    </comment>
    <comment ref="C5" authorId="0" shapeId="0">
      <text>
        <t>F838 · One-off item · FY2025
item: gain on disposal of the 23% CPK minority interest (other operating income); amount: 20.1; recurrence: none
Document: S3, annual report, FY2025, 2026-04-02, audited, katjes-2025-annual-report.pdf
Page: 75
Quote: "Gains on disposal of fixed assets 20.1 0.0"
Status: approved by a named reviewer
Approver: demo reviewer, date not recorded
Proof: https://vanillabonds.com/dossier.html?c=katjes&amp;viewer=1&amp;item=F838</t>
      </text>
    </comment>
    <comment ref="B6" authorId="0" shapeId="0">
      <text>
        <t>F1180 · One-off item · H1-2026
Document: S5, interim report, H1-2026, 2026-09-08, unaudited, katjes-h1-2026-interim-report.pdf
Page: 23
Quote: "this item includes the positive results from the purchase price allocations carried out during the first half of 2026 (EUR 13.8 million)"
Status: approved by a named reviewer
Approver: demo reviewer, date not recorded
Proof: https://vanillabonds.com/dossier.html?c=katjes&amp;viewer=1&amp;item=F1180</t>
      </text>
    </comment>
    <comment ref="B7" authorId="0" shapeId="0">
      <text>
        <t>F1183 · One-off item · H1-2026
Document: S5, interim report, H1-2026, 2026-09-08, unaudited, katjes-h1-2026-interim-report.pdf
Page: 38
Quote: "Purchase price 31.8 Badwill 11.2"
Status: approved by a named reviewer
Approver: demo reviewer, date not recorded
Proof: https://vanillabonds.com/dossier.html?c=katjes&amp;viewer=1&amp;item=F1183</t>
      </text>
    </comment>
    <comment ref="C7" authorId="0" shapeId="0">
      <text>
        <t>F1183 · One-off item · H1-2026
item: badwill on the Graze acquisition, recognised in other operating income (preliminary PPA); amount: 11.2; recurrence: none stated
Document: S5, interim report, H1-2026, 2026-09-08, unaudited, katjes-h1-2026-interim-report.pdf
Page: 38
Quote: "Purchase price 31.8 Badwill 11.2"
Status: approved by a named reviewer
Approver: demo reviewer, date not recorded
Proof: https://vanillabonds.com/dossier.html?c=katjes&amp;viewer=1&amp;item=F1183</t>
      </text>
    </comment>
    <comment ref="B8" authorId="0" shapeId="0">
      <text>
        <t>F1184 · One-off item · H1-2026
Document: S5, interim report, H1-2026, 2026-09-08, unaudited, katjes-h1-2026-interim-report.pdf
Page: 39
Quote: "Purchase price 0.4 Badwill 2.6"
Status: approved by a named reviewer
Approver: demo reviewer, date not recorded
Proof: https://vanillabonds.com/dossier.html?c=katjes&amp;viewer=1&amp;item=F1184</t>
      </text>
    </comment>
    <comment ref="C8" authorId="0" shapeId="0">
      <text>
        <t>F1184 · One-off item · H1-2026
item: badwill on the Pastificio Plin acquisition, recognised in other operating income; amount: 2.6; recurrence: none stated
Document: S5, interim report, H1-2026, 2026-09-08, unaudited, katjes-h1-2026-interim-report.pdf
Page: 39
Quote: "Purchase price 0.4 Badwill 2.6"
Status: approved by a named reviewer
Approver: demo reviewer, date not recorded
Proof: https://vanillabonds.com/dossier.html?c=katjes&amp;viewer=1&amp;item=F1184</t>
      </text>
    </comment>
  </commentList>
</comments>
</file>

<file path=xl/comments/comment3.xml><?xml version="1.0" encoding="utf-8"?>
<comments xmlns="http://schemas.openxmlformats.org/spreadsheetml/2006/main">
  <authors>
    <author>VanillaBonds</author>
  </authors>
  <commentList>
    <comment ref="B2" authorId="0" shapeId="0">
      <text>
        <t>One-off income inside EBITDA · FY2019
Computed: SUM of Bridge for the period
Facts: none on file for this period</t>
      </text>
    </comment>
    <comment ref="C2" authorId="0" shapeId="0">
      <text>
        <t>One-off income inside EBITDA · FY2020
Computed: SUM of Bridge for the period
Facts: none on file for this period</t>
      </text>
    </comment>
    <comment ref="D2" authorId="0" shapeId="0">
      <text>
        <t>One-off income inside EBITDA · FY2021
Computed: SUM of Bridge for the period
Facts: none on file for this period</t>
      </text>
    </comment>
    <comment ref="E2" authorId="0" shapeId="0">
      <text>
        <t>One-off income inside EBITDA · FY2022
Computed: SUM of Bridge for the period
Facts: F228 One-off item FY2022 (S1 p79, approved)</t>
      </text>
    </comment>
    <comment ref="F2" authorId="0" shapeId="0">
      <text>
        <t>One-off income inside EBITDA · FY2023
Computed: SUM of Bridge for the period
Facts: none on file for this period</t>
      </text>
    </comment>
    <comment ref="G2" authorId="0" shapeId="0">
      <text>
        <t>One-off income inside EBITDA · FY2024
Computed: SUM of Bridge for the period
Facts: none on file for this period</t>
      </text>
    </comment>
    <comment ref="H2" authorId="0" shapeId="0">
      <text>
        <t>One-off income inside EBITDA · FY2025
Computed: SUM of Bridge for the period
Facts: F837 One-off item FY2025 (S3 p75, approved); F838 One-off item FY2025 (S3 p75, approved)</t>
      </text>
    </comment>
    <comment ref="I2" authorId="0" shapeId="0">
      <text>
        <t>One-off income inside EBITDA · H1-2025
Computed: SUM of Bridge for the period
Facts: none on file for this period</t>
      </text>
    </comment>
    <comment ref="J2" authorId="0" shapeId="0">
      <text>
        <t>One-off income inside EBITDA · H1-2026
Computed: SUM of Bridge for the period
Facts: F1183 One-off item H1-2026 (S5 p38, approved); F1184 One-off item H1-2026 (S5 p39, approved)</t>
      </text>
    </comment>
    <comment ref="B3" authorId="0" shapeId="0">
      <text>
        <t>EBITDA excluding one-off income · FY2019
Computed: EBITDA as reported − one-off income
Facts: F046 EBITDA (as reported) FY2019 (S1 p7, approved)</t>
      </text>
    </comment>
    <comment ref="C3" authorId="0" shapeId="0">
      <text>
        <t>EBITDA excluding one-off income · FY2020
Computed: EBITDA as reported − one-off income
Facts: F047 EBITDA (as reported) FY2020 (S1 p7, approved)</t>
      </text>
    </comment>
    <comment ref="D3" authorId="0" shapeId="0">
      <text>
        <t>EBITDA excluding one-off income · FY2021
Computed: EBITDA as reported − one-off income
Facts: F657 EBITDA (as reported) FY2021 (S3 p7, pending)</t>
      </text>
    </comment>
    <comment ref="E3" authorId="0" shapeId="0">
      <text>
        <t>EBITDA excluding one-off income · FY2022
Computed: EBITDA as reported − one-off income
Facts: F658 EBITDA (as reported) FY2022 (S3 p7, approved); F228 One-off item FY2022 (S1 p79, approved)</t>
      </text>
    </comment>
    <comment ref="F3" authorId="0" shapeId="0">
      <text>
        <t>EBITDA excluding one-off income · FY2023
Computed: EBITDA as reported − one-off income
Facts: F368 EBITDA (as reported) FY2023 (S2 p29, pending)</t>
      </text>
    </comment>
    <comment ref="G3" authorId="0" shapeId="0">
      <text>
        <t>EBITDA excluding one-off income · FY2024
Computed: EBITDA as reported − one-off income
Facts: F660 EBITDA (as reported) FY2024 (S3 p25, approved)</t>
      </text>
    </comment>
    <comment ref="H3" authorId="0" shapeId="0">
      <text>
        <t>EBITDA excluding one-off income · FY2025
Computed: EBITDA as reported − one-off income
Facts: F661 EBITDA (as reported) FY2025 (S3 p25, approved); F837 One-off item FY2025 (S3 p75, approved); F838 One-off item FY2025 (S3 p75, approved)</t>
      </text>
    </comment>
    <comment ref="I3" authorId="0" shapeId="0">
      <text>
        <t>EBITDA excluding one-off income · H1-2025
Computed: EBITDA as reported − one-off income
Facts: F1066 EBITDA (as reported) H1-2025 (S5 p23, approved)</t>
      </text>
    </comment>
    <comment ref="J3" authorId="0" shapeId="0">
      <text>
        <t>EBITDA excluding one-off income · H1-2026
Computed: EBITDA as reported − one-off income
Facts: F1067 EBITDA (as reported) H1-2026 (S5 p23, approved); F1183 One-off item H1-2026 (S5 p38, approved); F1184 One-off item H1-2026 (S5 p39, approved)</t>
      </text>
    </comment>
    <comment ref="B4" authorId="0" shapeId="0">
      <text>
        <t>EBITDA margin excluding one-off income · FY2019
Computed: EBITDA excluding one-off income / revenue
Facts: F046 EBITDA (as reported) FY2019 (S1 p7, approved); F040 Revenue FY2019 (S1 p7, approved)</t>
      </text>
    </comment>
    <comment ref="C4" authorId="0" shapeId="0">
      <text>
        <t>EBITDA margin excluding one-off income · FY2020
Computed: EBITDA excluding one-off income / revenue
Facts: F047 EBITDA (as reported) FY2020 (S1 p7, approved); F041 Revenue FY2020 (S1 p7, approved)</t>
      </text>
    </comment>
    <comment ref="D4" authorId="0" shapeId="0">
      <text>
        <t>EBITDA margin excluding one-off income · FY2021
Computed: EBITDA excluding one-off income / revenue
Facts: F657 EBITDA (as reported) FY2021 (S3 p7, pending); F652 Revenue FY2021 (S3 p7, approved)</t>
      </text>
    </comment>
    <comment ref="E4" authorId="0" shapeId="0">
      <text>
        <t>EBITDA margin excluding one-off income · FY2022
Computed: EBITDA excluding one-off income / revenue
Facts: F658 EBITDA (as reported) FY2022 (S3 p7, approved); F653 Revenue FY2022 (S3 p7, approved); F228 One-off item FY2022 (S1 p79, approved)</t>
      </text>
    </comment>
    <comment ref="F4" authorId="0" shapeId="0">
      <text>
        <t>EBITDA margin excluding one-off income · FY2023
Computed: EBITDA excluding one-off income / revenue
Facts: F368 EBITDA (as reported) FY2023 (S2 p29, pending); F654 Revenue FY2023 (S3 p7, approved)</t>
      </text>
    </comment>
    <comment ref="G4" authorId="0" shapeId="0">
      <text>
        <t>EBITDA margin excluding one-off income · FY2024
Computed: EBITDA excluding one-off income / revenue
Facts: F660 EBITDA (as reported) FY2024 (S3 p25, approved); F655 Revenue FY2024 (S3 p37, approved)</t>
      </text>
    </comment>
    <comment ref="H4" authorId="0" shapeId="0">
      <text>
        <t>EBITDA margin excluding one-off income · FY2025
Computed: EBITDA excluding one-off income / revenue
Facts: F661 EBITDA (as reported) FY2025 (S3 p25, approved); F656 Revenue FY2025 (S3 p37, approved); F837 One-off item FY2025 (S3 p75, approved); F838 One-off item FY2025 (S3 p75, approved)</t>
      </text>
    </comment>
    <comment ref="I4" authorId="0" shapeId="0">
      <text>
        <t>EBITDA margin excluding one-off income · H1-2025
Computed: EBITDA excluding one-off income / revenue
Facts: F1066 EBITDA (as reported) H1-2025 (S5 p23, approved); F1064 Revenue H1-2025 (S5 p29, approved)</t>
      </text>
    </comment>
    <comment ref="J4" authorId="0" shapeId="0">
      <text>
        <t>EBITDA margin excluding one-off income · H1-2026
Computed: EBITDA excluding one-off income / revenue
Facts: F1067 EBITDA (as reported) H1-2026 (S5 p23, approved); F1065 Revenue H1-2026 (S5 p29, approved); F1183 One-off item H1-2026 (S5 p38, approved); F1184 One-off item H1-2026 (S5 p39, approved)</t>
      </text>
    </comment>
    <comment ref="B5" authorId="0" shapeId="0">
      <text>
        <t>EBITDA margin, on EBITDA as reported · FY2019
Computed: EBITDA as reported / revenue, one-off income included
Facts: F046 EBITDA (as reported) FY2019 (S1 p7, approved); F040 Revenue FY2019 (S1 p7, approved)</t>
      </text>
    </comment>
    <comment ref="C5" authorId="0" shapeId="0">
      <text>
        <t>EBITDA margin, on EBITDA as reported · FY2020
Computed: EBITDA as reported / revenue, one-off income included
Facts: F047 EBITDA (as reported) FY2020 (S1 p7, approved); F041 Revenue FY2020 (S1 p7, approved)</t>
      </text>
    </comment>
    <comment ref="D5" authorId="0" shapeId="0">
      <text>
        <t>EBITDA margin, on EBITDA as reported · FY2021
Computed: EBITDA as reported / revenue, one-off income included
Facts: F657 EBITDA (as reported) FY2021 (S3 p7, pending); F652 Revenue FY2021 (S3 p7, approved)</t>
      </text>
    </comment>
    <comment ref="E5" authorId="0" shapeId="0">
      <text>
        <t>EBITDA margin, on EBITDA as reported · FY2022
Computed: EBITDA as reported / revenue, one-off income included
Facts: F658 EBITDA (as reported) FY2022 (S3 p7, approved); F653 Revenue FY2022 (S3 p7, approved)</t>
      </text>
    </comment>
    <comment ref="F5" authorId="0" shapeId="0">
      <text>
        <t>EBITDA margin, on EBITDA as reported · FY2023
Computed: EBITDA as reported / revenue, one-off income included
Facts: F368 EBITDA (as reported) FY2023 (S2 p29, pending); F654 Revenue FY2023 (S3 p7, approved)</t>
      </text>
    </comment>
    <comment ref="G5" authorId="0" shapeId="0">
      <text>
        <t>EBITDA margin, on EBITDA as reported · FY2024
Computed: EBITDA as reported / revenue, one-off income included
Facts: F660 EBITDA (as reported) FY2024 (S3 p25, approved); F655 Revenue FY2024 (S3 p37, approved)</t>
      </text>
    </comment>
    <comment ref="H5" authorId="0" shapeId="0">
      <text>
        <t>EBITDA margin, on EBITDA as reported · FY2025
Computed: EBITDA as reported / revenue, one-off income included
Facts: F661 EBITDA (as reported) FY2025 (S3 p25, approved); F656 Revenue FY2025 (S3 p37, approved)</t>
      </text>
    </comment>
    <comment ref="I5" authorId="0" shapeId="0">
      <text>
        <t>EBITDA margin, on EBITDA as reported · H1-2025
Computed: EBITDA as reported / revenue, one-off income included
Facts: F1066 EBITDA (as reported) H1-2025 (S5 p23, approved); F1064 Revenue H1-2025 (S5 p29, approved)</t>
      </text>
    </comment>
    <comment ref="J5" authorId="0" shapeId="0">
      <text>
        <t>EBITDA margin, on EBITDA as reported · H1-2026
Computed: EBITDA as reported / revenue, one-off income included
Facts: F1067 EBITDA (as reported) H1-2026 (S5 p23, approved); F1065 Revenue H1-2026 (S5 p29, approved)</t>
      </text>
    </comment>
    <comment ref="E6" authorId="0" shapeId="0">
      <text>
        <t>Free cash flow · FY2022
Computed: operating cash flow − capex
Facts: F060 Cash flow from operating activities FY2022 (S1 p48, approved); F062 Capex (PP&amp;E + intangibles) FY2022 (S1 p89, approved)</t>
      </text>
    </comment>
    <comment ref="F6" authorId="0" shapeId="0">
      <text>
        <t>Free cash flow · FY2023
Computed: operating cash flow − capex
Facts: F378 Cash flow from operating activities FY2023 (S2 p45, approved); F380 Capex (PP&amp;E + intangibles) FY2023 (S2 p45, pending)</t>
      </text>
    </comment>
    <comment ref="G6" authorId="0" shapeId="0">
      <text>
        <t>Free cash flow · FY2024
Computed: operating cash flow − capex
Facts: F670 Cash flow from operating activities FY2024 (S3 p42, approved); F672 Capex (PP&amp;E + intangibles) FY2024 (S3 p86, pending)</t>
      </text>
    </comment>
    <comment ref="H6" authorId="0" shapeId="0">
      <text>
        <t>Free cash flow · FY2025
Computed: operating cash flow − capex
Facts: F671 Cash flow from operating activities FY2025 (S3 p42, approved); F673 Capex (PP&amp;E + intangibles) FY2025 (S3 p85, approved)</t>
      </text>
    </comment>
    <comment ref="I6" authorId="0" shapeId="0">
      <text>
        <t>Free cash flow · H1-2025
Computed: operating cash flow − capex
Facts: F1076 Cash flow from operating activities H1-2025 (S5 p34, approved); F1078 Capex (PP&amp;E + intangibles) H1-2025 (S5 p34, approved)</t>
      </text>
    </comment>
    <comment ref="J6" authorId="0" shapeId="0">
      <text>
        <t>Free cash flow · H1-2026
Computed: operating cash flow − capex
Facts: F1077 Cash flow from operating activities H1-2026 (S5 p34, approved); F1079 Capex (PP&amp;E + intangibles) H1-2026 (S5 p34, approved)</t>
      </text>
    </comment>
    <comment ref="H7" authorId="0" shapeId="0">
      <text>
        <t>Gross debt excluding leases, calculated · FY2025
Computed: net debt as reported + cash − lease liabilities, where the report states no total (as mvp/schema.py derive)
Facts: F680 Net debt (as reported) FY2025 (S3 p58, approved); F676 Cash &amp; equivalents FY2025 (S3 p39, approved); F678 Lease liabilities FY2025 (S3 p58, approved)</t>
      </text>
    </comment>
    <comment ref="E8" authorId="0" shapeId="0">
      <text>
        <t>Net debt excluding leases · FY2022
Computed: gross debt excluding leases − cash
Facts: F066 Gross financial debt (bonds + loans, excl. leases) FY2022 (S1 p72, approved); F064 Cash &amp; equivalents FY2022 (S1 p45, approved)</t>
      </text>
    </comment>
    <comment ref="F8" authorId="0" shapeId="0">
      <text>
        <t>Net debt excluding leases · FY2023
Computed: gross debt excluding leases − cash
Facts: F384 Gross financial debt (bonds + loans, excl. leases) FY2023 (S2 p68, pending); F674 Cash &amp; equivalents FY2023 (S3 p42, approved)</t>
      </text>
    </comment>
    <comment ref="G8" authorId="0" shapeId="0">
      <text>
        <t>Net debt excluding leases · FY2024
Computed: gross debt excluding leases − cash
Facts: F385 Gross financial debt (bonds + loans, excl. leases) FY2024 (S2 p68, approved); F675 Cash &amp; equivalents FY2024 (S3 p39, approved)</t>
      </text>
    </comment>
    <comment ref="H8" authorId="0" shapeId="0">
      <text>
        <t>Net debt excluding leases · FY2025
Computed: gross debt excluding leases − cash
Facts: F680 Net debt (as reported) FY2025 (S3 p58, approved); F676 Cash &amp; equivalents FY2025 (S3 p39, approved); F678 Lease liabilities FY2025 (S3 p58, approved)</t>
      </text>
    </comment>
    <comment ref="E9" authorId="0" shapeId="0">
      <text>
        <t>Net debt / EBITDA excluding one-off income · FY2022
Computed: net debt excluding leases / EBITDA excluding one-off income; fiscal years
Facts: F066 Gross financial debt (bonds + loans, excl. leases) FY2022 (S1 p72, approved); F064 Cash &amp; equivalents FY2022 (S1 p45, approved); F658 EBITDA (as reported) FY2022 (S3 p7, approved); F228 One-off item FY2022 (S1 p79, approved)</t>
      </text>
    </comment>
    <comment ref="F9" authorId="0" shapeId="0">
      <text>
        <t>Net debt / EBITDA excluding one-off income · FY2023
Computed: net debt excluding leases / EBITDA excluding one-off income; fiscal years
Facts: F384 Gross financial debt (bonds + loans, excl. leases) FY2023 (S2 p68, pending); F674 Cash &amp; equivalents FY2023 (S3 p42, approved); F368 EBITDA (as reported) FY2023 (S2 p29, pending)</t>
      </text>
    </comment>
    <comment ref="G9" authorId="0" shapeId="0">
      <text>
        <t>Net debt / EBITDA excluding one-off income · FY2024
Computed: net debt excluding leases / EBITDA excluding one-off income; fiscal years
Facts: F385 Gross financial debt (bonds + loans, excl. leases) FY2024 (S2 p68, approved); F675 Cash &amp; equivalents FY2024 (S3 p39, approved); F660 EBITDA (as reported) FY2024 (S3 p25, approved)</t>
      </text>
    </comment>
    <comment ref="H9" authorId="0" shapeId="0">
      <text>
        <t>Net debt / EBITDA excluding one-off income · FY2025
Computed: net debt excluding leases / EBITDA excluding one-off income; fiscal years
Facts: F680 Net debt (as reported) FY2025 (S3 p58, approved); F676 Cash &amp; equivalents FY2025 (S3 p39, approved); F678 Lease liabilities FY2025 (S3 p58, approved); F661 EBITDA (as reported) FY2025 (S3 p25, approved); F837 One-off item FY2025 (S3 p75, approved); F838 One-off item FY2025 (S3 p75, approved)</t>
      </text>
    </comment>
    <comment ref="E10" authorId="0" shapeId="0">
      <text>
        <t>Net debt / EBITDA, on EBITDA as reported · FY2022
Computed: net debt excluding leases / EBITDA as reported, one-off income included; fiscal years
Facts: F066 Gross financial debt (bonds + loans, excl. leases) FY2022 (S1 p72, approved); F064 Cash &amp; equivalents FY2022 (S1 p45, approved); F658 EBITDA (as reported) FY2022 (S3 p7, approved)</t>
      </text>
    </comment>
    <comment ref="F10" authorId="0" shapeId="0">
      <text>
        <t>Net debt / EBITDA, on EBITDA as reported · FY2023
Computed: net debt excluding leases / EBITDA as reported, one-off income included; fiscal years
Facts: F384 Gross financial debt (bonds + loans, excl. leases) FY2023 (S2 p68, pending); F674 Cash &amp; equivalents FY2023 (S3 p42, approved); F368 EBITDA (as reported) FY2023 (S2 p29, pending)</t>
      </text>
    </comment>
    <comment ref="G10" authorId="0" shapeId="0">
      <text>
        <t>Net debt / EBITDA, on EBITDA as reported · FY2024
Computed: net debt excluding leases / EBITDA as reported, one-off income included; fiscal years
Facts: F385 Gross financial debt (bonds + loans, excl. leases) FY2024 (S2 p68, approved); F675 Cash &amp; equivalents FY2024 (S3 p39, approved); F660 EBITDA (as reported) FY2024 (S3 p25, approved)</t>
      </text>
    </comment>
    <comment ref="H10" authorId="0" shapeId="0">
      <text>
        <t>Net debt / EBITDA, on EBITDA as reported · FY2025
Computed: net debt excluding leases / EBITDA as reported, one-off income included; fiscal years
Facts: F680 Net debt (as reported) FY2025 (S3 p58, approved); F676 Cash &amp; equivalents FY2025 (S3 p39, approved); F678 Lease liabilities FY2025 (S3 p58, approved); F661 EBITDA (as reported) FY2025 (S3 p25, approved)</t>
      </text>
    </comment>
    <comment ref="E11" authorId="0" shapeId="0">
      <text>
        <t>EBITDA excluding one-off income / net interest · FY2022
Computed: EBITDA excluding one-off income / net finance cost; fiscal years
Facts: F658 EBITDA (as reported) FY2022 (S3 p7, approved); F058 Net finance cost FY2022 (S1 p43, approved); F228 One-off item FY2022 (S1 p79, approved)</t>
      </text>
    </comment>
    <comment ref="F11" authorId="0" shapeId="0">
      <text>
        <t>EBITDA excluding one-off income / net interest · FY2023
Computed: EBITDA excluding one-off income / net finance cost; fiscal years
Facts: F368 EBITDA (as reported) FY2023 (S2 p29, pending); F376 Net finance cost FY2023 (S2 p40, approved)</t>
      </text>
    </comment>
    <comment ref="G11" authorId="0" shapeId="0">
      <text>
        <t>EBITDA excluding one-off income / net interest · FY2024
Computed: EBITDA excluding one-off income / net finance cost; fiscal years
Facts: F660 EBITDA (as reported) FY2024 (S3 p25, approved); F668 Net finance cost FY2024 (S3 p37, approved)</t>
      </text>
    </comment>
    <comment ref="H11" authorId="0" shapeId="0">
      <text>
        <t>EBITDA excluding one-off income / net interest · FY2025
Computed: EBITDA excluding one-off income / net finance cost; fiscal years
Facts: F661 EBITDA (as reported) FY2025 (S3 p25, approved); F669 Net finance cost FY2025 (S3 p37, approved); F837 One-off item FY2025 (S3 p75, approved); F838 One-off item FY2025 (S3 p75, approved)</t>
      </text>
    </comment>
    <comment ref="E12" authorId="0" shapeId="0">
      <text>
        <t>EBITDA / net interest, on EBITDA as reported · FY2022
Computed: EBITDA as reported / net finance cost, one-off income included; fiscal years
Facts: F658 EBITDA (as reported) FY2022 (S3 p7, approved); F058 Net finance cost FY2022 (S1 p43, approved)</t>
      </text>
    </comment>
    <comment ref="F12" authorId="0" shapeId="0">
      <text>
        <t>EBITDA / net interest, on EBITDA as reported · FY2023
Computed: EBITDA as reported / net finance cost, one-off income included; fiscal years
Facts: F368 EBITDA (as reported) FY2023 (S2 p29, pending); F376 Net finance cost FY2023 (S2 p40, approved)</t>
      </text>
    </comment>
    <comment ref="G12" authorId="0" shapeId="0">
      <text>
        <t>EBITDA / net interest, on EBITDA as reported · FY2024
Computed: EBITDA as reported / net finance cost, one-off income included; fiscal years
Facts: F660 EBITDA (as reported) FY2024 (S3 p25, approved); F668 Net finance cost FY2024 (S3 p37, approved)</t>
      </text>
    </comment>
    <comment ref="H12" authorId="0" shapeId="0">
      <text>
        <t>EBITDA / net interest, on EBITDA as reported · FY2025
Computed: EBITDA as reported / net finance cost, one-off income included; fiscal years
Facts: F661 EBITDA (as reported) FY2025 (S3 p25, approved); F669 Net finance cost FY2025 (S3 p37, approved)</t>
      </text>
    </comment>
    <comment ref="E13" authorId="0" shapeId="0">
      <text>
        <t>Equity ratio · FY2022
Computed: equity / total assets
Facts: F075 Total equity FY2022 (S1 p46, approved); F077 Total assets FY2022 (S1 p45, approved)</t>
      </text>
    </comment>
    <comment ref="F13" authorId="0" shapeId="0">
      <text>
        <t>Equity ratio · FY2023
Computed: equity / total assets
Facts: F681 Total equity FY2023 (S3 p41, approved); F392 Total assets FY2023 (S2 p42, approved)</t>
      </text>
    </comment>
    <comment ref="G13" authorId="0" shapeId="0">
      <text>
        <t>Equity ratio · FY2024
Computed: equity / total assets
Facts: F682 Total equity FY2024 (S3 p40, approved); F684 Total assets FY2024 (S3 p39, approved)</t>
      </text>
    </comment>
    <comment ref="H13" authorId="0" shapeId="0">
      <text>
        <t>Equity ratio · FY2025
Computed: equity / total assets
Facts: F683 Total equity FY2025 (S3 p40, approved); F685 Total assets FY2025 (S3 p39, approved)</t>
      </text>
    </comment>
    <comment ref="J13" authorId="0" shapeId="0">
      <text>
        <t>Equity ratio · H1-2026
Computed: equity / total assets
Facts: F1088 Total equity H1-2026 (S5 p32, approved); F1090 Total assets H1-2026 (S5 p31, approved)</t>
      </text>
    </comment>
  </commentList>
</comments>
</file>

<file path=xl/comments/comment4.xml><?xml version="1.0" encoding="utf-8"?>
<comments xmlns="http://schemas.openxmlformats.org/spreadsheetml/2006/main">
  <authors>
    <author>VanillaBonds</author>
  </authors>
  <commentList>
    <comment ref="B2" authorId="0" shapeId="0">
      <text>
        <t>Principal · falls due 2026
Computed: per year of maturity, the maturity table of the FY2025 report (S3 p57): the amount less the leases and the interest it names = principal
Facts: F754 Debt principal falling due in the period FY2026E (S3 p57, pending)</t>
      </text>
    </comment>
    <comment ref="C2" authorId="0" shapeId="0">
      <text>
        <t>Leases · falls due 2026
Computed: per year of maturity, the maturity table of the FY2025 report (S3 p57): the amount less the leases and the interest it names = principal
Facts: F754 Debt principal falling due in the period FY2026E (S3 p57, pending)</t>
      </text>
    </comment>
    <comment ref="D2" authorId="0" shapeId="0">
      <text>
        <t>Interest · falls due 2026
Computed: per year of maturity, the maturity table of the FY2025 report (S3 p57): the amount less the leases and the interest it names = principal
Facts: F754 Debt principal falling due in the period FY2026E (S3 p57, pending)</t>
      </text>
    </comment>
    <comment ref="B3" authorId="0" shapeId="0">
      <text>
        <t>Principal · falls due 2027
Computed: per year of maturity, the maturity table of the FY2025 report (S3 p57): the amount less the leases and the interest it names = principal
Facts: F755 Debt principal falling due in the period FY2027E (S3 p57, approved)</t>
      </text>
    </comment>
    <comment ref="C3" authorId="0" shapeId="0">
      <text>
        <t>Leases · falls due 2027
Computed: per year of maturity, the maturity table of the FY2025 report (S3 p57): the amount less the leases and the interest it names = principal
Facts: F755 Debt principal falling due in the period FY2027E (S3 p57, approved)</t>
      </text>
    </comment>
    <comment ref="B4" authorId="0" shapeId="0">
      <text>
        <t>Principal · falls due 2028
Computed: per year of maturity, the maturity table of the FY2025 report (S3 p57): the amount less the leases and the interest it names = principal; an instrument a later report states at a new amount counts at that amount (2023/2028 corporate bond, 6.75% fixed: 185.0 at FY2025, 200.0 at H1-2026)
Facts: F756 Debt principal falling due in the period FY2028E (S3 p57, approved); F1091 Debt instrument (S5 p21, approved); F691 Debt instrument (S3 p63, approved)</t>
      </text>
    </comment>
    <comment ref="B5" authorId="0" shapeId="0">
      <text>
        <t>Principal · falls due later or not dated by year
Computed: gross debt excluding leases at FY2025 (278.1) less the interest (3.8) and the principal dated above at FY2025 (253.7); lease liabilities at FY2025 (74.7) less those dated above (32.5)
Facts: F1252 Gross financial debt (bonds + loans, excl. leases) FY2025 (S3 p68, approved); F680 Net debt (as reported) FY2025 (S3 p58, approved); F676 Cash &amp; equivalents FY2025 (S3 p39, approved); F678 Lease liabilities FY2025 (S3 p58, approved)</t>
      </text>
    </comment>
    <comment ref="C5" authorId="0" shapeId="0">
      <text>
        <t>Leases · falls due later or not dated by year
Computed: gross debt excluding leases at FY2025 (278.1) less the interest (3.8) and the principal dated above at FY2025 (253.7); lease liabilities at FY2025 (74.7) less those dated above (32.5)
Facts: F1252 Gross financial debt (bonds + loans, excl. leases) FY2025 (S3 p68, approved); F680 Net debt (as reported) FY2025 (S3 p58, approved); F676 Cash &amp; equivalents FY2025 (S3 p39, approved); F678 Lease liabilities FY2025 (S3 p58, approved)</t>
      </text>
    </comment>
  </commentList>
</comments>
</file>

<file path=xl/comments/comment5.xml><?xml version="1.0" encoding="utf-8"?>
<comments xmlns="http://schemas.openxmlformats.org/spreadsheetml/2006/main">
  <authors>
    <author>VanillaBonds</author>
  </authors>
  <commentList>
    <comment ref="B3" authorId="0" shapeId="0">
      <text>
        <t>F1091 · Debt instrument
Document: S5, interim report, H1-2026, 2026-09-08, unaudited, katjes-h1-2026-interim-report.pdf
Page: 21
Quote: "the existing corporate bond was increased by EUR 15 million to a total of EUR 200 million."
Status: approved by a named reviewer
Approver: demo reviewer, date not recorded
Proof: https://vanillabonds.com/dossier.html?c=katjes&amp;viewer=1&amp;item=F1091</t>
      </text>
    </comment>
    <comment ref="B4" authorId="0" shapeId="0">
      <text>
        <t>F1092 · Debt instrument
Document: S5, interim report, H1-2026, 2026-09-08, unaudited, katjes-h1-2026-interim-report.pdf
Page: 25
Quote: "Missoni as well as acquisition financing for part of the purchase price of Graze"
Status: approved by a named reviewer
Approver: demo reviewer, date not recorded
Proof: https://vanillabonds.com/dossier.html?c=katjes&amp;viewer=1&amp;item=F1092</t>
      </text>
    </comment>
    <comment ref="B5" authorId="0" shapeId="0">
      <text>
        <t>F1093 · Debt instrument
Document: S5, interim report, H1-2026, 2026-09-08, unaudited, katjes-h1-2026-interim-report.pdf
Page: 42
Quote: "Interest-bearing loans2 51.0 51.0** Amortised cost"
Status: approved by a named reviewer
Approver: demo reviewer, date not recorded
Proof: https://vanillabonds.com/dossier.html?c=katjes&amp;viewer=1&amp;item=F1093</t>
      </text>
    </comment>
    <comment ref="B6" authorId="0" shapeId="0">
      <text>
        <t>F1094 · Debt instrument
Document: S5, interim report, H1-2026, 2026-09-08, unaudited, katjes-h1-2026-interim-report.pdf
Page: 42
Quote: "Interest-bearing loans2 68.1 68.1** Amortised cost"
Status: approved by a named reviewer
Approver: demo reviewer, date not recorded
Proof: https://vanillabonds.com/dossier.html?c=katjes&amp;viewer=1&amp;item=F1094</t>
      </text>
    </comment>
    <comment ref="B7" authorId="0" shapeId="0">
      <text>
        <t>F686 · Debt instrument
Document: S3, annual report, FY2025, 2026-04-02, audited, katjes-2025-annual-report.pdf
Page: 58
Quote: "liabilities to banks in the amount of EUR 72.0 million"
Status: approved by a named reviewer
Approver: demo reviewer, date not recorded
Proof: https://vanillabonds.com/dossier.html?c=katjes&amp;viewer=1&amp;item=F686</t>
      </text>
    </comment>
    <comment ref="B8" authorId="0" shapeId="0">
      <text>
        <t>F687 · Debt instrument
Document: S3, annual report, FY2025, 2026-04-02, audited, katjes-2025-annual-report.pdf
Page: 58
Quote: "as accrued interest liabilities relating to the bond in the amount of EUR 3.5 million (2024: EUR 2.1 million)"
Status: approved by a named reviewer
Approver: demo reviewer, date not recorded
Proof: https://vanillabonds.com/dossier.html?c=katjes&amp;viewer=1&amp;item=F687</t>
      </text>
    </comment>
    <comment ref="B9" authorId="0" shapeId="0">
      <text>
        <t>F688 · Debt instrument
Document: S3, annual report, FY2025, 2026-04-02, audited, katjes-2025-annual-report.pdf
Page: 58
Quote: "from hire purchase agreements in the amount of EUR 8.2 million (of which current: EUR 2.4 million)"
Status: approved by a named reviewer
Approver: demo reviewer, date not recorded
Proof: https://vanillabonds.com/dossier.html?c=katjes&amp;viewer=1&amp;item=F688</t>
      </text>
    </comment>
    <comment ref="B10" authorId="0" shapeId="0">
      <text>
        <t>F689 · Debt instrument
Document: S3, annual report, FY2025, 2026-04-02, audited, katjes-2025-annual-report.pdf
Page: 58
Quote: "includes the liability arising from the exercise of the purchase option for the remaining 25% of Dulcioliva (EUR 1.6 million)."
Status: approved by a named reviewer
Approver: demo reviewer, date not recorded
Proof: https://vanillabonds.com/dossier.html?c=katjes&amp;viewer=1&amp;item=F689</t>
      </text>
    </comment>
    <comment ref="B11" authorId="0" shapeId="0">
      <text>
        <t>F690 · Debt instrument
Document: S3, annual report, FY2025, 2026-04-02, audited, katjes-2025-annual-report.pdf
Page: 58
Quote: "Since the initial consolidation of Bogner, this item also includes a liability from a put option granted to non-controlling"
Status: approved by a named reviewer
Approver: demo reviewer, date not recorded
Proof: https://vanillabonds.com/dossier.html?c=katjes&amp;viewer=1&amp;item=F690</t>
      </text>
    </comment>
    <comment ref="B12" authorId="0" shapeId="0">
      <text>
        <t>F691 · Debt instrument
Document: S3, annual report, FY2025, 2026-04-02, audited, katjes-2025-annual-report.pdf
Page: 63
Quote: "Corporate bond 6.75 185.0 115.0"
Status: approved by a named reviewer
Approver: demo reviewer, date not recorded
Proof: https://vanillabonds.com/dossier.html?c=katjes&amp;viewer=1&amp;item=F691</t>
      </text>
    </comment>
    <comment ref="B13" authorId="0" shapeId="0">
      <text>
        <t>F692 · Debt instrument
Document: S3, annual report, FY2025, 2026-04-02, audited, katjes-2025-annual-report.pdf
Page: 63
Quote: "Bank loan kEUR 24.000 5.6 16.8 20.9"
Status: approved by a named reviewer
Approver: demo reviewer, date not recorded
Proof: https://vanillabonds.com/dossier.html?c=katjes&amp;viewer=1&amp;item=F692</t>
      </text>
    </comment>
    <comment ref="B14" authorId="0" shapeId="0">
      <text>
        <t>F693 · Debt instrument
Document: S3, annual report, FY2025, 2026-04-02, audited, katjes-2025-annual-report.pdf
Page: 63
Quote: "Bank loan kEUR 11.700 2.9 0.0 3.7"
Status: approved by a named reviewer
Approver: demo reviewer, date not recorded
Proof: https://vanillabonds.com/dossier.html?c=katjes&amp;viewer=1&amp;item=F693</t>
      </text>
    </comment>
    <comment ref="B15" authorId="0" shapeId="0">
      <text>
        <t>F694 · Debt instrument
Document: S3, annual report, FY2025, 2026-04-02, audited, katjes-2025-annual-report.pdf
Page: 63
Quote: "Revolving line up kEUR 40.000 6.65 16.3 0.0"
Status: approved by a named reviewer
Approver: demo reviewer, date not recorded
Proof: https://vanillabonds.com/dossier.html?c=katjes&amp;viewer=1&amp;item=F694</t>
      </text>
    </comment>
    <comment ref="B16" authorId="0" shapeId="0">
      <text>
        <t>F695 · Debt instrument
Document: S3, annual report, FY2025, 2026-04-02, audited, katjes-2025-annual-report.pdf
Page: 63
Quote: "Bank loan kEUR 5.000 4.98 3.6 5.0"
Status: approved by a named reviewer
Approver: demo reviewer, date not recorded
Proof: https://vanillabonds.com/dossier.html?c=katjes&amp;viewer=1&amp;item=F695</t>
      </text>
    </comment>
    <comment ref="B17" authorId="0" shapeId="0">
      <text>
        <t>F696 · Debt instrument
Document: S3, annual report, FY2025, 2026-04-02, audited, katjes-2025-annual-report.pdf
Page: 63
Quote: "Bank loan kEUR 5.000 8.5 1.9 3.1"
Status: approved by a named reviewer
Approver: demo reviewer, date not recorded
Proof: https://vanillabonds.com/dossier.html?c=katjes&amp;viewer=1&amp;item=F696</t>
      </text>
    </comment>
    <comment ref="B18" authorId="0" shapeId="0">
      <text>
        <t>F697 · Debt instrument
Document: S3, annual report, FY2025, 2026-04-02, audited, katjes-2025-annual-report.pdf
Page: 63
Quote: "Bank loan kEUR 3.000 2.0 0.0 0.4"
Status: approved by a named reviewer
Approver: demo reviewer, date not recorded
Proof: https://vanillabonds.com/dossier.html?c=katjes&amp;viewer=1&amp;item=F697</t>
      </text>
    </comment>
    <comment ref="B19" authorId="0" shapeId="0">
      <text>
        <t>F698 · Debt instrument
Document: S3, annual report, FY2025, 2026-04-02, audited, katjes-2025-annual-report.pdf
Page: 63
Quote: "Other loans Variable and fixed 42.8 24.0"
Status: approved by a named reviewer
Approver: demo reviewer, date not recorded
Proof: https://vanillabonds.com/dossier.html?c=katjes&amp;viewer=1&amp;item=F698</t>
      </text>
    </comment>
    <comment ref="B20" authorId="0" shapeId="0">
      <text>
        <t>F699 · Debt instrument
Document: S3, annual report, FY2025, 2026-04-02, audited, katjes-2025-annual-report.pdf
Page: 63
Quote: "Other financial interest-bearing liabilities Variable and fixed 82.4 14.7"
Status: approved by a named reviewer
Approver: demo reviewer, date not recorded
Proof: https://vanillabonds.com/dossier.html?c=katjes&amp;viewer=1&amp;item=F699</t>
      </text>
    </comment>
    <comment ref="B21" authorId="0" shapeId="0">
      <text>
        <t>F394 · Debt instrument
Document: S2, annual report, FY2024, 2025-04-09, audited, katjes-2024-annual-report.pdf
Page: 60
Quote: "liabilities from hire purchase agreements totaling EUR 6.7 million (of which EUR 5.5 million current) are included (2023: EUR 3.0 million"
Status: approved by a named reviewer
Approver: demo reviewer, date not recorded
Proof: https://vanillabonds.com/dossier.html?c=katjes&amp;viewer=1&amp;item=F394</t>
      </text>
    </comment>
    <comment ref="B22" authorId="0" shapeId="0">
      <text>
        <t>F395 · Debt instrument
Document: S2, annual report, FY2024, 2025-04-09, audited, katjes-2024-annual-report.pdf
Page: 60
Quote: "liabilities to financial institutions amounting to EUR 50.4 million (2023: EUR 56.3 million)"
Status: approved by a named reviewer
Approver: demo reviewer, date not recorded
Proof: https://vanillabonds.com/dossier.html?c=katjes&amp;viewer=1&amp;item=F395</t>
      </text>
    </comment>
    <comment ref="B23" authorId="0" shapeId="0">
      <text>
        <t>F396 · Debt instrument
Document: S2, annual report, FY2024, 2025-04-09, audited, katjes-2024-annual-report.pdf
Page: 65
Quote: "Corporate bond 6.75 115.0 115.0"
Status: approved by a named reviewer
Approver: demo reviewer, date not recorded
Proof: https://vanillabonds.com/dossier.html?c=katjes&amp;viewer=1&amp;item=F396</t>
      </text>
    </comment>
    <comment ref="B24" authorId="0" shapeId="0">
      <text>
        <t>F397 · Debt instrument
Document: S2, annual report, FY2024, 2025-04-09, audited, katjes-2024-annual-report.pdf
Page: 65
Quote: "Bank loan kEUR 24.000 5.6 20.9 24.0"
Status: approved by a named reviewer
Approver: demo reviewer, date not recorded
Proof: https://vanillabonds.com/dossier.html?c=katjes&amp;viewer=1&amp;item=F397</t>
      </text>
    </comment>
    <comment ref="B25" authorId="0" shapeId="0">
      <text>
        <t>F398 · Debt instrument
Document: S2, annual report, FY2024, 2025-04-09, audited, katjes-2024-annual-report.pdf
Page: 65
Quote: "Bank loan kEUR 11.700 2.9 3.7 6.0"
Status: approved by a named reviewer
Approver: demo reviewer, date not recorded
Proof: https://vanillabonds.com/dossier.html?c=katjes&amp;viewer=1&amp;item=F398</t>
      </text>
    </comment>
    <comment ref="B26" authorId="0" shapeId="0">
      <text>
        <t>F399 · Debt instrument
Document: S2, annual report, FY2024, 2025-04-09, audited, katjes-2024-annual-report.pdf
Page: 65
Quote: "Bank loan kEUR 5.000 4.98 5.0 5.0"
Status: approved by a named reviewer
Approver: demo reviewer, date not recorded
Proof: https://vanillabonds.com/dossier.html?c=katjes&amp;viewer=1&amp;item=F399</t>
      </text>
    </comment>
    <comment ref="B27" authorId="0" shapeId="0">
      <text>
        <t>F400 · Debt instrument
Document: S2, annual report, FY2024, 2025-04-09, audited, katjes-2024-annual-report.pdf
Page: 65
Quote: "Bank loan kEUR 5.000 8.5 3.1 4.4"
Status: approved by a named reviewer
Approver: demo reviewer, date not recorded
Proof: https://vanillabonds.com/dossier.html?c=katjes&amp;viewer=1&amp;item=F400</t>
      </text>
    </comment>
    <comment ref="B28" authorId="0" shapeId="0">
      <text>
        <t>F401 · Debt instrument
Document: S2, annual report, FY2024, 2025-04-09, audited, katjes-2024-annual-report.pdf
Page: 65
Quote: "Bank loan kEUR 5.000 0.7 0.0 1.7"
Status: approved by a named reviewer
Approver: demo reviewer, date not recorded
Proof: https://vanillabonds.com/dossier.html?c=katjes&amp;viewer=1&amp;item=F401</t>
      </text>
    </comment>
    <comment ref="B29" authorId="0" shapeId="0">
      <text>
        <t>F402 · Debt instrument
Document: S2, annual report, FY2024, 2025-04-09, audited, katjes-2024-annual-report.pdf
Page: 65
Quote: "Bank loan kEUR 3.000 2.0 0.4 1.1"
Status: approved by a named reviewer
Approver: demo reviewer, date not recorded
Proof: https://vanillabonds.com/dossier.html?c=katjes&amp;viewer=1&amp;item=F402</t>
      </text>
    </comment>
    <comment ref="B30" authorId="0" shapeId="0">
      <text>
        <t>F403 · Debt instrument
Document: S2, annual report, FY2024, 2025-04-09, audited, katjes-2024-annual-report.pdf
Page: 65
Quote: "Bank loan kEUR 3.000 1.8 0.0 0.3"
Status: approved by a named reviewer
Approver: demo reviewer, date not recorded
Proof: https://vanillabonds.com/dossier.html?c=katjes&amp;viewer=1&amp;item=F403</t>
      </text>
    </comment>
    <comment ref="B31" authorId="0" shapeId="0">
      <text>
        <t>F404 · Debt instrument
Document: S2, annual report, FY2024, 2025-04-09, audited, katjes-2024-annual-report.pdf
Page: 65
Quote: "Other loans Variable and fixed 24.0 16.9"
Status: approved by a named reviewer
Approver: demo reviewer, date not recorded
Proof: https://vanillabonds.com/dossier.html?c=katjes&amp;viewer=1&amp;item=F404</t>
      </text>
    </comment>
    <comment ref="B32" authorId="0" shapeId="0">
      <text>
        <t>F405 · Debt instrument
Document: S2, annual report, FY2024, 2025-04-09, audited, katjes-2024-annual-report.pdf
Page: 65
Quote: "Other financial interest-bearing liabilities Variable and fixed 14.7 15.3"
Status: approved by a named reviewer
Approver: demo reviewer, date not recorded
Proof: https://vanillabonds.com/dossier.html?c=katjes&amp;viewer=1&amp;item=F405</t>
      </text>
    </comment>
    <comment ref="B33" authorId="0" shapeId="0">
      <text>
        <t>F406 · Debt instrument
Document: S2, annual report, FY2024, 2025-04-09, audited, katjes-2024-annual-report.pdf
Page: 69
Quote: "As of 31 December 2024, an amount of EUR 3.0 million is recognized under financial liabilities as a liability to banks, of which EUR 2.7 million had already been paid out to the original suppliers."
Status: approved by a named reviewer
Approver: demo reviewer, date not recorded
Proof: https://vanillabonds.com/dossier.html?c=katjes&amp;viewer=1&amp;item=F406</t>
      </text>
    </comment>
    <comment ref="B34" authorId="0" shapeId="0">
      <text>
        <t>F079 · Debt instrument
Document: S1, annual report, FY2023, 2024-03-27, audited, katjes-2023-annual-report.pdf
Page: 64
Quote: "liabilities to banks in the amount of EUR 56.3 million (2022: EUR 42.5 million)"
Status: approved by a named reviewer
Approver: demo reviewer, date not recorded
Proof: https://vanillabonds.com/dossier.html?c=katjes&amp;viewer=1&amp;item=F079</t>
      </text>
    </comment>
    <comment ref="B35" authorId="0" shapeId="0">
      <text>
        <t>F080 · Debt instrument
Document: S1, annual report, FY2023, 2024-03-27, audited, katjes-2023-annual-report.pdf
Page: 64
Quote: "duction site for the oral care division in the amount of EUR 6.4 million is also included."
Status: approved by a named reviewer
Approver: demo reviewer, date not recorded
Proof: https://vanillabonds.com/dossier.html?c=katjes&amp;viewer=1&amp;item=F080</t>
      </text>
    </comment>
    <comment ref="B36" authorId="0" shapeId="0">
      <text>
        <t>F081 · Debt instrument
Document: S1, annual report, FY2023, 2024-03-27, audited, katjes-2023-annual-report.pdf
Page: 64
Quote: "also include liabilities from hire-purchase contracts in the amount of EUR 3.0 million (2022: EUR 2.7 million)."
Status: approved by a named reviewer
Approver: demo reviewer, date not recorded
Proof: https://vanillabonds.com/dossier.html?c=katjes&amp;viewer=1&amp;item=F081</t>
      </text>
    </comment>
    <comment ref="B37" authorId="0" shapeId="0">
      <text>
        <t>F082 · Debt instrument
Document: S1, annual report, FY2023, 2024-03-27, audited, katjes-2023-annual-report.pdf
Page: 69
Quote: "Corporate bond 6.75 (previous year: 4.25) 115.0 110.0"
Status: approved by a named reviewer
Approver: demo reviewer, date not recorded
Proof: https://vanillabonds.com/dossier.html?c=katjes&amp;viewer=1&amp;item=F082</t>
      </text>
    </comment>
    <comment ref="B38" authorId="0" shapeId="0">
      <text>
        <t>F083 · Debt instrument
Document: S1, annual report, FY2023, 2024-03-27, audited, katjes-2023-annual-report.pdf
Page: 69
Quote: "Bank loan kEUR 24.000 5.6 24.0 15.0"
Status: approved by a named reviewer
Approver: demo reviewer, date not recorded
Proof: https://vanillabonds.com/dossier.html?c=katjes&amp;viewer=1&amp;item=F083</t>
      </text>
    </comment>
    <comment ref="B39" authorId="0" shapeId="0">
      <text>
        <t>F084 · Debt instrument
Document: S1, annual report, FY2023, 2024-03-27, audited, katjes-2023-annual-report.pdf
Page: 69
Quote: "Bank loan kEUR 11.700 2.9 6.0 8.2"
Status: approved by a named reviewer
Approver: demo reviewer, date not recorded
Proof: https://vanillabonds.com/dossier.html?c=katjes&amp;viewer=1&amp;item=F084</t>
      </text>
    </comment>
    <comment ref="B40" authorId="0" shapeId="0">
      <text>
        <t>F085 · Debt instrument
Document: S1, annual report, FY2023, 2024-03-27, audited, katjes-2023-annual-report.pdf
Page: 69
Quote: "Bank loan kEUR 5.000 4.98 5.0 0.0"
Status: approved by a named reviewer
Approver: demo reviewer, date not recorded
Proof: https://vanillabonds.com/dossier.html?c=katjes&amp;viewer=1&amp;item=F085</t>
      </text>
    </comment>
    <comment ref="B41" authorId="0" shapeId="0">
      <text>
        <t>F086 · Debt instrument
Document: S1, annual report, FY2023, 2024-03-27, audited, katjes-2023-annual-report.pdf
Page: 69
Quote: "Bank loan kEUR 5.000 8.5 4.4 0.0"
Status: approved by a named reviewer
Approver: demo reviewer, date not recorded
Proof: https://vanillabonds.com/dossier.html?c=katjes&amp;viewer=1&amp;item=F086</t>
      </text>
    </comment>
    <comment ref="B42" authorId="0" shapeId="0">
      <text>
        <t>F087 · Debt instrument
Document: S1, annual report, FY2023, 2024-03-27, audited, katjes-2023-annual-report.pdf
Page: 69
Quote: "Bank loan kEUR 5.000 0.7 1.7 3.3"
Status: approved by a named reviewer
Approver: demo reviewer, date not recorded
Proof: https://vanillabonds.com/dossier.html?c=katjes&amp;viewer=1&amp;item=F087</t>
      </text>
    </comment>
    <comment ref="B43" authorId="0" shapeId="0">
      <text>
        <t>F088 · Debt instrument
Document: S1, annual report, FY2023, 2024-03-27, audited, katjes-2023-annual-report.pdf
Page: 69
Quote: "Bank loan kEUR 3.000 2.0 1.1 1.9"
Status: approved by a named reviewer
Approver: demo reviewer, date not recorded
Proof: https://vanillabonds.com/dossier.html?c=katjes&amp;viewer=1&amp;item=F088</t>
      </text>
    </comment>
    <comment ref="B44" authorId="0" shapeId="0">
      <text>
        <t>F089 · Debt instrument
Document: S1, annual report, FY2023, 2024-03-27, audited, katjes-2023-annual-report.pdf
Page: 69
Quote: "Bank loan kEUR 3.000 1.8 0.3 0.9"
Status: approved by a named reviewer
Approver: demo reviewer, date not recorded
Proof: https://vanillabonds.com/dossier.html?c=katjes&amp;viewer=1&amp;item=F089</t>
      </text>
    </comment>
    <comment ref="B45" authorId="0" shapeId="0">
      <text>
        <t>F090 · Debt instrument
Document: S1, annual report, FY2023, 2024-03-27, audited, katjes-2023-annual-report.pdf
Page: 69
Quote: "Bank loan kEUR 1.500 5.6 0.0 1.5"
Status: approved by a named reviewer
Approver: demo reviewer, date not recorded
Proof: https://vanillabonds.com/dossier.html?c=katjes&amp;viewer=1&amp;item=F090</t>
      </text>
    </comment>
    <comment ref="B46" authorId="0" shapeId="0">
      <text>
        <t>F091 · Debt instrument
Document: S1, annual report, FY2023, 2024-03-27, audited, katjes-2023-annual-report.pdf
Page: 69
Quote: "Other loans Variable and fixed 12.5 11.7"
Status: approved by a named reviewer
Approver: demo reviewer, date not recorded
Proof: https://vanillabonds.com/dossier.html?c=katjes&amp;viewer=1&amp;item=F091</t>
      </text>
    </comment>
    <comment ref="B47" authorId="0" shapeId="0">
      <text>
        <t>F092 · Debt instrument
Document: S1, annual report, FY2023, 2024-03-27, audited, katjes-2023-annual-report.pdf
Page: 69
Quote: "Other financial interest-bearing liabilities(1) Variable and fixed 8.9 10.7"
Status: approved by a named reviewer
Approver: demo reviewer, date not recorded
Proof: https://vanillabonds.com/dossier.html?c=katjes&amp;viewer=1&amp;item=F092</t>
      </text>
    </comment>
    <comment ref="B48" authorId="0" shapeId="0">
      <text>
        <t>F093 · Debt instrument
Document: S1, annual report, FY2023, 2024-03-27, audited, katjes-2023-annual-report.pdf
Page: 72
Quote: "port measures to secure liquidity in 2020 (total of EUR 5.0 million, 31 December 2023: EUR 1.7 million)."
Status: approved by a named reviewer
Approver: demo reviewer, date not recorded
Proof: https://vanillabonds.com/dossier.html?c=katjes&amp;viewer=1&amp;item=F093</t>
      </text>
    </comment>
    <comment ref="B49" authorId="0" shapeId="0">
      <text>
        <t>F950 · Debt instrument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https://vanillabonds.com/dossier.html?c=katjes&amp;viewer=1&amp;item=F950</t>
      </text>
    </comment>
    <comment ref="B50" authorId="0" shapeId="0">
      <text>
        <t>F951 · Debt instrument
Document: S4, term sheet, 2023-09-21 to 2028-09-21 (bond 2023/2028), 2023-09-21, unaudited, katjes-bond-2023-2028-terms.pdf
Page: 1
Quote: "Refinanzierungen der ausstehenden Anleihe 2019/2024 (DE000A2TST99) sowie"
Status: management representation, attested by a named officer
Approver: demo reviewer, date not recorded
Proof: https://vanillabonds.com/dossier.html?c=katjes&amp;viewer=1&amp;item=F951</t>
      </text>
    </comment>
    <comment ref="B51" authorId="0" shapeId="0">
      <text>
        <t>F1276 · Debt instrument
Document: S13, bond terms, 2023/2028 (issue 2023-09-21 to maturity 2028-09-21), 2023-09-17, unaudited, katjes-bond-2023-2028-bond-terms-signed.pdf
Page: 17
Quote: "the Initial Bond Issue will be in the amount of EUR 115,000,000."
Status: extracted, pending review
Approver: none yet
Proof: https://vanillabonds.com/dossier.html?c=katjes&amp;viewer=1&amp;item=F1276</t>
      </text>
    </comment>
    <comment ref="B52" authorId="0" shapeId="0">
      <text>
        <t>F1277 · Debt instrument
Document: S13, bond terms, 2023/2028 (issue 2023-09-21 to maturity 2028-09-21), 2023-09-17, unaudited, katjes-bond-2023-2028-bond-terms-signed.pdf
Page: 6
Quote: "the EUR 110,000,000 Katjes International 4.25% senior unsecured bond issue 2019/2024 with ISIN DE000A2TST99."
Status: extracted, pending review
Approver: none yet
Proof: https://vanillabonds.com/dossier.html?c=katjes&amp;viewer=1&amp;item=F1277</t>
      </text>
    </comment>
    <comment ref="B54" authorId="0" shapeId="0">
      <text>
        <t>F970 · Covenant
Document: S4, term sheet, 2023-09-21 to 2028-09-21 (bond 2023/2028), 2023-09-21, unaudited, katjes-bond-2023-2028-terms.pdf
Page: 2
Quote: "Aufnahme weiterer Verschuldung der Emittentin nur zulässig, wenn: Nettoverschuldung (Net Debt) / EBITDA &lt; 3,75x."
Status: management representation, attested by a named officer
Approver: demo reviewer, date not recorded
Proof: https://vanillabonds.com/dossier.html?c=katjes&amp;viewer=1&amp;item=F970</t>
      </text>
    </comment>
    <comment ref="B55" authorId="0" shapeId="0">
      <text>
        <t>F971 · Covenant
Document: S4, term sheet, 2023-09-21 to 2028-09-21 (bond 2023/2028), 2023-09-21, unaudited, katjes-bond-2023-2028-terms.pdf
Page: 2
Quote: "nach der Ausschüttung die folgende Grenze nicht überschritten wird: Nettoverschuldung (Net Debt) / EBITDA &lt; 3,75x"
Status: management representation, attested by a named officer
Approver: demo reviewer, date not recorded
Proof: https://vanillabonds.com/dossier.html?c=katjes&amp;viewer=1&amp;item=F971</t>
      </text>
    </comment>
    <comment ref="B56" authorId="0" shapeId="0">
      <text>
        <t>F972 · Covenant
Document: S4, term sheet, 2023-09-21 to 2028-09-21 (bond 2023/2028), 2023-09-21, unaudited, katjes-bond-2023-2028-terms.pdf
Page: 2
Quote: "wenn die besicherten Verbindlichkeiten nicht höher als EUR 1 Mio. oder (wenn größer) einem Betrag entsprechen der 5 % des EBITDA übersteigt."
Status: management representation, attested by a named officer
Approver: demo reviewer, date not recorded
Proof: https://vanillabonds.com/dossier.html?c=katjes&amp;viewer=1&amp;item=F972</t>
      </text>
    </comment>
    <comment ref="B57" authorId="0" shapeId="0">
      <text>
        <t>F1299 · Covenant
Document: S13, bond terms, 2023/2028 (issue 2023-09-21 to maturity 2028-09-21), 2023-09-17, unaudited, katjes-bond-2023-2028-bond-terms-signed.pdf
Page: 34
Quote: "The “Incurrence Test” is met if Leverage is less than: (a) with respect to any Financial Indebtedness in respect of which the Incurrence Test shall be made, 3.75:1 at any such time"
Status: extracted, pending review
Approver: none yet
Proof: https://vanillabonds.com/dossier.html?c=katjes&amp;viewer=1&amp;item=F1299</t>
      </text>
    </comment>
    <comment ref="B58" authorId="0" shapeId="0">
      <text>
        <t>F1300 · Covenant
Document: S13, bond terms, 2023/2028 (issue 2023-09-21 to maturity 2028-09-21), 2023-09-17, unaudited, katjes-bond-2023-2028-bond-terms-signed.pdf
Page: 9
Quote: "“Leverage” means, in respect of any Relevant Period, the ratio of Total Net Debt on the last day of that Relevant Period to EBITDA in respect of such Relevant Period"
Status: extracted, pending review
Approver: none yet
Proof: https://vanillabonds.com/dossier.html?c=katjes&amp;viewer=1&amp;item=F1300</t>
      </text>
    </comment>
    <comment ref="B59" authorId="0" shapeId="0">
      <text>
        <t>F1301 · Covenant
Document: S13, bond terms, 2023/2028 (issue 2023-09-21 to maturity 2028-09-21), 2023-09-17, unaudited, katjes-bond-2023-2028-bond-terms-signed.pdf
Page: 16
Quote: "deducting the aggregate amount of any cash (which is unencumbered and freely and immediately available to any Group Company to be applied in redemption or repayment of the Bonds)"
Status: extracted, pending review
Approver: none yet
Proof: https://vanillabonds.com/dossier.html?c=katjes&amp;viewer=1&amp;item=F1301</t>
      </text>
    </comment>
    <comment ref="B60" authorId="0" shapeId="0">
      <text>
        <t>F1302 · Covenant
Document: S13, bond terms, 2023/2028 (issue 2023-09-21 to maturity 2028-09-21), 2023-09-17, unaudited, katjes-bond-2023-2028-bond-terms-signed.pdf
Page: 6
Quote: "up to an aggregate amount for the Group not exceeding 10.00 per cent. of EBITDA (prior to making any adjustments for any such items) in respect of that Relevant Period"
Status: extracted, pending review
Approver: none yet
Proof: https://vanillabonds.com/dossier.html?c=katjes&amp;viewer=1&amp;item=F1302</t>
      </text>
    </comment>
    <comment ref="B61" authorId="0" shapeId="0">
      <text>
        <t>F1335 · Covenant
Document: S13, bond terms, 2023/2028 (issue 2023-09-21 to maturity 2028-09-21), 2023-09-17, unaudited, katjes-bond-2023-2028-bond-terms-signed.pdf
Page: 6
Quote: "after adding the amount of any badwill stemming from a purchase made by any Group Company during that Relevant Period of any company (not being another Group Company)"
Status: extracted, pending review
Approver: none yet
Proof: https://vanillabonds.com/dossier.html?c=katjes&amp;viewer=1&amp;item=F1335</t>
      </text>
    </comment>
    <comment ref="B62" authorId="0" shapeId="0">
      <text>
        <t>F1336 · Covenant
Document: S13, bond terms, 2023/2028 (issue 2023-09-21 to maturity 2028-09-21), 2023-09-17, unaudited, katjes-bond-2023-2028-bond-terms-signed.pdf
Page: 6
Quote: "after deducting the amount of any profit (or adding back the amount of any loss) of any Group Company which is attributable to minority interests"
Status: extracted, pending review
Approver: none yet
Proof: https://vanillabonds.com/dossier.html?c=katjes&amp;viewer=1&amp;item=F1336</t>
      </text>
    </comment>
    <comment ref="B63" authorId="0" shapeId="0">
      <text>
        <t>F1337 · Covenant
Document: S13, bond terms, 2023/2028 (issue 2023-09-21 to maturity 2028-09-21), 2023-09-17, unaudited, katjes-bond-2023-2028-bond-terms-signed.pdf
Page: 6
Quote: "plus or minus the Group's share of the profits or losses (after finance costs and tax) of any investment or entity (which is not itself a Group Company (including associates and joint ventures))"
Status: extracted, pending review
Approver: none yet
Proof: https://vanillabonds.com/dossier.html?c=katjes&amp;viewer=1&amp;item=F1337</t>
      </text>
    </comment>
    <comment ref="B64" authorId="0" shapeId="0">
      <text>
        <t>F1338 · Covenant
Document: S13, bond terms, 2023/2028 (issue 2023-09-21 to maturity 2028-09-21), 2023-09-17, unaudited, katjes-bond-2023-2028-bond-terms-signed.pdf
Page: 16
Quote: "including, in the case of any finance leases or hire purchase contracts, their capitalised value"
Status: extracted, pending review
Approver: none yet
Proof: https://vanillabonds.com/dossier.html?c=katjes&amp;viewer=1&amp;item=F1338</t>
      </text>
    </comment>
    <comment ref="B65" authorId="0" shapeId="0">
      <text>
        <t>F1339 · Covenant
Document: S13, bond terms, 2023/2028 (issue 2023-09-21 to maturity 2028-09-21), 2023-09-17, unaudited, katjes-bond-2023-2028-bond-terms-signed.pdf
Page: 35
Quote: "the full (i.e. unutilised and utilised) commitment or facility of any new Financial Indebtedness in respect of which the Incurrence Test shall be made"
Status: extracted, pending review
Approver: none yet
Proof: https://vanillabonds.com/dossier.html?c=katjes&amp;viewer=1&amp;item=F1339</t>
      </text>
    </comment>
    <comment ref="B66" authorId="0" shapeId="0">
      <text>
        <t>F1340 · Covenant
Document: S13, bond terms, 2023/2028 (issue 2023-09-21 to maturity 2028-09-21), 2023-09-17, unaudited, katjes-bond-2023-2028-bond-terms-signed.pdf
Page: 35
Quote: "any cash balance resulting from the incurrence of such new Financial Indebtedness shall not reduce the Total Net Debt"
Status: extracted, pending review
Approver: none yet
Proof: https://vanillabonds.com/dossier.html?c=katjes&amp;viewer=1&amp;item=F1340</t>
      </text>
    </comment>
    <comment ref="B67" authorId="0" shapeId="0">
      <text>
        <t>F1341 · Covenant
Document: S13, bond terms, 2023/2028 (issue 2023-09-21 to maturity 2028-09-21), 2023-09-17, unaudited, katjes-bond-2023-2028-bond-terms-signed.pdf
Page: 35
Quote: "shall be included or excluded (as applicable) pro forma for the entire period"
Status: extracted, pending review
Approver: none yet
Proof: https://vanillabonds.com/dossier.html?c=katjes&amp;viewer=1&amp;item=F1341</t>
      </text>
    </comment>
    <comment ref="B68" authorId="0" shapeId="0">
      <text>
        <t>F700 · Financial covenant / restriction
Document: S3, annual report, FY2025, 2026-04-02, audited, katjes-2025-annual-report.pdf
Page: 32
Quote: "Under existing financing agreements, certain subsidiaries of Katjes International are required to comply with certain"
Status: approved by a named reviewer
Approver: demo reviewer, date not recorded
Proof: https://vanillabonds.com/dossier.html?c=katjes&amp;viewer=1&amp;item=F700</t>
      </text>
    </comment>
    <comment ref="B69" authorId="0" shapeId="0">
      <text>
        <t>F952 · Financial covenant / restriction
Document: S4, term sheet, 2023-09-21 to 2028-09-21 (bond 2023/2028), 2023-09-21, unaudited, katjes-bond-2023-2028-terms.pdf
Page: 1
Quote: "Ein Verstoß hiergegen führt ebenso wie, wenn bestimmte Umstände eintreten (z.B. Nicht-Einhaltung bestimmter Finanzkennzahlen) zu Kündigungsrechten für die Anleihe."
Status: management representation, attested by a named officer
Approver: demo reviewer, date not recorded
Proof: https://vanillabonds.com/dossier.html?c=katjes&amp;viewer=1&amp;item=F952</t>
      </text>
    </comment>
    <comment ref="B70" authorId="0" shapeId="0">
      <text>
        <t>F953 · Financial covenant / restriction
Document: S4, term sheet, 2023-09-21 to 2028-09-21 (bond 2023/2028), 2023-09-21, unaudited, katjes-bond-2023-2028-terms.pdf
Page: 1
Quote: "• Fusionen oder ähnlichen Unternehmenszusammenschlüssen;"
Status: management representation, attested by a named officer
Approver: demo reviewer, date not recorded
Proof: https://vanillabonds.com/dossier.html?c=katjes&amp;viewer=1&amp;item=F953</t>
      </text>
    </comment>
    <comment ref="B71" authorId="0" shapeId="0">
      <text>
        <t>F954 · Financial covenant / restriction
Document: S4, term sheet, 2023-09-21 to 2028-09-21 (bond 2023/2028), 2023-09-21, unaudited, katjes-bond-2023-2028-terms.pdf
Page: 1
Quote: "• Veräußerung von Vermögenswerten;"
Status: management representation, attested by a named officer
Approver: demo reviewer, date not recorded
Proof: https://vanillabonds.com/dossier.html?c=katjes&amp;viewer=1&amp;item=F954</t>
      </text>
    </comment>
    <comment ref="B72" authorId="0" shapeId="0">
      <text>
        <t>F955 · Financial covenant / restriction
Document: S4, term sheet, 2023-09-21 to 2028-09-21 (bond 2023/2028), 2023-09-21, unaudited, katjes-bond-2023-2028-terms.pdf
Page: 1
Quote: "• finanzielle Verschuldung (Financial Indebtedness)."
Status: management representation, attested by a named officer
Approver: demo reviewer, date not recorded
Proof: https://vanillabonds.com/dossier.html?c=katjes&amp;viewer=1&amp;item=F955</t>
      </text>
    </comment>
    <comment ref="B73" authorId="0" shapeId="0">
      <text>
        <t>F956 · Financial covenant / restriction
Document: S4, term sheet, 2023-09-21 to 2028-09-21 (bond 2023/2028), 2023-09-21, unaudited, katjes-bond-2023-2028-terms.pdf
Page: 2
Quote: "Aufnahme weiterer Verschuldung der Emittentin nur zulässig, wenn: Nettoverschuldung (Net Debt) / EBITDA &lt; 3,75x."
Status: management representation, attested by a named officer
Approver: demo reviewer, date not recorded
Proof: https://vanillabonds.com/dossier.html?c=katjes&amp;viewer=1&amp;item=F956</t>
      </text>
    </comment>
    <comment ref="B74" authorId="0" shapeId="0">
      <text>
        <t>F957 · Financial covenant / restriction
Document: S4, term sheet, 2023-09-21 to 2028-09-21 (bond 2023/2028), 2023-09-21, unaudited, katjes-bond-2023-2028-terms.pdf
Page: 2
Quote: "Ausschüttungen an Gesellschafter (einschließlich Rückzahlungen und Zinszahlungen auf Gesellschafterdarlehen) sind nur zulässig, soweit:"
Status: management representation, attested by a named officer
Approver: demo reviewer, date not recorded
Proof: https://vanillabonds.com/dossier.html?c=katjes&amp;viewer=1&amp;item=F957</t>
      </text>
    </comment>
    <comment ref="B75" authorId="0" shapeId="0">
      <text>
        <t>F958 · Financial covenant / restriction
Document: S4, term sheet, 2023-09-21 to 2028-09-21 (bond 2023/2028), 2023-09-21, unaudited, katjes-bond-2023-2028-terms.pdf
Page: 2
Quote: "die Ausschüttung in dem Umfang erfolgt, in dem der Gesellschafter aus seiner Beteiligung an der Emittentin einer Steuerlast unterliegt."
Status: management representation, attested by a named officer
Approver: demo reviewer, date not recorded
Proof: https://vanillabonds.com/dossier.html?c=katjes&amp;viewer=1&amp;item=F958</t>
      </text>
    </comment>
    <comment ref="B76" authorId="0" shapeId="0">
      <text>
        <t>F959 · Financial covenant / restriction
Document: S4, term sheet, 2023-09-21 to 2028-09-21 (bond 2023/2028), 2023-09-21, unaudited, katjes-bond-2023-2028-terms.pdf
Page: 2
Quote: "Die Emittentin/Gruppe darf keine Sicherheiten an ihren Vermögensgegenständen bestellen."
Status: management representation, attested by a named officer
Approver: demo reviewer, date not recorded
Proof: https://vanillabonds.com/dossier.html?c=katjes&amp;viewer=1&amp;item=F959</t>
      </text>
    </comment>
    <comment ref="B77" authorId="0" shapeId="0">
      <text>
        <t>F960 · Financial covenant / restriction
Document: S4, term sheet, 2023-09-21 to 2028-09-21 (bond 2023/2028), 2023-09-21, unaudited, katjes-bond-2023-2028-terms.pdf
Page: 2
Quote: "Wenn Finanzverbindlichkeiten in Höhe von (insgesamt) EUR 7.5 Mio. nicht durch die Emittentin/Gruppe gezahlt werden oder (wegen Insolvenz) kündbar sind werden die Schuldverschreibungen kündbar."
Status: management representation, attested by a named officer
Approver: demo reviewer, date not recorded
Proof: https://vanillabonds.com/dossier.html?c=katjes&amp;viewer=1&amp;item=F960</t>
      </text>
    </comment>
    <comment ref="B78" authorId="0" shapeId="0">
      <text>
        <t>F961 · Financial covenant / restriction
Document: S4, term sheet, 2023-09-21 to 2028-09-21 (bond 2023/2028), 2023-09-21, unaudited, katjes-bond-2023-2028-terms.pdf
Page: 2
Quote: "Im Fall eines Kontrollwechsels haben die Anleihegläubiger das Recht, ihre Schuldverschreibungen an die Emittentin zu 101 % des Nennbetrags zzgl. Stückzinsen zu verkaufen."
Status: management representation, attested by a named officer
Approver: demo reviewer, date not recorded
Proof: https://vanillabonds.com/dossier.html?c=katjes&amp;viewer=1&amp;item=F961</t>
      </text>
    </comment>
    <comment ref="B79" authorId="0" shapeId="0">
      <text>
        <t>F962 · Financial covenant / restriction
Document: S4, term sheet, 2023-09-21 to 2028-09-21 (bond 2023/2028), 2023-09-21, unaudited, katjes-bond-2023-2028-terms.pdf
Page: 2
Quote: "liegt vor, wenn die Herren Bastian Fassin und Tobias Bachmüller gemeinsam nicht mehr als 50,0% der Anteile und Stimmrechte an der Emittentin besitzen und"
Status: management representation, attested by a named officer
Approver: demo reviewer, date not recorded
Proof: https://vanillabonds.com/dossier.html?c=katjes&amp;viewer=1&amp;item=F962</t>
      </text>
    </comment>
    <comment ref="B80" authorId="0" shapeId="0">
      <text>
        <t>F963 · Financial covenant / restriction
Document: S4, term sheet, 2023-09-21 to 2028-09-21 (bond 2023/2028), 2023-09-21, unaudited, katjes-bond-2023-2028-terms.pdf
Page: 2
Quote: "wenn eine Person oder eine gemeinsam handelnde Gruppe von Personen (mit Ausnahme der Herren Bastian Fassin und Tobias Bachmüller) 50,0% oder mehr der"
Status: management representation, attested by a named officer
Approver: demo reviewer, date not recorded
Proof: https://vanillabonds.com/dossier.html?c=katjes&amp;viewer=1&amp;item=F963</t>
      </text>
    </comment>
    <comment ref="B81" authorId="0" shapeId="0">
      <text>
        <t>F964 · Financial covenant / restriction
Document: S4, term sheet, 2023-09-21 to 2028-09-21 (bond 2023/2028), 2023-09-21, unaudited, katjes-bond-2023-2028-terms.pdf
Page: 2
Quote: "liegt darüber hinaus jederzeit bei einer Veräußerung des wesentlichen Vermögens der Emittentin/ihrer Töchter vor."
Status: management representation, attested by a named officer
Approver: demo reviewer, date not recorded
Proof: https://vanillabonds.com/dossier.html?c=katjes&amp;viewer=1&amp;item=F964</t>
      </text>
    </comment>
    <comment ref="B82" authorId="0" shapeId="0">
      <text>
        <t>F1303 · Financial covenant / restriction
Document: S13, bond terms, 2023/2028 (issue 2023-09-21 to maturity 2028-09-21), 2023-09-17, unaudited, katjes-bond-2023-2028-bond-terms-signed.pdf
Page: 12
Quote: "incurred by the Issuer after the Issue Date, provided that (i) it complies with the Incurrence Test if tested pro forma immediately after the incurrence of such new Financial Indebtedness"
Status: extracted, pending review
Approver: none yet
Proof: https://vanillabonds.com/dossier.html?c=katjes&amp;viewer=1&amp;item=F1303</t>
      </text>
    </comment>
    <comment ref="B83" authorId="0" shapeId="0">
      <text>
        <t>F1304 · Financial covenant / restriction
Document: S13, bond terms, 2023/2028 (issue 2023-09-21 to maturity 2028-09-21), 2023-09-17, unaudited, katjes-bond-2023-2028-bond-terms-signed.pdf
Page: 11
Quote: "does not exceed an amount equal to 50.00 per cent. of the Group's consolidated net income after tax for the previous Financial Year"
Status: extracted, pending review
Approver: none yet
Proof: https://vanillabonds.com/dossier.html?c=katjes&amp;viewer=1&amp;item=F1304</t>
      </text>
    </comment>
    <comment ref="B84" authorId="0" shapeId="0">
      <text>
        <t>F1305 · Financial covenant / restriction
Document: S13, bond terms, 2023/2028 (issue 2023-09-21 to maturity 2028-09-21), 2023-09-17, unaudited, katjes-bond-2023-2028-bond-terms-signed.pdf
Page: 11
Quote: "does not exceed the amount of any tax payable by such Investor during such Financial Year which is attributable to such Investor being a (direct or indirect) shareholder of the Issuer"
Status: extracted, pending review
Approver: none yet
Proof: https://vanillabonds.com/dossier.html?c=katjes&amp;viewer=1&amp;item=F1305</t>
      </text>
    </comment>
    <comment ref="B85" authorId="0" shapeId="0">
      <text>
        <t>F1306 · Financial covenant / restriction
Document: S13, bond terms, 2023/2028 (issue 2023-09-21 to maturity 2028-09-21), 2023-09-17, unaudited, katjes-bond-2023-2028-bond-terms-signed.pdf
Page: 12
Quote: "does not exceed the higher of (i) EUR 25,000,000 (or its equivalent in other currencies) and (ii) an amount equal to 15.00 per cent. of Total Assets"
Status: extracted, pending review
Approver: none yet
Proof: https://vanillabonds.com/dossier.html?c=katjes&amp;viewer=1&amp;item=F1306</t>
      </text>
    </comment>
    <comment ref="B86" authorId="0" shapeId="0">
      <text>
        <t>F1307 · Financial covenant / restriction
Document: S13, bond terms, 2023/2028 (issue 2023-09-21 to maturity 2028-09-21), 2023-09-17, unaudited, katjes-bond-2023-2028-bond-terms-signed.pdf
Page: 12
Quote: "does not exceed the higher of (i) EUR 1,000,000 (or its equivalent in other currencies) and (ii) an amount equal to 5.00 per cent. of EBITDA"
Status: extracted, pending review
Approver: none yet
Proof: https://vanillabonds.com/dossier.html?c=katjes&amp;viewer=1&amp;item=F1307</t>
      </text>
    </comment>
    <comment ref="B87" authorId="0" shapeId="0">
      <text>
        <t>F1308 · Financial covenant / restriction
Document: S13, bond terms, 2023/2028 (issue 2023-09-21 to maturity 2028-09-21), 2023-09-17, unaudited, katjes-bond-2023-2028-bond-terms-signed.pdf
Page: 13
Quote: "not permitted by the preceding paragraphs and the outstanding amount of which does not exceed the higher of (i) EUR 1,000,000 (or its equivalent in other currencies) and (ii) an amount equal to 5.00 per cent. of EBITDA"
Status: extracted, pending review
Approver: none yet
Proof: https://vanillabonds.com/dossier.html?c=katjes&amp;viewer=1&amp;item=F1308</t>
      </text>
    </comment>
    <comment ref="B88" authorId="0" shapeId="0">
      <text>
        <t>F1309 · Financial covenant / restriction
Document: S13, bond terms, 2023/2028 (issue 2023-09-21 to maturity 2028-09-21), 2023-09-17, unaudited, katjes-bond-2023-2028-bond-terms-signed.pdf
Page: 32
Quote: "The Issuer shall not, and it shall ensure that no other Group Company will, create or allow to subsist any security over any of its assets other than any Permitted Security."
Status: extracted, pending review
Approver: none yet
Proof: https://vanillabonds.com/dossier.html?c=katjes&amp;viewer=1&amp;item=F1309</t>
      </text>
    </comment>
    <comment ref="B89" authorId="0" shapeId="0">
      <text>
        <t>F1310 · Financial covenant / restriction
Document: S13, bond terms, 2023/2028 (issue 2023-09-21 to maturity 2028-09-21), 2023-09-17, unaudited, katjes-bond-2023-2028-bond-terms-signed.pdf
Page: 32
Quote: "grant or allow to subsist (i) any loans or credits to any other person or (ii) any guarantees or indemnities in respect of any obligation of any other person, in each case other than any Permitted Financial Support."
Status: extracted, pending review
Approver: none yet
Proof: https://vanillabonds.com/dossier.html?c=katjes&amp;viewer=1&amp;item=F1310</t>
      </text>
    </comment>
    <comment ref="B90" authorId="0" shapeId="0">
      <text>
        <t>F1311 · Financial covenant / restriction
Document: S13, bond terms, 2023/2028 (issue 2023-09-21 to maturity 2028-09-21), 2023-09-17, unaudited, katjes-bond-2023-2028-bond-terms-signed.pdf
Page: 32
Quote: "equal or exceed EUR 15,000,000 (or its equivalent in other currencies)."
Status: extracted, pending review
Approver: none yet
Proof: https://vanillabonds.com/dossier.html?c=katjes&amp;viewer=1&amp;item=F1311</t>
      </text>
    </comment>
    <comment ref="B91" authorId="0" shapeId="0">
      <text>
        <t>F1312 · Financial covenant / restriction
Document: S13, bond terms, 2023/2028 (issue 2023-09-21 to maturity 2028-09-21), 2023-09-17, unaudited, katjes-bond-2023-2028-bond-terms-signed.pdf
Page: 34
Quote: "early redemption and prepayment of the Existing Bonds in whole or in part and, if in part, in an amount equal to not less than EUR 80,000,000"
Status: extracted, pending review
Approver: none yet
Proof: https://vanillabonds.com/dossier.html?c=katjes&amp;viewer=1&amp;item=F1312</t>
      </text>
    </comment>
    <comment ref="B92" authorId="0" shapeId="0">
      <text>
        <t>F1313 · Financial covenant / restriction
Document: S13, bond terms, 2023/2028 (issue 2023-09-21 to maturity 2028-09-21), 2023-09-17, unaudited, katjes-bond-2023-2028-bond-terms-signed.pdf
Page: 33
Quote: "(a) repay or prepay any principal amount (or capitalised interest) outstanding under any Subordinated Loan, (b) pay any interest, fee or charge accrued or due under any Subordinated Loan"
Status: extracted, pending review
Approver: none yet
Proof: https://vanillabonds.com/dossier.html?c=katjes&amp;viewer=1&amp;item=F1313</t>
      </text>
    </comment>
    <comment ref="B93" authorId="0" shapeId="0">
      <text>
        <t>F1314 · Financial covenant / restriction
Document: S13, bond terms, 2023/2028 (issue 2023-09-21 to maturity 2028-09-21), 2023-09-17, unaudited, katjes-bond-2023-2028-bond-terms-signed.pdf
Page: 33
Quote: "The Issuer shall not change its jurisdiction of incorporation or type of organisation."
Status: extracted, pending review
Approver: none yet
Proof: https://vanillabonds.com/dossier.html?c=katjes&amp;viewer=1&amp;item=F1314</t>
      </text>
    </comment>
    <comment ref="B94" authorId="0" shapeId="0">
      <text>
        <t>F1315 · Financial covenant / restriction
Document: S13, bond terms, 2023/2028 (issue 2023-09-21 to maturity 2028-09-21), 2023-09-17, unaudited, katjes-bond-2023-2028-bond-terms-signed.pdf
Page: 33
Quote: "the Issuer shall not, and it shall ensure that no other Group Company will, enter into any transaction with any other person other than on arm's length terms."
Status: extracted, pending review
Approver: none yet
Proof: https://vanillabonds.com/dossier.html?c=katjes&amp;viewer=1&amp;item=F1315</t>
      </text>
    </comment>
    <comment ref="B95" authorId="0" shapeId="0">
      <text>
        <t>F1316 · Financial covenant / restriction
Document: S13, bond terms, 2023/2028 (issue 2023-09-21 to maturity 2028-09-21), 2023-09-17, unaudited, katjes-bond-2023-2028-bond-terms-signed.pdf
Page: 36
Quote: "exceeds a total of EUR 7,500,000 (or its equivalent in other currencies) in aggregate for the Group."
Status: extracted, pending review
Approver: none yet
Proof: https://vanillabonds.com/dossier.html?c=katjes&amp;viewer=1&amp;item=F1316</t>
      </text>
    </comment>
    <comment ref="B96" authorId="0" shapeId="0">
      <text>
        <t>F1317 · Financial covenant / restriction
Document: S13, bond terms, 2023/2028 (issue 2023-09-21 to maturity 2028-09-21), 2023-09-17, unaudited, katjes-bond-2023-2028-bond-terms-signed.pdf
Page: 12
Quote: "provided that at least 50.00 per cent. of the total consideration payable by the Group in respect of such acquisition is paid in cash (or cash equivalents) at the closing date of the acquisition"
Status: extracted, pending review
Approver: none yet
Proof: https://vanillabonds.com/dossier.html?c=katjes&amp;viewer=1&amp;item=F1317</t>
      </text>
    </comment>
    <comment ref="B97" authorId="0" shapeId="0">
      <text>
        <t>F1342 · Financial covenant / restriction
Document: S13, bond terms, 2023/2028 (issue 2023-09-21 to maturity 2028-09-21), 2023-09-17, unaudited, katjes-bond-2023-2028-bond-terms-signed.pdf
Page: 32
Quote: "The Issuer shall not, and it shall ensure that no other Group Company will, incur or maintain any Financial Indebtedness other than any Permitted Financial Indebtedness."
Status: extracted, pending review
Approver: none yet
Proof: https://vanillabonds.com/dossier.html?c=katjes&amp;viewer=1&amp;item=F1342</t>
      </text>
    </comment>
    <comment ref="B98" authorId="0" shapeId="0">
      <text>
        <t>F1343 · Financial covenant / restriction
Document: S13, bond terms, 2023/2028 (issue 2023-09-21 to maturity 2028-09-21), 2023-09-17, unaudited, katjes-bond-2023-2028-bond-terms-signed.pdf
Page: 12
Quote: "incurred at any time by any Group Company (other than the Issuer), provided that it is neither guaranteed nor secured by any Group Companies"
Status: extracted, pending review
Approver: none yet
Proof: https://vanillabonds.com/dossier.html?c=katjes&amp;viewer=1&amp;item=F1343</t>
      </text>
    </comment>
    <comment ref="B99" authorId="0" shapeId="0">
      <text>
        <t>F1344 · Financial covenant / restriction
Document: S13, bond terms, 2023/2028 (issue 2023-09-21 to maturity 2028-09-21), 2023-09-17, unaudited, katjes-bond-2023-2028-bond-terms-signed.pdf
Page: 13
Quote: "the proceeds of which shall be applied towards a refinancing of the Bonds in part or in full, provided that such proceeds are held in a blocked escrow account"
Status: extracted, pending review
Approver: none yet
Proof: https://vanillabonds.com/dossier.html?c=katjes&amp;viewer=1&amp;item=F1344</t>
      </text>
    </comment>
    <comment ref="B100" authorId="0" shapeId="0">
      <text>
        <t>F1345 · Financial covenant / restriction
Document: S13, bond terms, 2023/2028 (issue 2023-09-21 to maturity 2028-09-21), 2023-09-17, unaudited, katjes-bond-2023-2028-bond-terms-signed.pdf
Page: 14
Quote: "securing indebtedness the outstanding principal amount of which (when aggregated with the outstanding principal amount of any other indebtedness which has the benefit of security"
Status: extracted, pending review
Approver: none yet
Proof: https://vanillabonds.com/dossier.html?c=katjes&amp;viewer=1&amp;item=F1345</t>
      </text>
    </comment>
    <comment ref="B101" authorId="0" shapeId="0">
      <text>
        <t>F1249 · Instrument term
Document: S5, interim report, H1-2026, 2026-09-08, unaudited, katjes-h1-2026-interim-report.pdf
Page: 23
Quote: "attributable to the increase in the 2023/2028 bond in connection with the acquisition of Missoni"
Status: approved by a named reviewer
Approver: demo reviewer, date not recorded
Proof: https://vanillabonds.com/dossier.html?c=katjes&amp;viewer=1&amp;item=F1249</t>
      </text>
    </comment>
    <comment ref="B102" authorId="0" shapeId="0">
      <text>
        <t>F1250 · Instrument term
Document: S5, interim report, H1-2026, 2026-09-08, unaudited, katjes-h1-2026-interim-report.pdf
Page: 34
Quote: "Increase in the 2023/2028 bond, net of transaction costs relating to the increase 14.8 0.0"
Status: approved by a named reviewer
Approver: demo reviewer, date not recorded
Proof: https://vanillabonds.com/dossier.html?c=katjes&amp;viewer=1&amp;item=F1250</t>
      </text>
    </comment>
    <comment ref="B103" authorId="0" shapeId="0">
      <text>
        <t>F1251 · Instrument term
Document: S5, interim report, H1-2026, 2026-09-08, unaudited, katjes-h1-2026-interim-report.pdf
Page: 42
Quote: "Liabilities from the issuance of a bond2 200.0 191.3** Amortised cost"
Status: approved by a named reviewer
Approver: demo reviewer, date not recorded
Proof: https://vanillabonds.com/dossier.html?c=katjes&amp;viewer=1&amp;item=F1251</t>
      </text>
    </comment>
    <comment ref="B104" authorId="0" shapeId="0">
      <text>
        <t>F937 · Instrument term
Document: S3, annual report, FY2025, 2026-04-02, audited, katjes-2025-annual-report.pdf
Page: 4
Quote: "increased its existing bond by EUR 70 million at the beginning of August. The strong demand from national and international investors — the placement was multiple times oversubscribed"
Status: approved by a named reviewer
Approver: demo reviewer, date not recorded
Proof: https://vanillabonds.com/dossier.html?c=katjes&amp;viewer=1&amp;item=F937</t>
      </text>
    </comment>
    <comment ref="B105" authorId="0" shapeId="0">
      <text>
        <t>F938 · Instrument term
Document: S3, annual report, FY2025, 2026-04-02, audited, katjes-2025-annual-report.pdf
Page: 26
Quote: "In September 2023, Katjes International issued a corporate bond with a volume of EUR 115 million, a term of five years and an interest rate of 6.75%."
Status: approved by a named reviewer
Approver: demo reviewer, date not recorded
Proof: https://vanillabonds.com/dossier.html?c=katjes&amp;viewer=1&amp;item=F938</t>
      </text>
    </comment>
    <comment ref="B106" authorId="0" shapeId="0">
      <text>
        <t>F939 · Instrument term
Document: S3, annual report, FY2025, 2026-04-02, audited, katjes-2025-annual-report.pdf
Page: 62
Quote: "Liabilities from the issuance of a bond2 185.0 193.3** Amortised cost"
Status: approved by a named reviewer
Approver: demo reviewer, date not recorded
Proof: https://vanillabonds.com/dossier.html?c=katjes&amp;viewer=1&amp;item=F939</t>
      </text>
    </comment>
    <comment ref="B107" authorId="0" shapeId="0">
      <text>
        <t>F940 · Instrument term
Document: S3, annual report, FY2025, 2026-04-02, audited, katjes-2025-annual-report.pdf
Page: 68
Quote: "the 2023/2028 bond bearing interest at 6.75% was issued in September 2023 with a total volume of EUR 115 million, due to strong demand."
Status: approved by a named reviewer
Approver: demo reviewer, date not recorded
Proof: https://vanillabonds.com/dossier.html?c=katjes&amp;viewer=1&amp;item=F940</t>
      </text>
    </comment>
    <comment ref="B108" authorId="0" shapeId="0">
      <text>
        <t>F941 · Instrument term
Document: S3, annual report, FY2025, 2026-04-02, audited, katjes-2025-annual-report.pdf
Page: 81
Quote: "The transaction is mainly financed from own funds; in addition, the 2023/2028 bond was increased by EUR 15 million to EUR 200 million."
Status: approved by a named reviewer
Approver: demo reviewer, date not recorded
Proof: https://vanillabonds.com/dossier.html?c=katjes&amp;viewer=1&amp;item=F941</t>
      </text>
    </comment>
    <comment ref="B109" authorId="0" shapeId="0">
      <text>
        <t>F615 · Instrument term
Document: S2, annual report, FY2024, 2025-04-09, audited, katjes-2024-annual-report.pdf
Page: 45
Quote: "Repayment of the 2019/2024 bond (EUR 110 million) / issue of the 2023/2028 bond (EUR 115 million)"
Status: approved by a named reviewer
Approver: demo reviewer, date not recorded
Proof: https://vanillabonds.com/dossier.html?c=katjes&amp;viewer=1&amp;item=F615</t>
      </text>
    </comment>
    <comment ref="B110" authorId="0" shapeId="0">
      <text>
        <t>F616 · Instrument term
Document: S2, annual report, FY2024, 2025-04-09, audited, katjes-2024-annual-report.pdf
Page: 64
Quote: "Liabilities from the issuance of a bond2 115.0 123.7**"
Status: approved by a named reviewer
Approver: demo reviewer, date not recorded
Proof: https://vanillabonds.com/dossier.html?c=katjes&amp;viewer=1&amp;item=F616</t>
      </text>
    </comment>
    <comment ref="B111" authorId="0" shapeId="0">
      <text>
        <t>F617 · Instrument term
Document: S2, annual report, FY2024, 2025-04-09, audited, katjes-2024-annual-report.pdf
Page: 68
Quote: "Due to strong investor demand, the total volume of the new bond amounted to EUR 115 million."
Status: approved by a named reviewer
Approver: demo reviewer, date not recorded
Proof: https://vanillabonds.com/dossier.html?c=katjes&amp;viewer=1&amp;item=F617</t>
      </text>
    </comment>
    <comment ref="B112" authorId="0" shapeId="0">
      <text>
        <t>F317 · Instrument term
Document: S1, annual report, FY2023, 2024-03-27, audited, katjes-2023-annual-report.pdf
Page: 4
Quote: "which was issued for the first time as a so-called "Nordic Bond"."
Status: approved by a named reviewer
Approver: demo reviewer, date not recorded
Proof: https://vanillabonds.com/dossier.html?c=katjes&amp;viewer=1&amp;item=F317</t>
      </text>
    </comment>
    <comment ref="B113" authorId="0" shapeId="0">
      <text>
        <t>F318 · Instrument term
Document: S1, annual report, FY2023, 2024-03-27, audited, katjes-2023-annual-report.pdf
Page: 4
Quote: "response to the exchange offer, which was offered for the first time to existing investors, as well as the first-time opportunity to subscribe via our website."
Status: approved by a named reviewer
Approver: demo reviewer, date not recorded
Proof: https://vanillabonds.com/dossier.html?c=katjes&amp;viewer=1&amp;item=F318</t>
      </text>
    </comment>
    <comment ref="B114" authorId="0" shapeId="0">
      <text>
        <t>F319 · Instrument term
Document: S1, annual report, FY2023, 2024-03-27, audited, katjes-2023-annual-report.pdf
Page: 48
Quote: "Repayment of the 2019/2024 bond (EUR 110 million) / issue of the 2023/2028 bond (EUR 115 million)"
Status: approved by a named reviewer
Approver: demo reviewer, date not recorded
Proof: https://vanillabonds.com/dossier.html?c=katjes&amp;viewer=1&amp;item=F319</t>
      </text>
    </comment>
    <comment ref="B115" authorId="0" shapeId="0">
      <text>
        <t>F320 · Instrument term
Document: S1, annual report, FY2023, 2024-03-27, audited, katjes-2023-annual-report.pdf
Page: 68
Quote: "Liabilities from the issuance of a bond2 115.0 123.1**"
Status: approved by a named reviewer
Approver: demo reviewer, date not recorded
Proof: https://vanillabonds.com/dossier.html?c=katjes&amp;viewer=1&amp;item=F320</t>
      </text>
    </comment>
    <comment ref="B116" authorId="0" shapeId="0">
      <text>
        <t>F321 · Instrument term
Document: S1, annual report, FY2023, 2024-03-27, audited, katjes-2023-annual-report.pdf
Page: 72
Quote: "mand, a bond with an interest rate of 6.75% and a total volume of EUR 115 million was issued in September 2023"
Status: approved by a named reviewer
Approver: demo reviewer, date not recorded
Proof: https://vanillabonds.com/dossier.html?c=katjes&amp;viewer=1&amp;item=F321</t>
      </text>
    </comment>
    <comment ref="B117" authorId="0" shapeId="0">
      <text>
        <t>F322 · Instrument term
Document: S1, annual report, FY2023, 2024-03-27, audited, katjes-2023-annual-report.pdf
Page: 85
Quote: "the Nordic ABM of the Oslo Stock Exchange at the end of January 2024 as planned within six months of the issue"
Status: approved by a named reviewer
Approver: demo reviewer, date not recorded
Proof: https://vanillabonds.com/dossier.html?c=katjes&amp;viewer=1&amp;item=F322</t>
      </text>
    </comment>
    <comment ref="B118" authorId="0" shapeId="0">
      <text>
        <t>F973 · Instrument term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https://vanillabonds.com/dossier.html?c=katjes&amp;viewer=1&amp;item=F973</t>
      </text>
    </comment>
    <comment ref="B119" authorId="0" shapeId="0">
      <text>
        <t>F974 · Instrument term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https://vanillabonds.com/dossier.html?c=katjes&amp;viewer=1&amp;item=F974</t>
      </text>
    </comment>
    <comment ref="B120" authorId="0" shapeId="0">
      <text>
        <t>F975 · Instrument term
Document: S4, term sheet, 2023-09-21 to 2028-09-21 (bond 2023/2028), 2023-09-21, unaudited, katjes-bond-2023-2028-terms.pdf
Page: 1
Quote: "Inhaberschuldverschreibung („Anleihe“)"
Status: management representation, attested by a named officer
Approver: demo reviewer, date not recorded
Proof: https://vanillabonds.com/dossier.html?c=katjes&amp;viewer=1&amp;item=F975</t>
      </text>
    </comment>
    <comment ref="B121" authorId="0" shapeId="0">
      <text>
        <t>F976 · Instrument term
Document: S4, term sheet, 2023-09-21 to 2028-09-21 (bond 2023/2028), 2023-09-21, unaudited, katjes-bond-2023-2028-terms.pdf
Page: 1
Quote: "nicht nachrangig, unbesichert"
Status: management representation, attested by a named officer
Approver: demo reviewer, date not recorded
Proof: https://vanillabonds.com/dossier.html?c=katjes&amp;viewer=1&amp;item=F976</t>
      </text>
    </comment>
    <comment ref="B122" authorId="0" shapeId="0">
      <text>
        <t>F977 · Instrument term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https://vanillabonds.com/dossier.html?c=katjes&amp;viewer=1&amp;item=F977</t>
      </text>
    </comment>
    <comment ref="B123" authorId="0" shapeId="0">
      <text>
        <t>F978 · Instrument term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https://vanillabonds.com/dossier.html?c=katjes&amp;viewer=1&amp;item=F978</t>
      </text>
    </comment>
    <comment ref="B124" authorId="0" shapeId="0">
      <text>
        <t>F979 · Instrument term
Document: S4, term sheet, 2023-09-21 to 2028-09-21 (bond 2023/2028), 2023-09-21, unaudited, katjes-bond-2023-2028-terms.pdf
Page: 1
Quote: "EUR 1.000"
Status: management representation, attested by a named officer
Approver: demo reviewer, date not recorded
Proof: https://vanillabonds.com/dossier.html?c=katjes&amp;viewer=1&amp;item=F979</t>
      </text>
    </comment>
    <comment ref="B125" authorId="0" shapeId="0">
      <text>
        <t>F980 · Instrument term
Document: S4, term sheet, 2023-09-21 to 2028-09-21 (bond 2023/2028), 2023-09-21, unaudited, katjes-bond-2023-2028-terms.pdf
Page: 1
Quote: "6,25 - 7,50 % p.a."
Status: management representation, attested by a named officer
Approver: demo reviewer, date not recorded
Proof: https://vanillabonds.com/dossier.html?c=katjes&amp;viewer=1&amp;item=F980</t>
      </text>
    </comment>
    <comment ref="B126" authorId="0" shapeId="0">
      <text>
        <t>F981 · Instrument term
Document: S4, term sheet, 2023-09-21 to 2028-09-21 (bond 2023/2028), 2023-09-21, unaudited, katjes-bond-2023-2028-terms.pdf
Page: 1
Quote: "Festzins, zahlbar halbjährlich nachträglich am 21. März und 21. September,"
Status: management representation, attested by a named officer
Approver: demo reviewer, date not recorded
Proof: https://vanillabonds.com/dossier.html?c=katjes&amp;viewer=1&amp;item=F981</t>
      </text>
    </comment>
    <comment ref="B127" authorId="0" shapeId="0">
      <text>
        <t>F982 · Instrument term
Document: S4, term sheet, 2023-09-21 to 2028-09-21 (bond 2023/2028), 2023-09-21, unaudited, katjes-bond-2023-2028-terms.pdf
Page: 1
Quote: "erstmalig am 21. März 2024, letztmalig am 21. September 2028"
Status: management representation, attested by a named officer
Approver: demo reviewer, date not recorded
Proof: https://vanillabonds.com/dossier.html?c=katjes&amp;viewer=1&amp;item=F982</t>
      </text>
    </comment>
    <comment ref="B128" authorId="0" shapeId="0">
      <text>
        <t>F983 · Instrument term
Document: S4, term sheet, 2023-09-21 to 2028-09-21 (bond 2023/2028), 2023-09-21, unaudited, katjes-bond-2023-2028-terms.pdf
Page: 1
Quote: "Euro"
Status: management representation, attested by a named officer
Approver: demo reviewer, date not recorded
Proof: https://vanillabonds.com/dossier.html?c=katjes&amp;viewer=1&amp;item=F983</t>
      </text>
    </comment>
    <comment ref="B129" authorId="0" shapeId="0">
      <text>
        <t>F984 · Instrument term
Document: S4, term sheet, 2023-09-21 to 2028-09-21 (bond 2023/2028), 2023-09-21, unaudited, katjes-bond-2023-2028-terms.pdf
Page: 1
Quote: "100% des Nennwerts"
Status: management representation, attested by a named officer
Approver: demo reviewer, date not recorded
Proof: https://vanillabonds.com/dossier.html?c=katjes&amp;viewer=1&amp;item=F984</t>
      </text>
    </comment>
    <comment ref="B130" authorId="0" shapeId="0">
      <text>
        <t>F985 · Instrument term
Document: S4, term sheet, 2023-09-21 to 2028-09-21 (bond 2023/2028), 2023-09-21, unaudited, katjes-bond-2023-2028-terms.pdf
Page: 1
Quote: "21. September 2023"
Status: management representation, attested by a named officer
Approver: demo reviewer, date not recorded
Proof: https://vanillabonds.com/dossier.html?c=katjes&amp;viewer=1&amp;item=F985</t>
      </text>
    </comment>
    <comment ref="B131" authorId="0" shapeId="0">
      <text>
        <t>F986 · Instrument term
Document: S4, term sheet, 2023-09-21 to 2028-09-21 (bond 2023/2028), 2023-09-21, unaudited, katjes-bond-2023-2028-terms.pdf
Page: 1
Quote: "5 Jahre Laufzeit; fällig am 21. September 2028"
Status: management representation, attested by a named officer
Approver: demo reviewer, date not recorded
Proof: https://vanillabonds.com/dossier.html?c=katjes&amp;viewer=1&amp;item=F986</t>
      </text>
    </comment>
    <comment ref="B132" authorId="0" shapeId="0">
      <text>
        <t>F987 · Instrument term
Document: S4, term sheet, 2023-09-21 to 2028-09-21 (bond 2023/2028), 2023-09-21, unaudited, katjes-bond-2023-2028-terms.pdf
Page: 1
Quote: "Freiverkehr (Open Market) der Frankfurter Wertpapierbörse (Quotation Board)"
Status: management representation, attested by a named officer
Approver: demo reviewer, date not recorded
Proof: https://vanillabonds.com/dossier.html?c=katjes&amp;viewer=1&amp;item=F987</t>
      </text>
    </comment>
    <comment ref="B133" authorId="0" shapeId="0">
      <text>
        <t>F988 · Instrument term
Document: S4, term sheet, 2023-09-21 to 2028-09-21 (bond 2023/2028), 2023-09-21, unaudited, katjes-bond-2023-2028-terms.pdf
Page: 1
Quote: "Nordic ABM, Börse Oslo innerhalb von 6 Monaten nach Begebung (Nichtvornahme kann zu Zusatzverzinsung führen)"
Status: management representation, attested by a named officer
Approver: demo reviewer, date not recorded
Proof: https://vanillabonds.com/dossier.html?c=katjes&amp;viewer=1&amp;item=F988</t>
      </text>
    </comment>
    <comment ref="B134" authorId="0" shapeId="0">
      <text>
        <t>F989 · Instrument term
Document: S4, term sheet, 2023-09-21 to 2028-09-21 (bond 2023/2028), 2023-09-21, unaudited, katjes-bond-2023-2028-terms.pdf
Page: 1
Quote: "Die Emittentin kann die Schuldverschreibungen ab dem Begebungstag bis zum Ablauf von 30 Monaten zum Make Whole Amount (Gesamter Betrag, wie im Wertpapierprospekt definiert) kündigen"
Status: management representation, attested by a named officer
Approver: demo reviewer, date not recorded
Proof: https://vanillabonds.com/dossier.html?c=katjes&amp;viewer=1&amp;item=F989</t>
      </text>
    </comment>
    <comment ref="B135" authorId="0" shapeId="0">
      <text>
        <t>F990 · Instrument term
Document: S4, term sheet, 2023-09-21 to 2028-09-21 (bond 2023/2028), 2023-09-21, unaudited, katjes-bond-2023-2028-terms.pdf
Page: 1
Quote: "30 Monaten zu 100,00% des Nennbetrages + 50% des jährlichen Coupons"
Status: management representation, attested by a named officer
Approver: demo reviewer, date not recorded
Proof: https://vanillabonds.com/dossier.html?c=katjes&amp;viewer=1&amp;item=F990</t>
      </text>
    </comment>
    <comment ref="B136" authorId="0" shapeId="0">
      <text>
        <t>F991 · Instrument term
Document: S4, term sheet, 2023-09-21 to 2028-09-21 (bond 2023/2028), 2023-09-21, unaudited, katjes-bond-2023-2028-terms.pdf
Page: 1
Quote: "36 Monaten zu 100,00% des Nennbetrages + 30% des jährlichen Coupons"
Status: management representation, attested by a named officer
Approver: demo reviewer, date not recorded
Proof: https://vanillabonds.com/dossier.html?c=katjes&amp;viewer=1&amp;item=F991</t>
      </text>
    </comment>
    <comment ref="B137" authorId="0" shapeId="0">
      <text>
        <t>F992 · Instrument term
Document: S4, term sheet, 2023-09-21 to 2028-09-21 (bond 2023/2028), 2023-09-21, unaudited, katjes-bond-2023-2028-terms.pdf
Page: 1
Quote: "42 Monaten zu 100,00% des Nennbetrages + 20% des jährlichen Coupons"
Status: management representation, attested by a named officer
Approver: demo reviewer, date not recorded
Proof: https://vanillabonds.com/dossier.html?c=katjes&amp;viewer=1&amp;item=F992</t>
      </text>
    </comment>
    <comment ref="B138" authorId="0" shapeId="0">
      <text>
        <t>F993 · Instrument term
Document: S4, term sheet, 2023-09-21 to 2028-09-21 (bond 2023/2028), 2023-09-21, unaudited, katjes-bond-2023-2028-terms.pdf
Page: 1
Quote: "48 Monaten zu 100,00% des Nennbetrages + 10% des jährlichen Coupons"
Status: management representation, attested by a named officer
Approver: demo reviewer, date not recorded
Proof: https://vanillabonds.com/dossier.html?c=katjes&amp;viewer=1&amp;item=F993</t>
      </text>
    </comment>
    <comment ref="B139" authorId="0" shapeId="0">
      <text>
        <t>F994 · Instrument term
Document: S4, term sheet, 2023-09-21 to 2028-09-21 (bond 2023/2028), 2023-09-21, unaudited, katjes-bond-2023-2028-terms.pdf
Page: 1
Quote: "54 Monaten zu 100,00% des Nennbetrages + 5% des jährlichen Coupons"
Status: management representation, attested by a named officer
Approver: demo reviewer, date not recorded
Proof: https://vanillabonds.com/dossier.html?c=katjes&amp;viewer=1&amp;item=F994</t>
      </text>
    </comment>
    <comment ref="B140" authorId="0" shapeId="0">
      <text>
        <t>F995 · Instrument term
Document: S4, term sheet, 2023-09-21 to 2028-09-21 (bond 2023/2028), 2023-09-21, unaudited, katjes-bond-2023-2028-terms.pdf
Page: 1
Quote: "Sollte der Gesamtnennbetrag der ausstehenden Schuldverschreibungen (einschließlich des Betrags eventueller Aufstockungen) weniger als 40,00% des anfänglichen Emissionsbetrages"
Status: management representation, attested by a named officer
Approver: demo reviewer, date not recorded
Proof: https://vanillabonds.com/dossier.html?c=katjes&amp;viewer=1&amp;item=F995</t>
      </text>
    </comment>
    <comment ref="B141" authorId="0" shapeId="0">
      <text>
        <t>F996 · Instrument term
Document: S4, term sheet, 2023-09-21 to 2028-09-21 (bond 2023/2028), 2023-09-21, unaudited, katjes-bond-2023-2028-terms.pdf
Page: 1
Quote: "Wenn Schuldverschreibungen, die mehr als 90,0% der ausstehenden Schuldverschreibungen ausmachen, zurückgekauft wurden, weil die Anleihegläubiger"
Status: management representation, attested by a named officer
Approver: demo reviewer, date not recorded
Proof: https://vanillabonds.com/dossier.html?c=katjes&amp;viewer=1&amp;item=F996</t>
      </text>
    </comment>
    <comment ref="B142" authorId="0" shapeId="0">
      <text>
        <t>F997 · Instrument term
Document: S4, term sheet, 2023-09-21 to 2028-09-21 (bond 2023/2028), 2023-09-21, unaudited, katjes-bond-2023-2028-terms.pdf
Page: 1
Quote: "Emissionserlöses, vgl. dazu den Wertpapierprospekt)"
Status: management representation, attested by a named officer
Approver: demo reviewer, date not recorded
Proof: https://vanillabonds.com/dossier.html?c=katjes&amp;viewer=1&amp;item=F997</t>
      </text>
    </comment>
    <comment ref="B143" authorId="0" shapeId="0">
      <text>
        <t>F998 · Instrument term
Document: S4, term sheet, 2023-09-21 to 2028-09-21 (bond 2023/2028), 2023-09-21, unaudited, katjes-bond-2023-2028-terms.pdf
Page: 2
Quote: "Nordic Trustee AS"
Status: management representation, attested by a named officer
Approver: demo reviewer, date not recorded
Proof: https://vanillabonds.com/dossier.html?c=katjes&amp;viewer=1&amp;item=F998</t>
      </text>
    </comment>
    <comment ref="B144" authorId="0" shapeId="0">
      <text>
        <t>F999 · Instrument term
Document: S4, term sheet, 2023-09-21 to 2028-09-21 (bond 2023/2028), 2023-09-21, unaudited, katjes-bond-2023-2028-terms.pdf
Page: 2
Quote: "Norwegisches Recht. Gerichtsstand für Klagen ist Norwegen."
Status: management representation, attested by a named officer
Approver: demo reviewer, date not recorded
Proof: https://vanillabonds.com/dossier.html?c=katjes&amp;viewer=1&amp;item=F999</t>
      </text>
    </comment>
    <comment ref="B145" authorId="0" shapeId="0">
      <text>
        <t>F1000 · Instrument term
Document: S4, term sheet, 2023-09-21 to 2028-09-21 (bond 2023/2028), 2023-09-21, unaudited, katjes-bond-2023-2028-terms.pdf
Page: 2
Quote: "Quorum von 50% der stimmberechtigten Schuldverschreibungen notwendig sowie für bestimmte wesentliche Maßnahmen eine Mehrheit von 2/3 der abstimmenden"
Status: management representation, attested by a named officer
Approver: demo reviewer, date not recorded
Proof: https://vanillabonds.com/dossier.html?c=katjes&amp;viewer=1&amp;item=F1000</t>
      </text>
    </comment>
    <comment ref="B146" authorId="0" shapeId="0">
      <text>
        <t>F1001 · Instrument term
Document: S4, term sheet, 2023-09-21 to 2028-09-21 (bond 2023/2028), 2023-09-21, unaudited, katjes-bond-2023-2028-terms.pdf
Page: 2
Quote: "Wenn das Quorum verfehlt wird, kann in einer zweiten Versammlung ohne ein Quorum abgestimmt werden. Abstimmungen können auch im schriftlichen Verfahren erfolgen."
Status: management representation, attested by a named officer
Approver: demo reviewer, date not recorded
Proof: https://vanillabonds.com/dossier.html?c=katjes&amp;viewer=1&amp;item=F1001</t>
      </text>
    </comment>
    <comment ref="B147" authorId="0" shapeId="0">
      <text>
        <t>F1279 · Instrument term
Document: S13, bond terms, 2023/2028 (issue 2023-09-21 to maturity 2028-09-21), 2023-09-17, unaudited, katjes-bond-2023-2028-bond-terms-signed.pdf
Page: 1
Quote: "ISIN NO0012888769"
Status: extracted, pending review
Approver: none yet
Proof: https://vanillabonds.com/dossier.html?c=katjes&amp;viewer=1&amp;item=F1279</t>
      </text>
    </comment>
    <comment ref="B148" authorId="0" shapeId="0">
      <text>
        <t>F1280 · Instrument term
Document: S13, bond terms, 2023/2028 (issue 2023-09-21 to maturity 2028-09-21), 2023-09-17, unaudited, katjes-bond-2023-2028-bond-terms-signed.pdf
Page: 9
Quote: "“Interest Rate” means 6.75 per cent. per annum."
Status: extracted, pending review
Approver: none yet
Proof: https://vanillabonds.com/dossier.html?c=katjes&amp;viewer=1&amp;item=F1280</t>
      </text>
    </comment>
    <comment ref="B149" authorId="0" shapeId="0">
      <text>
        <t>F1281 · Instrument term
Document: S13, bond terms, 2023/2028 (issue 2023-09-21 to maturity 2028-09-21), 2023-09-17, unaudited, katjes-bond-2023-2028-bond-terms-signed.pdf
Page: 9
Quote: "“Issue Date” means 21 September 2023."
Status: extracted, pending review
Approver: none yet
Proof: https://vanillabonds.com/dossier.html?c=katjes&amp;viewer=1&amp;item=F1281</t>
      </text>
    </comment>
    <comment ref="B150" authorId="0" shapeId="0">
      <text>
        <t>F1282 · Instrument term
Document: S13, bond terms, 2023/2028 (issue 2023-09-21 to maturity 2028-09-21), 2023-09-17, unaudited, katjes-bond-2023-2028-bond-terms-signed.pdf
Page: 10
Quote: "“Maturity Date” means 21 September 2028, adjusted according to the Business Day Convention."
Status: extracted, pending review
Approver: none yet
Proof: https://vanillabonds.com/dossier.html?c=katjes&amp;viewer=1&amp;item=F1282</t>
      </text>
    </comment>
    <comment ref="B151" authorId="0" shapeId="0">
      <text>
        <t>F1283 · Instrument term
Document: S13, bond terms, 2023/2028 (issue 2023-09-21 to maturity 2028-09-21), 2023-09-17, unaudited, katjes-bond-2023-2028-bond-terms-signed.pdf
Page: 9
Quote: "the first Interest Payment Date being 21 March 2024 (being 6 months after the Issue Date) and the last Interest Payment Date being the Maturity Date."
Status: extracted, pending review
Approver: none yet
Proof: https://vanillabonds.com/dossier.html?c=katjes&amp;viewer=1&amp;item=F1283</t>
      </text>
    </comment>
    <comment ref="B152" authorId="0" shapeId="0">
      <text>
        <t>F1284 · Instrument term
Document: S13, bond terms, 2023/2028 (issue 2023-09-21 to maturity 2028-09-21), 2023-09-17, unaudited, katjes-bond-2023-2028-bond-terms-signed.pdf
Page: 18
Quote: "The Initial Nominal Amount of each Bond is EUR 1,000."
Status: extracted, pending review
Approver: none yet
Proof: https://vanillabonds.com/dossier.html?c=katjes&amp;viewer=1&amp;item=F1284</t>
      </text>
    </comment>
    <comment ref="B153" authorId="0" shapeId="0">
      <text>
        <t>F1285 · Instrument term
Document: S13, bond terms, 2023/2028 (issue 2023-09-21 to maturity 2028-09-21), 2023-09-17, unaudited, katjes-bond-2023-2028-bond-terms-signed.pdf
Page: 27
Quote: "the First Call Date to, but not including, the Interest Payment Date falling 36 months after the Issue Date at a price equal to 103.375 per cent. of the Nominal Amount of the redeemed Bonds"
Status: extracted, pending review
Approver: none yet
Proof: https://vanillabonds.com/dossier.html?c=katjes&amp;viewer=1&amp;item=F1285</t>
      </text>
    </comment>
    <comment ref="B154" authorId="0" shapeId="0">
      <text>
        <t>F1286 · Instrument term
Document: S13, bond terms, 2023/2028 (issue 2023-09-21 to maturity 2028-09-21), 2023-09-17, unaudited, katjes-bond-2023-2028-bond-terms-signed.pdf
Page: 9
Quote: "where the present value shall be calculated by using a discount rate of 100 basis points per annum."
Status: extracted, pending review
Approver: none yet
Proof: https://vanillabonds.com/dossier.html?c=katjes&amp;viewer=1&amp;item=F1286</t>
      </text>
    </comment>
    <comment ref="B155" authorId="0" shapeId="0">
      <text>
        <t>F1287 · Instrument term
Document: S13, bond terms, 2023/2028 (issue 2023-09-21 to maturity 2028-09-21), 2023-09-17, unaudited, katjes-bond-2023-2028-bond-terms-signed.pdf
Page: 28
Quote: "require that the Issuer purchases all or some of the Bonds held by that Bondholder at a price equal to 101.00 per cent. of the Nominal Amount."
Status: extracted, pending review
Approver: none yet
Proof: https://vanillabonds.com/dossier.html?c=katjes&amp;viewer=1&amp;item=F1287</t>
      </text>
    </comment>
    <comment ref="B156" authorId="0" shapeId="0">
      <text>
        <t>F1288 · Instrument term
Document: S13, bond terms, 2023/2028 (issue 2023-09-21 to maturity 2028-09-21), 2023-09-17, unaudited, katjes-bond-2023-2028-bond-terms-signed.pdf
Page: 28
Quote: "the Issuer will have the right to redeem all, but not only some, of the Outstanding Bonds at a price equal to 100 per cent. of the Nominal Amount."
Status: extracted, pending review
Approver: none yet
Proof: https://vanillabonds.com/dossier.html?c=katjes&amp;viewer=1&amp;item=F1288</t>
      </text>
    </comment>
    <comment ref="B157" authorId="0" shapeId="0">
      <text>
        <t>F1289 · Instrument term
Document: S13, bond terms, 2023/2028 (issue 2023-09-21 to maturity 2028-09-21), 2023-09-17, unaudited, katjes-bond-2023-2028-bond-terms-signed.pdf
Page: 10
Quote: "becomes less than an amount equal to 40.00 per cent. of the Initial Bond Issue."
Status: extracted, pending review
Approver: none yet
Proof: https://vanillabonds.com/dossier.html?c=katjes&amp;viewer=1&amp;item=F1289</t>
      </text>
    </comment>
    <comment ref="B158" authorId="0" shapeId="0">
      <text>
        <t>F1290 · Instrument term
Document: S13, bond terms, 2023/2028 (issue 2023-09-21 to maturity 2028-09-21), 2023-09-17, unaudited, katjes-bond-2023-2028-bond-terms-signed.pdf
Page: 19
Quote: "use reasonable endeavours to ensure that the Bonds are listed on the Frankfurt Open Market as soon as practically possible and in any event within 30 days of the Issue Date"
Status: extracted, pending review
Approver: none yet
Proof: https://vanillabonds.com/dossier.html?c=katjes&amp;viewer=1&amp;item=F1290</t>
      </text>
    </comment>
    <comment ref="B159" authorId="0" shapeId="0">
      <text>
        <t>F1291 · Instrument term
Document: S13, bond terms, 2023/2028 (issue 2023-09-21 to maturity 2028-09-21), 2023-09-17, unaudited, katjes-bond-2023-2028-bond-terms-signed.pdf
Page: 5
Quote: "“CSD” means the central securities depository in which the Bonds are registered, being Verdipapirsentralen ASA (VPS)."
Status: extracted, pending review
Approver: none yet
Proof: https://vanillabonds.com/dossier.html?c=katjes&amp;viewer=1&amp;item=F1291</t>
      </text>
    </comment>
    <comment ref="B160" authorId="0" shapeId="0">
      <text>
        <t>F1292 · Instrument term
Document: S13, bond terms, 2023/2028 (issue 2023-09-21 to maturity 2028-09-21), 2023-09-17, unaudited, katjes-bond-2023-2028-bond-terms-signed.pdf
Page: 24
Quote: "at the Interest Rate plus 2.00 percentage points per annum."
Status: extracted, pending review
Approver: none yet
Proof: https://vanillabonds.com/dossier.html?c=katjes&amp;viewer=1&amp;item=F1292</t>
      </text>
    </comment>
    <comment ref="B161" authorId="0" shapeId="0">
      <text>
        <t>F1293 · Instrument term
Document: S13, bond terms, 2023/2028 (issue 2023-09-21 to maturity 2028-09-21), 2023-09-17, unaudited, katjes-bond-2023-2028-bond-terms-signed.pdf
Page: 3
Quote: "Nordic Trustee AS, a company existing under the laws of Norway with registration number 963 342 624"
Status: extracted, pending review
Approver: none yet
Proof: https://vanillabonds.com/dossier.html?c=katjes&amp;viewer=1&amp;item=F1293</t>
      </text>
    </comment>
    <comment ref="B162" authorId="0" shapeId="0">
      <text>
        <t>F1294 · Instrument term
Document: S13, bond terms, 2023/2028 (issue 2023-09-21 to maturity 2028-09-21), 2023-09-17, unaudited, katjes-bond-2023-2028-bond-terms-signed.pdf
Page: 10
Quote: "“Managers” means IKB Deutsche Industriebank AG, Wilhelm-Bötzkes-Straße 1, 40474 Düsseldorf, Germany, and Pareto Securities AS, Frankfurt Branch"
Status: extracted, pending review
Approver: none yet
Proof: https://vanillabonds.com/dossier.html?c=katjes&amp;viewer=1&amp;item=F1294</t>
      </text>
    </comment>
    <comment ref="B163" authorId="0" shapeId="0">
      <text>
        <t>F1295 · Instrument term
Document: S13, bond terms, 2023/2028 (issue 2023-09-21 to maturity 2028-09-21), 2023-09-17, unaudited, katjes-bond-2023-2028-bond-terms-signed.pdf
Page: 15
Quote: "“Relevant Jurisdiction” means the country in which the Bonds are issued, being Norway."
Status: extracted, pending review
Approver: none yet
Proof: https://vanillabonds.com/dossier.html?c=katjes&amp;viewer=1&amp;item=F1295</t>
      </text>
    </comment>
    <comment ref="B164" authorId="0" shapeId="0">
      <text>
        <t>F1296 · Instrument term
Document: S13, bond terms, 2023/2028 (issue 2023-09-21 to maturity 2028-09-21), 2023-09-17, unaudited, katjes-bond-2023-2028-bond-terms-signed.pdf
Page: 21
Quote: "the Issuer meets the Incurrence Test tested pro forma including the new Financial Indebtedness incurred as a result of issuing such Additional Bonds."
Status: extracted, pending review
Approver: none yet
Proof: https://vanillabonds.com/dossier.html?c=katjes&amp;viewer=1&amp;item=F1296</t>
      </text>
    </comment>
    <comment ref="B165" authorId="0" shapeId="0">
      <text>
        <t>F1297 · Instrument term
Document: S13, bond terms, 2023/2028 (issue 2023-09-21 to maturity 2028-09-21), 2023-09-17, unaudited, katjes-bond-2023-2028-bond-terms-signed.pdf
Page: 18
Quote: "The Bonds shall constitute senior debt obligations of the Issuer and rank: (a) pari passu between themselves;"
Status: extracted, pending review
Approver: none yet
Note on file: 22 Oct 2026: filed as instrument_term, not intercreditor_term: the bond's own ranking clause; intercreditor_term holds the agreement with the house bank
Proof: https://vanillabonds.com/dossier.html?c=katjes&amp;viewer=1&amp;item=F1297</t>
      </text>
    </comment>
    <comment ref="B166" authorId="0" shapeId="0">
      <text>
        <t>F1298 · Instrument term
Document: S13, bond terms, 2023/2028 (issue 2023-09-21 to maturity 2028-09-21), 2023-09-17, unaudited, katjes-bond-2023-2028-bond-terms-signed.pdf
Page: 15
Quote: "“Shareholder Loan” means any loan or credit made to the Issuer by any Investor, provided that it is unsecured and subordinated to the obligations of the Issuer under the Finance Documents"
Status: extracted, pending review
Approver: none yet
Note on file: 22 Oct 2026: filed as instrument_term, not intercreditor_term: the bond's own ranking clause; intercreditor_term holds the agreement with the house bank
Proof: https://vanillabonds.com/dossier.html?c=katjes&amp;viewer=1&amp;item=F1298</t>
      </text>
    </comment>
    <comment ref="B167" authorId="0" shapeId="0">
      <text>
        <t>F1346 · Instrument term
Document: S13, bond terms, 2023/2028 (issue 2023-09-21 to maturity 2028-09-21), 2023-09-17, unaudited, katjes-bond-2023-2028-bond-terms-signed.pdf
Page: 36
Quote: "its failure to pay is caused by administrative or technical error in payment systems or the CSD and payment is made within five Business Days following the original due date"
Status: extracted, pending review
Approver: none yet
Proof: https://vanillabonds.com/dossier.html?c=katjes&amp;viewer=1&amp;item=F1346</t>
      </text>
    </comment>
    <comment ref="B168" authorId="0" shapeId="0">
      <text>
        <t>F1347 · Instrument term
Document: S13, bond terms, 2023/2028 (issue 2023-09-21 to maturity 2028-09-21), 2023-09-17, unaudited, katjes-bond-2023-2028-bond-terms-signed.pdf
Page: 38
Quote: "the Bond Trustee receives a demand in writing from Bondholders representing a simple majority of the Voting Bonds, that an Event of Default shall be declared"
Status: extracted, pending review
Approver: none yet
Proof: https://vanillabonds.com/dossier.html?c=katjes&amp;viewer=1&amp;item=F1347</t>
      </text>
    </comment>
    <comment ref="B169" authorId="0" shapeId="0">
      <text>
        <t>F1348 · Instrument term
Document: S13, bond terms, 2023/2028 (issue 2023-09-21 to maturity 2028-09-21), 2023-09-17, unaudited, katjes-bond-2023-2028-bond-terms-signed.pdf
Page: 39
Quote: "At least 50 per cent. of the Voting Bonds must be represented at a Bondholders’ Meeting for a quorum to be present."
Status: extracted, pending review
Approver: none yet
Proof: https://vanillabonds.com/dossier.html?c=katjes&amp;viewer=1&amp;item=F1348</t>
      </text>
    </comment>
    <comment ref="B170" authorId="0" shapeId="0">
      <text>
        <t>F1349 · Instrument term
Document: S13, bond terms, 2023/2028 (issue 2023-09-21 to maturity 2028-09-21), 2023-09-17, unaudited, katjes-bond-2023-2028-bond-terms-signed.pdf
Page: 39
Quote: "Resolutions will be passed by simple majority of the Voting Bonds represented at the Bondholders’ Meeting"
Status: extracted, pending review
Approver: none yet
Proof: https://vanillabonds.com/dossier.html?c=katjes&amp;viewer=1&amp;item=F1349</t>
      </text>
    </comment>
    <comment ref="B171" authorId="0" shapeId="0">
      <text>
        <t>F1350 · Instrument term
Document: S13, bond terms, 2023/2028 (issue 2023-09-21 to maturity 2028-09-21), 2023-09-17, unaudited, katjes-bond-2023-2028-bond-terms-signed.pdf
Page: 39
Quote: "a majority of at least 2/3 of the Voting Bonds represented at the Bondholders’ Meeting is required for approval of any waiver or amendment of these Bond Terms"
Status: extracted, pending review
Approver: none yet
Proof: https://vanillabonds.com/dossier.html?c=katjes&amp;viewer=1&amp;item=F1350</t>
      </text>
    </comment>
    <comment ref="B172" authorId="0" shapeId="0">
      <text>
        <t>F1351 · Instrument term
Document: S13, bond terms, 2023/2028 (issue 2023-09-21 to maturity 2028-09-21), 2023-09-17, unaudited, katjes-bond-2023-2028-bond-terms-signed.pdf
Page: 41
Quote: "anything which may be resolved by the Bondholders in a Bondholders’ Meeting pursuant to Clause 15.1 (Authority of the Bondholders’ Meeting) may also be resolved by way of a Written Resolution"
Status: extracted, pending review
Approver: none yet
Proof: https://vanillabonds.com/dossier.html?c=katjes&amp;viewer=1&amp;item=F1351</t>
      </text>
    </comment>
    <comment ref="B173" authorId="0" shapeId="0">
      <text>
        <t>F1352 · Instrument term
Document: S13, bond terms, 2023/2028 (issue 2023-09-21 to maturity 2028-09-21), 2023-09-17, unaudited, katjes-bond-2023-2028-bond-terms-signed.pdf
Page: 42
Quote: "which shall be at least 10 Business Days but not more than 15 Business Days from the date of the Summons"
Status: extracted, pending review
Approver: none yet
Proof: https://vanillabonds.com/dossier.html?c=katjes&amp;viewer=1&amp;item=F1352</t>
      </text>
    </comment>
    <comment ref="B174" authorId="0" shapeId="0">
      <text>
        <t>F1353 · Instrument term
Document: S13, bond terms, 2023/2028 (issue 2023-09-21 to maturity 2028-09-21), 2023-09-17, unaudited, katjes-bond-2023-2028-bond-terms-signed.pdf
Page: 42
Quote: "A Written Resolution is passed when the requisite majority set out in paragraph (e) or (f) of Clause 15.1"
Status: extracted, pending review
Approver: none yet
Proof: https://vanillabonds.com/dossier.html?c=katjes&amp;viewer=1&amp;item=F1353</t>
      </text>
    </comment>
  </commentList>
</comments>
</file>

<file path=xl/comments/comment6.xml><?xml version="1.0" encoding="utf-8"?>
<comments xmlns="http://schemas.openxmlformats.org/spreadsheetml/2006/main">
  <authors>
    <author>VanillaBonds</author>
  </authors>
  <commentList>
    <comment ref="C2" authorId="0" shapeId="0">
      <text>
        <t>F115 · EBITDA as budgeted for that year (management plan at the time) · FY2023
Document: S1, annual report, FY2023, 2024-03-27, audited, katjes-2023-annual-report.pdf
Page: 41
Quote: "Katjes International’s EBITDA margin in the reporting year was 10.8%, well above the forecast range of 9–10%."
Status: approved by a named reviewer
Approver: demo reviewer, date not recorded
Proof: https://vanillabonds.com/dossier.html?c=katjes&amp;viewer=1&amp;item=F115</t>
      </text>
    </comment>
    <comment ref="D2" authorId="0" shapeId="0">
      <text>
        <t>EBITDA reported · FY2023
Computed: EBITDA as reported; margin = EBITDA as reported / revenue, one-off income included
Facts: F368 EBITDA (as reported) FY2023 (S2 p29, pending); F654 Revenue FY2023 (S3 p7, approved)</t>
      </text>
    </comment>
    <comment ref="C3" authorId="0" shapeId="0">
      <text>
        <t>F114 · Revenue as budgeted for that year (management plan at the time) · FY2023
Document: S1, annual report, FY2023, 2024-03-27, audited, katjes-2023-annual-report.pdf
Page: 41
Quote: "The company expected to achieve consolidated net sales of between EUR 350 million and EUR 375 million for the financial year 2023."
Status: approved by a named reviewer
Approver: demo reviewer, date not recorded
Proof: https://vanillabonds.com/dossier.html?c=katjes&amp;viewer=1&amp;item=F114</t>
      </text>
    </comment>
    <comment ref="D3" authorId="0" shapeId="0">
      <text>
        <t>F654 · Revenue · FY2023
Rounded chart value from the At a glance sales development series (2021-2025: 255, 295, 377, 393, 503)
Document: S3, annual report, FY2025, 2026-04-02, audited, katjes-2025-annual-report.pdf
Page: 7
Quote: "255 295 377 393 2021 2022 2023 2024 2025 503"
Status: approved by a named reviewer
Approver: demo reviewer, date not recorded
Proof: https://vanillabonds.com/dossier.html?c=katjes&amp;viewer=1&amp;item=F654</t>
      </text>
    </comment>
    <comment ref="C4" authorId="0" shapeId="0">
      <text>
        <t>F426 · EBITDA as budgeted for that year (management plan at the time) · FY2024
Document: S2, annual report, FY2024, 2025-04-09, audited, katjes-2024-annual-report.pdf
Page: 4
Quote: "even exceeded the EBITDA guidance, which was specified at the upper end of the previously indicated range during the course of the year."
Status: approved by a named reviewer
Approver: demo reviewer, date not recorded
Proof: https://vanillabonds.com/dossier.html?c=katjes&amp;viewer=1&amp;item=F426</t>
      </text>
    </comment>
    <comment ref="D4" authorId="0" shapeId="0">
      <text>
        <t>EBITDA reported · FY2024
Computed: EBITDA as reported; margin = EBITDA as reported / revenue, one-off income included
Facts: F660 EBITDA (as reported) FY2024 (S3 p25, approved); F655 Revenue FY2024 (S3 p37, approved)</t>
      </text>
    </comment>
    <comment ref="C5" authorId="0" shapeId="0">
      <text>
        <t>F425 · Revenue as budgeted for that year (management plan at the time) · FY2024
Document: S2, annual report, FY2024, 2025-04-09, audited, katjes-2024-annual-report.pdf
Page: 38
Quote: "In its financial reporting, the Company had issued guidance for consolidated revenues between EUR 390 million and EUR 420 million for the financial year 2024."
Status: approved by a named reviewer
Approver: demo reviewer, date not recorded
Proof: https://vanillabonds.com/dossier.html?c=katjes&amp;viewer=1&amp;item=F425</t>
      </text>
    </comment>
    <comment ref="D5" authorId="0" shapeId="0">
      <text>
        <t>F655 · Revenue · FY2024
Group revenue 2024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https://vanillabonds.com/dossier.html?c=katjes&amp;viewer=1&amp;item=F655</t>
      </text>
    </comment>
    <comment ref="C6" authorId="0" shapeId="0">
      <text>
        <t>F1254 · EBITDA as budgeted for that year (management plan at the time) · FY2025
Document: S2, annual report, FY2024, 2025-04-09, audited, katjes-2024-annual-report.pdf
Page: 38
Quote: "Katjes International is targeting an EBITDA margin between 9% and 10% in 2025."
Status: approved by a named reviewer
Approver: demo reviewer, date not recorded
Proof: https://vanillabonds.com/dossier.html?c=katjes&amp;viewer=1&amp;item=F1254</t>
      </text>
    </comment>
    <comment ref="D6" authorId="0" shapeId="0">
      <text>
        <t>EBITDA reported · FY2025
Computed: EBITDA as reported; margin = EBITDA as reported / revenue, one-off income included; EBITDA excluding one-off income = EBITDA as reported − one-off income, margin = EBITDA excluding one-off income / revenue
Facts: F661 EBITDA (as reported) FY2025 (S3 p25, approved); F656 Revenue FY2025 (S3 p37, approved); F837 One-off item FY2025 (S3 p75, approved); F838 One-off item FY2025 (S3 p75, approved)</t>
      </text>
    </comment>
    <comment ref="C7" authorId="0" shapeId="0">
      <text>
        <t>F716 · Revenue as budgeted for that year (management plan at the time) · FY2025
Document: S3, annual report, FY2025, 2026-04-02, audited, katjes-2025-annual-report.pdf
Page: 35
Quote: "Group revenue of at least EUR 400 million for the financial year 2025 in its guidance."
Status: approved by a named reviewer
Approver: demo reviewer, date not recorded
Proof: https://vanillabonds.com/dossier.html?c=katjes&amp;viewer=1&amp;item=F716</t>
      </text>
    </comment>
    <comment ref="D7" authorId="0" shapeId="0">
      <text>
        <t>F656 · Revenue · FY2025
Group revenue 2025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https://vanillabonds.com/dossier.html?c=katjes&amp;viewer=1&amp;item=F656</t>
      </text>
    </comment>
    <comment ref="C8" authorId="0" shapeId="0">
      <text>
        <t>F1255 · EBITDA as budgeted for that year (management plan at the time) · FY2026
Document: S3, annual report, FY2025, 2026-04-02, audited, katjes-2025-annual-report.pdf
Page: 35
Quote: "With regard to earnings, Katjes International plans to achieve an EBITDA margin between 10% and 12% in the financial year 2026."
Status: approved by a named reviewer
Approver: demo reviewer, date not recorded
Proof: https://vanillabonds.com/dossier.html?c=katjes&amp;viewer=1&amp;item=F1255</t>
      </text>
    </comment>
    <comment ref="C9" authorId="0" shapeId="0">
      <text>
        <t>F1104 · Revenue as budgeted for that year (management plan at the time) · FY2026
Document: S5, interim report, H1-2026, 2026-09-08, unaudited, katjes-h1-2026-interim-report.pdf
Page: 5
Quote: "to meet or exceed our guidance of expected Group revenue of at least EUR 650 million and an expected EBITDA margin of 10% – 12%."
Status: approved by a named reviewer
Approver: demo reviewer, date not recorded
Proof: https://vanillabonds.com/dossier.html?c=katjes&amp;viewer=1&amp;item=F1104</t>
      </text>
    </comment>
  </commentList>
</comments>
</file>

<file path=xl/comments/comment7.xml><?xml version="1.0" encoding="utf-8"?>
<comments xmlns="http://schemas.openxmlformats.org/spreadsheetml/2006/main">
  <authors>
    <author>VanillaBonds</author>
  </authors>
  <commentList>
    <comment ref="B2" authorId="0" shapeId="0">
      <text>
        <t>F1101 · Executive
Document: S5, interim report, H1-2026, 2026-09-08, unaudited, katjes-h1-2026-interim-report.pdf
Page: 6
Quote: "since 2012 – CFO of Katjes International"
Status: approved by a named reviewer
Approver: demo reviewer, date not recorded
Proof: https://vanillabonds.com/dossier.html?c=katjes&amp;viewer=1&amp;item=F1101</t>
      </text>
    </comment>
    <comment ref="B3" authorId="0" shapeId="0">
      <text>
        <t>F1102 · Executive
Document: S5, interim report, H1-2026, 2026-09-08, unaudited, katjes-h1-2026-interim-report.pdf
Page: 6
Quote: "since 2004 – Managing Partner of Katjes International"
Status: approved by a named reviewer
Approver: demo reviewer, date not recorded
Proof: https://vanillabonds.com/dossier.html?c=katjes&amp;viewer=1&amp;item=F1102</t>
      </text>
    </comment>
    <comment ref="B4" authorId="0" shapeId="0">
      <text>
        <t>F1103 · Executive
Document: S5, interim report, H1-2026, 2026-09-08, unaudited, katjes-h1-2026-interim-report.pdf
Page: 6
Quote: "since 1996 – Managing Partner of Katjes International"
Status: approved by a named reviewer
Approver: demo reviewer, date not recorded
Proof: https://vanillabonds.com/dossier.html?c=katjes&amp;viewer=1&amp;item=F1103</t>
      </text>
    </comment>
    <comment ref="B5" authorId="0" shapeId="0">
      <text>
        <t>F503 · Owner's stake as stated
Document: S2, annual report, FY2024, 2025-04-09, audited, katjes-2024-annual-report.pdf
Page: 67
Quote: "Limited partner Bastian Fassin 0.9 0.5 Limited partner Tobias Bachmüller 0.1 0.1"
Status: approved by a named reviewer
Approver: demo reviewer, date not recorded
Proof: https://vanillabonds.com/dossier.html?c=katjes&amp;viewer=1&amp;item=F503</t>
      </text>
    </comment>
    <comment ref="B6" authorId="0" shapeId="0">
      <text>
        <t>F198 · Owner's stake as stated
Document: S1, annual report, FY2023, 2024-03-27, audited, katjes-2023-annual-report.pdf
Page: 71
Quote: "Limited partner Bastian Fassin 0.5 0.5 Limited partner Tobias Bachmüller 0.1 0.1"
Status: approved by a named reviewer
Approver: demo reviewer, date not recorded
Proof: https://vanillabonds.com/dossier.html?c=katjes&amp;viewer=1&amp;item=F198</t>
      </text>
    </comment>
    <comment ref="B7" authorId="0" shapeId="0">
      <text>
        <t>F718 · Covenant test
Document: S3, annual report, FY2025, 2026-04-02, audited, katjes-2025-annual-report.pdf
Page: 34
Quote: "Compliance with existing covenants is ensured through"
Status: approved by a named reviewer
Approver: demo reviewer, date not recorded
Proof: https://vanillabonds.com/dossier.html?c=katjes&amp;viewer=1&amp;item=F718</t>
      </text>
    </comment>
    <comment ref="B8" authorId="0" shapeId="0">
      <text>
        <t>F904 · Past maturity
Document: S3, annual report, FY2025, 2026-04-02, audited, katjes-2025-annual-report.pdf
Page: 68
Quote: "The 2019/2024 bond was refinanced early in 2023 at 100.5%. For this purpose, the 2023/2028 bond bearing interest at 6.75% was issued in September 2023"
Status: approved by a named reviewer
Approver: demo reviewer, date not recorded
Proof: https://vanillabonds.com/dossier.html?c=katjes&amp;viewer=1&amp;item=F904</t>
      </text>
    </comment>
    <comment ref="B9" authorId="0" shapeId="0">
      <text>
        <t>F583 · Past maturity
Document: S2, annual report, FY2024, 2025-04-09, audited, katjes-2024-annual-report.pdf
Page: 60
Quote: "In the previous year, this also included a liability of EUR 6.4 million re- lated to the acquisition of the Oral Care production site."
Status: approved by a named reviewer
Approver: demo reviewer, date not recorded
Proof: https://vanillabonds.com/dossier.html?c=katjes&amp;viewer=1&amp;item=F583</t>
      </text>
    </comment>
    <comment ref="B10" authorId="0" shapeId="0">
      <text>
        <t>F584 · Past maturity
Document: S2, annual report, FY2024, 2025-04-09, audited, katjes-2024-annual-report.pdf
Page: 68
Quote: "vious year, 2023, at 100.5%. To redeem the bond, a new 2023/2028 bond bearing interest at 6.75% was issued in Sep- tember 2023."
Status: approved by a named reviewer
Approver: demo reviewer, date not recorded
Proof: https://vanillabonds.com/dossier.html?c=katjes&amp;viewer=1&amp;item=F584</t>
      </text>
    </comment>
    <comment ref="B11" authorId="0" shapeId="0">
      <text>
        <t>F585 · Past maturity
Document: S2, annual report, FY2024, 2025-04-09, audited, katjes-2024-annual-report.pdf
Page: 68
Quote: "Included in the liabilities to banks was a loan granted in 2020 as part of liquidity support measures (total amount: EUR 5.0 million; as of 31 December 2024: EUR 0.0 million)."
Status: approved by a named reviewer
Approver: demo reviewer, date not recorded
Proof: https://vanillabonds.com/dossier.html?c=katjes&amp;viewer=1&amp;item=F585</t>
      </text>
    </comment>
    <comment ref="B12" authorId="0" shapeId="0">
      <text>
        <t>F1242 · Top-team change
Document: S5, interim report, H1-2026, 2026-09-08, unaudited, katjes-h1-2026-interim-report.pdf
Page: 15
Quote: "Since June 1, 2026, Arne Freundt has been responsible for BOGNER's future direction as CEO."
Status: approved by a named reviewer
Approver: demo reviewer, date not recorded
Proof: https://vanillabonds.com/dossier.html?c=katjes&amp;viewer=1&amp;item=F1242</t>
      </text>
    </comment>
    <comment ref="B13" authorId="0" shapeId="0">
      <text>
        <t>F1115 · Succession
Document: S5, interim report, H1-2026, 2026-09-08, unaudited, katjes-h1-2026-interim-report.pdf
Page: 6
Quote: "since 2012 – CFO of Katjes International"
Status: approved by a named reviewer
Approver: demo reviewer, date not recorded
Proof: https://vanillabonds.com/dossier.html?c=katjes&amp;viewer=1&amp;item=F1115</t>
      </text>
    </comment>
    <comment ref="B14" authorId="0" shapeId="0">
      <text>
        <t>F1243 · Remuneration as disclosed in the filed accounts
Document: S5, interim report, H1-2026, 2026-09-08, unaudited, katjes-h1-2026-interim-report.pdf
Page: 48
Quote: "Total remuneration of management* 0.3 0.1"
Status: approved by a named reviewer
Approver: demo reviewer, date not recorded
Proof: https://vanillabonds.com/dossier.html?c=katjes&amp;viewer=1&amp;item=F1243</t>
      </text>
    </comment>
    <comment ref="B15" authorId="0" shapeId="0">
      <text>
        <t>F299 · Remuneration as disclosed in the filed accounts
Document: S1, annual report, FY2023, 2024-03-27, audited, katjes-2023-annual-report.pdf
Page: 84
Quote: "With reference to the protective clause set out in section 286 (4) of the German Commercial Code (HGB)"
Status: approved by a named reviewer
Approver: demo reviewer, date not recorded
Proof: https://vanillabonds.com/dossier.html?c=katjes&amp;viewer=1&amp;item=F299</t>
      </text>
    </comment>
    <comment ref="B16" authorId="0" shapeId="0">
      <text>
        <t>F1154 · Board member
Document: S5, interim report, H1-2026, 2026-09-08, unaudited, katjes-h1-2026-interim-report.pdf
Page: 6
Quote: "Managing Director (CFO) of Katjes International"
Status: approved by a named reviewer
Approver: demo reviewer, date not recorded
Proof: https://vanillabonds.com/dossier.html?c=katjes&amp;viewer=1&amp;item=F1154</t>
      </text>
    </comment>
    <comment ref="B17" authorId="0" shapeId="0">
      <text>
        <t>F1155 · Board member
Document: S5, interim report, H1-2026, 2026-09-08, unaudited, katjes-h1-2026-interim-report.pdf
Page: 6
Quote: "since 2004 – Managing Partner of Katjes International"
Status: approved by a named reviewer
Approver: demo reviewer, date not recorded
Proof: https://vanillabonds.com/dossier.html?c=katjes&amp;viewer=1&amp;item=F1155</t>
      </text>
    </comment>
    <comment ref="B18" authorId="0" shapeId="0">
      <text>
        <t>F1156 · Board member
Document: S5, interim report, H1-2026, 2026-09-08, unaudited, katjes-h1-2026-interim-report.pdf
Page: 6
Quote: "since 1996 – Managing Partner of Katjes International"
Status: approved by a named reviewer
Approver: demo reviewer, date not recorded
Proof: https://vanillabonds.com/dossier.html?c=katjes&amp;viewer=1&amp;item=F1156</t>
      </text>
    </comment>
    <comment ref="B19" authorId="0" shapeId="0">
      <text>
        <t>F781 · Board member
Document: S3, annual report, FY2025, 2026-04-02, audited, katjes-2025-annual-report.pdf
Page: 6
Quote: "since 1996 – Managing Shareholder of Katjes International"
Status: approved by a named reviewer
Approver: demo reviewer, date not recorded
Proof: https://vanillabonds.com/dossier.html?c=katjes&amp;viewer=1&amp;item=F781</t>
      </text>
    </comment>
    <comment ref="B20" authorId="0" shapeId="0">
      <text>
        <t>F782 · Board member
Document: S3, annual report, FY2025, 2026-04-02, audited, katjes-2025-annual-report.pdf
Page: 44
Quote: "In addition to the two shareholders, Stephan Milde is also appointed as managing"
Status: approved by a named reviewer
Approver: demo reviewer, date not recorded
Proof: https://vanillabonds.com/dossier.html?c=katjes&amp;viewer=1&amp;item=F782</t>
      </text>
    </comment>
    <comment ref="B21" authorId="0" shapeId="0">
      <text>
        <t>F783 · Board member
Document: S3, annual report, FY2025, 2026-04-02, audited, katjes-2025-annual-report.pdf
Page: 80
Quote: "The management of the parent company is carried out by the general partner, Xaver Fassin International GmbH, whose shareholders are Mr Bastian Fassin and Mr Tobias Bachmüller."
Status: approved by a named reviewer
Approver: demo reviewer, date not recorded
Proof: https://vanillabonds.com/dossier.html?c=katjes&amp;viewer=1&amp;item=F783</t>
      </text>
    </comment>
    <comment ref="B22" authorId="0" shapeId="0">
      <text>
        <t>F494 · Board member
Document: S2, annual report, FY2024, 2025-04-09, audited, katjes-2024-annual-report.pdf
Page: 6
Quote: "BASTIAN FASSIN Managing Shareholder of Katjes International Career Since 2004 – Managing Shareholder of Katjes International"
Status: approved by a named reviewer
Approver: demo reviewer, date not recorded
Proof: https://vanillabonds.com/dossier.html?c=katjes&amp;viewer=1&amp;item=F494</t>
      </text>
    </comment>
    <comment ref="B23" authorId="0" shapeId="0">
      <text>
        <t>F495 · Board member
Document: S2, annual report, FY2024, 2025-04-09, audited, katjes-2024-annual-report.pdf
Page: 6
Quote: "TOBIAS BACHMÜLLER Managing Shareholder of Katjes International Career since 1996 – Managing Shareholder of Katjes International"
Status: approved by a named reviewer
Approver: demo reviewer, date not recorded
Proof: https://vanillabonds.com/dossier.html?c=katjes&amp;viewer=1&amp;item=F495</t>
      </text>
    </comment>
    <comment ref="B24" authorId="0" shapeId="0">
      <text>
        <t>F496 · Board member
Document: S2, annual report, FY2024, 2025-04-09, audited, katjes-2024-annual-report.pdf
Page: 6
Quote: "STEPHAN MILDE Managing Director (CFO) of Katjes International Career Since 2012 – CFO Katjes International"
Status: approved by a named reviewer
Approver: demo reviewer, date not recorded
Proof: https://vanillabonds.com/dossier.html?c=katjes&amp;viewer=1&amp;item=F496</t>
      </text>
    </comment>
    <comment ref="B25" authorId="0" shapeId="0">
      <text>
        <t>F187 · Board member
Document: S1, annual report, FY2023, 2024-03-27, audited, katjes-2023-annual-report.pdf
Page: 6
Quote: "STEPHAN MILDE Managing Director (CFO) of Katjes International"
Status: approved by a named reviewer
Approver: demo reviewer, date not recorded
Proof: https://vanillabonds.com/dossier.html?c=katjes&amp;viewer=1&amp;item=F187</t>
      </text>
    </comment>
    <comment ref="B26" authorId="0" shapeId="0">
      <text>
        <t>F188 · Board member
Document: S1, annual report, FY2023, 2024-03-27, audited, katjes-2023-annual-report.pdf
Page: 6
Quote: "BASTIAN FASSIN Managing Shareholder of Katjes International"
Status: approved by a named reviewer
Approver: demo reviewer, date not recorded
Proof: https://vanillabonds.com/dossier.html?c=katjes&amp;viewer=1&amp;item=F188</t>
      </text>
    </comment>
    <comment ref="B27" authorId="0" shapeId="0">
      <text>
        <t>F189 · Board member
Document: S1, annual report, FY2023, 2024-03-27, audited, katjes-2023-annual-report.pdf
Page: 6
Quote: "TOBIAS BACHMÜLLER Managing Shareholder of Katjes International"
Status: approved by a named reviewer
Approver: demo reviewer, date not recorded
Proof: https://vanillabonds.com/dossier.html?c=katjes&amp;viewer=1&amp;item=F189</t>
      </text>
    </comment>
  </commentList>
</comments>
</file>

<file path=xl/comments/comment8.xml><?xml version="1.0" encoding="utf-8"?>
<comments xmlns="http://schemas.openxmlformats.org/spreadsheetml/2006/main">
  <authors>
    <author>VanillaBonds</author>
  </authors>
  <commentList>
    <comment ref="B2" authorId="0" shapeId="0">
      <text>
        <t>F1095 · Risk fact
Document: S5, interim report, H1-2026, 2026-09-08, unaudited, katjes-h1-2026-interim-report.pdf
Page: 22
Quote: "The second half of the year remains the period with significantly higher revenue and is decisive for full-year performance."
Status: approved by a named reviewer
Approver: demo reviewer, date not recorded
Proof: https://vanillabonds.com/dossier.html?c=katjes&amp;viewer=1&amp;item=F1095</t>
      </text>
    </comment>
    <comment ref="B3" authorId="0" shapeId="0">
      <text>
        <t>F1096 · Risk fact
Document: S5, interim report, H1-2026, 2026-09-08, unaudited, katjes-h1-2026-interim-report.pdf
Page: 23
Quote: "In both cases, insurance coverage or a right of recourse generally exists."
Status: approved by a named reviewer
Approver: demo reviewer, date not recorded
Proof: https://vanillabonds.com/dossier.html?c=katjes&amp;viewer=1&amp;item=F1096</t>
      </text>
    </comment>
    <comment ref="B4" authorId="0" shapeId="0">
      <text>
        <t>F1097 · Risk fact
Document: S5, interim report, H1-2026, 2026-09-08, unaudited, katjes-h1-2026-interim-report.pdf
Page: 23
Quote: "increase in the Katjes International bond and acquisition finan- cing (in connection with the acquisition of Bogner, the invest- ment in Missoni and the acquisition of Graze)"
Status: approved by a named reviewer
Approver: demo reviewer, date not recorded
Proof: https://vanillabonds.com/dossier.html?c=katjes&amp;viewer=1&amp;item=F1097</t>
      </text>
    </comment>
    <comment ref="B5" authorId="0" shapeId="0">
      <text>
        <t>F1098 · Risk fact
Document: S5, interim report, H1-2026, 2026-09-08, unaudited, katjes-h1-2026-interim-report.pdf
Page: 26
Quote: "From the perspective of management, no risks threatening the Company's continued existence are identifiable at present or in the foreseeable future."
Status: approved by a named reviewer
Approver: demo reviewer, date not recorded
Proof: https://vanillabonds.com/dossier.html?c=katjes&amp;viewer=1&amp;item=F1098</t>
      </text>
    </comment>
    <comment ref="B6" authorId="0" shapeId="0">
      <text>
        <t>F1099 · Risk fact
Document: S5, interim report, H1-2026, 2026-09-08, unaudited, katjes-h1-2026-interim-report.pdf
Page: 26
Quote: "In the first half of the year, no significant changes occurred in the opportunities and risks compared with the 2025 consolidated fi-"
Status: approved by a named reviewer
Approver: demo reviewer, date not recorded
Proof: https://vanillabonds.com/dossier.html?c=katjes&amp;viewer=1&amp;item=F1099</t>
      </text>
    </comment>
    <comment ref="B7" authorId="0" shapeId="0">
      <text>
        <t>F1100 · Risk fact
Document: S5, interim report, H1-2026, 2026-09-08, unaudited, katjes-h1-2026-interim-report.pdf
Page: 41
Quote: "other foreign currencies (mainly RUB, CHF, USD) are reported at an equivalent value of EUR 8.6 million"
Status: approved by a named reviewer
Approver: demo reviewer, date not recorded
Proof: https://vanillabonds.com/dossier.html?c=katjes&amp;viewer=1&amp;item=F1100</t>
      </text>
    </comment>
    <comment ref="B8" authorId="0" shapeId="0">
      <text>
        <t>F701 · Risk fact
Document: S3, annual report, FY2025, 2026-04-02, audited, katjes-2025-annual-report.pdf
Page: 26
Quote: "In the financial year 2025, cash flow from operating activities amounted to EUR 19.1 million (2024: EUR 45.6 million)"
Status: approved by a named reviewer
Approver: demo reviewer, date not recorded
Proof: https://vanillabonds.com/dossier.html?c=katjes&amp;viewer=1&amp;item=F701</t>
      </text>
    </comment>
    <comment ref="B9" authorId="0" shapeId="0">
      <text>
        <t>F702 · Risk fact
Document: S3, annual report, FY2025, 2026-04-02, audited, katjes-2025-annual-report.pdf
Page: 30
Quote: "Luxury consumer goods are subject to significant risks, but also offer corresponding opportunities."
Status: approved by a named reviewer
Approver: demo reviewer, date not recorded
Proof: https://vanillabonds.com/dossier.html?c=katjes&amp;viewer=1&amp;item=F702</t>
      </text>
    </comment>
    <comment ref="B10" authorId="0" shapeId="0">
      <text>
        <t>F703 · Risk fact
Document: S3, annual report, FY2025, 2026-04-02, audited, katjes-2025-annual-report.pdf
Page: 32
Quote: "is exposed to foreign exchange risks, especially against the US dollar."
Status: approved by a named reviewer
Approver: demo reviewer, date not recorded
Proof: https://vanillabonds.com/dossier.html?c=katjes&amp;viewer=1&amp;item=F703</t>
      </text>
    </comment>
    <comment ref="B11" authorId="0" shapeId="0">
      <text>
        <t>F704 · Risk fact
Document: S3, annual report, FY2025, 2026-04-02, audited, katjes-2025-annual-report.pdf
Page: 32
Quote: "Group companies may be required to repay subsidies or other government grants."
Status: approved by a named reviewer
Approver: demo reviewer, date not recorded
Proof: https://vanillabonds.com/dossier.html?c=katjes&amp;viewer=1&amp;item=F704</t>
      </text>
    </comment>
    <comment ref="B12" authorId="0" shapeId="0">
      <text>
        <t>F705 · Risk fact
Document: S3, annual report, FY2025, 2026-04-02, audited, katjes-2025-annual-report.pdf
Page: 32
Quote: "The success of Katjes International depends on the expertise and experience of key management personnel and qualified employees."
Status: approved by a named reviewer
Approver: demo reviewer, date not recorded
Proof: https://vanillabonds.com/dossier.html?c=katjes&amp;viewer=1&amp;item=F705</t>
      </text>
    </comment>
    <comment ref="B13" authorId="0" shapeId="0">
      <text>
        <t>F706 · Risk fact
Document: S3, annual report, FY2025, 2026-04-02, audited, katjes-2025-annual-report.pdf
Page: 32
Quote: "however, its earnings are primarily dependent on the results of its subsidiaries and portfolio companies."
Status: approved by a named reviewer
Approver: demo reviewer, date not recorded
Proof: https://vanillabonds.com/dossier.html?c=katjes&amp;viewer=1&amp;item=F706</t>
      </text>
    </comment>
    <comment ref="B14" authorId="0" shapeId="0">
      <text>
        <t>F707 · Risk fact
Document: S3, annual report, FY2025, 2026-04-02, audited, katjes-2025-annual-report.pdf
Page: 32
Quote: "A single incident may have serious consequences (e.g. business interruption, data loss)."
Status: approved by a named reviewer
Approver: demo reviewer, date not recorded
Proof: https://vanillabonds.com/dossier.html?c=katjes&amp;viewer=1&amp;item=F707</t>
      </text>
    </comment>
    <comment ref="B15" authorId="0" shapeId="0">
      <text>
        <t>F708 · Risk fact
Document: S3, annual report, FY2025, 2026-04-02, audited, katjes-2025-annual-report.pdf
Page: 32
Quote: "Katjes International assesses the overall risk arising from these"
Status: approved by a named reviewer
Approver: demo reviewer, date not recorded
Proof: https://vanillabonds.com/dossier.html?c=katjes&amp;viewer=1&amp;item=F708</t>
      </text>
    </comment>
    <comment ref="B16" authorId="0" shapeId="0">
      <text>
        <t>F709 · Risk fact
Document: S3, annual report, FY2025, 2026-04-02, audited, katjes-2025-annual-report.pdf
Page: 33
Quote: "However, further developments in the Russia-Ukraine war and the security situation in the Middle East remain of importance"
Status: approved by a named reviewer
Approver: demo reviewer, date not recorded
Proof: https://vanillabonds.com/dossier.html?c=katjes&amp;viewer=1&amp;item=F709</t>
      </text>
    </comment>
    <comment ref="B17" authorId="0" shapeId="0">
      <text>
        <t>F710 · Risk fact
Document: S3, annual report, FY2025, 2026-04-02, audited, katjes-2025-annual-report.pdf
Page: 66
Quote: "As at the reporting date, trade receivables amounting to EUR 2.1 million were more than six months past due"
Status: approved by a named reviewer
Approver: demo reviewer, date not recorded
Proof: https://vanillabonds.com/dossier.html?c=katjes&amp;viewer=1&amp;item=F710</t>
      </text>
    </comment>
    <comment ref="B18" authorId="0" shapeId="0">
      <text>
        <t>F711 · Risk fact
Document: S3, annual report, FY2025, 2026-04-02, audited, katjes-2025-annual-report.pdf
Page: 81
Quote: "On February 28, 2026, the United States and Israel initiated a military conflict with Iran."
Status: approved by a named reviewer
Approver: demo reviewer, date not recorded
Proof: https://vanillabonds.com/dossier.html?c=katjes&amp;viewer=1&amp;item=F711</t>
      </text>
    </comment>
    <comment ref="B19" authorId="0" shapeId="0">
      <text>
        <t>F712 · Risk fact
Document: S3, annual report, FY2025, 2026-04-02, audited, katjes-2025-annual-report.pdf
Page: 84
Quote: "Bogner Eastern Europe LLC, Moscow, Russia 60 A"
Status: approved by a named reviewer
Approver: demo reviewer, date not recorded
Proof: https://vanillabonds.com/dossier.html?c=katjes&amp;viewer=1&amp;item=F712</t>
      </text>
    </comment>
    <comment ref="B20" authorId="0" shapeId="0">
      <text>
        <t>F407 · Risk fact
Document: S2, annual report, FY2024, 2025-04-09, audited, katjes-2024-annual-report.pdf
Page: 35
Quote: "The confectionery business is subject to seasonal fluctuati- ons."
Status: approved by a named reviewer
Approver: demo reviewer, date not recorded
Proof: https://vanillabonds.com/dossier.html?c=katjes&amp;viewer=1&amp;item=F407</t>
      </text>
    </comment>
    <comment ref="B21" authorId="0" shapeId="0">
      <text>
        <t>F408 · Risk fact
Document: S2, annual report, FY2024, 2025-04-09, audited, katjes-2024-annual-report.pdf
Page: 35
Quote: "Procurement costs for essential raw and auxiliary materials such as sugar, cocoa, nuts, glucose, panthenol, and packa"
Status: approved by a named reviewer
Approver: demo reviewer, date not recorded
Proof: https://vanillabonds.com/dossier.html?c=katjes&amp;viewer=1&amp;item=F408</t>
      </text>
    </comment>
    <comment ref="B22" authorId="0" shapeId="0">
      <text>
        <t>F409 · Risk fact
Document: S2, annual report, FY2024, 2025-04-09, audited, katjes-2024-annual-report.pdf
Page: 35
Quote: "Concentration risks may ari- se from large key accounts, especially in food retail."
Status: approved by a named reviewer
Approver: demo reviewer, date not recorded
Proof: https://vanillabonds.com/dossier.html?c=katjes&amp;viewer=1&amp;item=F409</t>
      </text>
    </comment>
    <comment ref="B23" authorId="0" shapeId="0">
      <text>
        <t>F410 · Risk fact
Document: S2, annual report, FY2024, 2025-04-09, audited, katjes-2024-annual-report.pdf
Page: 35
Quote: "Katjes International relies on certain suppliers. Supply failures or delivery delays may cause production interruptions."
Status: approved by a named reviewer
Approver: demo reviewer, date not recorded
Proof: https://vanillabonds.com/dossier.html?c=katjes&amp;viewer=1&amp;item=F410</t>
      </text>
    </comment>
    <comment ref="B24" authorId="0" shapeId="0">
      <text>
        <t>F411 · Risk fact
Document: S2, annual report, FY2024, 2025-04-09, audited, katjes-2024-annual-report.pdf
Page: 35
Quote: "The ongoing war in Ukraine continues to cause i. a. volatility in procurement markets."
Status: approved by a named reviewer
Approver: demo reviewer, date not recorded
Proof: https://vanillabonds.com/dossier.html?c=katjes&amp;viewer=1&amp;item=F411</t>
      </text>
    </comment>
    <comment ref="B25" authorId="0" shapeId="0">
      <text>
        <t>F412 · Risk fact
Document: S2, annual report, FY2024, 2025-04-09, audited, katjes-2024-annual-report.pdf
Page: 35
Quote: "Group companies may be required to repay subsidies or other government grants."
Status: approved by a named reviewer
Approver: demo reviewer, date not recorded
Proof: https://vanillabonds.com/dossier.html?c=katjes&amp;viewer=1&amp;item=F412</t>
      </text>
    </comment>
    <comment ref="B26" authorId="0" shapeId="0">
      <text>
        <t>F413 · Risk fact
Document: S2, annual report, FY2024, 2025-04-09, audited, katjes-2024-annual-report.pdf
Page: 35
Quote: "Katjes International considers the overall risk arising from the aforementioned market and regulatory risks to be relatively low, due to the risk mitigation measures described in section 6."
Status: approved by a named reviewer
Approver: demo reviewer, date not recorded
Proof: https://vanillabonds.com/dossier.html?c=katjes&amp;viewer=1&amp;item=F413</t>
      </text>
    </comment>
    <comment ref="B27" authorId="0" shapeId="0">
      <text>
        <t>F414 · Risk fact
Document: S2, annual report, FY2024, 2025-04-09, audited, katjes-2024-annual-report.pdf
Page: 36
Quote: "As a strategic holding company, Katjes International operates on a service basis for its subsidiaries and investments."
Status: approved by a named reviewer
Approver: demo reviewer, date not recorded
Proof: https://vanillabonds.com/dossier.html?c=katjes&amp;viewer=1&amp;item=F414</t>
      </text>
    </comment>
    <comment ref="B28" authorId="0" shapeId="0">
      <text>
        <t>F415 · Risk fact
Document: S2, annual report, FY2024, 2025-04-09, audited, katjes-2024-annual-report.pdf
Page: 36
Quote: "The threat of cyberattacks (e.g., hacking, phishing) is growing."
Status: approved by a named reviewer
Approver: demo reviewer, date not recorded
Proof: https://vanillabonds.com/dossier.html?c=katjes&amp;viewer=1&amp;item=F415</t>
      </text>
    </comment>
    <comment ref="B29" authorId="0" shapeId="0">
      <text>
        <t>F416 · Risk fact
Document: S2, annual report, FY2024, 2025-04-09, audited, katjes-2024-annual-report.pdf
Page: 57
Quote: "EUR 0.4 million lower or EUR 0.4 million higher, respectively (2023: EUR 0.8 million lower / EUR 0.8 million higher)."
Status: approved by a named reviewer
Approver: demo reviewer, date not recorded
Proof: https://vanillabonds.com/dossier.html?c=katjes&amp;viewer=1&amp;item=F416</t>
      </text>
    </comment>
    <comment ref="B30" authorId="0" shapeId="0">
      <text>
        <t>F417 · Risk fact
Document: S2, annual report, FY2024, 2025-04-09, audited, katjes-2024-annual-report.pdf
Page: 57
Quote: "As at 31 December 2024, no hedging instruments were in place to mitigate foreign currency risk."
Status: approved by a named reviewer
Approver: demo reviewer, date not recorded
Proof: https://vanillabonds.com/dossier.html?c=katjes&amp;viewer=1&amp;item=F417</t>
      </text>
    </comment>
    <comment ref="B31" authorId="0" shapeId="0">
      <text>
        <t>F418 · Risk fact
Document: S2, annual report, FY2024, 2025-04-09, audited, katjes-2024-annual-report.pdf
Page: 57
Quote: "The maximum exposure to credit risk is limited to the carrying amount (EUR 59.2 million; 2023: EUR 57.3 million)."
Status: approved by a named reviewer
Approver: demo reviewer, date not recorded
Proof: https://vanillabonds.com/dossier.html?c=katjes&amp;viewer=1&amp;item=F418</t>
      </text>
    </comment>
    <comment ref="B32" authorId="0" shapeId="0">
      <text>
        <t>F419 · Risk fact
Document: S2, annual report, FY2024, 2025-04-09, audited, katjes-2024-annual-report.pdf
Page: 59
Quote: "Maturity groups financial liabilities (duration as of balance sheet date)"
Status: approved by a named reviewer
Approver: demo reviewer, date not recorded
Proof: https://vanillabonds.com/dossier.html?c=katjes&amp;viewer=1&amp;item=F419</t>
      </text>
    </comment>
    <comment ref="B33" authorId="0" shapeId="0">
      <text>
        <t>F420 · Risk fact
Document: S2, annual report, FY2024, 2025-04-09, audited, katjes-2024-annual-report.pdf
Page: 66
Quote: "As at the reporting date, trade receivables of EUR 0.5 million were more than six months overdue and were fully impaired in the amount of EUR 0.5 million."
Status: approved by a named reviewer
Approver: demo reviewer, date not recorded
Proof: https://vanillabonds.com/dossier.html?c=katjes&amp;viewer=1&amp;item=F420</t>
      </text>
    </comment>
    <comment ref="B34" authorId="0" shapeId="0">
      <text>
        <t>F421 · Risk fact
Document: S2, annual report, FY2024, 2025-04-09, audited, katjes-2024-annual-report.pdf
Page: 66
Quote: "Inventory write-downs were recognized in the amount of EUR 1.5 million (2023: EUR 0.9 million)."
Status: approved by a named reviewer
Approver: demo reviewer, date not recorded
Proof: https://vanillabonds.com/dossier.html?c=katjes&amp;viewer=1&amp;item=F421</t>
      </text>
    </comment>
    <comment ref="B35" authorId="0" shapeId="0">
      <text>
        <t>F094 · Risk fact
Document: S1, annual report, FY2023, 2024-03-27, audited, katjes-2023-annual-report.pdf
Page: 38
Quote: "Concentration risks could arise from major customers, especially in the food retail sector."
Status: approved by a named reviewer
Approver: demo reviewer, date not recorded
Proof: https://vanillabonds.com/dossier.html?c=katjes&amp;viewer=1&amp;item=F094</t>
      </text>
    </comment>
    <comment ref="B36" authorId="0" shapeId="0">
      <text>
        <t>F095 · Risk fact
Document: S1, annual report, FY2023, 2024-03-27, audited, katjes-2023-annual-report.pdf
Page: 38
Quote: "needed for production – especially sugar, cocoa, nuts, glucose and panthenol – could become less favourable."
Status: approved by a named reviewer
Approver: demo reviewer, date not recorded
Note on file: text: company wording put in quotation marks (reviewer, 20 Oct 2026)
Proof: https://vanillabonds.com/dossier.html?c=katjes&amp;viewer=1&amp;item=F095</t>
      </text>
    </comment>
    <comment ref="B37" authorId="0" shapeId="0">
      <text>
        <t>F096 · Risk fact
Document: S1, annual report, FY2023, 2024-03-27, audited, katjes-2023-annual-report.pdf
Page: 38
Quote: "Katjes International is dependent on certain suppliers. Delivery delays or non-delivery by a supplier could lead to production downtime."
Status: approved by a named reviewer
Approver: demo reviewer, date not recorded
Proof: https://vanillabonds.com/dossier.html?c=katjes&amp;viewer=1&amp;item=F096</t>
      </text>
    </comment>
    <comment ref="B38" authorId="0" shapeId="0">
      <text>
        <t>F097 · Risk fact
Document: S1, annual report, FY2023, 2024-03-27, audited, katjes-2023-annual-report.pdf
Page: 38
Quote: "Katjes International considers the overall risk arising from the aforementioned market-related and regulatory risks to be negligible."
Status: approved by a named reviewer
Approver: demo reviewer, date not recorded
Proof: https://vanillabonds.com/dossier.html?c=katjes&amp;viewer=1&amp;item=F097</t>
      </text>
    </comment>
    <comment ref="B39" authorId="0" shapeId="0">
      <text>
        <t>F098 · Risk fact
Document: S1, annual report, FY2023, 2024-03-27, audited, katjes-2023-annual-report.pdf
Page: 38
Quote: "The wars in Ukraine and the Middle East could cause"
Status: approved by a named reviewer
Approver: demo reviewer, date not recorded
Proof: https://vanillabonds.com/dossier.html?c=katjes&amp;viewer=1&amp;item=F098</t>
      </text>
    </comment>
    <comment ref="B40" authorId="0" shapeId="0">
      <text>
        <t>F099 · Risk fact
Document: S1, annual report, FY2023, 2024-03-27, audited, katjes-2023-annual-report.pdf
Page: 38
Quote: "Group companies have to repay subsidies or other"
Status: approved by a named reviewer
Approver: demo reviewer, date not recorded
Proof: https://vanillabonds.com/dossier.html?c=katjes&amp;viewer=1&amp;item=F099</t>
      </text>
    </comment>
    <comment ref="B41" authorId="0" shapeId="0">
      <text>
        <t>F100 · Risk fact
Document: S1, annual report, FY2023, 2024-03-27, audited, katjes-2023-annual-report.pdf
Page: 38
Quote: "The business in the confectionery market is subject to seasonal fluctuations."
Status: approved by a named reviewer
Approver: demo reviewer, date not recorded
Proof: https://vanillabonds.com/dossier.html?c=katjes&amp;viewer=1&amp;item=F100</t>
      </text>
    </comment>
    <comment ref="B42" authorId="0" shapeId="0">
      <text>
        <t>F101 · Risk fact
Document: S1, annual report, FY2023, 2024-03-27, audited, katjes-2023-annual-report.pdf
Page: 39
Quote: "The success of Katjes International depends on the knowledge and experience of individual managers and skilled personnel."
Status: approved by a named reviewer
Approver: demo reviewer, date not recorded
Proof: https://vanillabonds.com/dossier.html?c=katjes&amp;viewer=1&amp;item=F101</t>
      </text>
    </comment>
    <comment ref="B43" authorId="0" shapeId="0">
      <text>
        <t>F102 · Risk fact
Document: S1, annual report, FY2023, 2024-03-27, audited, katjes-2023-annual-report.pdf
Page: 39
Quote: "holdings in return for payment, but its earnings are largely depending on the results of the subsidiaries and holdings."
Status: approved by a named reviewer
Approver: demo reviewer, date not recorded
Proof: https://vanillabonds.com/dossier.html?c=katjes&amp;viewer=1&amp;item=F102</t>
      </text>
    </comment>
    <comment ref="B44" authorId="0" shapeId="0">
      <text>
        <t>F103 · Risk fact
Document: S1, annual report, FY2023, 2024-03-27, audited, katjes-2023-annual-report.pdf
Page: 39
Quote: "The risk of cyberattacks (e.g. hacking attacks, phishing emails) is increasing all the time."
Status: approved by a named reviewer
Approver: demo reviewer, date not recorded
Proof: https://vanillabonds.com/dossier.html?c=katjes&amp;viewer=1&amp;item=F103</t>
      </text>
    </comment>
    <comment ref="B45" authorId="0" shapeId="0">
      <text>
        <t>F104 · Risk fact
Document: S1, annual report, FY2023, 2024-03-27, audited, katjes-2023-annual-report.pdf
Page: 48
Quote: "As at 31 December 2023, cash and cash equivalents in a foreign currency with a value of EUR 2.0 million (SEK 24.0 million) are reported."
Status: approved by a named reviewer
Approver: demo reviewer, date not recorded
Proof: https://vanillabonds.com/dossier.html?c=katjes&amp;viewer=1&amp;item=F104</t>
      </text>
    </comment>
    <comment ref="B46" authorId="0" shapeId="0">
      <text>
        <t>F105 · Risk fact
Document: S1, annual report, FY2023, 2024-03-27, audited, katjes-2023-annual-report.pdf
Page: 53
Quote: "The financial statements of Candy Kittens and Longaim, whose functional currency is GBP as opposed to the Euro,"
Status: approved by a named reviewer
Approver: demo reviewer, date not recorded
Proof: https://vanillabonds.com/dossier.html?c=katjes&amp;viewer=1&amp;item=F105</t>
      </text>
    </comment>
    <comment ref="B47" authorId="0" shapeId="0">
      <text>
        <t>F106 · Risk fact
Document: S1, annual report, FY2023, 2024-03-27, audited, katjes-2023-annual-report.pdf
Page: 61
Quote: "len by 1%, profit after tax would have been EUR 0.8 million lower/EUR 0.8 million higher in the reporting year"
Status: approved by a named reviewer
Approver: demo reviewer, date not recorded
Proof: https://vanillabonds.com/dossier.html?c=katjes&amp;viewer=1&amp;item=F106</t>
      </text>
    </comment>
    <comment ref="B48" authorId="0" shapeId="0">
      <text>
        <t>F107 · Risk fact
Document: S1, annual report, FY2023, 2024-03-27, audited, katjes-2023-annual-report.pdf
Page: 61
Quote: "As at 31 December 2023, there are no hedging"
Status: approved by a named reviewer
Approver: demo reviewer, date not recorded
Proof: https://vanillabonds.com/dossier.html?c=katjes&amp;viewer=1&amp;item=F107</t>
      </text>
    </comment>
    <comment ref="B49" authorId="0" shapeId="0">
      <text>
        <t>F108 · Risk fact
Document: S1, annual report, FY2023, 2024-03-27, audited, katjes-2023-annual-report.pdf
Page: 61
Quote: "The maximum default risk is limited to the carrying amount (EUR 57.3 million; 2022: EUR 47.5 million)."
Status: approved by a named reviewer
Approver: demo reviewer, date not recorded
Proof: https://vanillabonds.com/dossier.html?c=katjes&amp;viewer=1&amp;item=F108</t>
      </text>
    </comment>
    <comment ref="B50" authorId="0" shapeId="0">
      <text>
        <t>F109 · Risk fact
Document: S1, annual report, FY2023, 2024-03-27, audited, katjes-2023-annual-report.pdf
Page: 63
Quote: "Non-current financial liabilities (incl. liabilities from leases) 0.0 15.1 137.4 4.2 156.7 156.7"
Status: approved by a named reviewer
Approver: demo reviewer, date not recorded
Proof: https://vanillabonds.com/dossier.html?c=katjes&amp;viewer=1&amp;item=F109</t>
      </text>
    </comment>
    <comment ref="B51" authorId="0" shapeId="0">
      <text>
        <t>F110 · Risk fact
Document: S1, annual report, FY2023, 2024-03-27, audited, katjes-2023-annual-report.pdf
Page: 70
Quote: "As at the balance sheet date, trade receivables in the amount of EUR 0.9 million were more than six months over‐"
Status: approved by a named reviewer
Approver: demo reviewer, date not recorded
Proof: https://vanillabonds.com/dossier.html?c=katjes&amp;viewer=1&amp;item=F110</t>
      </text>
    </comment>
    <comment ref="B52" authorId="0" shapeId="0">
      <text>
        <t>F1331 · Risk fact
Document: S13, bond terms, 2023/2028 (issue 2023-09-21 to maturity 2028-09-21), 2023-09-17, unaudited, katjes-bond-2023-2028-bond-terms-signed.pdf
Page: 24
Quote: "the interest on any principal amount outstanding under these Bonds Terms will accrue at the Interest Rate plus 1.00 percentage point per annum."
Status: extracted, pending review
Approver: none yet
Proof: https://vanillabonds.com/dossier.html?c=katjes&amp;viewer=1&amp;item=F1331</t>
      </text>
    </comment>
    <comment ref="B53" authorId="0" shapeId="0">
      <text>
        <t>F1332 · Risk fact
Document: S13, bond terms, 2023/2028 (issue 2023-09-21 to maturity 2028-09-21), 2023-09-17, unaudited, katjes-bond-2023-2028-bond-terms-signed.pdf
Page: 34
Quote: "redeem, repay and pay any portion of the Existing Bonds not redeemed, prepaid and paid as set out in paragraph (b) above (the amount of which may not exceed EUR 30,000,000)"
Status: extracted, pending review
Approver: none yet
Proof: https://vanillabonds.com/dossier.html?c=katjes&amp;viewer=1&amp;item=F1332</t>
      </text>
    </comment>
    <comment ref="B54" authorId="0" shapeId="0">
      <text>
        <t>F1333 · Risk fact
Document: S13, bond terms, 2023/2028 (issue 2023-09-21 to maturity 2028-09-21), 2023-09-17, unaudited, katjes-bond-2023-2028-bond-terms-signed.pdf
Page: 4
Quote: "at any time, the sale, transfer or other disposal of all or substantially all of the assets of the Group whether in a single transaction or a series of related transactions."
Status: extracted, pending review
Approver: none yet
Proof: https://vanillabonds.com/dossier.html?c=katjes&amp;viewer=1&amp;item=F1333</t>
      </text>
    </comment>
  </commentList>
</comments>
</file>

<file path=xl/comments/comment9.xml><?xml version="1.0" encoding="utf-8"?>
<comments xmlns="http://schemas.openxmlformats.org/spreadsheetml/2006/main">
  <authors>
    <author>VanillaBonds</author>
  </authors>
  <commentList>
    <comment ref="H2" authorId="0" shapeId="0">
      <text>
        <t>F001 · Legal name
Document: S1, annual report, FY2023, 2024-03-27, audited, katjes-2023-annual-report.pdf
Page: 50
Quote: "Katjes International GmbH &amp; Co. KG (‘Katjes"
Status: approved by a named reviewer
Approver: demo reviewer, date not recorded
Proof: https://vanillabonds.com/dossier.html?c=katjes&amp;viewer=1&amp;item=F001</t>
      </text>
    </comment>
    <comment ref="H3" authorId="0" shapeId="0">
      <text>
        <t>F002 · Legal form
Document: S1, annual report, FY2023, 2024-03-27, audited, katjes-2023-annual-report.pdf
Page: 50
Quote: "is a limited partnership (Kommanditgesellschaft)"
Status: approved by a named reviewer
Approver: demo reviewer, date not recorded
Proof: https://vanillabonds.com/dossier.html?c=katjes&amp;viewer=1&amp;item=F002</t>
      </text>
    </comment>
    <comment ref="H4" authorId="0" shapeId="0">
      <text>
        <t>F003 · Commercial register / registration no.
Document: S1, annual report, FY2023, 2024-03-27, audited, katjes-2023-annual-report.pdf
Page: 50
Quote: "Court (Amtsgericht) under commercial register number HRA 1076"
Status: approved by a named reviewer
Approver: demo reviewer, date not recorded
Proof: https://vanillabonds.com/dossier.html?c=katjes&amp;viewer=1&amp;item=F003</t>
      </text>
    </comment>
    <comment ref="H5" authorId="0" shapeId="0">
      <text>
        <t>F004 · Founded
Document: S1, annual report, FY2023, 2024-03-27, audited, katjes-2023-annual-report.pdf
Page: 9
Quote: "Established in 2011 from predecessor companies, the Katjes Group consists of Katjes International GmbH &amp; Co."
Status: approved by a named reviewer
Approver: demo reviewer, date not recorded
Proof: https://vanillabonds.com/dossier.html?c=katjes&amp;viewer=1&amp;item=F004</t>
      </text>
    </comment>
    <comment ref="H6" authorId="0" shapeId="0">
      <text>
        <t>F005 · Registered office
Document: S1, annual report, FY2023, 2024-03-27, audited, katjes-2023-annual-report.pdf
Page: 50
Quote: "Dechant-Sprünken-Str. 53–57 46446 Emmerich am Rhein Germany"
Status: approved by a named reviewer
Approver: demo reviewer, date not recorded
Proof: https://vanillabonds.com/dossier.html?c=katjes&amp;viewer=1&amp;item=F005</t>
      </text>
    </comment>
    <comment ref="H7" authorId="0" shapeId="0">
      <text>
        <t>F006 · Country of incorporation (ISO-2)
Document: S1, annual report, FY2023, 2024-03-27, audited, katjes-2023-annual-report.pdf
Page: 50
Quote: "46446 Emmerich am Rhein Germany"
Status: approved by a named reviewer
Approver: demo reviewer, date not recorded
Proof: https://vanillabonds.com/dossier.html?c=katjes&amp;viewer=1&amp;item=F006</t>
      </text>
    </comment>
    <comment ref="H8" authorId="0" shapeId="0">
      <text>
        <t>F007 · Sector
Document: S1, annual report, FY2023, 2024-03-27, audited, katjes-2023-annual-report.pdf
Page: 81
Quote: "The Katjes International Group, through its subsidiaries, is a manufacturer and supplier of FMCG"
Status: approved by a named reviewer
Approver: demo reviewer, date not recorded
Proof: https://vanillabonds.com/dossier.html?c=katjes&amp;viewer=1&amp;item=F007</t>
      </text>
    </comment>
    <comment ref="H9" authorId="0" shapeId="0">
      <text>
        <t>F008 · Sites / countries of operation
Document: S1, annual report, FY2023, 2024-03-27, audited, katjes-2023-annual-report.pdf
Page: 50
Quote: "were performed in the Group companies in Italy, Germany, the United Kingdom (UK) and the Netherlands."
Status: approved by a named reviewer
Approver: demo reviewer, date not recorded
Proof: https://vanillabonds.com/dossier.html?c=katjes&amp;viewer=1&amp;item=F008</t>
      </text>
    </comment>
    <comment ref="F10" authorId="0" shapeId="0">
      <text>
        <t>F009 · Employees (FTE, period end) · FY2022
Average employees for the year (not period end): 980
Document: S1, annual report, FY2023, 2024-03-27, audited, katjes-2023-annual-report.pdf
Page: 50
Quote: "The Company employed an average of 998 employees in the financial year 2023 (2022: 980)"
Status: approved by a named reviewer
Approver: demo reviewer, date not recorded
Proof: https://vanillabonds.com/dossier.html?c=katjes&amp;viewer=1&amp;item=F009</t>
      </text>
    </comment>
    <comment ref="F11" authorId="0" shapeId="0">
      <text>
        <t>F010 · Employees (FTE, period end) · FY2023
Average employees for the year (not period end): 998, of which 596 Germany, 373 Italy, 14 Netherlands, 15 UK
Document: S1, annual report, FY2023, 2024-03-27, audited, katjes-2023-annual-report.pdf
Page: 50
Quote: "The Company employed an average of 998 employees in the financial year 2023 (2022: 980)"
Status: approved by a named reviewer
Approver: demo reviewer, date not recorded
Proof: https://vanillabonds.com/dossier.html?c=katjes&amp;viewer=1&amp;item=F010</t>
      </text>
    </comment>
    <comment ref="H12" authorId="0" shapeId="0">
      <text>
        <t>F011 · Ownership / UBO
Document: S1, annual report, FY2023, 2024-03-27, audited, katjes-2023-annual-report.pdf
Page: 50
Quote: "partners are Bastian Fassin, with registered liability of EUR 540 thousand and Tobias Bachmüller"
Status: approved by a named reviewer
Approver: demo reviewer, date not recorded
Proof: https://vanillabonds.com/dossier.html?c=katjes&amp;viewer=1&amp;item=F011</t>
      </text>
    </comment>
    <comment ref="H13" authorId="0" shapeId="0">
      <text>
        <t>F012 · Listings (equity, bonds)
Document: S1, annual report, FY2023, 2024-03-27, audited, katjes-2023-annual-report.pdf
Page: 85
Quote: "the Nordic ABM of the Oslo Stock Exchange at the end of January 2024 as planned within six months of the issue"
Status: approved by a named reviewer
Approver: demo reviewer, date not recorded
Proof: https://vanillabonds.com/dossier.html?c=katjes&amp;viewer=1&amp;item=F012</t>
      </text>
    </comment>
    <comment ref="H14" authorId="0" shapeId="0">
      <text>
        <t>F013 · Auditor
Document: S1, annual report, FY2023, 2024-03-27, audited, katjes-2023-annual-report.pdf
Page: 94
Quote: "Düsseldorf, 27th March 2024 EY GmbH &amp; Co. KG Wirtschaftsprüfungsgesellschaft"
Status: approved by a named reviewer
Approver: demo reviewer, date not recorded
Proof: https://vanillabonds.com/dossier.html?c=katjes&amp;viewer=1&amp;item=F013</t>
      </text>
    </comment>
    <comment ref="H15" authorId="0" shapeId="0">
      <text>
        <t>F014 · Audit opinion · FY2023
Document: S1, annual report, FY2023, 2024-03-27, audited, katjes-2023-annual-report.pdf
Page: 91
Quote: "Pursuant to Sec. 322 (3) Sentence 1 HGB, we declare that our audit has not led to any reservations"
Status: approved by a named reviewer
Approver: demo reviewer, date not recorded
Proof: https://vanillabonds.com/dossier.html?c=katjes&amp;viewer=1&amp;item=F014</t>
      </text>
    </comment>
    <comment ref="H16" authorId="0" shapeId="0">
      <text>
        <t>F015 · Accounting standard
Document: S1, annual report, FY2023, 2024-03-27, audited, katjes-2023-annual-report.pdf
Page: 51
Quote: "(IFRS) as adopted by the EU and the supplementary provisions set out in section 315e (1) of the German Commercial Code (HGB)."
Status: approved by a named reviewer
Approver: demo reviewer, date not recorded
Proof: https://vanillabonds.com/dossier.html?c=katjes&amp;viewer=1&amp;item=F015</t>
      </text>
    </comment>
    <comment ref="H17" authorId="0" shapeId="0">
      <text>
        <t>F016 · Fiscal year end
Document: S1, annual report, FY2023, 2024-03-27, audited, katjes-2023-annual-report.pdf
Page: 50
Quote: "The financial year is the calendar year."
Status: approved by a named reviewer
Approver: demo reviewer, date not recorded
Proof: https://vanillabonds.com/dossier.html?c=katjes&amp;viewer=1&amp;item=F016</t>
      </text>
    </comment>
    <comment ref="H18" authorId="0" shapeId="0">
      <text>
        <t>F017 · Business fact
Document: S1, annual report, FY2023, 2024-03-27, audited, katjes-2023-annual-report.pdf
Page: 9
Quote: "activities are currently focused on Italy, Germany, the Netherlands, the UK, Spain and France."
Status: approved by a named reviewer
Approver: demo reviewer, date not recorded
Proof: https://vanillabonds.com/dossier.html?c=katjes&amp;viewer=1&amp;item=F017</t>
      </text>
    </comment>
    <comment ref="H19" authorId="0" shapeId="0">
      <text>
        <t>F018 · Business fact
Document: S1, annual report, FY2023, 2024-03-27, audited, katjes-2023-annual-report.pdf
Page: 17
Quote: "Throat and cough drops / distribution of ‘WICK’ cough drops"
Status: approved by a named reviewer
Approver: demo reviewer, date not recorded
Proof: https://vanillabonds.com/dossier.html?c=katjes&amp;viewer=1&amp;item=F018</t>
      </text>
    </comment>
    <comment ref="H20" authorId="0" shapeId="0">
      <text>
        <t>F019 · Business fact
Document: S1, annual report, FY2023, 2024-03-27, audited, katjes-2023-annual-report.pdf
Page: 26
Quote: "has been operating as a strategic investor for more than a decade. Together with its sister companies Katjes Fassin GmbH + Co. KG (‘Katjes Germany’)"
Status: approved by a named reviewer
Approver: demo reviewer, date not recorded
Proof: https://vanillabonds.com/dossier.html?c=katjes&amp;viewer=1&amp;item=F019</t>
      </text>
    </comment>
    <comment ref="H21" authorId="0" shapeId="0">
      <text>
        <t>F020 · Business fact
Document: S1, annual report, FY2023, 2024-03-27, audited, katjes-2023-annual-report.pdf
Page: 26
Quote: "associated companies remain independent in legal and organisational terms, and the local management is kept in place."
Status: approved by a named reviewer
Approver: demo reviewer, date not recorded
Proof: https://vanillabonds.com/dossier.html?c=katjes&amp;viewer=1&amp;item=F020</t>
      </text>
    </comment>
    <comment ref="H22" authorId="0" shapeId="0">
      <text>
        <t>F021 · Business fact
Document: S1, annual report, FY2023, 2024-03-27, audited, katjes-2023-annual-report.pdf
Page: 28
Quote: "reporting year, the corresponding expenses amounted to EUR 1.0 million (previous year: EUR 1.0 million)"
Status: approved by a named reviewer
Approver: demo reviewer, date not recorded
Proof: https://vanillabonds.com/dossier.html?c=katjes&amp;viewer=1&amp;item=F021</t>
      </text>
    </comment>
    <comment ref="H23" authorId="0" shapeId="0">
      <text>
        <t>F022 · Business fact
Document: S1, annual report, FY2023, 2024-03-27, audited, katjes-2023-annual-report.pdf
Page: 32
Quote: "Chocolate products accounted for 15.7% (previous year: 18.7%) and seasonal products amounted to 12.4% (previous year: 12.6%)."
Status: approved by a named reviewer
Approver: demo reviewer, date not recorded
Proof: https://vanillabonds.com/dossier.html?c=katjes&amp;viewer=1&amp;item=F022</t>
      </text>
    </comment>
    <comment ref="H24" authorId="0" shapeId="0">
      <text>
        <t>F023 · Business fact
Document: S1, annual report, FY2023, 2024-03-27, audited, katjes-2023-annual-report.pdf
Page: 32
Quote: "At 78.3%, cost of sales as a percentage of revenue was below the previous year’s level (2022: 82.6%)."
Status: approved by a named reviewer
Approver: demo reviewer, date not recorded
Proof: https://vanillabonds.com/dossier.html?c=katjes&amp;viewer=1&amp;item=F023</t>
      </text>
    </comment>
    <comment ref="H25" authorId="0" shapeId="0">
      <text>
        <t>F024 · Business fact
Document: S1, annual report, FY2023, 2024-03-27, audited, katjes-2023-annual-report.pdf
Page: 34
Quote: "equity ratio remained stable at 36.9% as at the reporting date (31 December 2022: 37.8%)."
Status: approved by a named reviewer
Approver: demo reviewer, date not recorded
Proof: https://vanillabonds.com/dossier.html?c=katjes&amp;viewer=1&amp;item=F024</t>
      </text>
    </comment>
    <comment ref="H26" authorId="0" shapeId="0">
      <text>
        <t>F025 · Business fact
Document: S1, annual report, FY2023, 2024-03-27, audited, katjes-2023-annual-report.pdf
Page: 40
Quote: "Risks relating to raw material prices are monitored as part of the joint purchasing activities with Katjes Germany"
Status: approved by a named reviewer
Approver: demo reviewer, date not recorded
Proof: https://vanillabonds.com/dossier.html?c=katjes&amp;viewer=1&amp;item=F025</t>
      </text>
    </comment>
    <comment ref="H27" authorId="0" shapeId="0">
      <text>
        <t>F026 · Business fact
Document: S1, annual report, FY2023, 2024-03-27, audited, katjes-2023-annual-report.pdf
Page: 48
Quote: "Cash flow from investing activities -14.6 -28.8"
Status: approved by a named reviewer
Approver: demo reviewer, date not recorded
Proof: https://vanillabonds.com/dossier.html?c=katjes&amp;viewer=1&amp;item=F026</t>
      </text>
    </comment>
    <comment ref="H28" authorId="0" shapeId="0">
      <text>
        <t>F027 · Business fact
Document: S1, annual report, FY2023, 2024-03-27, audited, katjes-2023-annual-report.pdf
Page: 50
Quote: "ployed in Germany (2022: 571),373 in Italy (2022: 380) and 14 in the Netherlands (2022: 13)."
Status: approved by a named reviewer
Approver: demo reviewer, date not recorded
Proof: https://vanillabonds.com/dossier.html?c=katjes&amp;viewer=1&amp;item=F027</t>
      </text>
    </comment>
    <comment ref="H29" authorId="0" shapeId="0">
      <text>
        <t>F028 · Business fact
Document: S1, annual report, FY2023, 2024-03-27, audited, katjes-2023-annual-report.pdf
Page: 52
Quote: "Germany 22 17 Other countries 9 9 Total 31 26"
Status: approved by a named reviewer
Approver: demo reviewer, date not recorded
Proof: https://vanillabonds.com/dossier.html?c=katjes&amp;viewer=1&amp;item=F028</t>
      </text>
    </comment>
    <comment ref="H30" authorId="0" shapeId="0">
      <text>
        <t>F029 · Business fact
Document: S1, annual report, FY2023, 2024-03-27, audited, katjes-2023-annual-report.pdf
Page: 70
Quote: "Raw materials 20.8 17.7 Unfinished goods 2.8 3.1"
Status: approved by a named reviewer
Approver: demo reviewer, date not recorded
Proof: https://vanillabonds.com/dossier.html?c=katjes&amp;viewer=1&amp;item=F029</t>
      </text>
    </comment>
    <comment ref="H31" authorId="0" shapeId="0">
      <text>
        <t>F030 · Business fact
Document: S1, annual report, FY2023, 2024-03-27, audited, katjes-2023-annual-report.pdf
Page: 70
Quote: "As at 31 December 2023 this item mainly includes future payments from the transaction with CPK completed in 2018"
Status: approved by a named reviewer
Approver: demo reviewer, date not recorded
Proof: https://vanillabonds.com/dossier.html?c=katjes&amp;viewer=1&amp;item=F030</t>
      </text>
    </comment>
    <comment ref="H32" authorId="0" shapeId="0">
      <text>
        <t>F031 · Business fact
Document: S1, annual report, FY2023, 2024-03-27, audited, katjes-2023-annual-report.pdf
Page: 73
Quote: "Trade payables 43.5 38.7"
Status: approved by a named reviewer
Approver: demo reviewer, date not recorded
Proof: https://vanillabonds.com/dossier.html?c=katjes&amp;viewer=1&amp;item=F031</t>
      </text>
    </comment>
    <comment ref="H33" authorId="0" shapeId="0">
      <text>
        <t>F032 · Business fact
Document: S1, annual report, FY2023, 2024-03-27, audited, katjes-2023-annual-report.pdf
Page: 78
Quote: "Personnel expenses 65.1 57.9"
Status: approved by a named reviewer
Approver: demo reviewer, date not recorded
Proof: https://vanillabonds.com/dossier.html?c=katjes&amp;viewer=1&amp;item=F032</t>
      </text>
    </comment>
    <comment ref="H34" authorId="0" shapeId="0">
      <text>
        <t>F033 · Business fact
Document: S1, annual report, FY2023, 2024-03-27, audited, katjes-2023-annual-report.pdf
Page: 78
Quote: "Cost of raw materials, consuma‐ bles and supplies, and purchased merchandise 204.4 158.4"
Status: approved by a named reviewer
Approver: demo reviewer, date not recorded
Proof: https://vanillabonds.com/dossier.html?c=katjes&amp;viewer=1&amp;item=F033</t>
      </text>
    </comment>
    <comment ref="H35" authorId="0" shapeId="0">
      <text>
        <t>F034 · Business fact
Document: S1, annual report, FY2023, 2024-03-27, audited, katjes-2023-annual-report.pdf
Page: 78
Quote: "Energy 12.6 12.5"
Status: approved by a named reviewer
Approver: demo reviewer, date not recorded
Proof: https://vanillabonds.com/dossier.html?c=katjes&amp;viewer=1&amp;item=F034</t>
      </text>
    </comment>
    <comment ref="H36" authorId="0" shapeId="0">
      <text>
        <t>F035 · Key event (M&amp;A, financing, strategy)
Document: S1, annual report, FY2023, 2024-03-27, audited, katjes-2023-annual-report.pdf
Page: 4
Quote: "increased the volume of the newly issued bond by EUR 5 million due to high demand"
Status: approved by a named reviewer
Approver: demo reviewer, date not recorded
Proof: https://vanillabonds.com/dossier.html?c=katjes&amp;viewer=1&amp;item=F035</t>
      </text>
    </comment>
    <comment ref="H37" authorId="0" shapeId="0">
      <text>
        <t>F036 · Key event (M&amp;A, financing, strategy)
Document: S1, annual report, FY2023, 2024-03-27, audited, katjes-2023-annual-report.pdf
Page: 31
Quote: "In November of the reporting year, the natural cosmetics brand (N.A.E.) was acquired from Henkel to support and expand the brand portfolio in the personal care segment."
Status: approved by a named reviewer
Approver: demo reviewer, date not recorded
Proof: https://vanillabonds.com/dossier.html?c=katjes&amp;viewer=1&amp;item=F036</t>
      </text>
    </comment>
    <comment ref="H38" authorId="0" shapeId="0">
      <text>
        <t>F037 · Key event (M&amp;A, financing, strategy)
Document: S1, annual report, FY2023, 2024-03-27, audited, katjes-2023-annual-report.pdf
Page: 33
Quote: "porate bond with a volume of EUR 115 million and an inte‐ rest rate of 6.75%. In the run-up to the issue of the new"
Status: approved by a named reviewer
Approver: demo reviewer, date not recorded
Proof: https://vanillabonds.com/dossier.html?c=katjes&amp;viewer=1&amp;item=F037</t>
      </text>
    </comment>
    <comment ref="H39" authorId="0" shapeId="0">
      <text>
        <t>F038 · Key event (M&amp;A, financing, strategy)
Document: S1, annual report, FY2023, 2024-03-27, audited, katjes-2023-annual-report.pdf
Page: 85
Quote: "The takeover of the production site in Viersen for Henkel's Oral Care division took place as planned on 2 January 2024."
Status: approved by a named reviewer
Approver: demo reviewer, date not recorded
Proof: https://vanillabonds.com/dossier.html?c=katjes&amp;viewer=1&amp;item=F038</t>
      </text>
    </comment>
    <comment ref="H40" authorId="0" shapeId="0">
      <text>
        <t>F039 · Key event (M&amp;A, financing, strategy)
Document: S1, annual report, FY2023, 2024-03-27, audited, katjes-2023-annual-report.pdf
Page: 85
Quote: "The Katjes International 2023/2028 bond, which was for the first time structured as a Nordic bond, was included in"
Status: approved by a named reviewer
Approver: demo reviewer, date not recorded
Proof: https://vanillabonds.com/dossier.html?c=katjes&amp;viewer=1&amp;item=F039</t>
      </text>
    </comment>
    <comment ref="F41" authorId="0" shapeId="0">
      <text>
        <t>F040 · Revenue · FY2019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https://vanillabonds.com/dossier.html?c=katjes&amp;viewer=1&amp;item=F040</t>
      </text>
    </comment>
    <comment ref="F42" authorId="0" shapeId="0">
      <text>
        <t>F041 · Revenue · FY2020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https://vanillabonds.com/dossier.html?c=katjes&amp;viewer=1&amp;item=F041</t>
      </text>
    </comment>
    <comment ref="F43" authorId="0" shapeId="0">
      <text>
        <t>F042 · Revenue · FY2021
From the five-year sales chart (rounded to EUR m)
Document: S1, annual report, FY2023, 2024-03-27, audited, katjes-2023-annual-report.pdf
Page: 7
Quote: "210 218 255 295 2019 2020 2021 2022 2023 377"
Status: approved by a named reviewer
Approver: demo reviewer, date not recorded
Proof: https://vanillabonds.com/dossier.html?c=katjes&amp;viewer=1&amp;item=F042</t>
      </text>
    </comment>
    <comment ref="F44" authorId="0" shapeId="0">
      <text>
        <t>F043 · Revenue · FY2022
Consolidated revenue
Document: S1, annual report, FY2023, 2024-03-27, audited, katjes-2023-annual-report.pdf
Page: 43
Quote: "Revenue 377.4 294.5"
Status: approved by a named reviewer
Approver: demo reviewer, date not recorded
Proof: https://vanillabonds.com/dossier.html?c=katjes&amp;viewer=1&amp;item=F043</t>
      </text>
    </comment>
    <comment ref="F45" authorId="0" shapeId="0">
      <text>
        <t>F044 · Revenue · FY2023
Consolidated revenue
Document: S1, annual report, FY2023, 2024-03-27, audited, katjes-2023-annual-report.pdf
Page: 43
Quote: "Revenue 377.4 294.5"
Status: approved by a named reviewer
Approver: demo reviewer, date not recorded
Proof: https://vanillabonds.com/dossier.html?c=katjes&amp;viewer=1&amp;item=F044</t>
      </text>
    </comment>
    <comment ref="H46" authorId="0" shapeId="0">
      <text>
        <t>F045 · Revenue · FY2024E
Document: S1, annual report, FY2023, 2024-03-27, audited, katjes-2023-annual-report.pdf
Page: 41
Quote: "company is expecting sales of between EUR 390 million and EUR 420 million for the financial year 2024."
Status: approved by a named reviewer
Approver: demo reviewer, date not recorded
Proof: https://vanillabonds.com/dossier.html?c=katjes&amp;viewer=1&amp;item=F045</t>
      </text>
    </comment>
    <comment ref="F47" authorId="0" shapeId="0">
      <text>
        <t>F046 · EBITDA (as reported) · FY2019
From the five-year EBITDA chart (rounded to EUR m); year order read left to right
Document: S1, annual report, FY2023, 2024-03-27, audited, katjes-2023-annual-report.pdf
Page: 7
Quote: "23 25 17 2019 2020 2021 2022 2023 37 41"
Status: approved by a named reviewer
Approver: demo reviewer, date not recorded
Proof: https://vanillabonds.com/dossier.html?c=katjes&amp;viewer=1&amp;item=F046</t>
      </text>
    </comment>
    <comment ref="F48" authorId="0" shapeId="0">
      <text>
        <t>F047 · EBITDA (as reported) · FY2020
From the five-year EBITDA chart (rounded to EUR m); year order read left to right
Document: S1, annual report, FY2023, 2024-03-27, audited, katjes-2023-annual-report.pdf
Page: 7
Quote: "23 25 17 2019 2020 2021 2022 2023 37 41"
Status: approved by a named reviewer
Approver: demo reviewer, date not recorded
Proof: https://vanillabonds.com/dossier.html?c=katjes&amp;viewer=1&amp;item=F047</t>
      </text>
    </comment>
    <comment ref="F49" authorId="0" shapeId="0">
      <text>
        <t>F048 · EBITDA (as reported) · FY2021
From the five-year EBITDA chart (rounded to EUR m); year order read left to right
Document: S1, annual report, FY2023, 2024-03-27, audited, katjes-2023-annual-report.pdf
Page: 7
Quote: "23 25 17 2019 2020 2021 2022 2023 37 41"
Status: extracted, pending review
Approver: none yet
Note on file: conflict: S1·p7 17.0 vs S3·p7 41.0; primary per fact agent: open - no audited statement on file carries FY2021 EBITDA, and the chart text layers in S1 p7, S2 p7 and S3 p7 list bar values without a year for …
Proof: https://vanillabonds.com/dossier.html?c=katjes&amp;viewer=1&amp;item=F048</t>
      </text>
    </comment>
    <comment ref="F50" authorId="0" shapeId="0">
      <text>
        <t>F049 · EBITDA (as reported) · FY2022
EBITDA as labelled in the management report
Document: S1, annual report, FY2023, 2024-03-27, audited, katjes-2023-annual-report.pdf
Page: 32
Quote: "amortisation) amounted to EUR 40.8 million in the financial year 2023 (2022: EUR 37.3 million)"
Status: approved by a named reviewer
Approver: demo reviewer, date not recorded
Proof: https://vanillabonds.com/dossier.html?c=katjes&amp;viewer=1&amp;item=F049</t>
      </text>
    </comment>
    <comment ref="F51" authorId="0" shapeId="0">
      <text>
        <t>F050 · EBITDA (as reported) · FY2023
EBITDA as labelled in the management report; EBITDA margin 10.8% (2022: 12.7%)
Document: S1, annual report, FY2023, 2024-03-27, audited, katjes-2023-annual-report.pdf
Page: 32
Quote: "amortisation) amounted to EUR 40.8 million in the financial year 2023 (2022: EUR 37.3 million)"
Status: extracted, pending review
Approver: none yet
Note on file: conflict: S1·p32 40.8 vs S2·p29 40.8 vs S3·p7 23.0; primary per fact agent: S2 p29 - S2 is the later audited report carrying FY2023 and its comparative equals S1 p32; S3 carries no FY2023 statement, and its 23.0 is a …
Proof: https://vanillabonds.com/dossier.html?c=katjes&amp;viewer=1&amp;item=F050</t>
      </text>
    </comment>
    <comment ref="H52" authorId="0" shapeId="0">
      <text>
        <t>F051 · EBITDA (as reported) · FY2024E
Document: S1, annual report, FY2023, 2024-03-27, audited, katjes-2023-annual-report.pdf
Page: 41
Quote: "earnings, Katjes International is aiming for an EBITDA margin of between 9% and 10% in the financial year 2024."
Status: approved by a named reviewer
Approver: demo reviewer, date not recorded
Proof: https://vanillabonds.com/dossier.html?c=katjes&amp;viewer=1&amp;item=F051</t>
      </text>
    </comment>
    <comment ref="F53" authorId="0" shapeId="0">
      <text>
        <t>F052 · EBIT / operating result · FY2022
Operating result; 2022 includes EUR 24.4m negative goodwill in other operating income
Document: S1, annual report, FY2023, 2024-03-27, audited, katjes-2023-annual-report.pdf
Page: 43
Quote: "Operating result 22.5 22.2"
Status: approved by a named reviewer
Approver: demo reviewer, date not recorded
Proof: https://vanillabonds.com/dossier.html?c=katjes&amp;viewer=1&amp;item=F052</t>
      </text>
    </comment>
    <comment ref="F54" authorId="0" shapeId="0">
      <text>
        <t>F053 · EBIT / operating result · FY2023
Operating result
Document: S1, annual report, FY2023, 2024-03-27, audited, katjes-2023-annual-report.pdf
Page: 43
Quote: "Operating result 22.5 22.2"
Status: approved by a named reviewer
Approver: demo reviewer, date not recorded
Proof: https://vanillabonds.com/dossier.html?c=katjes&amp;viewer=1&amp;item=F053</t>
      </text>
    </comment>
    <comment ref="F55" authorId="0" shapeId="0">
      <text>
        <t>F054 · Net result · FY2022
Earnings after tax; attributable to Katjes International 15.2, non-controlling interests -0.4
Document: S1, annual report, FY2023, 2024-03-27, audited, katjes-2023-annual-report.pdf
Page: 43
Quote: "Earnings after tax 10.2 14.8"
Status: approved by a named reviewer
Approver: demo reviewer, date not recorded
Proof: https://vanillabonds.com/dossier.html?c=katjes&amp;viewer=1&amp;item=F054</t>
      </text>
    </comment>
    <comment ref="F56" authorId="0" shapeId="0">
      <text>
        <t>F055 · Net result · FY2023
Earnings after tax; attributable to Katjes International 10.1, non-controlling interests 0.1
Document: S1, annual report, FY2023, 2024-03-27, audited, katjes-2023-annual-report.pdf
Page: 43
Quote: "Earnings after tax 10.2 14.8"
Status: approved by a named reviewer
Approver: demo reviewer, date not recorded
Proof: https://vanillabonds.com/dossier.html?c=katjes&amp;viewer=1&amp;item=F055</t>
      </text>
    </comment>
    <comment ref="F57" authorId="0" shapeId="0">
      <text>
        <t>F056 · Depreciation &amp; amortisation · FY2022
Depreciation and amortisation per expense breakdown
Document: S1, annual report, FY2023, 2024-03-27, audited, katjes-2023-annual-report.pdf
Page: 78
Quote: "Depreciation and amortisation 18.1 15.1"
Status: approved by a named reviewer
Approver: demo reviewer, date not recorded
Proof: https://vanillabonds.com/dossier.html?c=katjes&amp;viewer=1&amp;item=F056</t>
      </text>
    </comment>
    <comment ref="F58" authorId="0" shapeId="0">
      <text>
        <t>F057 · Depreciation &amp; amortisation · FY2023
Depreciation and amortisation per expense breakdown (cash flow statement: 11.0 PP&amp;E + 3.1 right-of-use + 4.2 intangibles)
Document: S1, annual report, FY2023, 2024-03-27, audited, katjes-2023-annual-report.pdf
Page: 78
Quote: "Depreciation and amortisation 18.1 15.1"
Status: approved by a named reviewer
Approver: demo reviewer, date not recorded
Proof: https://vanillabonds.com/dossier.html?c=katjes&amp;viewer=1&amp;item=F057</t>
      </text>
    </comment>
    <comment ref="F59" authorId="0" shapeId="0">
      <text>
        <t>F058 · Net finance cost · FY2022
Financial result EUR -6.4m incl. at-equity loss share CPK -0.1; financial expenses 6.8 (bond interest 4.7, bank interest 1.2); interest paid 5.7
Document: S1, annual report, FY2023, 2024-03-27, audited, katjes-2023-annual-report.pdf
Page: 43
Quote: "Financial result -11.4 -6.4"
Status: approved by a named reviewer
Approver: demo reviewer, date not recorded
Proof: https://vanillabonds.com/dossier.html?c=katjes&amp;viewer=1&amp;item=F058</t>
      </text>
    </comment>
    <comment ref="F60" authorId="0" shapeId="0">
      <text>
        <t>F059 · Net finance cost · FY2023
Financial result EUR -11.4m incl. at-equity loss share CPK -0.7; financial expenses 12.0 (bond interest 6.5, bank interest 3.6, leasing 0.2, other 0.8), financial income 0.6; interest paid 8.1
Document: S1, annual report, FY2023, 2024-03-27, audited, katjes-2023-annual-report.pdf
Page: 43
Quote: "Financial result -11.4 -6.4"
Status: approved by a named reviewer
Approver: demo reviewer, date not recorded
Proof: https://vanillabonds.com/dossier.html?c=katjes&amp;viewer=1&amp;item=F059</t>
      </text>
    </comment>
    <comment ref="F61" authorId="0" shapeId="0">
      <text>
        <t>F060 · Cash flow from operating activities · FY2022
Cash flow from operating activities
Document: S1, annual report, FY2023, 2024-03-27, audited, katjes-2023-annual-report.pdf
Page: 48
Quote: "Cash flow from operating activities 31.8 10.4"
Status: approved by a named reviewer
Approver: demo reviewer, date not recorded
Proof: https://vanillabonds.com/dossier.html?c=katjes&amp;viewer=1&amp;item=F060</t>
      </text>
    </comment>
    <comment ref="F62" authorId="0" shapeId="0">
      <text>
        <t>F061 · Cash flow from operating activities · FY2023
Cash flow from operating activities
Document: S1, annual report, FY2023, 2024-03-27, audited, katjes-2023-annual-report.pdf
Page: 48
Quote: "Cash flow from operating activities 31.8 10.4"
Status: approved by a named reviewer
Approver: demo reviewer, date not recorded
Proof: https://vanillabonds.com/dossier.html?c=katjes&amp;viewer=1&amp;item=F061</t>
      </text>
    </comment>
    <comment ref="F63" authorId="0" shapeId="0">
      <text>
        <t>F062 · Capex (PP&amp;E + intangibles) · FY2022
Additions to intangible assets (1.3) and PP&amp;E (6.7) per fixed-asset schedule, excl. initial consolidation 77.5; cash flow shows PP&amp;E -6.1 and intangibles -1.2
Document: S1, annual report, FY2023, 2024-03-27, audited, katjes-2023-annual-report.pdf
Page: 89
Quote: "232.4 8.0 77.5 0.0 -0.8 317.0"
Status: approved by a named reviewer
Approver: demo reviewer, date not recorded
Proof: https://vanillabonds.com/dossier.html?c=katjes&amp;viewer=1&amp;item=F062</t>
      </text>
    </comment>
    <comment ref="F64" authorId="0" shapeId="0">
      <text>
        <t>F063 · Capex (PP&amp;E + intangibles) · FY2023
Additions to intangible assets (6.4) and PP&amp;E (7.9) per fixed-asset schedule, excl. right-of-use additions 3.5; cash flow shows PP&amp;E -7.4 and intangibles -7.2
Document: S1, annual report, FY2023, 2024-03-27, audited, katjes-2023-annual-report.pdf
Page: 88
Quote: "317.0 14.3 0.0 0.0 -1.3 330.1"
Status: extracted, pending review
Approver: none yet
Note on file: conflict: S1·p88 14.3 vs S2·p45 14.6; primary per fact agent: S2 p45 - S2 is the later audited report; its 2023 cash flow lines (-7.4 and -7.2) are the same lines S1's own cash flow statement shows, and S1's 14.3 …
Proof: https://vanillabonds.com/dossier.html?c=katjes&amp;viewer=1&amp;item=F063</t>
      </text>
    </comment>
    <comment ref="F65" authorId="0" shapeId="0">
      <text>
        <t>F064 · Cash &amp; equivalents · FY2022
Cash and cash equivalents
Document: S1, annual report, FY2023, 2024-03-27, audited, katjes-2023-annual-report.pdf
Page: 45
Quote: "Cash and cash equivalents 6.7 58.4 35.5"
Status: approved by a named reviewer
Approver: demo reviewer, date not recorded
Proof: https://vanillabonds.com/dossier.html?c=katjes&amp;viewer=1&amp;item=F064</t>
      </text>
    </comment>
    <comment ref="F66" authorId="0" shapeId="0">
      <text>
        <t>F065 · Cash &amp; equivalents · FY2023
Cash and cash equivalents; includes EUR 2.0m in SEK (SEK 24.0m)
Document: S1, annual report, FY2023, 2024-03-27, audited, katjes-2023-annual-report.pdf
Page: 45
Quote: "Cash and cash equivalents 6.7 58.4 35.5"
Status: approved by a named reviewer
Approver: demo reviewer, date not recorded
Proof: https://vanillabonds.com/dossier.html?c=katjes&amp;viewer=1&amp;item=F065</t>
      </text>
    </comment>
    <comment ref="F67" authorId="0" shapeId="0">
      <text>
        <t>F066 · Gross financial debt (bonds + loans, excl. leases) · FY2022
Total financial liabilities as reported (prior-year figure adjusted for PPA finalisation), INCLUDING lease liabilities 6.4; bond 110.0, accrued interest 3.4, banks 42.5, hire-purchase 2.7
Document: S1, annual report, FY2023, 2024-03-27, audited, katjes-2023-annual-report.pdf
Page: 72
Quote: "Total 191.9 173.5"
Status: approved by a named reviewer
Approver: demo reviewer, date not recorded
Proof: https://vanillabonds.com/dossier.html?c=katjes&amp;viewer=1&amp;item=F066</t>
      </text>
    </comment>
    <comment ref="F68" authorId="0" shapeId="0">
      <text>
        <t>F067 · Gross financial debt (bonds + loans, excl. leases) · FY2023
Total financial liabilities as reported (capital management table), INCLUDING lease liabilities 6.8; components: bond 115.0, accrued bond interest 2.1, liabilities to banks 56.3, Viersen site liability 6.4, hire-purchase 3.0, Dulcioliva option 1.2
Document: S1, annual report, FY2023, 2024-03-27, audited, katjes-2023-annual-report.pdf
Page: 72
Quote: "Total 191.9 173.5"
Status: extracted, pending review
Approver: none yet
Note on file: conflict: S1·p72 191.9 vs S2·p68 185.1; primary per fact agent: S2 p68 - No restatement: S2 shows the same FY2023 total of 191.9 as S1 p72; the S1 fact keeps the 6.8 lease liabilities inside, which the field excludes, so …
Proof: https://vanillabonds.com/dossier.html?c=katjes&amp;viewer=1&amp;item=F067</t>
      </text>
    </comment>
    <comment ref="F69" authorId="0" shapeId="0">
      <text>
        <t>F068 · Lease liabilities · FY2022
IFRS 16 lease liabilities
Document: S1, annual report, FY2023, 2024-03-27, audited, katjes-2023-annual-report.pdf
Page: 83
Quote: "Due after five or more years 0.1 0.2 Total 6.8 6.4"
Status: approved by a named reviewer
Approver: demo reviewer, date not recorded
Proof: https://vanillabonds.com/dossier.html?c=katjes&amp;viewer=1&amp;item=F068</t>
      </text>
    </comment>
    <comment ref="F70" authorId="0" shapeId="0">
      <text>
        <t>F069 · Lease liabilities · FY2023
IFRS 16 lease liabilities: 2.9 due within one year, 3.8 one to five years, 0.1 after five years
Document: S1, annual report, FY2023, 2024-03-27, audited, katjes-2023-annual-report.pdf
Page: 83
Quote: "Due after five or more years 0.1 0.2 Total 6.8 6.4"
Status: approved by a named reviewer
Approver: demo reviewer, date not recorded
Proof: https://vanillabonds.com/dossier.html?c=katjes&amp;viewer=1&amp;item=F069</t>
      </text>
    </comment>
    <comment ref="F71" authorId="0" shapeId="0">
      <text>
        <t>F070 · Net debt (as reported) · FY2022
Net debt as reported (adjusted) = financial liabilities 173.5 less cash 35.5; leverage ratio 45%
Document: S1, annual report, FY2023, 2024-03-27, audited, katjes-2023-annual-report.pdf
Page: 64
Quote: "Net debt 133.5 138.0"
Status: approved by a named reviewer
Approver: demo reviewer, date not recorded
Proof: https://vanillabonds.com/dossier.html?c=katjes&amp;viewer=1&amp;item=F070</t>
      </text>
    </comment>
    <comment ref="F72" authorId="0" shapeId="0">
      <text>
        <t>F071 · Net debt (as reported) · FY2023
Net debt as reported = financial liabilities 191.9 (incl. leases) less cash 58.4; leverage ratio (net debt / total capital) 43%
Document: S1, annual report, FY2023, 2024-03-27, audited, katjes-2023-annual-report.pdf
Page: 64
Quote: "Net debt 133.5 138.0"
Status: approved by a named reviewer
Approver: demo reviewer, date not recorded
Proof: https://vanillabonds.com/dossier.html?c=katjes&amp;viewer=1&amp;item=F071</t>
      </text>
    </comment>
    <comment ref="F73" authorId="0" shapeId="0">
      <text>
        <t>F072 · Total equity · FY2019
From the five-year equity chart
Document: S1, annual report, FY2023, 2024-03-27, audited, katjes-2023-annual-report.pdf
Page: 8
Quote: "2019 2020 137.9 139.5"
Status: approved by a named reviewer
Approver: demo reviewer, date not recorded
Proof: https://vanillabonds.com/dossier.html?c=katjes&amp;viewer=1&amp;item=F072</t>
      </text>
    </comment>
    <comment ref="F74" authorId="0" shapeId="0">
      <text>
        <t>F073 · Total equity · FY2020
From the five-year equity chart
Document: S1, annual report, FY2023, 2024-03-27, audited, katjes-2023-annual-report.pdf
Page: 8
Quote: "2019 2020 137.9 139.5"
Status: approved by a named reviewer
Approver: demo reviewer, date not recorded
Proof: https://vanillabonds.com/dossier.html?c=katjes&amp;viewer=1&amp;item=F073</t>
      </text>
    </comment>
    <comment ref="F75" authorId="0" shapeId="0">
      <text>
        <t>F074 · Total equity · FY2021
Total equity at 31 Dec 2021 per statement of changes in equity
Document: S1, annual report, FY2023, 2024-03-27, audited, katjes-2023-annual-report.pdf
Page: 47
Quote: "As at 31 Dec 2021 / 01 Jan 2022 0.6 2.0 2.0 129.5 0.9 2.1 0.2 2.3 137.3 4.1 141.4"
Status: approved by a named reviewer
Approver: demo reviewer, date not recorded
Proof: https://vanillabonds.com/dossier.html?c=katjes&amp;viewer=1&amp;item=F074</t>
      </text>
    </comment>
    <comment ref="F76" authorId="0" shapeId="0">
      <text>
        <t>F075 · Total equity · FY2022
Total equity, prior-year figure adjusted for PPA finalisation (+7.7); shareholders' equity 164.1, NCI 2.9
Document: S1, annual report, FY2023, 2024-03-27, audited, katjes-2023-annual-report.pdf
Page: 46
Quote: "Total equity 6.8 176.0 167.0"
Status: approved by a named reviewer
Approver: demo reviewer, date not recorded
Proof: https://vanillabonds.com/dossier.html?c=katjes&amp;viewer=1&amp;item=F075</t>
      </text>
    </comment>
    <comment ref="F77" authorId="0" shapeId="0">
      <text>
        <t>F076 · Total equity · FY2023
Total equity; shareholders' equity 173.0, non-controlling interests 3.0
Document: S1, annual report, FY2023, 2024-03-27, audited, katjes-2023-annual-report.pdf
Page: 46
Quote: "Total equity 6.8 176.0 167.0"
Status: approved by a named reviewer
Approver: demo reviewer, date not recorded
Proof: https://vanillabonds.com/dossier.html?c=katjes&amp;viewer=1&amp;item=F076</t>
      </text>
    </comment>
    <comment ref="F78" authorId="0" shapeId="0">
      <text>
        <t>F077 · Total assets · FY2022
Total assets, prior-year figure adjusted for PPA finalisation; non-current 317.6, current 123.8
Document: S1, annual report, FY2023, 2024-03-27, audited, katjes-2023-annual-report.pdf
Page: 45
Quote: "Total assets 477.6 441.4"
Status: approved by a named reviewer
Approver: demo reviewer, date not recorded
Proof: https://vanillabonds.com/dossier.html?c=katjes&amp;viewer=1&amp;item=F077</t>
      </text>
    </comment>
    <comment ref="F79" authorId="0" shapeId="0">
      <text>
        <t>F078 · Total assets · FY2023
Total assets; non-current 313.0, current 164.6
Document: S1, annual report, FY2023, 2024-03-27, audited, katjes-2023-annual-report.pdf
Page: 45
Quote: "Total assets 477.6 441.4"
Status: approved by a named reviewer
Approver: demo reviewer, date not recorded
Proof: https://vanillabonds.com/dossier.html?c=katjes&amp;viewer=1&amp;item=F078</t>
      </text>
    </comment>
    <comment ref="H80" authorId="0" shapeId="0">
      <text>
        <t>F079 · Debt instrument
Document: S1, annual report, FY2023, 2024-03-27, audited, katjes-2023-annual-report.pdf
Page: 64
Quote: "liabilities to banks in the amount of EUR 56.3 million (2022: EUR 42.5 million)"
Status: approved by a named reviewer
Approver: demo reviewer, date not recorded
Proof: https://vanillabonds.com/dossier.html?c=katjes&amp;viewer=1&amp;item=F079</t>
      </text>
    </comment>
    <comment ref="H81" authorId="0" shapeId="0">
      <text>
        <t>F080 · Debt instrument
Document: S1, annual report, FY2023, 2024-03-27, audited, katjes-2023-annual-report.pdf
Page: 64
Quote: "duction site for the oral care division in the amount of EUR 6.4 million is also included."
Status: approved by a named reviewer
Approver: demo reviewer, date not recorded
Proof: https://vanillabonds.com/dossier.html?c=katjes&amp;viewer=1&amp;item=F080</t>
      </text>
    </comment>
    <comment ref="H82" authorId="0" shapeId="0">
      <text>
        <t>F081 · Debt instrument
Document: S1, annual report, FY2023, 2024-03-27, audited, katjes-2023-annual-report.pdf
Page: 64
Quote: "also include liabilities from hire-purchase contracts in the amount of EUR 3.0 million (2022: EUR 2.7 million)."
Status: approved by a named reviewer
Approver: demo reviewer, date not recorded
Proof: https://vanillabonds.com/dossier.html?c=katjes&amp;viewer=1&amp;item=F081</t>
      </text>
    </comment>
    <comment ref="H83" authorId="0" shapeId="0">
      <text>
        <t>F082 · Debt instrument
Document: S1, annual report, FY2023, 2024-03-27, audited, katjes-2023-annual-report.pdf
Page: 69
Quote: "Corporate bond 6.75 (previous year: 4.25) 115.0 110.0"
Status: approved by a named reviewer
Approver: demo reviewer, date not recorded
Proof: https://vanillabonds.com/dossier.html?c=katjes&amp;viewer=1&amp;item=F082</t>
      </text>
    </comment>
    <comment ref="H84" authorId="0" shapeId="0">
      <text>
        <t>F083 · Debt instrument
Document: S1, annual report, FY2023, 2024-03-27, audited, katjes-2023-annual-report.pdf
Page: 69
Quote: "Bank loan kEUR 24.000 5.6 24.0 15.0"
Status: approved by a named reviewer
Approver: demo reviewer, date not recorded
Proof: https://vanillabonds.com/dossier.html?c=katjes&amp;viewer=1&amp;item=F083</t>
      </text>
    </comment>
    <comment ref="H85" authorId="0" shapeId="0">
      <text>
        <t>F084 · Debt instrument
Document: S1, annual report, FY2023, 2024-03-27, audited, katjes-2023-annual-report.pdf
Page: 69
Quote: "Bank loan kEUR 11.700 2.9 6.0 8.2"
Status: approved by a named reviewer
Approver: demo reviewer, date not recorded
Proof: https://vanillabonds.com/dossier.html?c=katjes&amp;viewer=1&amp;item=F084</t>
      </text>
    </comment>
    <comment ref="H86" authorId="0" shapeId="0">
      <text>
        <t>F085 · Debt instrument
Document: S1, annual report, FY2023, 2024-03-27, audited, katjes-2023-annual-report.pdf
Page: 69
Quote: "Bank loan kEUR 5.000 4.98 5.0 0.0"
Status: approved by a named reviewer
Approver: demo reviewer, date not recorded
Proof: https://vanillabonds.com/dossier.html?c=katjes&amp;viewer=1&amp;item=F085</t>
      </text>
    </comment>
    <comment ref="H87" authorId="0" shapeId="0">
      <text>
        <t>F086 · Debt instrument
Document: S1, annual report, FY2023, 2024-03-27, audited, katjes-2023-annual-report.pdf
Page: 69
Quote: "Bank loan kEUR 5.000 8.5 4.4 0.0"
Status: approved by a named reviewer
Approver: demo reviewer, date not recorded
Proof: https://vanillabonds.com/dossier.html?c=katjes&amp;viewer=1&amp;item=F086</t>
      </text>
    </comment>
    <comment ref="H88" authorId="0" shapeId="0">
      <text>
        <t>F087 · Debt instrument
Document: S1, annual report, FY2023, 2024-03-27, audited, katjes-2023-annual-report.pdf
Page: 69
Quote: "Bank loan kEUR 5.000 0.7 1.7 3.3"
Status: approved by a named reviewer
Approver: demo reviewer, date not recorded
Proof: https://vanillabonds.com/dossier.html?c=katjes&amp;viewer=1&amp;item=F087</t>
      </text>
    </comment>
    <comment ref="H89" authorId="0" shapeId="0">
      <text>
        <t>F088 · Debt instrument
Document: S1, annual report, FY2023, 2024-03-27, audited, katjes-2023-annual-report.pdf
Page: 69
Quote: "Bank loan kEUR 3.000 2.0 1.1 1.9"
Status: approved by a named reviewer
Approver: demo reviewer, date not recorded
Proof: https://vanillabonds.com/dossier.html?c=katjes&amp;viewer=1&amp;item=F088</t>
      </text>
    </comment>
    <comment ref="H90" authorId="0" shapeId="0">
      <text>
        <t>F089 · Debt instrument
Document: S1, annual report, FY2023, 2024-03-27, audited, katjes-2023-annual-report.pdf
Page: 69
Quote: "Bank loan kEUR 3.000 1.8 0.3 0.9"
Status: approved by a named reviewer
Approver: demo reviewer, date not recorded
Proof: https://vanillabonds.com/dossier.html?c=katjes&amp;viewer=1&amp;item=F089</t>
      </text>
    </comment>
    <comment ref="H91" authorId="0" shapeId="0">
      <text>
        <t>F090 · Debt instrument
Document: S1, annual report, FY2023, 2024-03-27, audited, katjes-2023-annual-report.pdf
Page: 69
Quote: "Bank loan kEUR 1.500 5.6 0.0 1.5"
Status: approved by a named reviewer
Approver: demo reviewer, date not recorded
Proof: https://vanillabonds.com/dossier.html?c=katjes&amp;viewer=1&amp;item=F090</t>
      </text>
    </comment>
    <comment ref="H92" authorId="0" shapeId="0">
      <text>
        <t>F091 · Debt instrument
Document: S1, annual report, FY2023, 2024-03-27, audited, katjes-2023-annual-report.pdf
Page: 69
Quote: "Other loans Variable and fixed 12.5 11.7"
Status: approved by a named reviewer
Approver: demo reviewer, date not recorded
Proof: https://vanillabonds.com/dossier.html?c=katjes&amp;viewer=1&amp;item=F091</t>
      </text>
    </comment>
    <comment ref="H93" authorId="0" shapeId="0">
      <text>
        <t>F092 · Debt instrument
Document: S1, annual report, FY2023, 2024-03-27, audited, katjes-2023-annual-report.pdf
Page: 69
Quote: "Other financial interest-bearing liabilities(1) Variable and fixed 8.9 10.7"
Status: approved by a named reviewer
Approver: demo reviewer, date not recorded
Proof: https://vanillabonds.com/dossier.html?c=katjes&amp;viewer=1&amp;item=F092</t>
      </text>
    </comment>
    <comment ref="H94" authorId="0" shapeId="0">
      <text>
        <t>F093 · Debt instrument
Document: S1, annual report, FY2023, 2024-03-27, audited, katjes-2023-annual-report.pdf
Page: 72
Quote: "port measures to secure liquidity in 2020 (total of EUR 5.0 million, 31 December 2023: EUR 1.7 million)."
Status: approved by a named reviewer
Approver: demo reviewer, date not recorded
Proof: https://vanillabonds.com/dossier.html?c=katjes&amp;viewer=1&amp;item=F093</t>
      </text>
    </comment>
    <comment ref="H95" authorId="0" shapeId="0">
      <text>
        <t>F094 · Risk fact
Document: S1, annual report, FY2023, 2024-03-27, audited, katjes-2023-annual-report.pdf
Page: 38
Quote: "Concentration risks could arise from major customers, especially in the food retail sector."
Status: approved by a named reviewer
Approver: demo reviewer, date not recorded
Proof: https://vanillabonds.com/dossier.html?c=katjes&amp;viewer=1&amp;item=F094</t>
      </text>
    </comment>
    <comment ref="H96" authorId="0" shapeId="0">
      <text>
        <t>F095 · Risk fact
Document: S1, annual report, FY2023, 2024-03-27, audited, katjes-2023-annual-report.pdf
Page: 38
Quote: "needed for production – especially sugar, cocoa, nuts, glucose and panthenol – could become less favourable."
Status: approved by a named reviewer
Approver: demo reviewer, date not recorded
Note on file: text: company wording put in quotation marks (reviewer, 20 Oct 2026)
Proof: https://vanillabonds.com/dossier.html?c=katjes&amp;viewer=1&amp;item=F095</t>
      </text>
    </comment>
    <comment ref="H97" authorId="0" shapeId="0">
      <text>
        <t>F096 · Risk fact
Document: S1, annual report, FY2023, 2024-03-27, audited, katjes-2023-annual-report.pdf
Page: 38
Quote: "Katjes International is dependent on certain suppliers. Delivery delays or non-delivery by a supplier could lead to production downtime."
Status: approved by a named reviewer
Approver: demo reviewer, date not recorded
Proof: https://vanillabonds.com/dossier.html?c=katjes&amp;viewer=1&amp;item=F096</t>
      </text>
    </comment>
    <comment ref="H98" authorId="0" shapeId="0">
      <text>
        <t>F097 · Risk fact
Document: S1, annual report, FY2023, 2024-03-27, audited, katjes-2023-annual-report.pdf
Page: 38
Quote: "Katjes International considers the overall risk arising from the aforementioned market-related and regulatory risks to be negligible."
Status: approved by a named reviewer
Approver: demo reviewer, date not recorded
Proof: https://vanillabonds.com/dossier.html?c=katjes&amp;viewer=1&amp;item=F097</t>
      </text>
    </comment>
    <comment ref="H99" authorId="0" shapeId="0">
      <text>
        <t>F098 · Risk fact
Document: S1, annual report, FY2023, 2024-03-27, audited, katjes-2023-annual-report.pdf
Page: 38
Quote: "The wars in Ukraine and the Middle East could cause"
Status: approved by a named reviewer
Approver: demo reviewer, date not recorded
Proof: https://vanillabonds.com/dossier.html?c=katjes&amp;viewer=1&amp;item=F098</t>
      </text>
    </comment>
    <comment ref="H100" authorId="0" shapeId="0">
      <text>
        <t>F099 · Risk fact
Document: S1, annual report, FY2023, 2024-03-27, audited, katjes-2023-annual-report.pdf
Page: 38
Quote: "Group companies have to repay subsidies or other"
Status: approved by a named reviewer
Approver: demo reviewer, date not recorded
Proof: https://vanillabonds.com/dossier.html?c=katjes&amp;viewer=1&amp;item=F099</t>
      </text>
    </comment>
    <comment ref="H101" authorId="0" shapeId="0">
      <text>
        <t>F100 · Risk fact
Document: S1, annual report, FY2023, 2024-03-27, audited, katjes-2023-annual-report.pdf
Page: 38
Quote: "The business in the confectionery market is subject to seasonal fluctuations."
Status: approved by a named reviewer
Approver: demo reviewer, date not recorded
Proof: https://vanillabonds.com/dossier.html?c=katjes&amp;viewer=1&amp;item=F100</t>
      </text>
    </comment>
    <comment ref="H102" authorId="0" shapeId="0">
      <text>
        <t>F101 · Risk fact
Document: S1, annual report, FY2023, 2024-03-27, audited, katjes-2023-annual-report.pdf
Page: 39
Quote: "The success of Katjes International depends on the knowledge and experience of individual managers and skilled personnel."
Status: approved by a named reviewer
Approver: demo reviewer, date not recorded
Proof: https://vanillabonds.com/dossier.html?c=katjes&amp;viewer=1&amp;item=F101</t>
      </text>
    </comment>
    <comment ref="H103" authorId="0" shapeId="0">
      <text>
        <t>F102 · Risk fact
Document: S1, annual report, FY2023, 2024-03-27, audited, katjes-2023-annual-report.pdf
Page: 39
Quote: "holdings in return for payment, but its earnings are largely depending on the results of the subsidiaries and holdings."
Status: approved by a named reviewer
Approver: demo reviewer, date not recorded
Proof: https://vanillabonds.com/dossier.html?c=katjes&amp;viewer=1&amp;item=F102</t>
      </text>
    </comment>
    <comment ref="H104" authorId="0" shapeId="0">
      <text>
        <t>F103 · Risk fact
Document: S1, annual report, FY2023, 2024-03-27, audited, katjes-2023-annual-report.pdf
Page: 39
Quote: "The risk of cyberattacks (e.g. hacking attacks, phishing emails) is increasing all the time."
Status: approved by a named reviewer
Approver: demo reviewer, date not recorded
Proof: https://vanillabonds.com/dossier.html?c=katjes&amp;viewer=1&amp;item=F103</t>
      </text>
    </comment>
    <comment ref="H105" authorId="0" shapeId="0">
      <text>
        <t>F104 · Risk fact
Document: S1, annual report, FY2023, 2024-03-27, audited, katjes-2023-annual-report.pdf
Page: 48
Quote: "As at 31 December 2023, cash and cash equivalents in a foreign currency with a value of EUR 2.0 million (SEK 24.0 million) are reported."
Status: approved by a named reviewer
Approver: demo reviewer, date not recorded
Proof: https://vanillabonds.com/dossier.html?c=katjes&amp;viewer=1&amp;item=F104</t>
      </text>
    </comment>
    <comment ref="H106" authorId="0" shapeId="0">
      <text>
        <t>F105 · Risk fact
Document: S1, annual report, FY2023, 2024-03-27, audited, katjes-2023-annual-report.pdf
Page: 53
Quote: "The financial statements of Candy Kittens and Longaim, whose functional currency is GBP as opposed to the Euro,"
Status: approved by a named reviewer
Approver: demo reviewer, date not recorded
Proof: https://vanillabonds.com/dossier.html?c=katjes&amp;viewer=1&amp;item=F105</t>
      </text>
    </comment>
    <comment ref="H107" authorId="0" shapeId="0">
      <text>
        <t>F106 · Risk fact
Document: S1, annual report, FY2023, 2024-03-27, audited, katjes-2023-annual-report.pdf
Page: 61
Quote: "len by 1%, profit after tax would have been EUR 0.8 million lower/EUR 0.8 million higher in the reporting year"
Status: approved by a named reviewer
Approver: demo reviewer, date not recorded
Proof: https://vanillabonds.com/dossier.html?c=katjes&amp;viewer=1&amp;item=F106</t>
      </text>
    </comment>
    <comment ref="H108" authorId="0" shapeId="0">
      <text>
        <t>F107 · Risk fact
Document: S1, annual report, FY2023, 2024-03-27, audited, katjes-2023-annual-report.pdf
Page: 61
Quote: "As at 31 December 2023, there are no hedging"
Status: approved by a named reviewer
Approver: demo reviewer, date not recorded
Proof: https://vanillabonds.com/dossier.html?c=katjes&amp;viewer=1&amp;item=F107</t>
      </text>
    </comment>
    <comment ref="H109" authorId="0" shapeId="0">
      <text>
        <t>F108 · Risk fact
Document: S1, annual report, FY2023, 2024-03-27, audited, katjes-2023-annual-report.pdf
Page: 61
Quote: "The maximum default risk is limited to the carrying amount (EUR 57.3 million; 2022: EUR 47.5 million)."
Status: approved by a named reviewer
Approver: demo reviewer, date not recorded
Proof: https://vanillabonds.com/dossier.html?c=katjes&amp;viewer=1&amp;item=F108</t>
      </text>
    </comment>
    <comment ref="H110" authorId="0" shapeId="0">
      <text>
        <t>F109 · Risk fact
Document: S1, annual report, FY2023, 2024-03-27, audited, katjes-2023-annual-report.pdf
Page: 63
Quote: "Non-current financial liabilities (incl. liabilities from leases) 0.0 15.1 137.4 4.2 156.7 156.7"
Status: approved by a named reviewer
Approver: demo reviewer, date not recorded
Proof: https://vanillabonds.com/dossier.html?c=katjes&amp;viewer=1&amp;item=F109</t>
      </text>
    </comment>
    <comment ref="H111" authorId="0" shapeId="0">
      <text>
        <t>F110 · Risk fact
Document: S1, annual report, FY2023, 2024-03-27, audited, katjes-2023-annual-report.pdf
Page: 70
Quote: "As at the balance sheet date, trade receivables in the amount of EUR 0.9 million were more than six months over‐"
Status: approved by a named reviewer
Approver: demo reviewer, date not recorded
Proof: https://vanillabonds.com/dossier.html?c=katjes&amp;viewer=1&amp;item=F110</t>
      </text>
    </comment>
    <comment ref="H112" authorId="0" shapeId="0">
      <text>
        <t>F111 · Executive
Document: S1, annual report, FY2023, 2024-03-27, audited, katjes-2023-annual-report.pdf
Page: 6
Quote: "since 2012 – CFO Katjes International Before several years in Investment Banking at Deutsche Bank and Citigroup in London"
Status: approved by a named reviewer
Approver: demo reviewer, date not recorded
Proof: https://vanillabonds.com/dossier.html?c=katjes&amp;viewer=1&amp;item=F111</t>
      </text>
    </comment>
    <comment ref="H113" authorId="0" shapeId="0">
      <text>
        <t>F112 · Executive
Document: S1, annual report, FY2023, 2024-03-27, audited, katjes-2023-annual-report.pdf
Page: 6
Quote: "Since 2004 – Managing Shareholder of Katjes International until 2003 – Marketing and Sales, Kraft Foods"
Status: approved by a named reviewer
Approver: demo reviewer, date not recorded
Proof: https://vanillabonds.com/dossier.html?c=katjes&amp;viewer=1&amp;item=F112</t>
      </text>
    </comment>
    <comment ref="H114" authorId="0" shapeId="0">
      <text>
        <t>F113 · Executive
Document: S1, annual report, FY2023, 2024-03-27, audited, katjes-2023-annual-report.pdf
Page: 6
Quote: "since 1996 – Managing Shareholder of Katjes International until 1995 – General Manager, Kraft Foods (Milka)"
Status: approved by a named reviewer
Approver: demo reviewer, date not recorded
Proof: https://vanillabonds.com/dossier.html?c=katjes&amp;viewer=1&amp;item=F113</t>
      </text>
    </comment>
    <comment ref="H115" authorId="0" shapeId="0">
      <text>
        <t>F114 · Revenue as budgeted for that year (management plan at the time) · FY2023
Document: S1, annual report, FY2023, 2024-03-27, audited, katjes-2023-annual-report.pdf
Page: 41
Quote: "The company expected to achieve consolidated net sales of between EUR 350 million and EUR 375 million for the financial year 2023."
Status: approved by a named reviewer
Approver: demo reviewer, date not recorded
Proof: https://vanillabonds.com/dossier.html?c=katjes&amp;viewer=1&amp;item=F114</t>
      </text>
    </comment>
    <comment ref="H116" authorId="0" shapeId="0">
      <text>
        <t>F115 · EBITDA as budgeted for that year (management plan at the time) · FY2023
Document: S1, annual report, FY2023, 2024-03-27, audited, katjes-2023-annual-report.pdf
Page: 41
Quote: "Katjes International’s EBITDA margin in the reporting year was 10.8%, well above the forecast range of 9–10%."
Status: approved by a named reviewer
Approver: demo reviewer, date not recorded
Proof: https://vanillabonds.com/dossier.html?c=katjes&amp;viewer=1&amp;item=F115</t>
      </text>
    </comment>
    <comment ref="H117" authorId="0" shapeId="0">
      <text>
        <t>F116 · Acquisition / disposal
Document: S1, annual report, FY2023, 2024-03-27, audited, katjes-2023-annual-report.pdf
Page: 16
Quote: "Effective 1 August 2022, Sperlari laid the foundation to further expand its leadership position in the seasonal business: the company acquired the operating business of Paluani S.p.A."
Status: approved by a named reviewer
Approver: demo reviewer, date not recorded
Proof: https://vanillabonds.com/dossier.html?c=katjes&amp;viewer=1&amp;item=F116</t>
      </text>
    </comment>
    <comment ref="H118" authorId="0" shapeId="0">
      <text>
        <t>F117 · Acquisition / disposal
Document: S1, annual report, FY2023, 2024-03-27, audited, katjes-2023-annual-report.pdf
Page: 16
Quote: "Until insolvency proceedings were opened in October 2021, Paluani was Italy’s fourth-largest panettone producer, with sales of around EUR 40 million in the year 2021."
Status: approved by a named reviewer
Approver: demo reviewer, date not recorded
Proof: https://vanillabonds.com/dossier.html?c=katjes&amp;viewer=1&amp;item=F117</t>
      </text>
    </comment>
    <comment ref="H119" authorId="0" shapeId="0">
      <text>
        <t>F118 · Acquisition / disposal
Document: S1, annual report, FY2023, 2024-03-27, audited, katjes-2023-annual-report.pdf
Page: 20
Quote: "Following the successful acquisition of Bübchen from Nestlé/Galderma in 2020"
Status: approved by a named reviewer
Approver: demo reviewer, date not recorded
Proof: https://vanillabonds.com/dossier.html?c=katjes&amp;viewer=1&amp;item=F118</t>
      </text>
    </comment>
    <comment ref="H120" authorId="0" shapeId="0">
      <text>
        <t>F119 · Acquisition / disposal
Document: S1, annual report, FY2023, 2024-03-27, audited, katjes-2023-annual-report.pdf
Page: 24
Quote: "At the end of 2018, Katjes International contributed its French subsidiary Lutti - already the second-largest sugar confectionery brand in France at the time - into CPK"
Status: approved by a named reviewer
Approver: demo reviewer, date not recorded
Proof: https://vanillabonds.com/dossier.html?c=katjes&amp;viewer=1&amp;item=F119</t>
      </text>
    </comment>
    <comment ref="H121" authorId="0" shapeId="0">
      <text>
        <t>F120 · Acquisition / disposal
Document: S1, annual report, FY2023, 2024-03-27, audited, katjes-2023-annual-report.pdf
Page: 27
Quote: "75% stake in Dulcioliva in Italy, with the option to acquire the remaining 25%."
Status: approved by a named reviewer
Approver: demo reviewer, date not recorded
Proof: https://vanillabonds.com/dossier.html?c=katjes&amp;viewer=1&amp;item=F120</t>
      </text>
    </comment>
    <comment ref="H122" authorId="0" shapeId="0">
      <text>
        <t>F121 · Acquisition / disposal
Document: S1, annual report, FY2023, 2024-03-27, audited, katjes-2023-annual-report.pdf
Page: 27
Quote: "In Italy, Sperlari has been part of Katjes International sin‐ ce 2017."
Status: approved by a named reviewer
Approver: demo reviewer, date not recorded
Proof: https://vanillabonds.com/dossier.html?c=katjes&amp;viewer=1&amp;item=F121</t>
      </text>
    </comment>
    <comment ref="H123" authorId="0" shapeId="0">
      <text>
        <t>F122 · Acquisition / disposal
Document: S1, annual report, FY2023, 2024-03-27, audited, katjes-2023-annual-report.pdf
Page: 27
Quote: "Since 2016, Katjes International has held all shares in the Dutch company Harlekijntjes"
Status: approved by a named reviewer
Approver: demo reviewer, date not recorded
Proof: https://vanillabonds.com/dossier.html?c=katjes&amp;viewer=1&amp;item=F122</t>
      </text>
    </comment>
    <comment ref="H124" authorId="0" shapeId="0">
      <text>
        <t>F123 · Acquisition / disposal
Document: S1, annual report, FY2023, 2024-03-27, audited, katjes-2023-annual-report.pdf
Page: 27
Quote: "In Germany, Piasten has been part of Katjes Internatio‐ nal’s portfolio of holdings since 2014."
Status: approved by a named reviewer
Approver: demo reviewer, date not recorded
Proof: https://vanillabonds.com/dossier.html?c=katjes&amp;viewer=1&amp;item=F123</t>
      </text>
    </comment>
    <comment ref="H125" authorId="0" shapeId="0">
      <text>
        <t>F124 · Acquisition / disposal
Document: S1, annual report, FY2023, 2024-03-27, audited, katjes-2023-annual-report.pdf
Page: 27
Quote: "sed company Dallmann’s Pharma Candy (part of Katjes International since 2012) is the leader in German phar‐"
Status: approved by a named reviewer
Approver: demo reviewer, date not recorded
Proof: https://vanillabonds.com/dossier.html?c=katjes&amp;viewer=1&amp;item=F124</t>
      </text>
    </comment>
    <comment ref="H126" authorId="0" shapeId="0">
      <text>
        <t>F125 · Acquisition / disposal
Document: S1, annual report, FY2023, 2024-03-27, audited, katjes-2023-annual-report.pdf
Page: 33
Quote: "Since November 2023, the natural cosmetics brand Naturale Antica Erboris‐ teria (N.A.E.) complements the existing body care portfo‐"
Status: approved by a named reviewer
Approver: demo reviewer, date not recorded
Proof: https://vanillabonds.com/dossier.html?c=katjes&amp;viewer=1&amp;item=F125</t>
      </text>
    </comment>
    <comment ref="H127" authorId="0" shapeId="0">
      <text>
        <t>F126 · Acquisition / disposal
Document: S1, annual report, FY2023, 2024-03-27, audited, katjes-2023-annual-report.pdf
Page: 59
Quote: "sidiary Bübchen Bodycare, acquired the oral care and part of the hair care business (the ‘oral care division’) from Henkel AG &amp; Co. KGaA (‘Henkel’)."
Status: approved by a named reviewer
Approver: demo reviewer, date not recorded
Proof: https://vanillabonds.com/dossier.html?c=katjes&amp;viewer=1&amp;item=F126</t>
      </text>
    </comment>
    <comment ref="F128" authorId="0" shapeId="0">
      <text>
        <t>F127 · Acquisition / disposal
target: oral care division purchase price allocation (final); year: 2022; identifiable net assets at fair value 18.1: PP&amp;E 25.9, intangibles 23.8, financial liabilities 20.4, pensions 3.1, deferred tax liabilities 8.1
Document: S1, annual report, FY2023, 2024-03-27, audited, katjes-2023-annual-report.pdf
Page: 59
Quote: "Total identifiable net assets at fair value 18.1"
Status: approved by a named reviewer
Approver: demo reviewer, date not recorded
Proof: https://vanillabonds.com/dossier.html?c=katjes&amp;viewer=1&amp;item=F127</t>
      </text>
    </comment>
    <comment ref="F129" authorId="0" shapeId="0">
      <text>
        <t>F128 · Acquisition / disposal
target: oral care division; year: 2022; price: cash outflow EUR 14.0m in 2022, remainder for the Viersen production facility due 2 January 2024
Document: S1, annual report, FY2023, 2024-03-27, audited, katjes-2023-annual-report.pdf
Page: 59
Quote: "an outflow of cash amounting to EUR 14.0 million in the previous year."
Status: approved by a named reviewer
Approver: demo reviewer, date not recorded
Proof: https://vanillabonds.com/dossier.html?c=katjes&amp;viewer=1&amp;item=F128</t>
      </text>
    </comment>
    <comment ref="H130" authorId="0" shapeId="0">
      <text>
        <t>F129 · Succession
Document: S1, annual report, FY2023, 2024-03-27, audited, katjes-2023-annual-report.pdf
Page: 6
Quote: "since 2012 – CFO Katjes International"
Status: approved by a named reviewer
Approver: demo reviewer, date not recorded
Proof: https://vanillabonds.com/dossier.html?c=katjes&amp;viewer=1&amp;item=F129</t>
      </text>
    </comment>
    <comment ref="H131" authorId="0" shapeId="0">
      <text>
        <t>F130 · Board, independent members, group structure, related-party flows, dividends
Document: S1, annual report, FY2023, 2024-03-27, audited, katjes-2023-annual-report.pdf
Page: 34
Quote: "3.0 million (31 December 2022: EUR 2.9 million) and mainly relate to the minority interests in Candy Kittens."
Status: approved by a named reviewer
Approver: demo reviewer, date not recorded
Proof: https://vanillabonds.com/dossier.html?c=katjes&amp;viewer=1&amp;item=F130</t>
      </text>
    </comment>
    <comment ref="H132" authorId="0" shapeId="0">
      <text>
        <t>F131 · Board, independent members, group structure, related-party flows, dividends
Document: S1, annual report, FY2023, 2024-03-27, audited, katjes-2023-annual-report.pdf
Page: 40
Quote: "Katjes International also has a voluntary external advisory board in place."
Status: approved by a named reviewer
Approver: demo reviewer, date not recorded
Proof: https://vanillabonds.com/dossier.html?c=katjes&amp;viewer=1&amp;item=F131</t>
      </text>
    </comment>
    <comment ref="H133" authorId="0" shapeId="0">
      <text>
        <t>F132 · Board, independent members, group structure, related-party flows, dividends
Document: S1, annual report, FY2023, 2024-03-27, audited, katjes-2023-annual-report.pdf
Page: 47
Quote: "As at 31 Dec 2023 0.6 2.0 2.0 153.5 10.1 1.2 3.6 4,8 173.0 3.0 176.0"
Status: approved by a named reviewer
Approver: demo reviewer, date not recorded
Proof: https://vanillabonds.com/dossier.html?c=katjes&amp;viewer=1&amp;item=F132</t>
      </text>
    </comment>
    <comment ref="H134" authorId="0" shapeId="0">
      <text>
        <t>F133 · Board, independent members, group structure, related-party flows, dividends
Document: S1, annual report, FY2023, 2024-03-27, audited, katjes-2023-annual-report.pdf
Page: 50
Quote: "The personally liable partner (general partner) of the Company is Xaver Fassin International GmbH with its shareholders Bastian Fassin and Tobias Bachmüller."
Status: approved by a named reviewer
Approver: demo reviewer, date not recorded
Proof: https://vanillabonds.com/dossier.html?c=katjes&amp;viewer=1&amp;item=F133</t>
      </text>
    </comment>
    <comment ref="H135" authorId="0" shapeId="0">
      <text>
        <t>F134 · Board, independent members, group structure, related-party flows, dividends
Document: S1, annual report, FY2023, 2024-03-27, audited, katjes-2023-annual-report.pdf
Page: 79
Quote: "Fees for audit services 0.5 0.4"
Status: approved by a named reviewer
Approver: demo reviewer, date not recorded
Proof: https://vanillabonds.com/dossier.html?c=katjes&amp;viewer=1&amp;item=F134</t>
      </text>
    </comment>
    <comment ref="H136" authorId="0" shapeId="0">
      <text>
        <t>F135 · Board, independent members, group structure, related-party flows, dividends
Document: S1, annual report, FY2023, 2024-03-27, audited, katjes-2023-annual-report.pdf
Page: 81
Quote: "The general partner of Katjes International GmbH &amp; Co. KG is the chief operating decision maker throughout the group"
Status: approved by a named reviewer
Approver: demo reviewer, date not recorded
Proof: https://vanillabonds.com/dossier.html?c=katjes&amp;viewer=1&amp;item=F135</t>
      </text>
    </comment>
    <comment ref="H137" authorId="0" shapeId="0">
      <text>
        <t>F136 · Board, independent members, group structure, related-party flows, dividends
Document: S1, annual report, FY2023, 2024-03-27, audited, katjes-2023-annual-report.pdf
Page: 84
Quote: "All business relationships are conducted at arm’s length and are not collateralised."
Status: approved by a named reviewer
Approver: demo reviewer, date not recorded
Proof: https://vanillabonds.com/dossier.html?c=katjes&amp;viewer=1&amp;item=F136</t>
      </text>
    </comment>
    <comment ref="H138" authorId="0" shapeId="0">
      <text>
        <t>F137 · Board, independent members, group structure, related-party flows, dividends
Document: S1, annual report, FY2023, 2024-03-27, audited, katjes-2023-annual-report.pdf
Page: 85
Quote: "gal form of a corporation, make use of the exemption from certain regulations on the preparation, auditing and"
Status: approved by a named reviewer
Approver: demo reviewer, date not recorded
Proof: https://vanillabonds.com/dossier.html?c=katjes&amp;viewer=1&amp;item=F137</t>
      </text>
    </comment>
    <comment ref="H139" authorId="0" shapeId="0">
      <text>
        <t>F138 · Monitoring
Document: S1, annual report, FY2023, 2024-03-27, audited, katjes-2023-annual-report.pdf
Page: 27
Quote: "Internal control and reporting within Katjes International is carried out through the fast-moving consumer goods"
Status: approved by a named reviewer
Approver: demo reviewer, date not recorded
Proof: https://vanillabonds.com/dossier.html?c=katjes&amp;viewer=1&amp;item=F138</t>
      </text>
    </comment>
    <comment ref="H140" authorId="0" shapeId="0">
      <text>
        <t>F139 · Monitoring
Document: S1, annual report, FY2023, 2024-03-27, audited, katjes-2023-annual-report.pdf
Page: 28
Quote: "cators (KPIs) are financial in nature and include revenue as an indicator of business growth and EBITDA"
Status: approved by a named reviewer
Approver: demo reviewer, date not recorded
Proof: https://vanillabonds.com/dossier.html?c=katjes&amp;viewer=1&amp;item=F139</t>
      </text>
    </comment>
    <comment ref="H141" authorId="0" shapeId="0">
      <text>
        <t>F140 · Monitoring
Document: S1, annual report, FY2023, 2024-03-27, audited, katjes-2023-annual-report.pdf
Page: 35
Quote: "ons, brand awareness and the sustainable orientation of the company and its holdings."
Status: approved by a named reviewer
Approver: demo reviewer, date not recorded
Proof: https://vanillabonds.com/dossier.html?c=katjes&amp;viewer=1&amp;item=F140</t>
      </text>
    </comment>
    <comment ref="H142" authorId="0" shapeId="0">
      <text>
        <t>F141 · Monitoring
Document: S1, annual report, FY2023, 2024-03-27, audited, katjes-2023-annual-report.pdf
Page: 40
Quote: "This includes adequate internal reporting to identify risks from business operations, as well as"
Status: approved by a named reviewer
Approver: demo reviewer, date not recorded
Proof: https://vanillabonds.com/dossier.html?c=katjes&amp;viewer=1&amp;item=F141</t>
      </text>
    </comment>
    <comment ref="H143" authorId="0" shapeId="0">
      <text>
        <t>F142 · Monitoring
Document: S1, annual report, FY2023, 2024-03-27, audited, katjes-2023-annual-report.pdf
Page: 62
Quote: "The Group monitors and updates its cash planning on a regular basis."
Status: approved by a named reviewer
Approver: demo reviewer, date not recorded
Proof: https://vanillabonds.com/dossier.html?c=katjes&amp;viewer=1&amp;item=F142</t>
      </text>
    </comment>
    <comment ref="H144" authorId="0" shapeId="0">
      <text>
        <t>F143 · Market
Document: S1, annual report, FY2023, 2024-03-27, audited, katjes-2023-annual-report.pdf
Page: 27
Quote: "lian sugar confectionery market, and the market leader in the segment for sugar-free candies, seasonal pro‐"
Status: approved by a named reviewer
Approver: demo reviewer, date not recorded
Proof: https://vanillabonds.com/dossier.html?c=katjes&amp;viewer=1&amp;item=F143</t>
      </text>
    </comment>
    <comment ref="H145" authorId="0" shapeId="0">
      <text>
        <t>F144 · Market
Document: S1, annual report, FY2023, 2024-03-27, audited, katjes-2023-annual-report.pdf
Page: 27
Quote: "Since May 2020 Bübchen, the market leader in the baby &amp; kids body care segment in Germany, is part of the Kat‐"
Status: approved by a named reviewer
Approver: demo reviewer, date not recorded
Proof: https://vanillabonds.com/dossier.html?c=katjes&amp;viewer=1&amp;item=F144</t>
      </text>
    </comment>
    <comment ref="H146" authorId="0" shapeId="0">
      <text>
        <t>F145 · Market
Document: S1, annual report, FY2023, 2024-03-27, audited, katjes-2023-annual-report.pdf
Page: 27
Quote: "Dutch company Harlekijntjes, which makes the country’s best-selling liquorice product (based on volume)."
Status: approved by a named reviewer
Approver: demo reviewer, date not recorded
Proof: https://vanillabonds.com/dossier.html?c=katjes&amp;viewer=1&amp;item=F145</t>
      </text>
    </comment>
    <comment ref="H147" authorId="0" shapeId="0">
      <text>
        <t>F146 · Market
Document: S1, annual report, FY2023, 2024-03-27, audited, katjes-2023-annual-report.pdf
Page: 27
Quote: "International since 2012) is the leader in German phar‐ macies in terms of number of packets sold."
Status: approved by a named reviewer
Approver: demo reviewer, date not recorded
Proof: https://vanillabonds.com/dossier.html?c=katjes&amp;viewer=1&amp;item=F146</t>
      </text>
    </comment>
    <comment ref="H148" authorId="0" shapeId="0">
      <text>
        <t>F147 · Market
Document: S1, annual report, FY2023, 2024-03-27, audited, katjes-2023-annual-report.pdf
Page: 27
Quote: "For instance, Vademecum is the leading organic toothpaste in France. Licor del Polo has"
Status: approved by a named reviewer
Approver: demo reviewer, date not recorded
Proof: https://vanillabonds.com/dossier.html?c=katjes&amp;viewer=1&amp;item=F147</t>
      </text>
    </comment>
    <comment ref="H149" authorId="0" shapeId="0">
      <text>
        <t>F148 · Market
Document: S1, annual report, FY2023, 2024-03-27, audited, katjes-2023-annual-report.pdf
Page: 29
Quote: "dicting that the European sugar confectionery market will continue to grow and will reach a volume of just under EUR 298 billion by 2028."
Status: approved by a named reviewer
Approver: demo reviewer, date not recorded
Proof: https://vanillabonds.com/dossier.html?c=katjes&amp;viewer=1&amp;item=F148</t>
      </text>
    </comment>
    <comment ref="H150" authorId="0" shapeId="0">
      <text>
        <t>F149 · Market
Document: S1, annual report, FY2023, 2024-03-27, audited, katjes-2023-annual-report.pdf
Page: 29
Quote: "The sales markets for FMCG were characterised by low sensitivity to business cycles and high economic resili‐"
Status: approved by a named reviewer
Approver: demo reviewer, date not recorded
Proof: https://vanillabonds.com/dossier.html?c=katjes&amp;viewer=1&amp;item=F149</t>
      </text>
    </comment>
    <comment ref="H151" authorId="0" shapeId="0">
      <text>
        <t>F150 · Market
Document: S1, annual report, FY2023, 2024-03-27, audited, katjes-2023-annual-report.pdf
Page: 32
Quote: "The 23% stake in CPK, the number two in the French sugar confectionery market, is consolidated using the equity method."
Status: approved by a named reviewer
Approver: demo reviewer, date not recorded
Proof: https://vanillabonds.com/dossier.html?c=katjes&amp;viewer=1&amp;item=F150</t>
      </text>
    </comment>
    <comment ref="H152" authorId="0" shapeId="0">
      <text>
        <t>F151 · Concentration
Document: S1, annual report, FY2023, 2024-03-27, audited, katjes-2023-annual-report.pdf
Page: 32
Quote: "Katjes International generated 30.6% of its sales in Italy (previous year: 29.2%) and 27.7% in Germany (previous year: 29.4%)."
Status: approved by a named reviewer
Approver: demo reviewer, date not recorded
Proof: https://vanillabonds.com/dossier.html?c=katjes&amp;viewer=1&amp;item=F151</t>
      </text>
    </comment>
    <comment ref="H153" authorId="0" shapeId="0">
      <text>
        <t>F152 · Concentration
Document: S1, annual report, FY2023, 2024-03-27, audited, katjes-2023-annual-report.pdf
Page: 61
Quote: "No significant concentrations of risk were apparent as at the balance sheet date."
Status: approved by a named reviewer
Approver: demo reviewer, date not recorded
Proof: https://vanillabonds.com/dossier.html?c=katjes&amp;viewer=1&amp;item=F152</t>
      </text>
    </comment>
    <comment ref="H154" authorId="0" shapeId="0">
      <text>
        <t>F153 · Concentration
Document: S1, annual report, FY2023, 2024-03-27, audited, katjes-2023-annual-report.pdf
Page: 81
Quote: "The products are sold primarily through food retailers and drugstores."
Status: approved by a named reviewer
Approver: demo reviewer, date not recorded
Proof: https://vanillabonds.com/dossier.html?c=katjes&amp;viewer=1&amp;item=F153</t>
      </text>
    </comment>
    <comment ref="F155" authorId="0" shapeId="0">
      <text>
        <t>F154 · Investment plan item
what: takeover of the Viersen production site (oral care) including around 50 employees; amount: remaining purchase price liability 6.4; timing: beginning of 2024 (2 January 2024); status: contracted 7 December 2022, completed
Document: S1, annual report, FY2023, 2024-03-27, audited, katjes-2023-annual-report.pdf
Page: 21
Quote: "in Viersen, including around 50 employees, at the beginning of 2024."
Status: approved by a named reviewer
Approver: demo reviewer, date not recorded
Proof: https://vanillabonds.com/dossier.html?c=katjes&amp;viewer=1&amp;item=F154</t>
      </text>
    </comment>
    <comment ref="F156" authorId="0" shapeId="0">
      <text>
        <t>F155 · Debt principal falling due in the period · FY2024E
Current financial liabilities due within one year at 31 Dec 2023 (undiscounted, excl. interest), incl. lease liabilities 2.9 and Viersen site liability
Document: S1, annual report, FY2023, 2024-03-27, audited, katjes-2023-annual-report.pdf
Page: 63
Quote: "Current financial liabilities (incl. liabilities from leases) 35.2 0.0 0.0 0.0 35.2 35.2"
Status: approved by a named reviewer
Approver: demo reviewer, date not recorded
Proof: https://vanillabonds.com/dossier.html?c=katjes&amp;viewer=1&amp;item=F155</t>
      </text>
    </comment>
    <comment ref="F157" authorId="0" shapeId="0">
      <text>
        <t>F156 · Debt principal falling due in the period · FY2025E
Financial liabilities due in one to two years at 31 Dec 2023 (undiscounted, excl. interest), incl. lease liabilities 1.9
Document: S1, annual report, FY2023, 2024-03-27, audited, katjes-2023-annual-report.pdf
Page: 63
Quote: "Non-current financial liabilities (incl. liabilities from leases) 0.0 15.1 137.4 4.2 156.7 156.7"
Status: extracted, pending review
Approver: none yet
Note on file: conflict: S1·p63 15.1 vs S2·p59 37.4; primary per fact agent: S2 p59 - S2's maturity table at 31 Dec 2024 is the later audited measurement of amounts due in 2025; S1's 15.1 is the one-to-two-year band at 31 Dec 2023.
Proof: https://vanillabonds.com/dossier.html?c=katjes&amp;viewer=1&amp;item=F156</t>
      </text>
    </comment>
    <comment ref="F158" authorId="0" shapeId="0">
      <text>
        <t>F157 · Issue cost item
item: incidental costs of the 2023/2028 bond; amount: 2.8; source: consolidated cash flow statement 2023
Document: S1, annual report, FY2023, 2024-03-27, audited, katjes-2023-annual-report.pdf
Page: 48
Quote: "Incidental costs of the bond -2.8 0.0"
Status: approved by a named reviewer
Approver: demo reviewer, date not recorded
Proof: https://vanillabonds.com/dossier.html?c=katjes&amp;viewer=1&amp;item=F157</t>
      </text>
    </comment>
    <comment ref="F159" authorId="0" shapeId="0">
      <text>
        <t>F158 · Group entity
entity: CPK S.A.S., Paris (holding of Carambar &amp; Co); jurisdiction: FR; revenue: 1.4 (2022: 2.0); assets: current 4.5, non-current 268.5, cash 0.1; debt: current liabilities 6.1, non-current 0.0; guarantor: no (associate, around 23%, equity method, carrying 63.7, loss share -0.7 in 2023)
Document: S1, annual report, FY2023, 2024-03-27, audited, katjes-2023-annual-report.pdf
Page: 60
Quote: "Current assets 4.5 2.0 Non-current assets 268.5 268.5 Current liabilities 6.1 1.5"
Status: approved by a named reviewer
Approver: demo reviewer, date not recorded
Proof: https://vanillabonds.com/dossier.html?c=katjes&amp;viewer=1&amp;item=F158</t>
      </text>
    </comment>
    <comment ref="H160" authorId="0" shapeId="0">
      <text>
        <t>F159 · Group entity
Document: S1, annual report, FY2023, 2024-03-27, audited, katjes-2023-annual-report.pdf
Page: 87
Quote: "Katjes France GmbH, Emmerich am Rhein 100 A 100 A"
Status: approved by a named reviewer
Approver: demo reviewer, date not recorded
Proof: https://vanillabonds.com/dossier.html?c=katjes&amp;viewer=1&amp;item=F159</t>
      </text>
    </comment>
    <comment ref="H161" authorId="0" shapeId="0">
      <text>
        <t>F160 · Group entity
Document: S1, annual report, FY2023, 2024-03-27, audited, katjes-2023-annual-report.pdf
Page: 87
Quote: "Katjes Nederland GmbH, Emmerich am Rhein 100 A 100 A"
Status: approved by a named reviewer
Approver: demo reviewer, date not recorded
Proof: https://vanillabonds.com/dossier.html?c=katjes&amp;viewer=1&amp;item=F160</t>
      </text>
    </comment>
    <comment ref="H162" authorId="0" shapeId="0">
      <text>
        <t>F161 · Group entity
Document: S1, annual report, FY2023, 2024-03-27, audited, katjes-2023-annual-report.pdf
Page: 87
Quote: "Katjes 21 GmbH, Emmerich am Rhein 100 A 100 A"
Status: approved by a named reviewer
Approver: demo reviewer, date not recorded
Proof: https://vanillabonds.com/dossier.html?c=katjes&amp;viewer=1&amp;item=F161</t>
      </text>
    </comment>
    <comment ref="H163" authorId="0" shapeId="0">
      <text>
        <t>F162 · Group entity
Document: S1, annual report, FY2023, 2024-03-27, audited, katjes-2023-annual-report.pdf
Page: 87
Quote: "Dallmann’s Pharma Candy GmbH, Hofheim am Taunus 100 A 100 A"
Status: approved by a named reviewer
Approver: demo reviewer, date not recorded
Proof: https://vanillabonds.com/dossier.html?c=katjes&amp;viewer=1&amp;item=F162</t>
      </text>
    </comment>
    <comment ref="H164" authorId="0" shapeId="0">
      <text>
        <t>F163 · Group entity
Document: S1, annual report, FY2023, 2024-03-27, audited, katjes-2023-annual-report.pdf
Page: 87
Quote: "Candy Pharma GmbH, Hofheim am Taunus 100 A 100 A"
Status: approved by a named reviewer
Approver: demo reviewer, date not recorded
Proof: https://vanillabonds.com/dossier.html?c=katjes&amp;viewer=1&amp;item=F163</t>
      </text>
    </comment>
    <comment ref="H165" authorId="0" shapeId="0">
      <text>
        <t>F164 · Group entity
Document: S1, annual report, FY2023, 2024-03-27, audited, katjes-2023-annual-report.pdf
Page: 87
Quote: "Piasten GmbH, Forchheim 100 A 100 A"
Status: approved by a named reviewer
Approver: demo reviewer, date not recorded
Proof: https://vanillabonds.com/dossier.html?c=katjes&amp;viewer=1&amp;item=F164</t>
      </text>
    </comment>
    <comment ref="H166" authorId="0" shapeId="0">
      <text>
        <t>F165 · Group entity
Document: S1, annual report, FY2023, 2024-03-27, audited, katjes-2023-annual-report.pdf
Page: 87
Quote: "Treets GmbH, Forchheim 100 A 100 A"
Status: approved by a named reviewer
Approver: demo reviewer, date not recorded
Proof: https://vanillabonds.com/dossier.html?c=katjes&amp;viewer=1&amp;item=F165</t>
      </text>
    </comment>
    <comment ref="H167" authorId="0" shapeId="0">
      <text>
        <t>F166 · Group entity
Document: S1, annual report, FY2023, 2024-03-27, audited, katjes-2023-annual-report.pdf
Page: 87
Quote: "CCV-Vertriebs-GmbH, Forchheim 100 A 100 A"
Status: approved by a named reviewer
Approver: demo reviewer, date not recorded
Proof: https://vanillabonds.com/dossier.html?c=katjes&amp;viewer=1&amp;item=F166</t>
      </text>
    </comment>
    <comment ref="H168" authorId="0" shapeId="0">
      <text>
        <t>F167 · Group entity
Document: S1, annual report, FY2023, 2024-03-27, audited, katjes-2023-annual-report.pdf
Page: 87
Quote: "Katjes 24 GmbH, Emmerich 100 A 100 A"
Status: approved by a named reviewer
Approver: demo reviewer, date not recorded
Proof: https://vanillabonds.com/dossier.html?c=katjes&amp;viewer=1&amp;item=F167</t>
      </text>
    </comment>
    <comment ref="H169" authorId="0" shapeId="0">
      <text>
        <t>F168 · Group entity
Document: S1, annual report, FY2023, 2024-03-27, audited, katjes-2023-annual-report.pdf
Page: 87
Quote: "Katjes Italy GmbH, Emmerich 100 A 100 A"
Status: approved by a named reviewer
Approver: demo reviewer, date not recorded
Proof: https://vanillabonds.com/dossier.html?c=katjes&amp;viewer=1&amp;item=F168</t>
      </text>
    </comment>
    <comment ref="H170" authorId="0" shapeId="0">
      <text>
        <t>F169 · Group entity
Document: S1, annual report, FY2023, 2024-03-27, audited, katjes-2023-annual-report.pdf
Page: 87
Quote: "Bübchen Skincare GmbH (previous: Dallmann’s Pharma GmbH), Hofheim am Taunus 100 A 100 A"
Status: approved by a named reviewer
Approver: demo reviewer, date not recorded
Proof: https://vanillabonds.com/dossier.html?c=katjes&amp;viewer=1&amp;item=F169</t>
      </text>
    </comment>
    <comment ref="H171" authorId="0" shapeId="0">
      <text>
        <t>F170 · Group entity
Document: S1, annual report, FY2023, 2024-03-27, audited, katjes-2023-annual-report.pdf
Page: 87
Quote: "Bübchen-Werk Ewald Hermes Pharmazeutische Fabrik GmbH, Soest 100 A 100 A"
Status: approved by a named reviewer
Approver: demo reviewer, date not recorded
Proof: https://vanillabonds.com/dossier.html?c=katjes&amp;viewer=1&amp;item=F170</t>
      </text>
    </comment>
    <comment ref="H172" authorId="0" shapeId="0">
      <text>
        <t>F171 · Group entity
Document: S1, annual report, FY2023, 2024-03-27, audited, katjes-2023-annual-report.pdf
Page: 87
Quote: "Bübchen Bodycare GmbH, Düsseldorf 100 A 100 A"
Status: approved by a named reviewer
Approver: demo reviewer, date not recorded
Proof: https://vanillabonds.com/dossier.html?c=katjes&amp;viewer=1&amp;item=F171</t>
      </text>
    </comment>
    <comment ref="H173" authorId="0" shapeId="0">
      <text>
        <t>F172 · Group entity
Document: S1, annual report, FY2023, 2024-03-27, audited, katjes-2023-annual-report.pdf
Page: 87
Quote: "Candy Kittens EU GmbH, Emmerich 100 A 100 A"
Status: approved by a named reviewer
Approver: demo reviewer, date not recorded
Proof: https://vanillabonds.com/dossier.html?c=katjes&amp;viewer=1&amp;item=F172</t>
      </text>
    </comment>
    <comment ref="H174" authorId="0" shapeId="0">
      <text>
        <t>F173 · Group entity
Document: S1, annual report, FY2023, 2024-03-27, audited, katjes-2023-annual-report.pdf
Page: 87
Quote: "Pharma Candy Management GmbH 100 A 100 A"
Status: approved by a named reviewer
Approver: demo reviewer, date not recorded
Proof: https://vanillabonds.com/dossier.html?c=katjes&amp;viewer=1&amp;item=F173</t>
      </text>
    </comment>
    <comment ref="H175" authorId="0" shapeId="0">
      <text>
        <t>F174 · Group entity
Document: S1, annual report, FY2023, 2024-03-27, audited, katjes-2023-annual-report.pdf
Page: 87
Quote: "Pharma Candy GmbH &amp; Co. KG 99.9 A 99.9 A"
Status: approved by a named reviewer
Approver: demo reviewer, date not recorded
Proof: https://vanillabonds.com/dossier.html?c=katjes&amp;viewer=1&amp;item=F174</t>
      </text>
    </comment>
    <comment ref="H176" authorId="0" shapeId="0">
      <text>
        <t>F175 · Group entity
Document: S1, annual report, FY2023, 2024-03-27, audited, katjes-2023-annual-report.pdf
Page: 87
Quote: "Blaue Helden GmbH, Bad Homburg 11,1 — 16.1 —"
Status: approved by a named reviewer
Approver: demo reviewer, date not recorded
Proof: https://vanillabonds.com/dossier.html?c=katjes&amp;viewer=1&amp;item=F175</t>
      </text>
    </comment>
    <comment ref="H177" authorId="0" shapeId="0">
      <text>
        <t>F176 · Group entity
Document: S1, annual report, FY2023, 2024-03-27, audited, katjes-2023-annual-report.pdf
Page: 87
Quote: "Heel Veel Snoepjes B.V., Nijkerk,Netherlands 100 A 100 A"
Status: approved by a named reviewer
Approver: demo reviewer, date not recorded
Proof: https://vanillabonds.com/dossier.html?c=katjes&amp;viewer=1&amp;item=F176</t>
      </text>
    </comment>
    <comment ref="H178" authorId="0" shapeId="0">
      <text>
        <t>F177 · Group entity
Document: S1, annual report, FY2023, 2024-03-27, audited, katjes-2023-annual-report.pdf
Page: 87
Quote: "Harlekijntjes B.V., Nijkerk,Netherlands 100 A 100 A"
Status: approved by a named reviewer
Approver: demo reviewer, date not recorded
Proof: https://vanillabonds.com/dossier.html?c=katjes&amp;viewer=1&amp;item=F177</t>
      </text>
    </comment>
    <comment ref="H179" authorId="0" shapeId="0">
      <text>
        <t>F178 · Group entity
Document: S1, annual report, FY2023, 2024-03-27, audited, katjes-2023-annual-report.pdf
Page: 87
Quote: "ÖZW Österreichische Zuckerwaren GmbH, Innsbruck/Austria 100 A 100 A"
Status: approved by a named reviewer
Approver: demo reviewer, date not recorded
Proof: https://vanillabonds.com/dossier.html?c=katjes&amp;viewer=1&amp;item=F178</t>
      </text>
    </comment>
    <comment ref="H180" authorId="0" shapeId="0">
      <text>
        <t>F179 · Group entity
Document: S1, annual report, FY2023, 2024-03-27, audited, katjes-2023-annual-report.pdf
Page: 87
Quote: "Sperlari S.r.l., Cremona, Italy 100 A 100 A"
Status: approved by a named reviewer
Approver: demo reviewer, date not recorded
Proof: https://vanillabonds.com/dossier.html?c=katjes&amp;viewer=1&amp;item=F179</t>
      </text>
    </comment>
    <comment ref="H181" authorId="0" shapeId="0">
      <text>
        <t>F180 · Group entity
Document: S1, annual report, FY2023, 2024-03-27, audited, katjes-2023-annual-report.pdf
Page: 87
Quote: "Dulcioliva S.r.l., Borgo San Dalmazzo, Italy 75 A 75 A"
Status: approved by a named reviewer
Approver: demo reviewer, date not recorded
Proof: https://vanillabonds.com/dossier.html?c=katjes&amp;viewer=1&amp;item=F180</t>
      </text>
    </comment>
    <comment ref="H182" authorId="0" shapeId="0">
      <text>
        <t>F181 · Group entity
Document: S1, annual report, FY2023, 2024-03-27, audited, katjes-2023-annual-report.pdf
Page: 87
Quote: "Paluani 1921 S.r.l.,Verona, Italy 100 A 100 A"
Status: approved by a named reviewer
Approver: demo reviewer, date not recorded
Proof: https://vanillabonds.com/dossier.html?c=katjes&amp;viewer=1&amp;item=F181</t>
      </text>
    </comment>
    <comment ref="H183" authorId="0" shapeId="0">
      <text>
        <t>F182 · Group entity
Document: S1, annual report, FY2023, 2024-03-27, audited, katjes-2023-annual-report.pdf
Page: 87
Quote: "Candy Kittens Ltd., London, UK 56.5 A 56.5 A"
Status: approved by a named reviewer
Approver: demo reviewer, date not recorded
Proof: https://vanillabonds.com/dossier.html?c=katjes&amp;viewer=1&amp;item=F182</t>
      </text>
    </comment>
    <comment ref="H184" authorId="0" shapeId="0">
      <text>
        <t>F183 · Group entity
Document: S1, annual report, FY2023, 2024-03-27, audited, katjes-2023-annual-report.pdf
Page: 87
Quote: "Longaim Ltd, London, UK 56.5 A 56.5 A"
Status: approved by a named reviewer
Approver: demo reviewer, date not recorded
Proof: https://vanillabonds.com/dossier.html?c=katjes&amp;viewer=1&amp;item=F183</t>
      </text>
    </comment>
    <comment ref="H185" authorId="0" shapeId="0">
      <text>
        <t>F184 · Group entity
Document: S1, annual report, FY2023, 2024-03-27, audited, katjes-2023-annual-report.pdf
Page: 87
Quote: "Tuckshop Ltd, London, UK 75 A 75 A"
Status: approved by a named reviewer
Approver: demo reviewer, date not recorded
Proof: https://vanillabonds.com/dossier.html?c=katjes&amp;viewer=1&amp;item=F184</t>
      </text>
    </comment>
    <comment ref="H186" authorId="0" shapeId="0">
      <text>
        <t>F185 · Group entity
Document: S1, annual report, FY2023, 2024-03-27, audited, katjes-2023-annual-report.pdf
Page: 87
Quote: "Nuud Snacks Ltd, London ,UK 10 -— 10 -—"
Status: approved by a named reviewer
Approver: demo reviewer, date not recorded
Proof: https://vanillabonds.com/dossier.html?c=katjes&amp;viewer=1&amp;item=F185</t>
      </text>
    </comment>
    <comment ref="H187" authorId="0" shapeId="0">
      <text>
        <t>F186 · Group entity
Document: S1, annual report, FY2023, 2024-03-27, audited, katjes-2023-annual-report.pdf
Page: 87
Quote: "31 December 2023:Theramed GmbH, Düsseldorf, Smile Cosmetics GmbH, Düsseldorf, Antica Erboristeria GmbH, Düsseldorf, Laboratoires Vademecum GmbH, Düsseldorf,"
Status: approved by a named reviewer
Approver: demo reviewer, date not recorded
Proof: https://vanillabonds.com/dossier.html?c=katjes&amp;viewer=1&amp;item=F186</t>
      </text>
    </comment>
    <comment ref="H188" authorId="0" shapeId="0">
      <text>
        <t>F187 · Board member
Document: S1, annual report, FY2023, 2024-03-27, audited, katjes-2023-annual-report.pdf
Page: 6
Quote: "STEPHAN MILDE Managing Director (CFO) of Katjes International"
Status: approved by a named reviewer
Approver: demo reviewer, date not recorded
Proof: https://vanillabonds.com/dossier.html?c=katjes&amp;viewer=1&amp;item=F187</t>
      </text>
    </comment>
    <comment ref="H189" authorId="0" shapeId="0">
      <text>
        <t>F188 · Board member
Document: S1, annual report, FY2023, 2024-03-27, audited, katjes-2023-annual-report.pdf
Page: 6
Quote: "BASTIAN FASSIN Managing Shareholder of Katjes International"
Status: approved by a named reviewer
Approver: demo reviewer, date not recorded
Proof: https://vanillabonds.com/dossier.html?c=katjes&amp;viewer=1&amp;item=F188</t>
      </text>
    </comment>
    <comment ref="H190" authorId="0" shapeId="0">
      <text>
        <t>F189 · Board member
Document: S1, annual report, FY2023, 2024-03-27, audited, katjes-2023-annual-report.pdf
Page: 6
Quote: "TOBIAS BACHMÜLLER Managing Shareholder of Katjes International"
Status: approved by a named reviewer
Approver: demo reviewer, date not recorded
Proof: https://vanillabonds.com/dossier.html?c=katjes&amp;viewer=1&amp;item=F189</t>
      </text>
    </comment>
    <comment ref="F191" authorId="0" shapeId="0">
      <text>
        <t>F190 · Related-party flow
counterparty: related parties; kind: loan interest income; amount: 0.1; year: 2023; terms: previous year 0.3
Document: S1, annual report, FY2023, 2024-03-27, audited, katjes-2023-annual-report.pdf
Page: 79
Quote: "from loans to related parties (EUR 0.1 million; previous year: EUR 0.3 million)."
Status: approved by a named reviewer
Approver: demo reviewer, date not recorded
Proof: https://vanillabonds.com/dossier.html?c=katjes&amp;viewer=1&amp;item=F190</t>
      </text>
    </comment>
    <comment ref="F192" authorId="0" shapeId="0">
      <text>
        <t>F191 · Related-party flow
counterparty: Katjes Germany (Katjes Fassin GmbH + Co. KG); kind: purchase of goods and services; amount: 14.7; year: 2023; terms: arm's length, not collateralised (2022: 10.2)
Document: S1, annual report, FY2023, 2024-03-27, audited, katjes-2023-annual-report.pdf
Page: 84
Quote: "Purchase of goods and services from Katjes Germany 14.7 10.2"
Status: approved by a named reviewer
Approver: demo reviewer, date not recorded
Proof: https://vanillabonds.com/dossier.html?c=katjes&amp;viewer=1&amp;item=F191</t>
      </text>
    </comment>
    <comment ref="F193" authorId="0" shapeId="0">
      <text>
        <t>F192 · Related-party flow
counterparty: Katjes Germany; kind: trade payable for goods and services; amount: 2.0; year: 2023 (2022: 1.2)
Document: S1, annual report, FY2023, 2024-03-27, audited, katjes-2023-annual-report.pdf
Page: 84
Quote: "vices to Katjes Germany 2.0 1.2"
Status: approved by a named reviewer
Approver: demo reviewer, date not recorded
Proof: https://vanillabonds.com/dossier.html?c=katjes&amp;viewer=1&amp;item=F192</t>
      </text>
    </comment>
    <comment ref="F194" authorId="0" shapeId="0">
      <text>
        <t>F193 · Related-party flow
counterparty: Katjes Germany; kind: sale of goods; amount: 0.3; year: 2023 (2022: 0.3)
Document: S1, annual report, FY2023, 2024-03-27, audited, katjes-2023-annual-report.pdf
Page: 84
Quote: "Sale of goods to Katjes Germany 0.3 0.3"
Status: approved by a named reviewer
Approver: demo reviewer, date not recorded
Proof: https://vanillabonds.com/dossier.html?c=katjes&amp;viewer=1&amp;item=F193</t>
      </text>
    </comment>
    <comment ref="F195" authorId="0" shapeId="0">
      <text>
        <t>F194 · Related-party flow
counterparty: related parties; kind: other income; amount: 7.7; year: 2023 (2022: 5.0)
Document: S1, annual report, FY2023, 2024-03-27, audited, katjes-2023-annual-report.pdf
Page: 84
Quote: "Other income 7.7 5.0"
Status: approved by a named reviewer
Approver: demo reviewer, date not recorded
Proof: https://vanillabonds.com/dossier.html?c=katjes&amp;viewer=1&amp;item=F194</t>
      </text>
    </comment>
    <comment ref="F196" authorId="0" shapeId="0">
      <text>
        <t>F195 · Related-party flow
counterparty: related companies; kind: loan; amount: 1.8; year: 2023 (2022: 3.6); interest income from loans to related parties 0.1 (2022: 0.3)
Document: S1, annual report, FY2023, 2024-03-27, audited, katjes-2023-annual-report.pdf
Page: 84
Quote: "Loans to related companies 1.8 3.6"
Status: approved by a named reviewer
Approver: demo reviewer, date not recorded
Proof: https://vanillabonds.com/dossier.html?c=katjes&amp;viewer=1&amp;item=F195</t>
      </text>
    </comment>
    <comment ref="F197" authorId="0" shapeId="0">
      <text>
        <t>F196 · Related-party flow
counterparty: limited partners Bastian Fassin and Tobias Bachmüller; kind: interest-bearing clearing accounts; amount: 0.5; year: 2023 (2022: 0.5); terms: 5.0% interest
Document: S1, annual report, FY2023, 2024-03-27, audited, katjes-2023-annual-report.pdf
Page: 84
Quote: "Interest-bearing clearing accounts of the limited partners 0.5 0.5"
Status: approved by a named reviewer
Approver: demo reviewer, date not recorded
Proof: https://vanillabonds.com/dossier.html?c=katjes&amp;viewer=1&amp;item=F196</t>
      </text>
    </comment>
    <comment ref="F198" authorId="0" shapeId="0">
      <text>
        <t>F197 · Shareholder loan
lender: limited partners (interest-bearing clearing accounts); amount: 0.5; rate: 5.0% (2022: 5.0%); maturity: not stated; subordinated: not stated
Document: S1, annual report, FY2023, 2024-03-27, audited, katjes-2023-annual-report.pdf
Page: 84
Quote: "ners bear interest at a rate of 5.0% (2022: 5.0%)."
Status: approved by a named reviewer
Approver: demo reviewer, date not recorded
Proof: https://vanillabonds.com/dossier.html?c=katjes&amp;viewer=1&amp;item=F197</t>
      </text>
    </comment>
    <comment ref="H199" authorId="0" shapeId="0">
      <text>
        <t>F198 · Owner's stake as stated
Document: S1, annual report, FY2023, 2024-03-27, audited, katjes-2023-annual-report.pdf
Page: 71
Quote: "Limited partner Bastian Fassin 0.5 0.5 Limited partner Tobias Bachmüller 0.1 0.1"
Status: approved by a named reviewer
Approver: demo reviewer, date not recorded
Proof: https://vanillabonds.com/dossier.html?c=katjes&amp;viewer=1&amp;item=F198</t>
      </text>
    </comment>
    <comment ref="F200" authorId="0" shapeId="0">
      <text>
        <t>F199 · Market variable
variable: European sugar confectionery market volume (forecast); year: 2028; value: just under 298; unit: EUR bn; source: statista, November 2023
Document: S1, annual report, FY2023, 2024-03-27, audited, katjes-2023-annual-report.pdf
Page: 29
Quote: "dicting that the European sugar confectionery market will continue to grow and will reach a volume of just under EUR 298 billion by 2028."
Status: approved by a named reviewer
Approver: demo reviewer, date not recorded
Proof: https://vanillabonds.com/dossier.html?c=katjes&amp;viewer=1&amp;item=F199</t>
      </text>
    </comment>
    <comment ref="F201" authorId="0" shapeId="0">
      <text>
        <t>F200 · Market variable
variable: German sugar confectionery market growth; year: 2023; value: just under 4; unit: %; source: company statement (management report)
Document: S1, annual report, FY2023, 2024-03-27, audited, katjes-2023-annual-report.pdf
Page: 29
Quote: "The German sugar confectionery market grew by just"
Status: approved by a named reviewer
Approver: demo reviewer, date not recorded
Proof: https://vanillabonds.com/dossier.html?c=katjes&amp;viewer=1&amp;item=F200</t>
      </text>
    </comment>
    <comment ref="F202" authorId="0" shapeId="0">
      <text>
        <t>F201 · Market variable
variable: European sugar confectionery market growth; year: 2023; value: 4.1; unit: %; source: company statement (management report)
Document: S1, annual report, FY2023, 2024-03-27, audited, katjes-2023-annual-report.pdf
Page: 29
Quote: "ry market confirms this resilience: a further increase of 4.1% was recorded in 2023"
Status: approved by a named reviewer
Approver: demo reviewer, date not recorded
Proof: https://vanillabonds.com/dossier.html?c=katjes&amp;viewer=1&amp;item=F201</t>
      </text>
    </comment>
    <comment ref="F203" authorId="0" shapeId="0">
      <text>
        <t>F202 · Market variable
variable: Eurozone GDP growth; year: 2023; value: 0.5 (2022: 3.4); unit: %; source: OECD Economic Outlook November 2023, updated February 2024
Document: S1, annual report, FY2023, 2024-03-27, audited, katjes-2023-annual-report.pdf
Page: 29
Quote: "(GDP) increased by only 0.5% as a whole (2022: 3.4%)"
Status: approved by a named reviewer
Approver: demo reviewer, date not recorded
Proof: https://vanillabonds.com/dossier.html?c=katjes&amp;viewer=1&amp;item=F202</t>
      </text>
    </comment>
    <comment ref="F204" authorId="0" shapeId="0">
      <text>
        <t>F203 · Market variable
variable: Italy GDP growth; year: 2023; value: 0.7 (2022: 3.9); unit: %; source: OECD Economic Outlook November 2023 / February 2024
Document: S1, annual report, FY2023, 2024-03-27, audited, katjes-2023-annual-report.pdf
Page: 29
Quote: "The Italian economy grew by 0.7% (2022: 3.9%)"
Status: approved by a named reviewer
Approver: demo reviewer, date not recorded
Proof: https://vanillabonds.com/dossier.html?c=katjes&amp;viewer=1&amp;item=F203</t>
      </text>
    </comment>
    <comment ref="F205" authorId="0" shapeId="0">
      <text>
        <t>F204 · Market variable
variable: Germany GDP growth; year: 2023; value: -0.1 (2022: 1.9); unit: %; source: OECD Economic Outlook November 2023 / February 2024
Document: S1, annual report, FY2023, 2024-03-27, audited, katjes-2023-annual-report.pdf
Page: 29
Quote: "Germany’s GDP fell by -0.1% (2022: 1.9%)."
Status: approved by a named reviewer
Approver: demo reviewer, date not recorded
Proof: https://vanillabonds.com/dossier.html?c=katjes&amp;viewer=1&amp;item=F204</t>
      </text>
    </comment>
    <comment ref="F206" authorId="0" shapeId="0">
      <text>
        <t>F205 · Market variable
variable: France GDP growth; year: 2023; value: 0.9 (2022: 2.5); unit: %; source: OECD Economic Outlook November 2023 / February 2024
Document: S1, annual report, FY2023, 2024-03-27, audited, katjes-2023-annual-report.pdf
Page: 29
Quote: "reporting only slight growth of 0.9% (2022: 2.5%)"
Status: approved by a named reviewer
Approver: demo reviewer, date not recorded
Proof: https://vanillabonds.com/dossier.html?c=katjes&amp;viewer=1&amp;item=F205</t>
      </text>
    </comment>
    <comment ref="F207" authorId="0" shapeId="0">
      <text>
        <t>F206 · Market variable
variable: UK GDP growth; year: 2023; value: 0.3 (2022: 4.3); unit: %; source: OECD Economic Outlook November 2023 / February 2024
Document: S1, annual report, FY2023, 2024-03-27, audited, katjes-2023-annual-report.pdf
Page: 29
Quote: "Growth in the UK was weak at 0.3% in total (2022: 4.3%)."
Status: approved by a named reviewer
Approver: demo reviewer, date not recorded
Proof: https://vanillabonds.com/dossier.html?c=katjes&amp;viewer=1&amp;item=F206</t>
      </text>
    </comment>
    <comment ref="F208" authorId="0" shapeId="0">
      <text>
        <t>F207 · Market variable
variable: Netherlands GDP growth; year: 2023; value: 0.2 (2022: 4.3); unit: %; source: OECD Economic Outlook November 2023 / February 2024
Document: S1, annual report, FY2023, 2024-03-27, audited, katjes-2023-annual-report.pdf
Page: 29
Quote: "The Netherlands recorded GDP growth of 0.2% (2022: 4.3%)."
Status: approved by a named reviewer
Approver: demo reviewer, date not recorded
Proof: https://vanillabonds.com/dossier.html?c=katjes&amp;viewer=1&amp;item=F207</t>
      </text>
    </comment>
    <comment ref="F209" authorId="0" shapeId="0">
      <text>
        <t>F208 · Market variable
variable: German dental and oral care market sales; year: 2023; value: around 1.8; unit: EUR bn; source: company statement (+4.6% vs 2022)
Document: S1, annual report, FY2023, 2024-03-27, audited, katjes-2023-annual-report.pdf
Page: 30
Quote: "In 2023, sales of these types of products amounted to around EUR 1.8 billion"
Status: approved by a named reviewer
Approver: demo reviewer, date not recorded
Proof: https://vanillabonds.com/dossier.html?c=katjes&amp;viewer=1&amp;item=F208</t>
      </text>
    </comment>
    <comment ref="F210" authorId="0" shapeId="0">
      <text>
        <t>F209 · Market variable
variable: German baby and kids body care market volume; year: 2023; value: 554; unit: EUR m; source: Nielsen analysis (+7.6% value, +0.4% volume)
Document: S1, annual report, FY2023, 2024-03-27, audited, katjes-2023-annual-report.pdf
Page: 30
Quote: "According to the Nielsen analysis, the total market volume in Germany grew by 7.6% to EUR 554 million in 2023."
Status: approved by a named reviewer
Approver: demo reviewer, date not recorded
Proof: https://vanillabonds.com/dossier.html?c=katjes&amp;viewer=1&amp;item=F209</t>
      </text>
    </comment>
    <comment ref="F211" authorId="0" shapeId="0">
      <text>
        <t>F210 · Market variable
variable: confectionery market volume Germany; year: 2023; value: 17.1 (2022: 16.8); unit: EUR bn; source: statista
Document: S1, annual report, FY2023, 2024-03-27, audited, katjes-2023-annual-report.pdf
Page: 30
Quote: "Germany 17.1 16.8"
Status: approved by a named reviewer
Approver: demo reviewer, date not recorded
Proof: https://vanillabonds.com/dossier.html?c=katjes&amp;viewer=1&amp;item=F210</t>
      </text>
    </comment>
    <comment ref="F212" authorId="0" shapeId="0">
      <text>
        <t>F211 · Market variable
variable: confectionery market volume France; year: 2023; value: 17.4 (2022: 17.3); unit: EUR bn; source: statista
Document: S1, annual report, FY2023, 2024-03-27, audited, katjes-2023-annual-report.pdf
Page: 30
Quote: "France 17.4 17.3"
Status: approved by a named reviewer
Approver: demo reviewer, date not recorded
Proof: https://vanillabonds.com/dossier.html?c=katjes&amp;viewer=1&amp;item=F211</t>
      </text>
    </comment>
    <comment ref="F213" authorId="0" shapeId="0">
      <text>
        <t>F212 · Market variable
variable: confectionery market volume Netherlands; year: 2023; value: 2.7 (2022: 2.7); unit: EUR bn; source: statista
Document: S1, annual report, FY2023, 2024-03-27, audited, katjes-2023-annual-report.pdf
Page: 30
Quote: "Netherlands 2.7 2.7"
Status: approved by a named reviewer
Approver: demo reviewer, date not recorded
Proof: https://vanillabonds.com/dossier.html?c=katjes&amp;viewer=1&amp;item=F212</t>
      </text>
    </comment>
    <comment ref="F214" authorId="0" shapeId="0">
      <text>
        <t>F213 · Market variable
variable: confectionery market volume Italy; year: 2023; value: 20.8 (2022: 20.7); unit: EUR bn; source: statista
Document: S1, annual report, FY2023, 2024-03-27, audited, katjes-2023-annual-report.pdf
Page: 30
Quote: "Italy 20.8 20.7"
Status: approved by a named reviewer
Approver: demo reviewer, date not recorded
Proof: https://vanillabonds.com/dossier.html?c=katjes&amp;viewer=1&amp;item=F213</t>
      </text>
    </comment>
    <comment ref="F215" authorId="0" shapeId="0">
      <text>
        <t>F214 · Market variable
variable: confectionery market volume United Kingdom; year: 2023; value: 16.2 (2022: 15.7); unit: EUR bn; source: statista
Document: S1, annual report, FY2023, 2024-03-27, audited, katjes-2023-annual-report.pdf
Page: 30
Quote: "United Kingdom 16.2 15.7"
Status: approved by a named reviewer
Approver: demo reviewer, date not recorded
Proof: https://vanillabonds.com/dossier.html?c=katjes&amp;viewer=1&amp;item=F214</t>
      </text>
    </comment>
    <comment ref="F216" authorId="0" shapeId="0">
      <text>
        <t>F215 · Market variable
variable: European sugar confectionery market volume growth (expected); year: 2024; value: around 6; unit: %; source: company statement (forecast report)
Document: S1, annual report, FY2023, 2024-03-27, audited, katjes-2023-annual-report.pdf
Page: 41
Quote: "The market volume for sugar confectionery in Europe is expected to increase by around 6% in 2024"
Status: approved by a named reviewer
Approver: demo reviewer, date not recorded
Proof: https://vanillabonds.com/dossier.html?c=katjes&amp;viewer=1&amp;item=F215</t>
      </text>
    </comment>
    <comment ref="F217" authorId="0" shapeId="0">
      <text>
        <t>F216 · Market variable
variable: Eurozone GDP growth (forecast); year: 2024; value: 0.6; unit: %; source: OECD, November 2023 updated February 2024
Document: S1, annual report, FY2023, 2024-03-27, audited, katjes-2023-annual-report.pdf
Page: 41
Quote: "The OECD is expecting gross domestic product (GDP) to increase by a modest 0.6% in the Eurozone in 2024."
Status: approved by a named reviewer
Approver: demo reviewer, date not recorded
Proof: https://vanillabonds.com/dossier.html?c=katjes&amp;viewer=1&amp;item=F216</t>
      </text>
    </comment>
    <comment ref="F218" authorId="0" shapeId="0">
      <text>
        <t>F217 · Market variable
variable: Germany GDP growth (forecast); year: 2024; value: 0.3 (Netherlands 0.5, Italy 0.7, France 0.6, UK 0.7); unit: %; source: OECD, November 2023 updated February 2024
Document: S1, annual report, FY2023, 2024-03-27, audited, katjes-2023-annual-report.pdf
Page: 41
Quote: "An increase of 0.3% is expected for Germany and 0.5% for the Netherlands. GDP in Italy is expected to grow by 0.7%."
Status: approved by a named reviewer
Approver: demo reviewer, date not recorded
Proof: https://vanillabonds.com/dossier.html?c=katjes&amp;viewer=1&amp;item=F217</t>
      </text>
    </comment>
    <comment ref="H219" authorId="0" shapeId="0">
      <text>
        <t>F218 · Regulation
Document: S1, annual report, FY2023, 2024-03-27, audited, katjes-2023-annual-report.pdf
Page: 52
Quote: "the Group did not exceed the required minimum revenue volume of EUR 750 million"
Status: approved by a named reviewer
Approver: demo reviewer, date not recorded
Proof: https://vanillabonds.com/dossier.html?c=katjes&amp;viewer=1&amp;item=F218</t>
      </text>
    </comment>
    <comment ref="F220" authorId="0" shapeId="0">
      <text>
        <t>F219 · Regulation
measure: Electricity Price Reduction Act (StromPBG) relief amounts; effective: 2023; effect on the company as stated: government grants of around EUR 2.4m recognised as a reduction in cost of sales; source: notes 2.3
Document: S1, annual report, FY2023, 2024-03-27, audited, katjes-2023-annual-report.pdf
Page: 54
Quote: "the form of relief amounts under the Electricity Price Reduction Act (StromPBG) around EUR 2.4 million."
Status: approved by a named reviewer
Approver: demo reviewer, date not recorded
Proof: https://vanillabonds.com/dossier.html?c=katjes&amp;viewer=1&amp;item=F219</t>
      </text>
    </comment>
    <comment ref="H221" authorId="0" shapeId="0">
      <text>
        <t>F220 · Third-party industry assessment, quoted verbatim
Document: S1, annual report, FY2023, 2024-03-27, audited, katjes-2023-annual-report.pdf
Page: 29
Quote: "dicting that the European sugar confectionery market will continue to grow and will reach a volume of just under EUR 298 billion by 2028."
Status: approved by a named reviewer
Approver: demo reviewer, date not recorded
Proof: https://vanillabonds.com/dossier.html?c=katjes&amp;viewer=1&amp;item=F220</t>
      </text>
    </comment>
    <comment ref="H222" authorId="0" shapeId="0">
      <text>
        <t>F221 · Third-party industry assessment, quoted verbatim
Document: S1, annual report, FY2023, 2024-03-27, audited, katjes-2023-annual-report.pdf
Page: 29
Quote: "2024, the OECD identified subdued development overall for 2023 in the Eurozone, the region that is particularly rele‐"
Status: approved by a named reviewer
Approver: demo reviewer, date not recorded
Proof: https://vanillabonds.com/dossier.html?c=katjes&amp;viewer=1&amp;item=F221</t>
      </text>
    </comment>
    <comment ref="H223" authorId="0" shapeId="0">
      <text>
        <t>F222 · Key contract
Document: S1, annual report, FY2023, 2024-03-27, audited, katjes-2023-annual-report.pdf
Page: 59
Quote: "then,Henkel continued to produce the goods for Bübchen Bodycare."
Status: approved by a named reviewer
Approver: demo reviewer, date not recorded
Proof: https://vanillabonds.com/dossier.html?c=katjes&amp;viewer=1&amp;item=F222</t>
      </text>
    </comment>
    <comment ref="H224" authorId="0" shapeId="0">
      <text>
        <t>F223 · Certification, licence, permit or patent
Document: S1, annual report, FY2023, 2024-03-27, audited, katjes-2023-annual-report.pdf
Page: 20
Quote: "ECOCERT-certified product line, Vademecum offers consumers toothpaste alternatives"
Status: approved by a named reviewer
Approver: demo reviewer, date not recorded
Proof: https://vanillabonds.com/dossier.html?c=katjes&amp;viewer=1&amp;item=F223</t>
      </text>
    </comment>
    <comment ref="H225" authorId="0" shapeId="0">
      <text>
        <t>F224 · Certification, licence, permit or patent
Document: S1, annual report, FY2023, 2024-03-27, audited, katjes-2023-annual-report.pdf
Page: 35
Quote: "dergo regular food and quality audits and are certified according to the International Featured Standards (IFS) or the British Retail Consortium (BRC) Food Safety Standard"
Status: approved by a named reviewer
Approver: demo reviewer, date not recorded
Proof: https://vanillabonds.com/dossier.html?c=katjes&amp;viewer=1&amp;item=F224</t>
      </text>
    </comment>
    <comment ref="H226" authorId="0" shapeId="0">
      <text>
        <t>F225 · Certification, licence, permit or patent
Document: S1, annual report, FY2023, 2024-03-27, audited, katjes-2023-annual-report.pdf
Page: 59
Quote: "ng five trademarks and all associated patents, formulas, customer lists, rights, etc.: Theramed, Antica Erboristeria, Vademecum, Licor del Polo, Denivit."
Status: approved by a named reviewer
Approver: demo reviewer, date not recorded
Proof: https://vanillabonds.com/dossier.html?c=katjes&amp;viewer=1&amp;item=F225</t>
      </text>
    </comment>
    <comment ref="F227" authorId="0" shapeId="0">
      <text>
        <t>F226 · One-off item · FY2022
item: purchase price allocation effect Paluani recognised in the income statement; amount: 14.1; recurrence: 2022
Document: S1, annual report, FY2023, 2024-03-27, audited, katjes-2023-annual-report.pdf
Page: 32
Quote: "on of EUR 14.1 million for Paluani and EUR 10.3 million for the oral care business"
Status: approved by a named reviewer
Approver: demo reviewer, date not recorded
Proof: https://vanillabonds.com/dossier.html?c=katjes&amp;viewer=1&amp;item=F226</t>
      </text>
    </comment>
    <comment ref="F228" authorId="0" shapeId="0">
      <text>
        <t>F227 · One-off item · FY2022
item: purchase price allocation effect (negative goodwill) oral care business recognised in other operating income at initial consolidation 7 Dec 2022; amount: 10.3; recurrence: 2022
Document: S1, annual report, FY2023, 2024-03-27, audited, katjes-2023-annual-report.pdf
Page: 59
Quote: "At the time of initial consolidation on 7 December 2022, a difference on the liabilities side in the amount of EUR 10.3 million was recognised in other operating income"
Status: approved by a named reviewer
Approver: demo reviewer, date not recorded
Proof: https://vanillabonds.com/dossier.html?c=katjes&amp;viewer=1&amp;item=F227</t>
      </text>
    </comment>
    <comment ref="F229" authorId="0" shapeId="0">
      <text>
        <t>F228 · One-off item · FY2022
item: recognition of negative goodwill in profit or loss (other operating income); amount: 24.4; recurrence: 2022 only (2023: 0.0)
Document: S1, annual report, FY2023, 2024-03-27, audited, katjes-2023-annual-report.pdf
Page: 79
Quote: "Recognition of negative goodwill in profit or loss 0.0 24.4"
Status: approved by a named reviewer
Approver: demo reviewer, date not recorded
Proof: https://vanillabonds.com/dossier.html?c=katjes&amp;viewer=1&amp;item=F228</t>
      </text>
    </comment>
    <comment ref="F230" authorId="0" shapeId="0">
      <text>
        <t>F229 · One-off item · FY2022
item: severance payments; amount: 1.2; recurrence: 2023 (0.2)
Document: S1, annual report, FY2023, 2024-03-27, audited, katjes-2023-annual-report.pdf
Page: 79
Quote: "ments were incurred in the amount of EUR 0.2 million (2022: EUR 1.2 million)."
Status: approved by a named reviewer
Approver: demo reviewer, date not recorded
Proof: https://vanillabonds.com/dossier.html?c=katjes&amp;viewer=1&amp;item=F229</t>
      </text>
    </comment>
    <comment ref="F231" authorId="0" shapeId="0">
      <text>
        <t>F230 · One-off item · FY2023
item: government grant, electricity price relief (StromPBG) netted in cost of sales; amount: 2.4; recurrence: 2023
Document: S1, annual report, FY2023, 2024-03-27, audited, katjes-2023-annual-report.pdf
Page: 54
Quote: "the form of relief amounts under the Electricity Price Reduction Act (StromPBG) around EUR 2.4 million."
Status: approved by a named reviewer
Approver: demo reviewer, date not recorded
Proof: https://vanillabonds.com/dossier.html?c=katjes&amp;viewer=1&amp;item=F230</t>
      </text>
    </comment>
    <comment ref="F232" authorId="0" shapeId="0">
      <text>
        <t>F231 · One-off item · FY2023
item: other operating income 'Other' (mainly settlements with several contracting parties, plus income relating to other periods); amount: 7.9; recurrence: 2022 5.9
Document: S1, annual report, FY2023, 2024-03-27, audited, katjes-2023-annual-report.pdf
Page: 79
Quote: "sions 0.5 0.7 Other 7.9 5.9"
Status: approved by a named reviewer
Approver: demo reviewer, date not recorded
Proof: https://vanillabonds.com/dossier.html?c=katjes&amp;viewer=1&amp;item=F231</t>
      </text>
    </comment>
    <comment ref="F233" authorId="0" shapeId="0">
      <text>
        <t>F232 · One-off item · FY2023
item: severance payments; amount: 0.2; recurrence: 2022 (1.2)
Document: S1, annual report, FY2023, 2024-03-27, audited, katjes-2023-annual-report.pdf
Page: 79
Quote: "ments were incurred in the amount of EUR 0.2 million (2022: EUR 1.2 million)."
Status: approved by a named reviewer
Approver: demo reviewer, date not recorded
Proof: https://vanillabonds.com/dossier.html?c=katjes&amp;viewer=1&amp;item=F232</t>
      </text>
    </comment>
    <comment ref="F234" authorId="0" shapeId="0">
      <text>
        <t>F233 · One-off item · FY2023
item: deferred tax income from tax rate changes; amount: 2.6 (reduces tax expense); recurrence: 2022 expense 0.4
Document: S1, annual report, FY2023, 2024-03-27, audited, katjes-2023-annual-report.pdf
Page: 80
Quote: "Tax rate changes -2.6 0.4"
Status: approved by a named reviewer
Approver: demo reviewer, date not recorded
Proof: https://vanillabonds.com/dossier.html?c=katjes&amp;viewer=1&amp;item=F233</t>
      </text>
    </comment>
    <comment ref="F235" authorId="0" shapeId="0">
      <text>
        <t>F234 · Off-balance item · FY2022
kind: pension deficit; amount: 9.0 (adjusted); counterparty: defined benefit plans in Germany and Italy
Document: S1, annual report, FY2023, 2024-03-27, audited, katjes-2023-annual-report.pdf
Page: 46
Quote: "Provisions for pensions and similar obligations(1) 6.12 9.6 9.0"
Status: approved by a named reviewer
Approver: demo reviewer, date not recorded
Proof: https://vanillabonds.com/dossier.html?c=katjes&amp;viewer=1&amp;item=F234</t>
      </text>
    </comment>
    <comment ref="F236" authorId="0" shapeId="0">
      <text>
        <t>F235 · Off-balance item · FY2023
kind: pension deficit; amount: 9.6; counterparty: defined benefit plans in Germany and Italy (provision on balance sheet)
Document: S1, annual report, FY2023, 2024-03-27, audited, katjes-2023-annual-report.pdf
Page: 46
Quote: "Provisions for pensions and similar obligations(1) 6.12 9.6 9.0"
Status: approved by a named reviewer
Approver: demo reviewer, date not recorded
Proof: https://vanillabonds.com/dossier.html?c=katjes&amp;viewer=1&amp;item=F235</t>
      </text>
    </comment>
    <comment ref="F237" authorId="0" shapeId="0">
      <text>
        <t>F236 · Off-balance item · FY2023
kind: earn-out (purchase option); amount: 1.2; counterparty: minority holders of the remaining 25% of Dulcioliva S.r.l.; option fully recognised as a liability as exercise is still assumed
Document: S1, annual report, FY2023, 2024-03-27, audited, katjes-2023-annual-report.pdf
Page: 64
Quote: "the liability from the exercise of the purchase option for the remaining 25% of Dulcioliva is reported here (EUR 1.2 million)"
Status: approved by a named reviewer
Approver: demo reviewer, date not recorded
Proof: https://vanillabonds.com/dossier.html?c=katjes&amp;viewer=1&amp;item=F236</t>
      </text>
    </comment>
    <comment ref="H238" authorId="0" shapeId="0">
      <text>
        <t>F237 · Off-balance item · FY2023
Document: S1, annual report, FY2023, 2024-03-27, audited, katjes-2023-annual-report.pdf
Page: 70
Quote: "In the reporting year, 87% of Piasten’s trade receivables, around 38% of Sperlari’s trade receivables and 70% of Candy Kittens’ trade receivables were sold to factoring"
Status: approved by a named reviewer
Approver: demo reviewer, date not recorded
Proof: https://vanillabonds.com/dossier.html?c=katjes&amp;viewer=1&amp;item=F237</t>
      </text>
    </comment>
    <comment ref="F239" authorId="0" shapeId="0">
      <text>
        <t>F238 · Off-balance item · FY2023
kind: pension deficit (funded plans); amount: 0.9; counterparty: funded defined benefit plans, DBO 10.7 vs plan assets 9.8; unfunded obligations 8.5, provision 8.7
Document: S1, annual report, FY2023, 2024-03-27, audited, katjes-2023-annual-report.pdf
Page: 75
Quote: "Fair value of plan assets -9.8 -10.6 Obligation reported 0.9 0.0"
Status: approved by a named reviewer
Approver: demo reviewer, date not recorded
Proof: https://vanillabonds.com/dossier.html?c=katjes&amp;viewer=1&amp;item=F238</t>
      </text>
    </comment>
    <comment ref="F240" authorId="0" shapeId="0">
      <text>
        <t>F239 · Audit facts · FY2022
restatements: finalisation of the purchase price allocation added 7.7 to profit carried forward 2022 (equity restated to 167.0)
Document: S1, annual report, FY2023, 2024-03-27, audited, katjes-2023-annual-report.pdf
Page: 47
Quote: "Finalisation purchase price allocation 0.0 0.0 0.0 7.7 0.0 0.0 0.0 0.0 7.7 0.0 7.7"
Status: approved by a named reviewer
Approver: demo reviewer, date not recorded
Proof: https://vanillabonds.com/dossier.html?c=katjes&amp;viewer=1&amp;item=F239</t>
      </text>
    </comment>
    <comment ref="H241" authorId="0" shapeId="0">
      <text>
        <t>F240 · Audit facts · FY2023
Document: S1, annual report, FY2023, 2024-03-27, audited, katjes-2023-annual-report.pdf
Page: 33
Quote: "figures were adjusted with regard to property, plant and equipment, equity, pension provisions, deferred taxes and current financial liabilities."
Status: approved by a named reviewer
Approver: demo reviewer, date not recorded
Proof: https://vanillabonds.com/dossier.html?c=katjes&amp;viewer=1&amp;item=F240</t>
      </text>
    </comment>
    <comment ref="F242" authorId="0" shapeId="0">
      <text>
        <t>F241 · Days from year end to filing of the accounts · FY2023
Year end 31 Dec 2023 to approval for publication and auditor's report on 27 March 2024
Document: S1, annual report, FY2023, 2024-03-27, audited, katjes-2023-annual-report.pdf
Page: 85
Quote: "These consolidated financial statements were approved for publication by the management on 27 March 2024."
Status: approved by a named reviewer
Approver: demo reviewer, date not recorded
Proof: https://vanillabonds.com/dossier.html?c=katjes&amp;viewer=1&amp;item=F241</t>
      </text>
    </comment>
    <comment ref="H243" authorId="0" shapeId="0">
      <text>
        <t>F242 · Tax item
Document: S1, annual report, FY2023, 2024-03-27, audited, katjes-2023-annual-report.pdf
Page: 39
Quote: "There are general tax risks."
Status: approved by a named reviewer
Approver: demo reviewer, date not recorded
Proof: https://vanillabonds.com/dossier.html?c=katjes&amp;viewer=1&amp;item=F242</t>
      </text>
    </comment>
    <comment ref="H244" authorId="0" shapeId="0">
      <text>
        <t>F243 · Tax item
Document: S1, annual report, FY2023, 2024-03-27, audited, katjes-2023-annual-report.pdf
Page: 74
Quote: "No deferred taxes were recognised on corporate tax loss carryforwards in the amount of EUR 35.8 million (2022: EUR 35.9 million)"
Status: approved by a named reviewer
Approver: demo reviewer, date not recorded
Proof: https://vanillabonds.com/dossier.html?c=katjes&amp;viewer=1&amp;item=F243</t>
      </text>
    </comment>
    <comment ref="H245" authorId="0" shapeId="0">
      <text>
        <t>F244 · Tax item
Document: S1, annual report, FY2023, 2024-03-27, audited, katjes-2023-annual-report.pdf
Page: 74
Quote: "ception involves Dutch corporation loss carryforwards in the amount of EUR 1.3 million (2022: EUR 1.7 million), which expire in one to five years."
Status: approved by a named reviewer
Approver: demo reviewer, date not recorded
Proof: https://vanillabonds.com/dossier.html?c=katjes&amp;viewer=1&amp;item=F244</t>
      </text>
    </comment>
    <comment ref="H246" authorId="0" shapeId="0">
      <text>
        <t>F245 · Tax item
Document: S1, annual report, FY2023, 2024-03-27, audited, katjes-2023-annual-report.pdf
Page: 80
Quote: "The expected tax rate of 12.4% (2022: 12.3%) is the"
Status: approved by a named reviewer
Approver: demo reviewer, date not recorded
Proof: https://vanillabonds.com/dossier.html?c=katjes&amp;viewer=1&amp;item=F245</t>
      </text>
    </comment>
    <comment ref="H247" authorId="0" shapeId="0">
      <text>
        <t>F246 · Tax item
Document: S1, annual report, FY2023, 2024-03-27, audited, katjes-2023-annual-report.pdf
Page: 80
Quote: "shares in subsidiaries in the amount of EUR 654.2 million (2022: EUR 562.1 million), no deferred taxes were"
Status: approved by a named reviewer
Approver: demo reviewer, date not recorded
Proof: https://vanillabonds.com/dossier.html?c=katjes&amp;viewer=1&amp;item=F246</t>
      </text>
    </comment>
    <comment ref="F248" authorId="0" shapeId="0">
      <text>
        <t>F247 · Segment · FY2022
segment: Confectionery (business line); revenue: 127.0
Document: S1, annual report, FY2023, 2024-03-27, audited, katjes-2023-annual-report.pdf
Page: 78
Quote: "Confectionery 156.2 127.0"
Status: approved by a named reviewer
Approver: demo reviewer, date not recorded
Proof: https://vanillabonds.com/dossier.html?c=katjes&amp;viewer=1&amp;item=F247</t>
      </text>
    </comment>
    <comment ref="F249" authorId="0" shapeId="0">
      <text>
        <t>F248 · Segment · FY2022
segment: Body care products (business line); revenue: 55.4
Document: S1, annual report, FY2023, 2024-03-27, audited, katjes-2023-annual-report.pdf
Page: 78
Quote: "Body care products 87.0 55.4"
Status: approved by a named reviewer
Approver: demo reviewer, date not recorded
Proof: https://vanillabonds.com/dossier.html?c=katjes&amp;viewer=1&amp;item=F248</t>
      </text>
    </comment>
    <comment ref="F250" authorId="0" shapeId="0">
      <text>
        <t>F249 · Segment · FY2022
segment: Chocolate (business line); revenue: 55.2
Document: S1, annual report, FY2023, 2024-03-27, audited, katjes-2023-annual-report.pdf
Page: 78
Quote: "Chocolate 59.4 55.2"
Status: approved by a named reviewer
Approver: demo reviewer, date not recorded
Proof: https://vanillabonds.com/dossier.html?c=katjes&amp;viewer=1&amp;item=F249</t>
      </text>
    </comment>
    <comment ref="F251" authorId="0" shapeId="0">
      <text>
        <t>F250 · Segment · FY2022
segment: Seasonals (business line); revenue: 37.2
Document: S1, annual report, FY2023, 2024-03-27, audited, katjes-2023-annual-report.pdf
Page: 78
Quote: "Seasonals 46.7 37.2"
Status: approved by a named reviewer
Approver: demo reviewer, date not recorded
Proof: https://vanillabonds.com/dossier.html?c=katjes&amp;viewer=1&amp;item=F250</t>
      </text>
    </comment>
    <comment ref="F252" authorId="0" shapeId="0">
      <text>
        <t>F251 · Segment · FY2022
segment: Other (business line); revenue: 19.7
Document: S1, annual report, FY2023, 2024-03-27, audited, katjes-2023-annual-report.pdf
Page: 78
Quote: "Other 28.1 19.7"
Status: approved by a named reviewer
Approver: demo reviewer, date not recorded
Proof: https://vanillabonds.com/dossier.html?c=katjes&amp;viewer=1&amp;item=F251</t>
      </text>
    </comment>
    <comment ref="F253" authorId="0" shapeId="0">
      <text>
        <t>F252 · Segment · FY2022
segment: Italy (region); revenue: 86.0
Document: S1, annual report, FY2023, 2024-03-27, audited, katjes-2023-annual-report.pdf
Page: 81
Quote: "Italy 115.5 86.0"
Status: approved by a named reviewer
Approver: demo reviewer, date not recorded
Proof: https://vanillabonds.com/dossier.html?c=katjes&amp;viewer=1&amp;item=F252</t>
      </text>
    </comment>
    <comment ref="F254" authorId="0" shapeId="0">
      <text>
        <t>F253 · Segment · FY2022
segment: Germany (region); revenue: 86.7
Document: S1, annual report, FY2023, 2024-03-27, audited, katjes-2023-annual-report.pdf
Page: 81
Quote: "Germany 104.4 86.7"
Status: approved by a named reviewer
Approver: demo reviewer, date not recorded
Proof: https://vanillabonds.com/dossier.html?c=katjes&amp;viewer=1&amp;item=F253</t>
      </text>
    </comment>
    <comment ref="F255" authorId="0" shapeId="0">
      <text>
        <t>F254 · Segment · FY2022
segment: Netherlands (region); revenue: 15.5
Document: S1, annual report, FY2023, 2024-03-27, audited, katjes-2023-annual-report.pdf
Page: 81
Quote: "Netherlands 16.5 15.5"
Status: approved by a named reviewer
Approver: demo reviewer, date not recorded
Proof: https://vanillabonds.com/dossier.html?c=katjes&amp;viewer=1&amp;item=F254</t>
      </text>
    </comment>
    <comment ref="F256" authorId="0" shapeId="0">
      <text>
        <t>F255 · Segment · FY2022
segment: UK (region); revenue: 14.2
Document: S1, annual report, FY2023, 2024-03-27, audited, katjes-2023-annual-report.pdf
Page: 81
Quote: "UK 15.1 14.2"
Status: approved by a named reviewer
Approver: demo reviewer, date not recorded
Proof: https://vanillabonds.com/dossier.html?c=katjes&amp;viewer=1&amp;item=F255</t>
      </text>
    </comment>
    <comment ref="F257" authorId="0" shapeId="0">
      <text>
        <t>F256 · Segment · FY2022
segment: Other EU countries + Switzerland (region); revenue: 76.3
Document: S1, annual report, FY2023, 2024-03-27, audited, katjes-2023-annual-report.pdf
Page: 81
Quote: "Other EU countries + Switzerland 107.8 76.3"
Status: approved by a named reviewer
Approver: demo reviewer, date not recorded
Proof: https://vanillabonds.com/dossier.html?c=katjes&amp;viewer=1&amp;item=F256</t>
      </text>
    </comment>
    <comment ref="F258" authorId="0" shapeId="0">
      <text>
        <t>F257 · Segment · FY2022
segment: Non-EU countries (region); revenue: 15.8
Document: S1, annual report, FY2023, 2024-03-27, audited, katjes-2023-annual-report.pdf
Page: 81
Quote: "Non-EU countries 18.1 15.8"
Status: approved by a named reviewer
Approver: demo reviewer, date not recorded
Proof: https://vanillabonds.com/dossier.html?c=katjes&amp;viewer=1&amp;item=F257</t>
      </text>
    </comment>
    <comment ref="F259" authorId="0" shapeId="0">
      <text>
        <t>F258 · Segment · FY2022
segment: Germany (region); assets: 121.5 non-current assets
Document: S1, annual report, FY2023, 2024-03-27, audited, katjes-2023-annual-report.pdf
Page: 82
Quote: "Germany 132.4 121.5"
Status: approved by a named reviewer
Approver: demo reviewer, date not recorded
Proof: https://vanillabonds.com/dossier.html?c=katjes&amp;viewer=1&amp;item=F258</t>
      </text>
    </comment>
    <comment ref="F260" authorId="0" shapeId="0">
      <text>
        <t>F259 · Segment · FY2022
segment: Italy (region); assets: 97.2 non-current assets
Document: S1, annual report, FY2023, 2024-03-27, audited, katjes-2023-annual-report.pdf
Page: 82
Quote: "Italy 94.9 97.2"
Status: approved by a named reviewer
Approver: demo reviewer, date not recorded
Proof: https://vanillabonds.com/dossier.html?c=katjes&amp;viewer=1&amp;item=F259</t>
      </text>
    </comment>
    <comment ref="F261" authorId="0" shapeId="0">
      <text>
        <t>F260 · Segment · FY2022
segment: Netherlands (region); assets: 71.9 non-current assets
Document: S1, annual report, FY2023, 2024-03-27, audited, katjes-2023-annual-report.pdf
Page: 82
Quote: "Netherlands 71.1 71.9"
Status: approved by a named reviewer
Approver: demo reviewer, date not recorded
Proof: https://vanillabonds.com/dossier.html?c=katjes&amp;viewer=1&amp;item=F260</t>
      </text>
    </comment>
    <comment ref="F262" authorId="0" shapeId="0">
      <text>
        <t>F261 · Segment · FY2022
segment: UK (region); assets: 10.6 non-current assets
Document: S1, annual report, FY2023, 2024-03-27, audited, katjes-2023-annual-report.pdf
Page: 82
Quote: "UK 10.3 10.6"
Status: approved by a named reviewer
Approver: demo reviewer, date not recorded
Proof: https://vanillabonds.com/dossier.html?c=katjes&amp;viewer=1&amp;item=F261</t>
      </text>
    </comment>
    <comment ref="F263" authorId="0" shapeId="0">
      <text>
        <t>F262 · Segment · FY2023
segment: Confectionery (business line); revenue: 156.2
Document: S1, annual report, FY2023, 2024-03-27, audited, katjes-2023-annual-report.pdf
Page: 78
Quote: "Confectionery 156.2 127.0"
Status: approved by a named reviewer
Approver: demo reviewer, date not recorded
Proof: https://vanillabonds.com/dossier.html?c=katjes&amp;viewer=1&amp;item=F262</t>
      </text>
    </comment>
    <comment ref="F264" authorId="0" shapeId="0">
      <text>
        <t>F263 · Segment · FY2023
segment: Body care products (business line); revenue: 87.0
Document: S1, annual report, FY2023, 2024-03-27, audited, katjes-2023-annual-report.pdf
Page: 78
Quote: "Body care products 87.0 55.4"
Status: approved by a named reviewer
Approver: demo reviewer, date not recorded
Proof: https://vanillabonds.com/dossier.html?c=katjes&amp;viewer=1&amp;item=F263</t>
      </text>
    </comment>
    <comment ref="F265" authorId="0" shapeId="0">
      <text>
        <t>F264 · Segment · FY2023
segment: Chocolate (business line); revenue: 59.4
Document: S1, annual report, FY2023, 2024-03-27, audited, katjes-2023-annual-report.pdf
Page: 78
Quote: "Chocolate 59.4 55.2"
Status: approved by a named reviewer
Approver: demo reviewer, date not recorded
Proof: https://vanillabonds.com/dossier.html?c=katjes&amp;viewer=1&amp;item=F264</t>
      </text>
    </comment>
    <comment ref="F266" authorId="0" shapeId="0">
      <text>
        <t>F265 · Segment · FY2023
segment: Seasonals (business line); revenue: 46.7
Document: S1, annual report, FY2023, 2024-03-27, audited, katjes-2023-annual-report.pdf
Page: 78
Quote: "Seasonals 46.7 37.2"
Status: approved by a named reviewer
Approver: demo reviewer, date not recorded
Proof: https://vanillabonds.com/dossier.html?c=katjes&amp;viewer=1&amp;item=F265</t>
      </text>
    </comment>
    <comment ref="F267" authorId="0" shapeId="0">
      <text>
        <t>F266 · Segment · FY2023
segment: Other (business line); revenue: 28.1
Document: S1, annual report, FY2023, 2024-03-27, audited, katjes-2023-annual-report.pdf
Page: 78
Quote: "Other 28.1 19.7"
Status: approved by a named reviewer
Approver: demo reviewer, date not recorded
Proof: https://vanillabonds.com/dossier.html?c=katjes&amp;viewer=1&amp;item=F266</t>
      </text>
    </comment>
    <comment ref="F268" authorId="0" shapeId="0">
      <text>
        <t>F267 · Segment · FY2023
segment: Italy (region, revenue by customer location); revenue: 115.5
Document: S1, annual report, FY2023, 2024-03-27, audited, katjes-2023-annual-report.pdf
Page: 81
Quote: "Italy 115.5 86.0"
Status: approved by a named reviewer
Approver: demo reviewer, date not recorded
Proof: https://vanillabonds.com/dossier.html?c=katjes&amp;viewer=1&amp;item=F267</t>
      </text>
    </comment>
    <comment ref="F269" authorId="0" shapeId="0">
      <text>
        <t>F268 · Segment · FY2023
segment: Germany (region); revenue: 104.4
Document: S1, annual report, FY2023, 2024-03-27, audited, katjes-2023-annual-report.pdf
Page: 81
Quote: "Germany 104.4 86.7"
Status: approved by a named reviewer
Approver: demo reviewer, date not recorded
Proof: https://vanillabonds.com/dossier.html?c=katjes&amp;viewer=1&amp;item=F268</t>
      </text>
    </comment>
    <comment ref="F270" authorId="0" shapeId="0">
      <text>
        <t>F269 · Segment · FY2023
segment: Netherlands (region); revenue: 16.5
Document: S1, annual report, FY2023, 2024-03-27, audited, katjes-2023-annual-report.pdf
Page: 81
Quote: "Netherlands 16.5 15.5"
Status: approved by a named reviewer
Approver: demo reviewer, date not recorded
Proof: https://vanillabonds.com/dossier.html?c=katjes&amp;viewer=1&amp;item=F269</t>
      </text>
    </comment>
    <comment ref="F271" authorId="0" shapeId="0">
      <text>
        <t>F270 · Segment · FY2023
segment: UK (region); revenue: 15.1
Document: S1, annual report, FY2023, 2024-03-27, audited, katjes-2023-annual-report.pdf
Page: 81
Quote: "UK 15.1 14.2"
Status: approved by a named reviewer
Approver: demo reviewer, date not recorded
Proof: https://vanillabonds.com/dossier.html?c=katjes&amp;viewer=1&amp;item=F270</t>
      </text>
    </comment>
    <comment ref="F272" authorId="0" shapeId="0">
      <text>
        <t>F271 · Segment · FY2023
segment: Other EU countries + Switzerland (region); revenue: 107.8
Document: S1, annual report, FY2023, 2024-03-27, audited, katjes-2023-annual-report.pdf
Page: 81
Quote: "Other EU countries + Switzerland 107.8 76.3"
Status: approved by a named reviewer
Approver: demo reviewer, date not recorded
Proof: https://vanillabonds.com/dossier.html?c=katjes&amp;viewer=1&amp;item=F271</t>
      </text>
    </comment>
    <comment ref="F273" authorId="0" shapeId="0">
      <text>
        <t>F272 · Segment · FY2023
segment: Non-EU countries (region); revenue: 18.1
Document: S1, annual report, FY2023, 2024-03-27, audited, katjes-2023-annual-report.pdf
Page: 81
Quote: "Non-EU countries 18.1 15.8"
Status: approved by a named reviewer
Approver: demo reviewer, date not recorded
Proof: https://vanillabonds.com/dossier.html?c=katjes&amp;viewer=1&amp;item=F272</t>
      </text>
    </comment>
    <comment ref="F274" authorId="0" shapeId="0">
      <text>
        <t>F273 · Segment · FY2023
segment: Germany (region); assets: 132.4 non-current assets (PP&amp;E, intangibles, other financial assets, financial investments)
Document: S1, annual report, FY2023, 2024-03-27, audited, katjes-2023-annual-report.pdf
Page: 82
Quote: "Germany 132.4 121.5"
Status: approved by a named reviewer
Approver: demo reviewer, date not recorded
Proof: https://vanillabonds.com/dossier.html?c=katjes&amp;viewer=1&amp;item=F273</t>
      </text>
    </comment>
    <comment ref="F275" authorId="0" shapeId="0">
      <text>
        <t>F274 · Segment · FY2023
segment: Italy (region); assets: 94.9 non-current assets
Document: S1, annual report, FY2023, 2024-03-27, audited, katjes-2023-annual-report.pdf
Page: 82
Quote: "Italy 94.9 97.2"
Status: approved by a named reviewer
Approver: demo reviewer, date not recorded
Proof: https://vanillabonds.com/dossier.html?c=katjes&amp;viewer=1&amp;item=F274</t>
      </text>
    </comment>
    <comment ref="F276" authorId="0" shapeId="0">
      <text>
        <t>F275 · Segment · FY2023
segment: Netherlands (region); assets: 71.1 non-current assets incl. 63.7 equity-accounted CPK investment
Document: S1, annual report, FY2023, 2024-03-27, audited, katjes-2023-annual-report.pdf
Page: 82
Quote: "Netherlands 71.1 71.9"
Status: approved by a named reviewer
Approver: demo reviewer, date not recorded
Proof: https://vanillabonds.com/dossier.html?c=katjes&amp;viewer=1&amp;item=F275</t>
      </text>
    </comment>
    <comment ref="F277" authorId="0" shapeId="0">
      <text>
        <t>F276 · Segment · FY2023
segment: UK (region); assets: 10.3 non-current assets
Document: S1, annual report, FY2023, 2024-03-27, audited, katjes-2023-annual-report.pdf
Page: 82
Quote: "UK 10.3 10.6"
Status: approved by a named reviewer
Approver: demo reviewer, date not recorded
Proof: https://vanillabonds.com/dossier.html?c=katjes&amp;viewer=1&amp;item=F276</t>
      </text>
    </comment>
    <comment ref="F278" authorId="0" shapeId="0">
      <text>
        <t>F277 · Income taxes paid (cash flow statement) · FY2022
Income taxes paid (cash outflow)
Document: S1, annual report, FY2023, 2024-03-27, audited, katjes-2023-annual-report.pdf
Page: 48
Quote: "Income taxes paid -2.5 -2.6"
Status: approved by a named reviewer
Approver: demo reviewer, date not recorded
Proof: https://vanillabonds.com/dossier.html?c=katjes&amp;viewer=1&amp;item=F277</t>
      </text>
    </comment>
    <comment ref="F279" authorId="0" shapeId="0">
      <text>
        <t>F278 · Income taxes paid (cash flow statement) · FY2023
Income taxes paid (cash outflow)
Document: S1, annual report, FY2023, 2024-03-27, audited, katjes-2023-annual-report.pdf
Page: 48
Quote: "Income taxes paid -2.5 -2.6"
Status: approved by a named reviewer
Approver: demo reviewer, date not recorded
Proof: https://vanillabonds.com/dossier.html?c=katjes&amp;viewer=1&amp;item=F278</t>
      </text>
    </comment>
    <comment ref="F280" authorId="0" shapeId="0">
      <text>
        <t>F279 · Hedge
instrument: interest rate swap; notional: 6.0; hedged item: rate (variable interest rate increase); 2022 notional 8.2
Document: S1, annual report, FY2023, 2024-03-27, audited, katjes-2023-annual-report.pdf
Page: 69
Quote: "a notional principal amount of EUR 6.0 million, EUR 0.3 mil‐ lion and EUR 1.7 million respectively (2022: EUR 8.2 million,"
Status: approved by a named reviewer
Approver: demo reviewer, date not recorded
Proof: https://vanillabonds.com/dossier.html?c=katjes&amp;viewer=1&amp;item=F279</t>
      </text>
    </comment>
    <comment ref="F281" authorId="0" shapeId="0">
      <text>
        <t>F280 · Hedge
instrument: interest rate swap; notional: 0.3; hedged item: rate (variable interest rate increase); 2022 notional 0.9
Document: S1, annual report, FY2023, 2024-03-27, audited, katjes-2023-annual-report.pdf
Page: 69
Quote: "a notional principal amount of EUR 6.0 million, EUR 0.3 mil‐ lion and EUR 1.7 million respectively (2022: EUR 8.2 million,"
Status: approved by a named reviewer
Approver: demo reviewer, date not recorded
Proof: https://vanillabonds.com/dossier.html?c=katjes&amp;viewer=1&amp;item=F280</t>
      </text>
    </comment>
    <comment ref="F282" authorId="0" shapeId="0">
      <text>
        <t>F281 · Hedge
instrument: interest rate swap; notional: 1.7; hedged item: rate (variable interest rate increase); 2022 notional 3.3; fair value change of the swaps EUR 0.0m
Document: S1, annual report, FY2023, 2024-03-27, audited, katjes-2023-annual-report.pdf
Page: 69
Quote: "lion and EUR 1.7 million respectively (2022: EUR 8.2 million, EUR 0.9 million and EUR 3.3 million respectively)"
Status: approved by a named reviewer
Approver: demo reviewer, date not recorded
Proof: https://vanillabonds.com/dossier.html?c=katjes&amp;viewer=1&amp;item=F281</t>
      </text>
    </comment>
    <comment ref="H283" authorId="0" shapeId="0">
      <text>
        <t>F282 · Rate structure of the debt
Document: S1, annual report, FY2023, 2024-03-27, audited, katjes-2023-annual-report.pdf
Page: 61
Quote: "The Company operates mainly within the European Union. The vast majority of transactions are conducted in Euros."
Status: approved by a named reviewer
Approver: demo reviewer, date not recorded
Proof: https://vanillabonds.com/dossier.html?c=katjes&amp;viewer=1&amp;item=F282</t>
      </text>
    </comment>
    <comment ref="F284" authorId="0" shapeId="0">
      <text>
        <t>F283 · Past maturity
instrument: corporate bond 2019/2024 non-exchanged portion; amount: 65.6; due: 2024; outcome: redeemed early on 2023-11-12
Document: S1, annual report, FY2023, 2024-03-27, audited, katjes-2023-annual-report.pdf
Page: 33
Quote: "viously been exchanged in the exchange offer was subse‐ quently redeemed early on 12 November 2023."
Status: approved by a named reviewer
Approver: demo reviewer, date not recorded
Proof: https://vanillabonds.com/dossier.html?c=katjes&amp;viewer=1&amp;item=F283</t>
      </text>
    </comment>
    <comment ref="F285" authorId="0" shapeId="0">
      <text>
        <t>F284 · Past maturity
instrument: corporate bond 2019/2024 (4.25%); amount: 110.0; due: 2024; outcome: refinanced early, exchange offer into 2023/2028 bond and redemption of remaining EUR 65.6m at 100.5% on 2023-11-12
Document: S1, annual report, FY2023, 2024-03-27, audited, katjes-2023-annual-report.pdf
Page: 72
Quote: "turely at 100.5% on 12 November 2023."
Status: approved by a named reviewer
Approver: demo reviewer, date not recorded
Proof: https://vanillabonds.com/dossier.html?c=katjes&amp;viewer=1&amp;item=F284</t>
      </text>
    </comment>
    <comment ref="H286" authorId="0" shapeId="0">
      <text>
        <t>F285 · Project or acquisition
Document: S1, annual report, FY2023, 2024-03-27, audited, katjes-2023-annual-report.pdf
Page: 5
Quote: "The acquisitions made in the previous year contributed to the company's success in 2023 as planned."
Status: approved by a named reviewer
Approver: demo reviewer, date not recorded
Proof: https://vanillabonds.com/dossier.html?c=katjes&amp;viewer=1&amp;item=F285</t>
      </text>
    </comment>
    <comment ref="H287" authorId="0" shapeId="0">
      <text>
        <t>F286 · Stated strategy
Document: S1, annual report, FY2023, 2024-03-27, audited, katjes-2023-annual-report.pdf
Page: 26
Quote: "Katjes International pursues the objective of further expanding its position in Europe with a focus on FMCG (mainly confectionery and body care products)."
Status: approved by a named reviewer
Approver: demo reviewer, date not recorded
Note on file: text: company wording put in quotation marks (reviewer, 20 Oct 2026)
Proof: https://vanillabonds.com/dossier.html?c=katjes&amp;viewer=1&amp;item=F286</t>
      </text>
    </comment>
    <comment ref="H288" authorId="0" shapeId="0">
      <text>
        <t>F287 · Stated strategy
Document: S1, annual report, FY2023, 2024-03-27, audited, katjes-2023-annual-report.pdf
Page: 41
Quote: "The company’s goal is to reach and sustain an average EBITDA margin of at least 10%."
Status: approved by a named reviewer
Approver: demo reviewer, date not recorded
Proof: https://vanillabonds.com/dossier.html?c=katjes&amp;viewer=1&amp;item=F287</t>
      </text>
    </comment>
    <comment ref="H289" authorId="0" shapeId="0">
      <text>
        <t>F288 · Stated strategy
Document: S1, annual report, FY2023, 2024-03-27, audited, katjes-2023-annual-report.pdf
Page: 41
Quote: "interesting acquisition opportunities and is regularly at different stages of negotiating or closing deals."
Status: approved by a named reviewer
Approver: demo reviewer, date not recorded
Proof: https://vanillabonds.com/dossier.html?c=katjes&amp;viewer=1&amp;item=F288</t>
      </text>
    </comment>
    <comment ref="H290" authorId="0" shapeId="0">
      <text>
        <t>F289 · Financial policy, stated and revealed
Document: S1, annual report, FY2023, 2024-03-27, audited, katjes-2023-annual-report.pdf
Page: 33
Quote: "Katjes International generally uses corporate bonds as an instrument to finance acquisitions."
Status: approved by a named reviewer
Approver: demo reviewer, date not recorded
Proof: https://vanillabonds.com/dossier.html?c=katjes&amp;viewer=1&amp;item=F289</t>
      </text>
    </comment>
    <comment ref="H291" authorId="0" shapeId="0">
      <text>
        <t>F290 · Financial policy, stated and revealed
Document: S1, annual report, FY2023, 2024-03-27, audited, katjes-2023-annual-report.pdf
Page: 33
Quote: "The company mainly finances its operations with internal funds, factoring, bank loans and credit facilities provided for this purpose."
Status: approved by a named reviewer
Approver: demo reviewer, date not recorded
Proof: https://vanillabonds.com/dossier.html?c=katjes&amp;viewer=1&amp;item=F290</t>
      </text>
    </comment>
    <comment ref="H292" authorId="0" shapeId="0">
      <text>
        <t>F291 · Financial policy, stated and revealed
Document: S1, annual report, FY2023, 2024-03-27, audited, katjes-2023-annual-report.pdf
Page: 61
Quote: "To hedge any interest rate risks, the Company makes use of derivatives (interest rate swaps)"
Status: approved by a named reviewer
Approver: demo reviewer, date not recorded
Proof: https://vanillabonds.com/dossier.html?c=katjes&amp;viewer=1&amp;item=F291</t>
      </text>
    </comment>
    <comment ref="H293" authorId="0" shapeId="0">
      <text>
        <t>F292 · Financial policy, stated and revealed
Document: S1, annual report, FY2023, 2024-03-27, audited, katjes-2023-annual-report.pdf
Page: 61
Quote: "counters this risk by concluding contracts with suppliers that generally have a term of three to 24 months."
Status: approved by a named reviewer
Approver: demo reviewer, date not recorded
Proof: https://vanillabonds.com/dossier.html?c=katjes&amp;viewer=1&amp;item=F292</t>
      </text>
    </comment>
    <comment ref="H294" authorId="0" shapeId="0">
      <text>
        <t>F293 · Financial policy, stated and revealed
Document: S1, annual report, FY2023, 2024-03-27, audited, katjes-2023-annual-report.pdf
Page: 62
Quote: "The Group’s aim is to cover the assets tied up in the long term through long-term financing"
Status: approved by a named reviewer
Approver: demo reviewer, date not recorded
Note on file: text: company wording put in quotation marks (reviewer, 20 Oct 2026)
Proof: https://vanillabonds.com/dossier.html?c=katjes&amp;viewer=1&amp;item=F293</t>
      </text>
    </comment>
    <comment ref="H295" authorId="0" shapeId="0">
      <text>
        <t>F294 · Financial policy, stated and revealed
Document: S1, annual report, FY2023, 2024-03-27, audited, katjes-2023-annual-report.pdf
Page: 64
Quote: "Leverage ratio 43% 45%"
Status: approved by a named reviewer
Approver: demo reviewer, date not recorded
Proof: https://vanillabonds.com/dossier.html?c=katjes&amp;viewer=1&amp;item=F294</t>
      </text>
    </comment>
    <comment ref="H296" authorId="0" shapeId="0">
      <text>
        <t>F295 · Insurance
Document: S1, annual report, FY2023, 2024-03-27, audited, katjes-2023-annual-report.pdf
Page: 40
Quote: "In addition, insurance policies are taken out against corresponding loss"
Status: approved by a named reviewer
Approver: demo reviewer, date not recorded
Proof: https://vanillabonds.com/dossier.html?c=katjes&amp;viewer=1&amp;item=F295</t>
      </text>
    </comment>
    <comment ref="H297" authorId="0" shapeId="0">
      <text>
        <t>F296 · Insurance
Document: S1, annual report, FY2023, 2024-03-27, audited, katjes-2023-annual-report.pdf
Page: 62
Quote: "Credit insurance is also taken out for certain receivables."
Status: approved by a named reviewer
Approver: demo reviewer, date not recorded
Proof: https://vanillabonds.com/dossier.html?c=katjes&amp;viewer=1&amp;item=F296</t>
      </text>
    </comment>
    <comment ref="F298" authorId="0" shapeId="0">
      <text>
        <t>F297 · Insurance
cover: group insurance expense (not broken down); sum: 0.7 in 2023 (2022: 0.9)
Document: S1, annual report, FY2023, 2024-03-27, audited, katjes-2023-annual-report.pdf
Page: 78
Quote: "Insurance 0.7 0.9"
Status: approved by a named reviewer
Approver: demo reviewer, date not recorded
Proof: https://vanillabonds.com/dossier.html?c=katjes&amp;viewer=1&amp;item=F297</t>
      </text>
    </comment>
    <comment ref="F299" authorId="0" shapeId="0">
      <text>
        <t>F298 · Remuneration as disclosed in the filed accounts
person or body: general partner Xaver Fassin International GmbH (total remuneration paid to the management); amount: 0.3; year: 2023 (2022: 0.3)
Document: S1, annual report, FY2023, 2024-03-27, audited, katjes-2023-annual-report.pdf
Page: 84
Quote: "Total remuneration paid to the ma‐ nagement* 0.3 0.3"
Status: approved by a named reviewer
Approver: demo reviewer, date not recorded
Proof: https://vanillabonds.com/dossier.html?c=katjes&amp;viewer=1&amp;item=F298</t>
      </text>
    </comment>
    <comment ref="H300" authorId="0" shapeId="0">
      <text>
        <t>F299 · Remuneration as disclosed in the filed accounts
Document: S1, annual report, FY2023, 2024-03-27, audited, katjes-2023-annual-report.pdf
Page: 84
Quote: "With reference to the protective clause set out in section 286 (4) of the German Commercial Code (HGB)"
Status: approved by a named reviewer
Approver: demo reviewer, date not recorded
Proof: https://vanillabonds.com/dossier.html?c=katjes&amp;viewer=1&amp;item=F299</t>
      </text>
    </comment>
    <comment ref="F301" authorId="0" shapeId="0">
      <text>
        <t>F300 · Security asset
asset: capitalised brands and other intangible assets; book value: 112.4 (2022: 109.7); encumbrance: not stated; insured: not stated; register: brand values represented as intangible assets in the group balance sheet
Document: S1, annual report, FY2023, 2024-03-27, audited, katjes-2023-annual-report.pdf
Page: 35
Quote: "The value of these brands is represented financially as an intangible asset in the Group’s balance sheet."
Status: approved by a named reviewer
Approver: demo reviewer, date not recorded
Proof: https://vanillabonds.com/dossier.html?c=katjes&amp;viewer=1&amp;item=F300</t>
      </text>
    </comment>
    <comment ref="F302" authorId="0" shapeId="0">
      <text>
        <t>F301 · Security asset · FY2023
asset: inventories; book value: 46.4; encumbrance: EUR 0.0m deposited as collateral at 31 Dec 2023 (2022: EUR 3.7m)
Document: S1, annual report, FY2023, 2024-03-27, audited, katjes-2023-annual-report.pdf
Page: 70
Quote: "0.0 million (2022: EUR 3.7 million) of the inventory assets were deposited as collateral."
Status: approved by a named reviewer
Approver: demo reviewer, date not recorded
Proof: https://vanillabonds.com/dossier.html?c=katjes&amp;viewer=1&amp;item=F301</t>
      </text>
    </comment>
    <comment ref="F303" authorId="0" shapeId="0">
      <text>
        <t>F302 · Appraisal
asset: oral care division property, plant and equipment (Viersen site); date: 2023 (within PPA measurement period); appraiser: independent experts (not named); method: not stated; value: 25.9 in final PPA
Document: S1, annual report, FY2023, 2024-03-27, audited, katjes-2023-annual-report.pdf
Page: 59
Quote: "In the financial year 2023, the property, plant and equip‐ ment to be acquired was valued by independent experts"
Status: approved by a named reviewer
Approver: demo reviewer, date not recorded
Proof: https://vanillabonds.com/dossier.html?c=katjes&amp;viewer=1&amp;item=F302</t>
      </text>
    </comment>
    <comment ref="F304" authorId="0" shapeId="0">
      <text>
        <t>F303 · Appraisal
asset: Harlekijntjes brand; date: initial consolidation 2016; appraiser: not named; method: relief-from-royalty, royalty 6.0%, discount rate 6.3%, indefinite useful life; value: 4.9
Document: S1, annual report, FY2023, 2024-03-27, audited, katjes-2023-annual-report.pdf
Page: 66
Quote: "due to the strength of the brand.The brand value calcula‐ ted using this method amounted to EUR 4.9 million."
Status: approved by a named reviewer
Approver: demo reviewer, date not recorded
Proof: https://vanillabonds.com/dossier.html?c=katjes&amp;viewer=1&amp;item=F303</t>
      </text>
    </comment>
    <comment ref="F305" authorId="0" shapeId="0">
      <text>
        <t>F304 · Appraisal
asset: Piasten brand; date: initial consolidation 2014/15; appraiser: not named; method: relief-from-royalty, royalty 2.0%, discount rate 7.5%, 40-year life; value: 6.0
Document: S1, annual report, FY2023, 2024-03-27, audited, katjes-2023-annual-report.pdf
Page: 66
Quote: "was 40 years. The brand value calculated using this me‐ thod amounted to EUR 6.0 million."
Status: approved by a named reviewer
Approver: demo reviewer, date not recorded
Proof: https://vanillabonds.com/dossier.html?c=katjes&amp;viewer=1&amp;item=F304</t>
      </text>
    </comment>
    <comment ref="F306" authorId="0" shapeId="0">
      <text>
        <t>F305 · Appraisal
asset: Dallmann's brand; date: initial consolidation 2012; appraiser: not named; method: relief-from-royalty, royalty 9.5%, discount rate 8.4%, indefinite life; value: 7.7
Document: S1, annual report, FY2023, 2024-03-27, audited, katjes-2023-annual-report.pdf
Page: 67
Quote: "lue calculated using this method amounted to EUR 7.7 mil‐ lion."
Status: approved by a named reviewer
Approver: demo reviewer, date not recorded
Proof: https://vanillabonds.com/dossier.html?c=katjes&amp;viewer=1&amp;item=F305</t>
      </text>
    </comment>
    <comment ref="F307" authorId="0" shapeId="0">
      <text>
        <t>F306 · Appraisal
asset: Sperlari brands; date: initial consolidation 2017; appraiser: not named; method: relief-from-royalty, royalty 3.5%, discount rate 6.4%, 40-year life; value: 22.9
Document: S1, annual report, FY2023, 2024-03-27, audited, katjes-2023-annual-report.pdf
Page: 67
Quote: "The useful life is 40 years.The brand value calculated using this method amounted to EUR 22.9 million."
Status: approved by a named reviewer
Approver: demo reviewer, date not recorded
Proof: https://vanillabonds.com/dossier.html?c=katjes&amp;viewer=1&amp;item=F306</t>
      </text>
    </comment>
    <comment ref="F308" authorId="0" shapeId="0">
      <text>
        <t>F307 · Appraisal
asset: Candy Kittens brand; date: initial consolidation (forecast revenue from 2021); appraiser: not named; method: relief-from-royalty, royalty 6%, discount rate 8.3%, indefinite life; value: 9.8
Document: S1, annual report, FY2023, 2024-03-27, audited, katjes-2023-annual-report.pdf
Page: 67
Quote: "rate was 8.3%. The useful life is indefinite due to the strength of the brand. The brand value calculated using this method amounted to EUR 9.8 million."
Status: approved by a named reviewer
Approver: demo reviewer, date not recorded
Proof: https://vanillabonds.com/dossier.html?c=katjes&amp;viewer=1&amp;item=F307</t>
      </text>
    </comment>
    <comment ref="F309" authorId="0" shapeId="0">
      <text>
        <t>F308 · Appraisal
asset: Bübchen brand; date: initial consolidation 2021 (pro rata revenue 2021); appraiser: not named; method: relief-from-royalty, royalty 4.0%, discount rate 5.0%, 40-year life; value: 22.5
Document: S1, annual report, FY2023, 2024-03-27, audited, katjes-2023-annual-report.pdf
Page: 67
Quote: "useful life is 40 years.The brand value calculated using this method amounted to EUR 22.5 million."
Status: approved by a named reviewer
Approver: demo reviewer, date not recorded
Proof: https://vanillabonds.com/dossier.html?c=katjes&amp;viewer=1&amp;item=F308</t>
      </text>
    </comment>
    <comment ref="F310" authorId="0" shapeId="0">
      <text>
        <t>F309 · Appraisal
asset: Dulcioliva brand; date: initial consolidation 2021; appraiser: not named; method: relief-from-royalty, royalty 5.0%, discount rate 4.0%, 40-year life; value: 7.6
Document: S1, annual report, FY2023, 2024-03-27, audited, katjes-2023-annual-report.pdf
Page: 67
Quote: "useful life is 40 years.The brand value calculated using this method amounted to EUR 7.6 million."
Status: approved by a named reviewer
Approver: demo reviewer, date not recorded
Proof: https://vanillabonds.com/dossier.html?c=katjes&amp;viewer=1&amp;item=F309</t>
      </text>
    </comment>
    <comment ref="F311" authorId="0" shapeId="0">
      <text>
        <t>F310 · Appraisal
asset: Paluani brand; date: initial consolidation 2022; appraiser: not named; method: relief-from-royalty, royalty 3.5%, discount rate 5.9%, 40-year life; value: 7.1
Document: S1, annual report, FY2023, 2024-03-27, audited, katjes-2023-annual-report.pdf
Page: 67
Quote: "is 40 years.The brand value calculated using this method amounted to EUR 7.1 million."
Status: approved by a named reviewer
Approver: demo reviewer, date not recorded
Proof: https://vanillabonds.com/dossier.html?c=katjes&amp;viewer=1&amp;item=F310</t>
      </text>
    </comment>
    <comment ref="F312" authorId="0" shapeId="0">
      <text>
        <t>F311 · Appraisal
asset: oral care brands (Theramed, Vademecum, Antica Erboristeria, Licor del Polo, Denivit); date: initial consolidation 7 Dec 2022; appraiser: not named; method: relief-from-royalty, royalty 4.0%, discount rate 5.7%, 40-year life; value: 23.8
Document: S1, annual report, FY2023, 2024-03-27, audited, katjes-2023-annual-report.pdf
Page: 67
Quote: "discount rate was 5.7%.The useful life is 40 years.The brand value calculated using this method amounted to EUR 23.8 million."
Status: approved by a named reviewer
Approver: demo reviewer, date not recorded
Proof: https://vanillabonds.com/dossier.html?c=katjes&amp;viewer=1&amp;item=F311</t>
      </text>
    </comment>
    <comment ref="H313" authorId="0" shapeId="0">
      <text>
        <t>F312 · Litigation, insolvency, fine or tax dispute
Document: S1, annual report, FY2023, 2024-03-27, audited, katjes-2023-annual-report.pdf
Page: 83
Quote: "able legal or arbitration proceedings that could have a significant influence on the economic situation or have"
Status: approved by a named reviewer
Approver: demo reviewer, date not recorded
Proof: https://vanillabonds.com/dossier.html?c=katjes&amp;viewer=1&amp;item=F312</t>
      </text>
    </comment>
    <comment ref="H314" authorId="0" shapeId="0">
      <text>
        <t>F313 · ESG fact
Document: S1, annual report, FY2023, 2024-03-27, audited, katjes-2023-annual-report.pdf
Page: 23
Quote: "resulting in a 25% reduction in plastic and consequently saving 80 tonnes of carbon dioxide emissions."
Status: approved by a named reviewer
Approver: demo reviewer, date not recorded
Proof: https://vanillabonds.com/dossier.html?c=katjes&amp;viewer=1&amp;item=F313</t>
      </text>
    </comment>
    <comment ref="H315" authorId="0" shapeId="0">
      <text>
        <t>F314 · ESG fact
Document: S1, annual report, FY2023, 2024-03-27, audited, katjes-2023-annual-report.pdf
Page: 30
Quote: "goal of climate-neutral production is being driven forward with the continuous improvement of our footprint."
Status: approved by a named reviewer
Approver: demo reviewer, date not recorded
Proof: https://vanillabonds.com/dossier.html?c=katjes&amp;viewer=1&amp;item=F314</t>
      </text>
    </comment>
    <comment ref="H316" authorId="0" shapeId="0">
      <text>
        <t>F315 · ESG fact
Document: S1, annual report, FY2023, 2024-03-27, audited, katjes-2023-annual-report.pdf
Page: 35
Quote: "onal employed an average of 24 apprentices in 2023."
Status: approved by a named reviewer
Approver: demo reviewer, date not recorded
Proof: https://vanillabonds.com/dossier.html?c=katjes&amp;viewer=1&amp;item=F315</t>
      </text>
    </comment>
    <comment ref="H317" authorId="0" shapeId="0">
      <text>
        <t>F316 · ESG fact
Document: S1, annual report, FY2023, 2024-03-27, audited, katjes-2023-annual-report.pdf
Page: 35
Quote: "As a medium-sized family business, Katjes International im‐ plements sustainable practices as a principle."
Status: approved by a named reviewer
Approver: demo reviewer, date not recorded
Proof: https://vanillabonds.com/dossier.html?c=katjes&amp;viewer=1&amp;item=F316</t>
      </text>
    </comment>
    <comment ref="H318" authorId="0" shapeId="0">
      <text>
        <t>F317 · Instrument term
Document: S1, annual report, FY2023, 2024-03-27, audited, katjes-2023-annual-report.pdf
Page: 4
Quote: "which was issued for the first time as a so-called "Nordic Bond"."
Status: approved by a named reviewer
Approver: demo reviewer, date not recorded
Proof: https://vanillabonds.com/dossier.html?c=katjes&amp;viewer=1&amp;item=F317</t>
      </text>
    </comment>
    <comment ref="H319" authorId="0" shapeId="0">
      <text>
        <t>F318 · Instrument term
Document: S1, annual report, FY2023, 2024-03-27, audited, katjes-2023-annual-report.pdf
Page: 4
Quote: "response to the exchange offer, which was offered for the first time to existing investors, as well as the first-time opportunity to subscribe via our website."
Status: approved by a named reviewer
Approver: demo reviewer, date not recorded
Proof: https://vanillabonds.com/dossier.html?c=katjes&amp;viewer=1&amp;item=F318</t>
      </text>
    </comment>
    <comment ref="H320" authorId="0" shapeId="0">
      <text>
        <t>F319 · Instrument term
Document: S1, annual report, FY2023, 2024-03-27, audited, katjes-2023-annual-report.pdf
Page: 48
Quote: "Repayment of the 2019/2024 bond (EUR 110 million) / issue of the 2023/2028 bond (EUR 115 million)"
Status: approved by a named reviewer
Approver: demo reviewer, date not recorded
Proof: https://vanillabonds.com/dossier.html?c=katjes&amp;viewer=1&amp;item=F319</t>
      </text>
    </comment>
    <comment ref="F321" authorId="0" shapeId="0">
      <text>
        <t>F320 · Instrument term
term: fair value 31 Dec 2023; value: 123.1 (level II) vs carrying amount 115.0
Document: S1, annual report, FY2023, 2024-03-27, audited, katjes-2023-annual-report.pdf
Page: 68
Quote: "Liabilities from the issuance of a bond2 115.0 123.1**"
Status: approved by a named reviewer
Approver: demo reviewer, date not recorded
Proof: https://vanillabonds.com/dossier.html?c=katjes&amp;viewer=1&amp;item=F320</t>
      </text>
    </comment>
    <comment ref="H322" authorId="0" shapeId="0">
      <text>
        <t>F321 · Instrument term
Document: S1, annual report, FY2023, 2024-03-27, audited, katjes-2023-annual-report.pdf
Page: 72
Quote: "mand, a bond with an interest rate of 6.75% and a total volume of EUR 115 million was issued in September 2023"
Status: approved by a named reviewer
Approver: demo reviewer, date not recorded
Proof: https://vanillabonds.com/dossier.html?c=katjes&amp;viewer=1&amp;item=F321</t>
      </text>
    </comment>
    <comment ref="H323" authorId="0" shapeId="0">
      <text>
        <t>F322 · Instrument term
Document: S1, annual report, FY2023, 2024-03-27, audited, katjes-2023-annual-report.pdf
Page: 85
Quote: "the Nordic ABM of the Oslo Stock Exchange at the end of January 2024 as planned within six months of the issue"
Status: approved by a named reviewer
Approver: demo reviewer, date not recorded
Proof: https://vanillabonds.com/dossier.html?c=katjes&amp;viewer=1&amp;item=F322</t>
      </text>
    </comment>
    <comment ref="H324" authorId="0" shapeId="0">
      <text>
        <t>F323 · Legal name
Document: S2, annual report, FY2024, 2025-04-09, audited, katjes-2024-annual-report.pdf
Page: 47
Quote: "Katjes International GmbH &amp; Co. KG (“Katjes International”) is a limited partnership established under the laws of the Federal Republic of Germany"
Status: approved by a named reviewer
Approver: demo reviewer, date not recorded
Proof: https://vanillabonds.com/dossier.html?c=katjes&amp;viewer=1&amp;item=F323</t>
      </text>
    </comment>
    <comment ref="H325" authorId="0" shapeId="0">
      <text>
        <t>F324 · Legal form
Document: S2, annual report, FY2024, 2025-04-09, audited, katjes-2024-annual-report.pdf
Page: 47
Quote: "a limited partnership established under the laws of the Federal Republic of Germany, with its registered office in Emmerich am Rhein"
Status: approved by a named reviewer
Approver: demo reviewer, date not recorded
Proof: https://vanillabonds.com/dossier.html?c=katjes&amp;viewer=1&amp;item=F324</t>
      </text>
    </comment>
    <comment ref="H326" authorId="0" shapeId="0">
      <text>
        <t>F325 · Commercial register / registration no.
Document: S2, annual report, FY2024, 2025-04-09, audited, katjes-2024-annual-report.pdf
Page: 47
Quote: "It is registered in the Commercial Register of the Local Court of Kleve under number HRA 1076."
Status: approved by a named reviewer
Approver: demo reviewer, date not recorded
Proof: https://vanillabonds.com/dossier.html?c=katjes&amp;viewer=1&amp;item=F325</t>
      </text>
    </comment>
    <comment ref="H327" authorId="0" shapeId="0">
      <text>
        <t>F326 · Founded
Document: S2, annual report, FY2024, 2025-04-09, audited, katjes-2024-annual-report.pdf
Page: 9
Quote: "Formed in 2011 from predecessor companies, Katjes International GmbH &amp; Co. KG (‘Katjes International’)"
Status: approved by a named reviewer
Approver: demo reviewer, date not recorded
Proof: https://vanillabonds.com/dossier.html?c=katjes&amp;viewer=1&amp;item=F326</t>
      </text>
    </comment>
    <comment ref="H328" authorId="0" shapeId="0">
      <text>
        <t>F327 · Registered office
Document: S2, annual report, FY2024, 2025-04-09, audited, katjes-2024-annual-report.pdf
Page: 47
Quote: "Dechant-Sprünken-Str. 53–57 46446 Emmerich am Rhein Germany"
Status: approved by a named reviewer
Approver: demo reviewer, date not recorded
Proof: https://vanillabonds.com/dossier.html?c=katjes&amp;viewer=1&amp;item=F327</t>
      </text>
    </comment>
    <comment ref="H329" authorId="0" shapeId="0">
      <text>
        <t>F328 · Country of incorporation (ISO-2)
Document: S2, annual report, FY2024, 2025-04-09, audited, katjes-2024-annual-report.pdf
Page: 47
Quote: "established under the laws of the Federal Republic of Germany, with its registered office in Emmerich am Rhein"
Status: approved by a named reviewer
Approver: demo reviewer, date not recorded
Proof: https://vanillabonds.com/dossier.html?c=katjes&amp;viewer=1&amp;item=F328</t>
      </text>
    </comment>
    <comment ref="H330" authorId="0" shapeId="0">
      <text>
        <t>F329 · Sector
Document: S2, annual report, FY2024, 2025-04-09, audited, katjes-2024-annual-report.pdf
Page: 77
Quote: "Katjes International, through its subsidiaries, is a manufacturer and supplier of confectionery and body care products, which are classified as fast-moving consumer goods (FMCG)."
Status: approved by a named reviewer
Approver: demo reviewer, date not recorded
Proof: https://vanillabonds.com/dossier.html?c=katjes&amp;viewer=1&amp;item=F329</t>
      </text>
    </comment>
    <comment ref="H331" authorId="0" shapeId="0">
      <text>
        <t>F330 · Sites / countries of operation
Document: S2, annual report, FY2024, 2025-04-09, audited, katjes-2024-annual-report.pdf
Page: 26
Quote: "In 2024, Katjes International was primarily active in the markets of Italy, Germany, the United Kingdom, France, the Netherlands, and Spain through its portfolio companies."
Status: approved by a named reviewer
Approver: demo reviewer, date not recorded
Proof: https://vanillabonds.com/dossier.html?c=katjes&amp;viewer=1&amp;item=F330</t>
      </text>
    </comment>
    <comment ref="H332" authorId="0" shapeId="0">
      <text>
        <t>F331 · Sites / countries of operation
Document: S2, annual report, FY2024, 2025-04-09, audited, katjes-2024-annual-report.pdf
Page: 47
Quote: "In the financial year 2024, production and distribution activities were carried out by group companies in Italy, Germany, the Un- ited Kingdom, and the Netherlands."
Status: approved by a named reviewer
Approver: demo reviewer, date not recorded
Proof: https://vanillabonds.com/dossier.html?c=katjes&amp;viewer=1&amp;item=F331</t>
      </text>
    </comment>
    <comment ref="F333" authorId="0" shapeId="0">
      <text>
        <t>F332 · Employees (FTE, period end) · FY2023
Average number of employees in 2023 (not period-end FTE): 998, of which 596 in Germany, 373 in Italy, 15 in the UK, 14 in the Netherlands.
Document: S2, annual report, FY2024, 2025-04-09, audited, katjes-2024-annual-report.pdf
Page: 47
Quote: "Germany (2023: 596), 374 in Italy (2023: 373), and 17 in the United Kingdom (2023: 15). In the Netherlands, an average of 14 employees were employed during the reporting year (2023: 14)."
Status: approved by a named reviewer
Approver: demo reviewer, date not recorded
Proof: https://vanillabonds.com/dossier.html?c=katjes&amp;viewer=1&amp;item=F332</t>
      </text>
    </comment>
    <comment ref="F334" authorId="0" shapeId="0">
      <text>
        <t>F333 · Employees (FTE, period end) · FY2024
Average number of employees in 2024 (not period-end FTE): 1,097, of which 692 in Germany, 374 in Italy, 17 in the UK, 14 in the Netherlands.
Document: S2, annual report, FY2024, 2025-04-09, audited, katjes-2024-annual-report.pdf
Page: 47
Quote: "The Group employed an average of 1,097 people during the 2024 financial year (2023: 998), of which 692 were based in"
Status: approved by a named reviewer
Approver: demo reviewer, date not recorded
Proof: https://vanillabonds.com/dossier.html?c=katjes&amp;viewer=1&amp;item=F333</t>
      </text>
    </comment>
    <comment ref="H335" authorId="0" shapeId="0">
      <text>
        <t>F334 · Ownership / UBO
Document: S2, annual report, FY2024, 2025-04-09, audited, katjes-2024-annual-report.pdf
Page: 47
Quote: "Bastian Fassin and Tobias Bachmüller are the limited partners, with registered liability amounts of EUR 900 thousand and EUR 100 thousand, respectively."
Status: approved by a named reviewer
Approver: demo reviewer, date not recorded
Proof: https://vanillabonds.com/dossier.html?c=katjes&amp;viewer=1&amp;item=F334</t>
      </text>
    </comment>
    <comment ref="H336" authorId="0" shapeId="0">
      <text>
        <t>F335 · Auditor
Document: S2, annual report, FY2024, 2025-04-09, audited, katjes-2024-annual-report.pdf
Page: 90
Quote: "Dusseldorf, 9th April 2025 EY GmbH &amp; Co. KG Wirtschaftsprüfungsgesellschaft"
Status: approved by a named reviewer
Approver: demo reviewer, date not recorded
Proof: https://vanillabonds.com/dossier.html?c=katjes&amp;viewer=1&amp;item=F335</t>
      </text>
    </comment>
    <comment ref="H337" authorId="0" shapeId="0">
      <text>
        <t>F336 · Audit opinion · FY2024
Document: S2, annual report, FY2024, 2025-04-09, audited, katjes-2024-annual-report.pdf
Page: 87
Quote: "we declare that our audit has not led to any reservations relating to the legal"
Status: approved by a named reviewer
Approver: demo reviewer, date not recorded
Proof: https://vanillabonds.com/dossier.html?c=katjes&amp;viewer=1&amp;item=F336</t>
      </text>
    </comment>
    <comment ref="H338" authorId="0" shapeId="0">
      <text>
        <t>F337 · Accounting standard
Document: S2, annual report, FY2024, 2025-04-09, audited, katjes-2024-annual-report.pdf
Page: 48
Quote: "accordance with the IFRS Accounting Standards (IFRS) as adopted by the European Union, and in compliance with the"
Status: approved by a named reviewer
Approver: demo reviewer, date not recorded
Proof: https://vanillabonds.com/dossier.html?c=katjes&amp;viewer=1&amp;item=F337</t>
      </text>
    </comment>
    <comment ref="H339" authorId="0" shapeId="0">
      <text>
        <t>F338 · Fiscal year end
Document: S2, annual report, FY2024, 2025-04-09, audited, katjes-2024-annual-report.pdf
Page: 40
Quote: "(from 1 January to 31 December 2024)"
Status: approved by a named reviewer
Approver: demo reviewer, date not recorded
Proof: https://vanillabonds.com/dossier.html?c=katjes&amp;viewer=1&amp;item=F338</t>
      </text>
    </comment>
    <comment ref="H340" authorId="0" shapeId="0">
      <text>
        <t>F339 · Business fact
Document: S2, annual report, FY2024, 2025-04-09, audited, katjes-2024-annual-report.pdf
Page: 9
Quote: "group of companies that has been family-owned for over 100 years"
Status: approved by a named reviewer
Approver: demo reviewer, date not recorded
Proof: https://vanillabonds.com/dossier.html?c=katjes&amp;viewer=1&amp;item=F339</t>
      </text>
    </comment>
    <comment ref="H341" authorId="0" shapeId="0">
      <text>
        <t>F340 · Business fact
Document: S2, annual report, FY2024, 2025-04-09, audited, katjes-2024-annual-report.pdf
Page: 12
Quote: "The vegan Peanut Dragees were developed in collaboration with Planet A Foods and their cocoa-free chocolate alternative Choviva."
Status: approved by a named reviewer
Approver: demo reviewer, date not recorded
Proof: https://vanillabonds.com/dossier.html?c=katjes&amp;viewer=1&amp;item=F340</t>
      </text>
    </comment>
    <comment ref="F342" authorId="0" shapeId="0">
      <text>
        <t>F341 · Business fact
Share of profit from the at-equity investment in CPK EUR 1.3m in 2024 (2023: EUR -0.7m), recognised in the financial result.
Document: S2, annual report, FY2024, 2025-04-09, audited, katjes-2024-annual-report.pdf
Page: 29
Quote: "profit from the at-equity investment in CPK in the amount of EUR 1.3 million (previous year: EUR -0.7 million)"
Status: approved by a named reviewer
Approver: demo reviewer, date not recorded
Proof: https://vanillabonds.com/dossier.html?c=katjes&amp;viewer=1&amp;item=F341</t>
      </text>
    </comment>
    <comment ref="F343" authorId="0" shapeId="0">
      <text>
        <t>F342 · Business fact
Equity ratio 35.9% at 31 Dec 2024 (2023: 36.9%), described by management as 'stable'; equity attributable to shareholders 175.0 (173.0).
Document: S2, annual report, FY2024, 2025-04-09, audited, katjes-2024-annual-report.pdf
Page: 31
Quote: "remained stable at 35.9% (December 31, 2023: 36.9%). Equity attributable to the shareholders of Katjes International amoun"
Status: approved by a named reviewer
Approver: demo reviewer, date not recorded
Proof: https://vanillabonds.com/dossier.html?c=katjes&amp;viewer=1&amp;item=F342</t>
      </text>
    </comment>
    <comment ref="H344" authorId="0" shapeId="0">
      <text>
        <t>F343 · Business fact
Document: S2, annual report, FY2024, 2025-04-09, audited, katjes-2024-annual-report.pdf
Page: 32
Quote: "Katjes International holds a portfolio of well-known and establis- hed brands."
Status: approved by a named reviewer
Approver: demo reviewer, date not recorded
Proof: https://vanillabonds.com/dossier.html?c=katjes&amp;viewer=1&amp;item=F343</t>
      </text>
    </comment>
    <comment ref="F345" authorId="0" shapeId="0">
      <text>
        <t>F344 · Business fact
Gross profit EUR 99.0m in 2024 (2023: 81.9), gross margin 25.2% (21.7%); cost of sales 293.6 (295.5), 74.8% of revenue.
Document: S2, annual report, FY2024, 2025-04-09, audited, katjes-2024-annual-report.pdf
Page: 40
Quote: "Gross profit on sales 99.0 81.9"
Status: approved by a named reviewer
Approver: demo reviewer, date not recorded
Proof: https://vanillabonds.com/dossier.html?c=katjes&amp;viewer=1&amp;item=F344</t>
      </text>
    </comment>
    <comment ref="F346" authorId="0" shapeId="0">
      <text>
        <t>F345 · Business fact
At-equity investments carried at EUR 65.0m at 31 Dec 2024 (2023: 63.7), essentially the ~23% stake in CPK S.A.S., Paris.
Document: S2, annual report, FY2024, 2025-04-09, audited, katjes-2024-annual-report.pdf
Page: 42
Quote: "At-equity investments 3 65.0 63.7"
Status: approved by a named reviewer
Approver: demo reviewer, date not recorded
Proof: https://vanillabonds.com/dossier.html?c=katjes&amp;viewer=1&amp;item=F345</t>
      </text>
    </comment>
    <comment ref="F347" authorId="0" shapeId="0">
      <text>
        <t>F346 · Business fact
Intangible assets EUR 113.1m at 31 Dec 2024 (2023: 112.4), mainly capitalised brands (111.7) plus goodwill 0.3; PP&amp;E 125.1 (122.4); right-of-use assets 13.0 (6.7).
Document: S2, annual report, FY2024, 2025-04-09, audited, katjes-2024-annual-report.pdf
Page: 42
Quote: "Intangible assets 6.1 113.1 112.4"
Status: approved by a named reviewer
Approver: demo reviewer, date not recorded
Proof: https://vanillabonds.com/dossier.html?c=katjes&amp;viewer=1&amp;item=F346</t>
      </text>
    </comment>
    <comment ref="F348" authorId="0" shapeId="0">
      <text>
        <t>F347 · Business fact
Cash flow from financing activities EUR -25.3m in 2024 (2023: +5.7): loan repayments net -7.7 (2023: +16.9 new borrowings), lease payments -4.8, interest paid -12.8; cash fell 4.4 to 54.0.
Document: S2, annual report, FY2024, 2025-04-09, audited, katjes-2024-annual-report.pdf
Page: 45
Quote: "Cash flow from financing activities -25.3 5.7"
Status: approved by a named reviewer
Approver: demo reviewer, date not recorded
Proof: https://vanillabonds.com/dossier.html?c=katjes&amp;viewer=1&amp;item=F347</t>
      </text>
    </comment>
    <comment ref="F349" authorId="0" shapeId="0">
      <text>
        <t>F348 · Business fact
Cash flow from investing activities EUR -24.7m in 2024 (2023: -14.6), incl. 6.8 for Candy Kittens minorities and the Barnängen brand purchase.
Document: S2, annual report, FY2024, 2025-04-09, audited, katjes-2024-annual-report.pdf
Page: 45
Quote: "Cash flow from investing activities -24.7 -14.6"
Status: approved by a named reviewer
Approver: demo reviewer, date not recorded
Proof: https://vanillabonds.com/dossier.html?c=katjes&amp;viewer=1&amp;item=F348</t>
      </text>
    </comment>
    <comment ref="H350" authorId="0" shapeId="0">
      <text>
        <t>F349 · Business fact
Document: S2, annual report, FY2024, 2025-04-09, audited, katjes-2024-annual-report.pdf
Page: 47
Quote: "Katjes International also provides management services to its subsidiaries."
Status: approved by a named reviewer
Approver: demo reviewer, date not recorded
Proof: https://vanillabonds.com/dossier.html?c=katjes&amp;viewer=1&amp;item=F349</t>
      </text>
    </comment>
    <comment ref="H351" authorId="0" shapeId="0">
      <text>
        <t>F350 · Business fact
Document: S2, annual report, FY2024, 2025-04-09, audited, katjes-2024-annual-report.pdf
Page: 49
Quote: "Germany 23 22 Other countries 9 9 Total 32 31"
Status: approved by a named reviewer
Approver: demo reviewer, date not recorded
Proof: https://vanillabonds.com/dossier.html?c=katjes&amp;viewer=1&amp;item=F350</t>
      </text>
    </comment>
    <comment ref="F352" authorId="0" shapeId="0">
      <text>
        <t>F351 · Business fact
Liability of EUR 1.3m recognised for the call option on the remaining 25% of Dulcioliva (measured at fair value through profit or loss); exercise still expected at 31 Dec 2024.
Document: S2, annual report, FY2024, 2025-04-09, audited, katjes-2024-annual-report.pdf
Page: 60
Quote: "Also included is a liability arising from the exercise of the call option for the remaining 25% stake in Dulcioliva"
Status: approved by a named reviewer
Approver: demo reviewer, date not recorded
Proof: https://vanillabonds.com/dossier.html?c=katjes&amp;viewer=1&amp;item=F351</t>
      </text>
    </comment>
    <comment ref="H353" authorId="0" shapeId="0">
      <text>
        <t>F352 · Business fact
Document: S2, annual report, FY2024, 2025-04-09, audited, katjes-2024-annual-report.pdf
Page: 63
Quote: "The brand „Barnängen“ was recognised at cost at the time of acquisition."
Status: approved by a named reviewer
Approver: demo reviewer, date not recorded
Proof: https://vanillabonds.com/dossier.html?c=katjes&amp;viewer=1&amp;item=F352</t>
      </text>
    </comment>
    <comment ref="F354" authorId="0" shapeId="0">
      <text>
        <t>F353 · Business fact
Trade payables and other liabilities EUR 62.0m at 31 Dec 2024 (2023: 56.7), of which trade payables 48.2 (43.5).
Document: S2, annual report, FY2024, 2025-04-09, audited, katjes-2024-annual-report.pdf
Page: 69
Quote: "Trade payables 48.2 43.5"
Status: approved by a named reviewer
Approver: demo reviewer, date not recorded
Proof: https://vanillabonds.com/dossier.html?c=katjes&amp;viewer=1&amp;item=F353</t>
      </text>
    </comment>
    <comment ref="H355" authorId="0" shapeId="0">
      <text>
        <t>F354 · Business fact
Document: S2, annual report, FY2024, 2025-04-09, audited, katjes-2024-annual-report.pdf
Page: 71
Quote: "Discount rate 3.0%-3.6% 3.2%-3.6%"
Status: approved by a named reviewer
Approver: demo reviewer, date not recorded
Proof: https://vanillabonds.com/dossier.html?c=katjes&amp;viewer=1&amp;item=F354</t>
      </text>
    </comment>
    <comment ref="F356" authorId="0" shapeId="0">
      <text>
        <t>F355 · Business fact
Current provisions EUR 19.1m at 31 Dec 2024 (2023: 16.7): personnel 3.3, returns 5.5, outstanding invoices 6.3, other 4.0; non-current provisions 0.9 (long-service bonuses 0.8).
Document: S2, annual report, FY2024, 2025-04-09, audited, katjes-2024-annual-report.pdf
Page: 73
Quote: "Provision for returns 5.4 -5.4 5.5 0.0 5.5"
Status: approved by a named reviewer
Approver: demo reviewer, date not recorded
Proof: https://vanillabonds.com/dossier.html?c=katjes&amp;viewer=1&amp;item=F355</t>
      </text>
    </comment>
    <comment ref="F357" authorId="0" shapeId="0">
      <text>
        <t>F356 · Business fact
Personnel expenses EUR 73.8m in 2024 (2023: 65.1), driven i.a. by the takeover of the Viersen oral care site on 1 Jan 2024; wages and salaries 57.9, social security 13.1.
Document: S2, annual report, FY2024, 2025-04-09, audited, katjes-2024-annual-report.pdf
Page: 74
Quote: "Personnel expenses 73.8 65.1"
Status: approved by a named reviewer
Approver: demo reviewer, date not recorded
Proof: https://vanillabonds.com/dossier.html?c=katjes&amp;viewer=1&amp;item=F356</t>
      </text>
    </comment>
    <comment ref="F358" authorId="0" shapeId="0">
      <text>
        <t>F357 · Business fact
Contributions to statutory pension insurance about EUR 7.3m in 2024 (2023: 6.5); average workforce 717 blue-collar, 358 salaried, 22 other.
Document: S2, annual report, FY2024, 2025-04-09, audited, katjes-2024-annual-report.pdf
Page: 74
Quote: "In the reporting year, contributions to the statutory pension ins- urance system amounted to approximately EUR 7.3 million (2023: EUR 6.5 million)."
Status: approved by a named reviewer
Approver: demo reviewer, date not recorded
Proof: https://vanillabonds.com/dossier.html?c=katjes&amp;viewer=1&amp;item=F357</t>
      </text>
    </comment>
    <comment ref="F359" authorId="0" shapeId="0">
      <text>
        <t>F358 · Business fact
Auditor’s fees 2024: audit services EUR 0.5m (0.2 for foreign subsidiaries), tax consultancy 0.0, other 0.0 (2023 total 0.6).
Document: S2, annual report, FY2024, 2025-04-09, audited, katjes-2024-annual-report.pdf
Page: 75
Quote: "Fees for audit services 0.5 0.5 Tax consultancy services 0.0 0.1"
Status: approved by a named reviewer
Approver: demo reviewer, date not recorded
Proof: https://vanillabonds.com/dossier.html?c=katjes&amp;viewer=1&amp;item=F358</t>
      </text>
    </comment>
    <comment ref="F360" authorId="0" shapeId="0">
      <text>
        <t>F359 · Business fact
Interest expense on the corporate bond EUR 7.8m in 2024 (2023: 6.5); bank interest 4.2 (3.6); leasing 0.2, hire purchase 0.3; total financial expenses 13.2 (12.0); interest paid 12.8 (10.2).
Document: S2, annual report, FY2024, 2025-04-09, audited, katjes-2024-annual-report.pdf
Page: 75
Quote: "Interest expenses corporate bond 7.8 6.5 Interest expenses banks 4.2 3.6"
Status: approved by a named reviewer
Approver: demo reviewer, date not recorded
Proof: https://vanillabonds.com/dossier.html?c=katjes&amp;viewer=1&amp;item=F359</t>
      </text>
    </comment>
    <comment ref="H361" authorId="0" shapeId="0">
      <text>
        <t>F360 · Business fact
Document: S2, annual report, FY2024, 2025-04-09, audited, katjes-2024-annual-report.pdf
Page: 77
Quote: "Internal reporting and management are ba- sed on the single segment “FMCG”."
Status: approved by a named reviewer
Approver: demo reviewer, date not recorded
Proof: https://vanillabonds.com/dossier.html?c=katjes&amp;viewer=1&amp;item=F360</t>
      </text>
    </comment>
    <comment ref="H362" authorId="0" shapeId="0">
      <text>
        <t>F361 · Business fact
Document: S2, annual report, FY2024, 2025-04-09, audited, katjes-2024-annual-report.pdf
Page: 88
Quote: "the introduction to the annual report, but not the consolidated financial statements, not the group ma- nagement report disclosures whose content is audited"
Status: approved by a named reviewer
Approver: demo reviewer, date not recorded
Note on file: text: company wording put in quotation marks (reviewer, 20 Oct 2026)
Proof: https://vanillabonds.com/dossier.html?c=katjes&amp;viewer=1&amp;item=F361</t>
      </text>
    </comment>
    <comment ref="H363" authorId="0" shapeId="0">
      <text>
        <t>F362 · Key event (M&amp;A, financing, strategy)
Document: S2, annual report, FY2024, 2025-04-09, audited, katjes-2024-annual-report.pdf
Page: 28
Quote: "As a partnership, Katjes International exercised the so-called corporate income tax option effective January 1, 2025"
Status: approved by a named reviewer
Approver: demo reviewer, date not recorded
Proof: https://vanillabonds.com/dossier.html?c=katjes&amp;viewer=1&amp;item=F362</t>
      </text>
    </comment>
    <comment ref="H364" authorId="0" shapeId="0">
      <text>
        <t>F363 · Key event (M&amp;A, financing, strategy)
Document: S2, annual report, FY2024, 2025-04-09, audited, katjes-2024-annual-report.pdf
Page: 55
Quote: "In the financial year 2024 Katjes International established a joint venture together with the German pop icon Shirin David."
Status: approved by a named reviewer
Approver: demo reviewer, date not recorded
Proof: https://vanillabonds.com/dossier.html?c=katjes&amp;viewer=1&amp;item=F363</t>
      </text>
    </comment>
    <comment ref="H365" authorId="0" shapeId="0">
      <text>
        <t>F364 · Key event (M&amp;A, financing, strategy)
Document: S2, annual report, FY2024, 2025-04-09, audited, katjes-2024-annual-report.pdf
Page: 81
Quote: "No events of particular significance or with a material impact on the financial position, cash flows or results of operations"
Status: approved by a named reviewer
Approver: demo reviewer, date not recorded
Proof: https://vanillabonds.com/dossier.html?c=katjes&amp;viewer=1&amp;item=F364</t>
      </text>
    </comment>
    <comment ref="F366" authorId="0" shapeId="0">
      <text>
        <t>F365 · Revenue · FY2023
Consolidated revenue 2023.
Document: S2, annual report, FY2024, 2025-04-09, audited, katjes-2024-annual-report.pdf
Page: 40
Quote: "Revenue 392.6 377.4"
Status: approved by a named reviewer
Approver: demo reviewer, date not recorded
Proof: https://vanillabonds.com/dossier.html?c=katjes&amp;viewer=1&amp;item=F365</t>
      </text>
    </comment>
    <comment ref="F367" authorId="0" shapeId="0">
      <text>
        <t>F366 · Revenue · FY2024
Consolidated revenue 2024.
Document: S2, annual report, FY2024, 2025-04-09, audited, katjes-2024-annual-report.pdf
Page: 40
Quote: "Revenue 392.6 377.4"
Status: approved by a named reviewer
Approver: demo reviewer, date not recorded
Proof: https://vanillabonds.com/dossier.html?c=katjes&amp;viewer=1&amp;item=F366</t>
      </text>
    </comment>
    <comment ref="F368" authorId="0" shapeId="0">
      <text>
        <t>F367 · Revenue · FY2025E
Management guidance for 2025: consolidated revenue of at least EUR 400m.
Document: S2, annual report, FY2024, 2025-04-09, audited, katjes-2024-annual-report.pdf
Page: 38
Quote: "For the financial year 2025, the Company expects revenues of at least EUR 400 million."
Status: approved by a named reviewer
Approver: demo reviewer, date not recorded
Proof: https://vanillabonds.com/dossier.html?c=katjes&amp;viewer=1&amp;item=F367</t>
      </text>
    </comment>
    <comment ref="F369" authorId="0" shapeId="0">
      <text>
        <t>F368 · EBITDA (as reported) · FY2023
EBITDA as reported by the company; EBITDA margin 10.8%.
Document: S2, annual report, FY2024, 2025-04-09, audited, katjes-2024-annual-report.pdf
Page: 29
Quote: "The operating result (EBITDA) amounted to EUR 44.8 million in the financial year 2024 (2023: EUR 40.8 million)."
Status: extracted, pending review
Approver: none yet
Note on file: conflict: S1·p32 40.8 vs S2·p29 40.8 vs S3·p7 23.0; primary per fact agent: S2 p29 - S2 is the later audited report carrying FY2023 and its comparative equals S1 p32; S3 carries no FY2023 statement, and its 23.0 is a …
Proof: https://vanillabonds.com/dossier.html?c=katjes&amp;viewer=1&amp;item=F368</t>
      </text>
    </comment>
    <comment ref="F370" authorId="0" shapeId="0">
      <text>
        <t>F369 · EBITDA (as reported) · FY2024
EBITDA as reported by the company (operating result 25.0 plus D&amp;A 19.8); EBITDA margin 11.4%.
Document: S2, annual report, FY2024, 2025-04-09, audited, katjes-2024-annual-report.pdf
Page: 29
Quote: "The operating result (EBITDA) amounted to EUR 44.8 million in the financial year 2024 (2023: EUR 40.8 million)."
Status: approved by a named reviewer
Approver: demo reviewer, date not recorded
Proof: https://vanillabonds.com/dossier.html?c=katjes&amp;viewer=1&amp;item=F369</t>
      </text>
    </comment>
    <comment ref="F371" authorId="0" shapeId="0">
      <text>
        <t>F370 · EBIT / operating result · FY2023
Operating result 2023.
Document: S2, annual report, FY2024, 2025-04-09, audited, katjes-2024-annual-report.pdf
Page: 40
Quote: "Operating result 25.0 22.5"
Status: approved by a named reviewer
Approver: demo reviewer, date not recorded
Proof: https://vanillabonds.com/dossier.html?c=katjes&amp;viewer=1&amp;item=F370</t>
      </text>
    </comment>
    <comment ref="F372" authorId="0" shapeId="0">
      <text>
        <t>F371 · EBIT / operating result · FY2024
Operating result 2024.
Document: S2, annual report, FY2024, 2025-04-09, audited, katjes-2024-annual-report.pdf
Page: 40
Quote: "Operating result 25.0 22.5"
Status: approved by a named reviewer
Approver: demo reviewer, date not recorded
Proof: https://vanillabonds.com/dossier.html?c=katjes&amp;viewer=1&amp;item=F371</t>
      </text>
    </comment>
    <comment ref="F373" authorId="0" shapeId="0">
      <text>
        <t>F372 · Net result · FY2023
Earnings after tax 2023; attributable to Katjes International 10.1, non-controlling interests 0.1.
Document: S2, annual report, FY2024, 2025-04-09, audited, katjes-2024-annual-report.pdf
Page: 40
Quote: "Earnings after tax 3.2 10.2"
Status: approved by a named reviewer
Approver: demo reviewer, date not recorded
Proof: https://vanillabonds.com/dossier.html?c=katjes&amp;viewer=1&amp;item=F372</t>
      </text>
    </comment>
    <comment ref="F374" authorId="0" shapeId="0">
      <text>
        <t>F373 · Net result · FY2024
Earnings after tax 2024; attributable to Katjes International 3.2, non-controlling interests 0.0; includes non-recurring deferred tax expense of EUR -6.9m.
Document: S2, annual report, FY2024, 2025-04-09, audited, katjes-2024-annual-report.pdf
Page: 40
Quote: "Earnings after tax 3.2 10.2"
Status: approved by a named reviewer
Approver: demo reviewer, date not recorded
Proof: https://vanillabonds.com/dossier.html?c=katjes&amp;viewer=1&amp;item=F373</t>
      </text>
    </comment>
    <comment ref="F375" authorId="0" shapeId="0">
      <text>
        <t>F374 · Depreciation &amp; amortisation · FY2023
Depreciation and amortisation 2023 (note 7.2).
Document: S2, annual report, FY2024, 2025-04-09, audited, katjes-2024-annual-report.pdf
Page: 74
Quote: "Depreciation and amortisation 19.8 18.1"
Status: approved by a named reviewer
Approver: demo reviewer, date not recorded
Proof: https://vanillabonds.com/dossier.html?c=katjes&amp;viewer=1&amp;item=F374</t>
      </text>
    </comment>
    <comment ref="F376" authorId="0" shapeId="0">
      <text>
        <t>F375 · Depreciation &amp; amortisation · FY2024
Depreciation and amortisation 2024 (note 7.2); cash flow statement: PP&amp;E 10.4, right-of-use 4.8, intangibles 4.6.
Document: S2, annual report, FY2024, 2025-04-09, audited, katjes-2024-annual-report.pdf
Page: 74
Quote: "Depreciation and amortisation 19.8 18.1"
Status: extracted, pending review
Approver: none yet
Note on file: conflict: S2·p74 19.8 vs S3·p86 20.8; primary per fact agent: S2 p74 - S3 does not restate FY2024: its 2024 cash flow lines on p42 (10.4, 4.8, 4.6) are the same as S2's, S3 shows no labelled D&amp;A total for …
Proof: https://vanillabonds.com/dossier.html?c=katjes&amp;viewer=1&amp;item=F375</t>
      </text>
    </comment>
    <comment ref="F377" authorId="0" shapeId="0">
      <text>
        <t>F376 · Net finance cost · FY2023
Financial result EUR -11.4m, reported as net finance cost; includes the at-equity result from CPK of -0.7; financial expenses 12.0.
Document: S2, annual report, FY2024, 2025-04-09, audited, katjes-2024-annual-report.pdf
Page: 40
Quote: "Financial result -11.6 -11.4"
Status: approved by a named reviewer
Approver: demo reviewer, date not recorded
Proof: https://vanillabonds.com/dossier.html?c=katjes&amp;viewer=1&amp;item=F376</t>
      </text>
    </comment>
    <comment ref="F378" authorId="0" shapeId="0">
      <text>
        <t>F377 · Net finance cost · FY2024
Financial result EUR -11.6m, reported as net finance cost; includes the at-equity result from CPK of +1.3; financial expenses 13.2 (bond interest 7.8, bank interest 4.2).
Document: S2, annual report, FY2024, 2025-04-09, audited, katjes-2024-annual-report.pdf
Page: 40
Quote: "Financial result -11.6 -11.4"
Status: approved by a named reviewer
Approver: demo reviewer, date not recorded
Proof: https://vanillabonds.com/dossier.html?c=katjes&amp;viewer=1&amp;item=F377</t>
      </text>
    </comment>
    <comment ref="F379" authorId="0" shapeId="0">
      <text>
        <t>F378 · Cash flow from operating activities · FY2023
Cash flow from operating activities 2023.
Document: S2, annual report, FY2024, 2025-04-09, audited, katjes-2024-annual-report.pdf
Page: 45
Quote: "Cash flow from operating activities 45.6 31.8"
Status: approved by a named reviewer
Approver: demo reviewer, date not recorded
Proof: https://vanillabonds.com/dossier.html?c=katjes&amp;viewer=1&amp;item=F378</t>
      </text>
    </comment>
    <comment ref="F380" authorId="0" shapeId="0">
      <text>
        <t>F379 · Cash flow from operating activities · FY2024
Cash flow from operating activities 2024.
Document: S2, annual report, FY2024, 2025-04-09, audited, katjes-2024-annual-report.pdf
Page: 45
Quote: "Cash flow from operating activities 45.6 31.8"
Status: approved by a named reviewer
Approver: demo reviewer, date not recorded
Proof: https://vanillabonds.com/dossier.html?c=katjes&amp;viewer=1&amp;item=F379</t>
      </text>
    </comment>
    <comment ref="F381" authorId="0" shapeId="0">
      <text>
        <t>F380 · Capex (PP&amp;E + intangibles) · FY2023
Sum of the two cash flow lines: acquisition of PP&amp;E 7.4 plus acquisition of intangible assets 7.2.
Document: S2, annual report, FY2024, 2025-04-09, audited, katjes-2024-annual-report.pdf
Page: 45
Quote: "Acquisition of property, plant and equipment 6.1 -13.0 -7.4 Acquisition of intangible assets 6.1 -4.9 -7.2"
Status: extracted, pending review
Approver: none yet
Note on file: conflict: S1·p88 14.3 vs S2·p45 14.6; primary per fact agent: S2 p45 - S2 is the later audited report; its 2023 cash flow lines (-7.4 and -7.2) are the same lines S1's own cash flow statement shows, and S1's 14.3 …
Proof: https://vanillabonds.com/dossier.html?c=katjes&amp;viewer=1&amp;item=F380</t>
      </text>
    </comment>
    <comment ref="F382" authorId="0" shapeId="0">
      <text>
        <t>F381 · Capex (PP&amp;E + intangibles) · FY2024
Sum of the two cash flow lines: acquisition of PP&amp;E 13.0 plus acquisition of intangible assets 4.9 (the latter includes the Barnängen brand).
Document: S2, annual report, FY2024, 2025-04-09, audited, katjes-2024-annual-report.pdf
Page: 45
Quote: "Acquisition of property, plant and equipment 6.1 -13.0 -7.4 Acquisition of intangible assets 6.1 -4.9 -7.2"
Status: extracted, pending review
Approver: none yet
Note on file: conflict: S2·p45 17.9 vs S3·p86 18.8; primary per fact agent: S3 p42 - S3 is the later audited report; its FY2024 cash flow comparatives (-13.0 and -4.9) are the same lines as S2's, so S2's 17.9 on the cash flow …
Proof: https://vanillabonds.com/dossier.html?c=katjes&amp;viewer=1&amp;item=F381</t>
      </text>
    </comment>
    <comment ref="F383" authorId="0" shapeId="0">
      <text>
        <t>F382 · Cash &amp; equivalents · FY2023
Cash and cash equivalents at 31 Dec 2023.
Document: S2, annual report, FY2024, 2025-04-09, audited, katjes-2024-annual-report.pdf
Page: 42
Quote: "Cash and cash equivalents 6.7 54.0 58.4"
Status: approved by a named reviewer
Approver: demo reviewer, date not recorded
Proof: https://vanillabonds.com/dossier.html?c=katjes&amp;viewer=1&amp;item=F382</t>
      </text>
    </comment>
    <comment ref="F384" authorId="0" shapeId="0">
      <text>
        <t>F383 · Cash &amp; equivalents · FY2024
Cash and cash equivalents at 31 Dec 2024.
Document: S2, annual report, FY2024, 2025-04-09, audited, katjes-2024-annual-report.pdf
Page: 42
Quote: "Cash and cash equivalents 6.7 54.0 58.4"
Status: approved by a named reviewer
Approver: demo reviewer, date not recorded
Proof: https://vanillabonds.com/dossier.html?c=katjes&amp;viewer=1&amp;item=F383</t>
      </text>
    </comment>
    <comment ref="F385" authorId="0" shapeId="0">
      <text>
        <t>F384 · Gross financial debt (bonds + loans, excl. leases) · FY2023
Financial liabilities per note 6.9 of 191.9 less lease liabilities 6.8: bond 115.0, banks and other 37.7 non-current + 30.2 current, interest liabilities 2.1 (incl. EUR 6.4m purchase-price liability for the Viersen site).
Document: S2, annual report, FY2024, 2025-04-09, audited, katjes-2024-annual-report.pdf
Page: 68
Quote: "Total current liabilities 37.4 35.2 Total 189.4 191.9"
Status: extracted, pending review
Approver: none yet
Note on file: conflict: S1·p72 191.9 vs S2·p68 185.1; primary per fact agent: S2 p68 - No restatement: S2 shows the same FY2023 total of 191.9 as S1 p72; the S1 fact keeps the 6.8 lease liabilities inside, which the field excludes, so …
Proof: https://vanillabonds.com/dossier.html?c=katjes&amp;viewer=1&amp;item=F384</t>
      </text>
    </comment>
    <comment ref="F386" authorId="0" shapeId="0">
      <text>
        <t>F385 · Gross financial debt (bonds + loans, excl. leases) · FY2024
Financial liabilities per note 6.9 of 189.4 less lease liabilities 13.2: bond 115.0, banks and other financial liabilities 27.5 non-current + 31.2 current, interest liabilities 2.5.
Document: S2, annual report, FY2024, 2025-04-09, audited, katjes-2024-annual-report.pdf
Page: 68
Quote: "Total current liabilities 37.4 35.2 Total 189.4 191.9"
Status: approved by a named reviewer
Approver: demo reviewer, date not recorded
Proof: https://vanillabonds.com/dossier.html?c=katjes&amp;viewer=1&amp;item=F385</t>
      </text>
    </comment>
    <comment ref="F387" authorId="0" shapeId="0">
      <text>
        <t>F386 · Lease liabilities · FY2023
IFRS 16 lease liabilities at 31 Dec 2023: 2.9 current, 4.0 non-current.
Document: S2, annual report, FY2024, 2025-04-09, audited, katjes-2024-annual-report.pdf
Page: 69
Quote: "More than five years 0.4 0.1 Total 13.2 6.8"
Status: approved by a named reviewer
Approver: demo reviewer, date not recorded
Proof: https://vanillabonds.com/dossier.html?c=katjes&amp;viewer=1&amp;item=F386</t>
      </text>
    </comment>
    <comment ref="F388" authorId="0" shapeId="0">
      <text>
        <t>F387 · Lease liabilities · FY2024
IFRS 16 lease liabilities at 31 Dec 2024: 3.7 current, 9.5 non-current.
Document: S2, annual report, FY2024, 2025-04-09, audited, katjes-2024-annual-report.pdf
Page: 69
Quote: "More than five years 0.4 0.1 Total 13.2 6.8"
Status: approved by a named reviewer
Approver: demo reviewer, date not recorded
Proof: https://vanillabonds.com/dossier.html?c=katjes&amp;viewer=1&amp;item=F387</t>
      </text>
    </comment>
    <comment ref="F389" authorId="0" shapeId="0">
      <text>
        <t>F388 · Net debt (as reported) · FY2023
Net debt as reported (financial liabilities 191.9 incl. leases, less cash 58.4); leverage ratio 43%.
Document: S2, annual report, FY2024, 2025-04-09, audited, katjes-2024-annual-report.pdf
Page: 60
Quote: "Net debt 135.4 133.5"
Status: approved by a named reviewer
Approver: demo reviewer, date not recorded
Proof: https://vanillabonds.com/dossier.html?c=katjes&amp;viewer=1&amp;item=F388</t>
      </text>
    </comment>
    <comment ref="F390" authorId="0" shapeId="0">
      <text>
        <t>F389 · Net debt (as reported) · FY2024
Net debt as reported (total financial liabilities 189.4 incl. leases, less cash 54.0); leverage ratio net debt / total capital 43%.
Document: S2, annual report, FY2024, 2025-04-09, audited, katjes-2024-annual-report.pdf
Page: 60
Quote: "Net debt 135.4 133.5"
Status: approved by a named reviewer
Approver: demo reviewer, date not recorded
Proof: https://vanillabonds.com/dossier.html?c=katjes&amp;viewer=1&amp;item=F389</t>
      </text>
    </comment>
    <comment ref="F391" authorId="0" shapeId="0">
      <text>
        <t>F390 · Total equity · FY2023
Total equity at 31 Dec 2023; shareholders' equity 173.0, non-controlling interests 3.0; equity ratio 36.9%.
Document: S2, annual report, FY2024, 2025-04-09, audited, katjes-2024-annual-report.pdf
Page: 43
Quote: "Total equity 6.8 176.2 176.0"
Status: approved by a named reviewer
Approver: demo reviewer, date not recorded
Proof: https://vanillabonds.com/dossier.html?c=katjes&amp;viewer=1&amp;item=F390</t>
      </text>
    </comment>
    <comment ref="F392" authorId="0" shapeId="0">
      <text>
        <t>F391 · Total equity · FY2024
Total equity at 31 Dec 2024; shareholders' equity 175.0, non-controlling interests 1.2; equity ratio 35.9%.
Document: S2, annual report, FY2024, 2025-04-09, audited, katjes-2024-annual-report.pdf
Page: 43
Quote: "Total equity 6.8 176.2 176.0"
Status: approved by a named reviewer
Approver: demo reviewer, date not recorded
Proof: https://vanillabonds.com/dossier.html?c=katjes&amp;viewer=1&amp;item=F391</t>
      </text>
    </comment>
    <comment ref="F393" authorId="0" shapeId="0">
      <text>
        <t>F392 · Total assets · FY2023
Total assets at 31 Dec 2023; non-current 313.0, current 164.6.
Document: S2, annual report, FY2024, 2025-04-09, audited, katjes-2024-annual-report.pdf
Page: 42
Quote: "Total assets 491.7 477.6"
Status: approved by a named reviewer
Approver: demo reviewer, date not recorded
Proof: https://vanillabonds.com/dossier.html?c=katjes&amp;viewer=1&amp;item=F392</t>
      </text>
    </comment>
    <comment ref="F394" authorId="0" shapeId="0">
      <text>
        <t>F393 · Total assets · FY2024
Total assets at 31 Dec 2024; non-current 324.8, current 166.9.
Document: S2, annual report, FY2024, 2025-04-09, audited, katjes-2024-annual-report.pdf
Page: 42
Quote: "Total assets 491.7 477.6"
Status: approved by a named reviewer
Approver: demo reviewer, date not recorded
Proof: https://vanillabonds.com/dossier.html?c=katjes&amp;viewer=1&amp;item=F393</t>
      </text>
    </comment>
    <comment ref="F395" authorId="0" shapeId="0">
      <text>
        <t>F394 · Debt instrument
Hire purchase liabilities EUR 6.7m at 31 Dec 2024, of which 5.5 current (2023: 3.0, of which 1.8 current).
Document: S2, annual report, FY2024, 2025-04-09, audited, katjes-2024-annual-report.pdf
Page: 60
Quote: "liabilities from hire purchase agreements totaling EUR 6.7 million (of which EUR 5.5 million current) are included (2023: EUR 3.0 million"
Status: approved by a named reviewer
Approver: demo reviewer, date not recorded
Proof: https://vanillabonds.com/dossier.html?c=katjes&amp;viewer=1&amp;item=F394</t>
      </text>
    </comment>
    <comment ref="F396" authorId="0" shapeId="0">
      <text>
        <t>F395 · Debt instrument
Liabilities to financial institutions EUR 50.4m at 31 Dec 2024 (2023: 56.3); accrued bond interest 2.1 (2023: 2.1).
Document: S2, annual report, FY2024, 2025-04-09, audited, katjes-2024-annual-report.pdf
Page: 60
Quote: "liabilities to financial institutions amounting to EUR 50.4 million (2023: EUR 56.3 million)"
Status: approved by a named reviewer
Approver: demo reviewer, date not recorded
Proof: https://vanillabonds.com/dossier.html?c=katjes&amp;viewer=1&amp;item=F395</t>
      </text>
    </comment>
    <comment ref="F397" authorId="0" shapeId="0">
      <text>
        <t>F396 · Debt instrument
Corporate bond 2023/2028, EUR 115.0m outstanding at 31 Dec 2024 and 2023, fixed coupon 6.75%, issued September 2023, no security or ranking stated.
Document: S2, annual report, FY2024, 2025-04-09, audited, katjes-2024-annual-report.pdf
Page: 65
Quote: "Corporate bond 6.75 115.0 115.0"
Status: approved by a named reviewer
Approver: demo reviewer, date not recorded
Proof: https://vanillabonds.com/dossier.html?c=katjes&amp;viewer=1&amp;item=F396</t>
      </text>
    </comment>
    <comment ref="F398" authorId="0" shapeId="0">
      <text>
        <t>F397 · Debt instrument
Bank loan with original amount kEUR 24,000, interest 5.6%, EUR 20.9m outstanding at 31 Dec 2024 (2023: 24.0); lender and maturity not named.
Document: S2, annual report, FY2024, 2025-04-09, audited, katjes-2024-annual-report.pdf
Page: 65
Quote: "Bank loan kEUR 24.000 5.6 20.9 24.0"
Status: approved by a named reviewer
Approver: demo reviewer, date not recorded
Proof: https://vanillabonds.com/dossier.html?c=katjes&amp;viewer=1&amp;item=F397</t>
      </text>
    </comment>
    <comment ref="F399" authorId="0" shapeId="0">
      <text>
        <t>F398 · Debt instrument
Bank loan with original amount kEUR 11,700, interest 2.9%, EUR 3.7m outstanding at 31 Dec 2024 (2023: 6.0).
Document: S2, annual report, FY2024, 2025-04-09, audited, katjes-2024-annual-report.pdf
Page: 65
Quote: "Bank loan kEUR 11.700 2.9 3.7 6.0"
Status: approved by a named reviewer
Approver: demo reviewer, date not recorded
Proof: https://vanillabonds.com/dossier.html?c=katjes&amp;viewer=1&amp;item=F398</t>
      </text>
    </comment>
    <comment ref="F400" authorId="0" shapeId="0">
      <text>
        <t>F399 · Debt instrument
Bank loan with original amount kEUR 5,000, interest 4.98%, EUR 5.0m outstanding at 31 Dec 2024 (2023: 5.0).
Document: S2, annual report, FY2024, 2025-04-09, audited, katjes-2024-annual-report.pdf
Page: 65
Quote: "Bank loan kEUR 5.000 4.98 5.0 5.0"
Status: approved by a named reviewer
Approver: demo reviewer, date not recorded
Proof: https://vanillabonds.com/dossier.html?c=katjes&amp;viewer=1&amp;item=F399</t>
      </text>
    </comment>
    <comment ref="F401" authorId="0" shapeId="0">
      <text>
        <t>F400 · Debt instrument
Bank loan with original amount kEUR 5,000, interest 8.5%, EUR 3.1m outstanding at 31 Dec 2024 (2023: 4.4).
Document: S2, annual report, FY2024, 2025-04-09, audited, katjes-2024-annual-report.pdf
Page: 65
Quote: "Bank loan kEUR 5.000 8.5 3.1 4.4"
Status: approved by a named reviewer
Approver: demo reviewer, date not recorded
Proof: https://vanillabonds.com/dossier.html?c=katjes&amp;viewer=1&amp;item=F400</t>
      </text>
    </comment>
    <comment ref="F402" authorId="0" shapeId="0">
      <text>
        <t>F401 · Debt instrument
Bank loan with original amount kEUR 5,000, interest 0.7%, fully repaid: EUR 0.0m at 31 Dec 2024 (2023: 1.7).
Document: S2, annual report, FY2024, 2025-04-09, audited, katjes-2024-annual-report.pdf
Page: 65
Quote: "Bank loan kEUR 5.000 0.7 0.0 1.7"
Status: approved by a named reviewer
Approver: demo reviewer, date not recorded
Proof: https://vanillabonds.com/dossier.html?c=katjes&amp;viewer=1&amp;item=F401</t>
      </text>
    </comment>
    <comment ref="F403" authorId="0" shapeId="0">
      <text>
        <t>F402 · Debt instrument
Bank loan with original amount kEUR 3,000, interest 2.0%, EUR 0.4m outstanding at 31 Dec 2024 (2023: 1.1).
Document: S2, annual report, FY2024, 2025-04-09, audited, katjes-2024-annual-report.pdf
Page: 65
Quote: "Bank loan kEUR 3.000 2.0 0.4 1.1"
Status: approved by a named reviewer
Approver: demo reviewer, date not recorded
Proof: https://vanillabonds.com/dossier.html?c=katjes&amp;viewer=1&amp;item=F402</t>
      </text>
    </comment>
    <comment ref="F404" authorId="0" shapeId="0">
      <text>
        <t>F403 · Debt instrument
Bank loan with original amount kEUR 3,000, interest 1.8%, fully repaid: EUR 0.0m at 31 Dec 2024 (2023: 0.3).
Document: S2, annual report, FY2024, 2025-04-09, audited, katjes-2024-annual-report.pdf
Page: 65
Quote: "Bank loan kEUR 3.000 1.8 0.0 0.3"
Status: approved by a named reviewer
Approver: demo reviewer, date not recorded
Proof: https://vanillabonds.com/dossier.html?c=katjes&amp;viewer=1&amp;item=F403</t>
      </text>
    </comment>
    <comment ref="F405" authorId="0" shapeId="0">
      <text>
        <t>F404 · Debt instrument
Other loans, variable and fixed rates, EUR 24.0m at 31 Dec 2024 (2023: 16.9).
Document: S2, annual report, FY2024, 2025-04-09, audited, katjes-2024-annual-report.pdf
Page: 65
Quote: "Other loans Variable and fixed 24.0 16.9"
Status: approved by a named reviewer
Approver: demo reviewer, date not recorded
Proof: https://vanillabonds.com/dossier.html?c=katjes&amp;viewer=1&amp;item=F404</t>
      </text>
    </comment>
    <comment ref="F406" authorId="0" shapeId="0">
      <text>
        <t>F405 · Debt instrument
Other financial interest-bearing liabilities, variable and fixed rates, EUR 14.7m at 31 Dec 2024 (2023: 15.3).
Document: S2, annual report, FY2024, 2025-04-09, audited, katjes-2024-annual-report.pdf
Page: 65
Quote: "Other financial interest-bearing liabilities Variable and fixed 14.7 15.3"
Status: approved by a named reviewer
Approver: demo reviewer, date not recorded
Proof: https://vanillabonds.com/dossier.html?c=katjes&amp;viewer=1&amp;item=F405</t>
      </text>
    </comment>
    <comment ref="F407" authorId="0" shapeId="0">
      <text>
        <t>F406 · Debt instrument
Supplier financing arrangement with a bank: EUR 3.0m recognised as liability to banks at 31 Dec 2024, of which 2.7 already paid out to suppliers; average payment term about 60 to 75 days.
Document: S2, annual report, FY2024, 2025-04-09, audited, katjes-2024-annual-report.pdf
Page: 69
Quote: "As of 31 December 2024, an amount of EUR 3.0 million is recognized under financial liabilities as a liability to banks, of which EUR 2.7 million had already been paid out to the original suppliers."
Status: approved by a named reviewer
Approver: demo reviewer, date not recorded
Proof: https://vanillabonds.com/dossier.html?c=katjes&amp;viewer=1&amp;item=F406</t>
      </text>
    </comment>
    <comment ref="H408" authorId="0" shapeId="0">
      <text>
        <t>F407 · Risk fact
Document: S2, annual report, FY2024, 2025-04-09, audited, katjes-2024-annual-report.pdf
Page: 35
Quote: "The confectionery business is subject to seasonal fluctuati- ons."
Status: approved by a named reviewer
Approver: demo reviewer, date not recorded
Proof: https://vanillabonds.com/dossier.html?c=katjes&amp;viewer=1&amp;item=F407</t>
      </text>
    </comment>
    <comment ref="H409" authorId="0" shapeId="0">
      <text>
        <t>F408 · Risk fact
Document: S2, annual report, FY2024, 2025-04-09, audited, katjes-2024-annual-report.pdf
Page: 35
Quote: "Procurement costs for essential raw and auxiliary materials such as sugar, cocoa, nuts, glucose, panthenol, and packa"
Status: approved by a named reviewer
Approver: demo reviewer, date not recorded
Proof: https://vanillabonds.com/dossier.html?c=katjes&amp;viewer=1&amp;item=F408</t>
      </text>
    </comment>
    <comment ref="H410" authorId="0" shapeId="0">
      <text>
        <t>F409 · Risk fact
Document: S2, annual report, FY2024, 2025-04-09, audited, katjes-2024-annual-report.pdf
Page: 35
Quote: "Concentration risks may ari- se from large key accounts, especially in food retail."
Status: approved by a named reviewer
Approver: demo reviewer, date not recorded
Proof: https://vanillabonds.com/dossier.html?c=katjes&amp;viewer=1&amp;item=F409</t>
      </text>
    </comment>
    <comment ref="H411" authorId="0" shapeId="0">
      <text>
        <t>F410 · Risk fact
Document: S2, annual report, FY2024, 2025-04-09, audited, katjes-2024-annual-report.pdf
Page: 35
Quote: "Katjes International relies on certain suppliers. Supply failures or delivery delays may cause production interruptions."
Status: approved by a named reviewer
Approver: demo reviewer, date not recorded
Proof: https://vanillabonds.com/dossier.html?c=katjes&amp;viewer=1&amp;item=F410</t>
      </text>
    </comment>
    <comment ref="H412" authorId="0" shapeId="0">
      <text>
        <t>F411 · Risk fact
Document: S2, annual report, FY2024, 2025-04-09, audited, katjes-2024-annual-report.pdf
Page: 35
Quote: "The ongoing war in Ukraine continues to cause i. a. volatility in procurement markets."
Status: approved by a named reviewer
Approver: demo reviewer, date not recorded
Proof: https://vanillabonds.com/dossier.html?c=katjes&amp;viewer=1&amp;item=F411</t>
      </text>
    </comment>
    <comment ref="H413" authorId="0" shapeId="0">
      <text>
        <t>F412 · Risk fact
Document: S2, annual report, FY2024, 2025-04-09, audited, katjes-2024-annual-report.pdf
Page: 35
Quote: "Group companies may be required to repay subsidies or other government grants."
Status: approved by a named reviewer
Approver: demo reviewer, date not recorded
Proof: https://vanillabonds.com/dossier.html?c=katjes&amp;viewer=1&amp;item=F412</t>
      </text>
    </comment>
    <comment ref="H414" authorId="0" shapeId="0">
      <text>
        <t>F413 · Risk fact
Document: S2, annual report, FY2024, 2025-04-09, audited, katjes-2024-annual-report.pdf
Page: 35
Quote: "Katjes International considers the overall risk arising from the aforementioned market and regulatory risks to be relatively low, due to the risk mitigation measures described in section 6."
Status: approved by a named reviewer
Approver: demo reviewer, date not recorded
Proof: https://vanillabonds.com/dossier.html?c=katjes&amp;viewer=1&amp;item=F413</t>
      </text>
    </comment>
    <comment ref="H415" authorId="0" shapeId="0">
      <text>
        <t>F414 · Risk fact
Document: S2, annual report, FY2024, 2025-04-09, audited, katjes-2024-annual-report.pdf
Page: 36
Quote: "As a strategic holding company, Katjes International operates on a service basis for its subsidiaries and investments."
Status: approved by a named reviewer
Approver: demo reviewer, date not recorded
Proof: https://vanillabonds.com/dossier.html?c=katjes&amp;viewer=1&amp;item=F414</t>
      </text>
    </comment>
    <comment ref="H416" authorId="0" shapeId="0">
      <text>
        <t>F415 · Risk fact
Document: S2, annual report, FY2024, 2025-04-09, audited, katjes-2024-annual-report.pdf
Page: 36
Quote: "The threat of cyberattacks (e.g., hacking, phishing) is growing."
Status: approved by a named reviewer
Approver: demo reviewer, date not recorded
Proof: https://vanillabonds.com/dossier.html?c=katjes&amp;viewer=1&amp;item=F415</t>
      </text>
    </comment>
    <comment ref="F417" authorId="0" shapeId="0">
      <text>
        <t>F416 · Risk fact
A 1% move in the 2- and 3-month EURIBOR would change post-tax profit 2024 by EUR 0.4m (2023: EUR 0.8m), per the factoring interest sensitivity.
Document: S2, annual report, FY2024, 2025-04-09, audited, katjes-2024-annual-report.pdf
Page: 57
Quote: "EUR 0.4 million lower or EUR 0.4 million higher, respectively (2023: EUR 0.8 million lower / EUR 0.8 million higher)."
Status: approved by a named reviewer
Approver: demo reviewer, date not recorded
Proof: https://vanillabonds.com/dossier.html?c=katjes&amp;viewer=1&amp;item=F416</t>
      </text>
    </comment>
    <comment ref="H418" authorId="0" shapeId="0">
      <text>
        <t>F417 · Risk fact
Document: S2, annual report, FY2024, 2025-04-09, audited, katjes-2024-annual-report.pdf
Page: 57
Quote: "As at 31 December 2024, no hedging instruments were in place to mitigate foreign currency risk."
Status: approved by a named reviewer
Approver: demo reviewer, date not recorded
Proof: https://vanillabonds.com/dossier.html?c=katjes&amp;viewer=1&amp;item=F417</t>
      </text>
    </comment>
    <comment ref="F419" authorId="0" shapeId="0">
      <text>
        <t>F418 · Risk fact
Credit: maximum credit exposure equals the carrying amount of trade and other receivables EUR 59.2m (2023: 57.3); no material concentrations of credit risk identified; no collateral received.
Document: S2, annual report, FY2024, 2025-04-09, audited, katjes-2024-annual-report.pdf
Page: 57
Quote: "The maximum exposure to credit risk is limited to the carrying amount (EUR 59.2 million; 2023: EUR 57.3 million)."
Status: approved by a named reviewer
Approver: demo reviewer, date not recorded
Proof: https://vanillabonds.com/dossier.html?c=katjes&amp;viewer=1&amp;item=F418</t>
      </text>
    </comment>
    <comment ref="H420" authorId="0" shapeId="0">
      <text>
        <t>F419 · Risk fact
Document: S2, annual report, FY2024, 2025-04-09, audited, katjes-2024-annual-report.pdf
Page: 59
Quote: "Maturity groups financial liabilities (duration as of balance sheet date)"
Status: approved by a named reviewer
Approver: demo reviewer, date not recorded
Proof: https://vanillabonds.com/dossier.html?c=katjes&amp;viewer=1&amp;item=F419</t>
      </text>
    </comment>
    <comment ref="F421" authorId="0" shapeId="0">
      <text>
        <t>F420 · Risk fact
Receivables: EUR 0.5m of trade receivables more than six months overdue at 31 Dec 2024, fully impaired; impairment allowance 0.7 (2023: 0.4); gross trade receivables 39.0 (2023: 42.4).
Document: S2, annual report, FY2024, 2025-04-09, audited, katjes-2024-annual-report.pdf
Page: 66
Quote: "As at the reporting date, trade receivables of EUR 0.5 million were more than six months overdue and were fully impaired in the amount of EUR 0.5 million."
Status: approved by a named reviewer
Approver: demo reviewer, date not recorded
Proof: https://vanillabonds.com/dossier.html?c=katjes&amp;viewer=1&amp;item=F420</t>
      </text>
    </comment>
    <comment ref="F422" authorId="0" shapeId="0">
      <text>
        <t>F421 · Risk fact
Inventories EUR 51.3m at 31 Dec 2024 (2023: 46.4); inventory write-downs of EUR 1.5m in 2024 (2023: 0.9).
Document: S2, annual report, FY2024, 2025-04-09, audited, katjes-2024-annual-report.pdf
Page: 66
Quote: "Inventory write-downs were recognized in the amount of EUR 1.5 million (2023: EUR 0.9 million)."
Status: approved by a named reviewer
Approver: demo reviewer, date not recorded
Proof: https://vanillabonds.com/dossier.html?c=katjes&amp;viewer=1&amp;item=F421</t>
      </text>
    </comment>
    <comment ref="H423" authorId="0" shapeId="0">
      <text>
        <t>F422 · Executive
Document: S2, annual report, FY2024, 2025-04-09, audited, katjes-2024-annual-report.pdf
Page: 6
Quote: "Since 2012 – CFO Katjes International Before several years in Investment Banking at Deutsche Bank and Citigroup in London"
Status: approved by a named reviewer
Approver: demo reviewer, date not recorded
Proof: https://vanillabonds.com/dossier.html?c=katjes&amp;viewer=1&amp;item=F422</t>
      </text>
    </comment>
    <comment ref="H424" authorId="0" shapeId="0">
      <text>
        <t>F423 · Executive
Document: S2, annual report, FY2024, 2025-04-09, audited, katjes-2024-annual-report.pdf
Page: 6
Quote: "until 2003 – Marketing and Sales, Kraft Foods until 2000 – Roland Berger Strategy Consultants"
Status: approved by a named reviewer
Approver: demo reviewer, date not recorded
Proof: https://vanillabonds.com/dossier.html?c=katjes&amp;viewer=1&amp;item=F423</t>
      </text>
    </comment>
    <comment ref="H425" authorId="0" shapeId="0">
      <text>
        <t>F424 · Executive
Document: S2, annual report, FY2024, 2025-04-09, audited, katjes-2024-annual-report.pdf
Page: 6
Quote: "until 1995 – General Manager, Kraft Foods (Milka) until 1992 – Principal, The Boston Consulting Group"
Status: approved by a named reviewer
Approver: demo reviewer, date not recorded
Proof: https://vanillabonds.com/dossier.html?c=katjes&amp;viewer=1&amp;item=F424</t>
      </text>
    </comment>
    <comment ref="H426" authorId="0" shapeId="0">
      <text>
        <t>F425 · Revenue as budgeted for that year (management plan at the time) · FY2024
Document: S2, annual report, FY2024, 2025-04-09, audited, katjes-2024-annual-report.pdf
Page: 38
Quote: "In its financial reporting, the Company had issued guidance for consolidated revenues between EUR 390 million and EUR 420 million for the financial year 2024."
Status: approved by a named reviewer
Approver: demo reviewer, date not recorded
Proof: https://vanillabonds.com/dossier.html?c=katjes&amp;viewer=1&amp;item=F425</t>
      </text>
    </comment>
    <comment ref="H427" authorId="0" shapeId="0">
      <text>
        <t>F426 · EBITDA as budgeted for that year (management plan at the time) · FY2024
Document: S2, annual report, FY2024, 2025-04-09, audited, katjes-2024-annual-report.pdf
Page: 4
Quote: "even exceeded the EBITDA guidance, which was specified at the upper end of the previously indicated range during the course of the year."
Status: approved by a named reviewer
Approver: demo reviewer, date not recorded
Proof: https://vanillabonds.com/dossier.html?c=katjes&amp;viewer=1&amp;item=F426</t>
      </text>
    </comment>
    <comment ref="H428" authorId="0" shapeId="0">
      <text>
        <t>F427 · Acquisition / disposal
Document: S2, annual report, FY2024, 2025-04-09, audited, katjes-2024-annual-report.pdf
Page: 14
Quote: "On August 1, 2022, Sperlari laid the foundation to further strengthen its leadership in the seasonal confectionery market: the company acquired the operational business of Paluani S.p.A."
Status: approved by a named reviewer
Approver: demo reviewer, date not recorded
Proof: https://vanillabonds.com/dossier.html?c=katjes&amp;viewer=1&amp;item=F427</t>
      </text>
    </comment>
    <comment ref="H429" authorId="0" shapeId="0">
      <text>
        <t>F428 · Acquisition / disposal
Document: S2, annual report, FY2024, 2025-04-09, audited, katjes-2024-annual-report.pdf
Page: 18
Quote: "In January 2024, the entire production site in Viersen, including around 50 employees, was acquired."
Status: approved by a named reviewer
Approver: demo reviewer, date not recorded
Proof: https://vanillabonds.com/dossier.html?c=katjes&amp;viewer=1&amp;item=F428</t>
      </text>
    </comment>
    <comment ref="H430" authorId="0" shapeId="0">
      <text>
        <t>F429 · Acquisition / disposal
Document: S2, annual report, FY2024, 2025-04-09, audited, katjes-2024-annual-report.pdf
Page: 21
Quote: "A major milestone was reached at the end of 2018, when Katjes International contributed its French subsidiary Lutti"
Status: approved by a named reviewer
Approver: demo reviewer, date not recorded
Proof: https://vanillabonds.com/dossier.html?c=katjes&amp;viewer=1&amp;item=F429</t>
      </text>
    </comment>
    <comment ref="H431" authorId="0" shapeId="0">
      <text>
        <t>F430 · Acquisition / disposal
Document: S2, annual report, FY2024, 2025-04-09, audited, katjes-2024-annual-report.pdf
Page: 24
Quote: "Since May 2020 Bübchen, the market leader in the baby &amp; kids"
Status: approved by a named reviewer
Approver: demo reviewer, date not recorded
Proof: https://vanillabonds.com/dossier.html?c=katjes&amp;viewer=1&amp;item=F430</t>
      </text>
    </comment>
    <comment ref="H432" authorId="0" shapeId="0">
      <text>
        <t>F431 · Acquisition / disposal
Document: S2, annual report, FY2024, 2025-04-09, audited, katjes-2024-annual-report.pdf
Page: 24
Quote: "the brand rights for Theramed, Vademecum, Licor del Polo, Antica Erboristeria and Denivit, has been part of Katjes Inter"
Status: approved by a named reviewer
Approver: demo reviewer, date not recorded
Proof: https://vanillabonds.com/dossier.html?c=katjes&amp;viewer=1&amp;item=F431</t>
      </text>
    </comment>
    <comment ref="H433" authorId="0" shapeId="0">
      <text>
        <t>F432 · Acquisition / disposal
Document: S2, annual report, FY2024, 2025-04-09, audited, katjes-2024-annual-report.pdf
Page: 24
Quote: "In November 2023, Naturale Antica Erboristeria (N.A.E) beca- me part of Katjes International, another brand from the body care sector."
Status: approved by a named reviewer
Approver: demo reviewer, date not recorded
Proof: https://vanillabonds.com/dossier.html?c=katjes&amp;viewer=1&amp;item=F432</t>
      </text>
    </comment>
    <comment ref="H434" authorId="0" shapeId="0">
      <text>
        <t>F433 · Acquisition / disposal
Document: S2, annual report, FY2024, 2025-04-09, audited, katjes-2024-annual-report.pdf
Page: 24
Quote: "Dulcioliva, new to Katjes International since 30 June 2021, is one of the leading producer of ‘Cuneesi’ pralines"
Status: approved by a named reviewer
Approver: demo reviewer, date not recorded
Proof: https://vanillabonds.com/dossier.html?c=katjes&amp;viewer=1&amp;item=F433</t>
      </text>
    </comment>
    <comment ref="H435" authorId="0" shapeId="0">
      <text>
        <t>F434 · Acquisition / disposal
Document: S2, annual report, FY2024, 2025-04-09, audited, katjes-2024-annual-report.pdf
Page: 24
Quote: "In Italy, Sperlari has been part of Katjes International since 2017."
Status: approved by a named reviewer
Approver: demo reviewer, date not recorded
Proof: https://vanillabonds.com/dossier.html?c=katjes&amp;viewer=1&amp;item=F434</t>
      </text>
    </comment>
    <comment ref="H436" authorId="0" shapeId="0">
      <text>
        <t>F435 · Acquisition / disposal
Document: S2, annual report, FY2024, 2025-04-09, audited, katjes-2024-annual-report.pdf
Page: 24
Quote: "Since 2016, Katjes International has held all shares in the Dutch company Harlekĳntjes"
Status: approved by a named reviewer
Approver: demo reviewer, date not recorded
Proof: https://vanillabonds.com/dossier.html?c=katjes&amp;viewer=1&amp;item=F435</t>
      </text>
    </comment>
    <comment ref="H437" authorId="0" shapeId="0">
      <text>
        <t>F436 · Acquisition / disposal
Document: S2, annual report, FY2024, 2025-04-09, audited, katjes-2024-annual-report.pdf
Page: 24
Quote: "In Germany, Piasten has been part of Katjes International’s portfolio of holdings since 2014."
Status: approved by a named reviewer
Approver: demo reviewer, date not recorded
Proof: https://vanillabonds.com/dossier.html?c=katjes&amp;viewer=1&amp;item=F436</t>
      </text>
    </comment>
    <comment ref="F438" authorId="0" shapeId="0">
      <text>
        <t>F437 · Acquisition / disposal
Candy Kittens: a further 31.5% of the shares bought from minority shareholders in 2024 for EUR 6.8m (cash, equity transaction under IFRS 10), stake up to about 88%.
Document: S2, annual report, FY2024, 2025-04-09, audited, katjes-2024-annual-report.pdf
Page: 55
Quote: "The transactions were completed for a total consideration of EUR 6.8 million and accounted for as equity transactions"
Status: approved by a named reviewer
Approver: demo reviewer, date not recorded
Proof: https://vanillabonds.com/dossier.html?c=katjes&amp;viewer=1&amp;item=F437</t>
      </text>
    </comment>
    <comment ref="H439" authorId="0" shapeId="0">
      <text>
        <t>F438 · Acquisition / disposal
Document: S2, annual report, FY2024, 2025-04-09, audited, katjes-2024-annual-report.pdf
Page: 55
Quote: "in April 2024, the trademark rights to the Swedish heritage brand “Barnängen” were acquired from Henkel via the Group’s subsidiary Bübchen Bodycare"
Status: approved by a named reviewer
Approver: demo reviewer, date not recorded
Proof: https://vanillabonds.com/dossier.html?c=katjes&amp;viewer=1&amp;item=F438</t>
      </text>
    </comment>
    <comment ref="H440" authorId="0" shapeId="0">
      <text>
        <t>F439 · Succession
Document: S2, annual report, FY2024, 2025-04-09, audited, katjes-2024-annual-report.pdf
Page: 6
Quote: "Since 2012 – CFO Katjes International"
Status: approved by a named reviewer
Approver: demo reviewer, date not recorded
Proof: https://vanillabonds.com/dossier.html?c=katjes&amp;viewer=1&amp;item=F439</t>
      </text>
    </comment>
    <comment ref="H441" authorId="0" shapeId="0">
      <text>
        <t>F440 · Board, independent members, group structure, related-party flows, dividends
Document: S2, annual report, FY2024, 2025-04-09, audited, katjes-2024-annual-report.pdf
Page: 37
Quote: "In addition, Katjes International has established a voluntary ex- ternal advisory board composed of experienced specialists."
Status: approved by a named reviewer
Approver: demo reviewer, date not recorded
Proof: https://vanillabonds.com/dossier.html?c=katjes&amp;viewer=1&amp;item=F440</t>
      </text>
    </comment>
    <comment ref="F442" authorId="0" shapeId="0">
      <text>
        <t>F441 · Board, independent members, group structure, related-party flows, dividends
Capital increases of EUR 4.6m in 2024 (subscribed capital +0.4 to 1.0, retained earnings +4.2) following the exercise of the corporate income tax option; no dividend or distribution line is shown in the statement of changes in equity.
Document: S2, annual report, FY2024, 2025-04-09, audited, katjes-2024-annual-report.pdf
Page: 44
Quote: "Capital increases 0.4 0.0 4.2 0.0 0.0 0.0 0.0 0.0 4.6 0.0 4.6"
Status: approved by a named reviewer
Approver: demo reviewer, date not recorded
Proof: https://vanillabonds.com/dossier.html?c=katjes&amp;viewer=1&amp;item=F441</t>
      </text>
    </comment>
    <comment ref="H443" authorId="0" shapeId="0">
      <text>
        <t>F442 · Board, independent members, group structure, related-party flows, dividends
Document: S2, annual report, FY2024, 2025-04-09, audited, katjes-2024-annual-report.pdf
Page: 47
Quote: "In addition to the two shareholders, Stephan Milde is also appointed as managing director. The GmbH does not hold any capital interest in Katjes International GmbH &amp; Co. KG."
Status: approved by a named reviewer
Approver: demo reviewer, date not recorded
Proof: https://vanillabonds.com/dossier.html?c=katjes&amp;viewer=1&amp;item=F442</t>
      </text>
    </comment>
    <comment ref="H444" authorId="0" shapeId="0">
      <text>
        <t>F443 · Board, independent members, group structure, related-party flows, dividends
Document: S2, annual report, FY2024, 2025-04-09, audited, katjes-2024-annual-report.pdf
Page: 67
Quote: "The line item “non-controlling interests” reflects the minority in- terests in Candy Kittens and its subsidiary Longaim, as well as in Tuckshop."
Status: approved by a named reviewer
Approver: demo reviewer, date not recorded
Proof: https://vanillabonds.com/dossier.html?c=katjes&amp;viewer=1&amp;item=F443</t>
      </text>
    </comment>
    <comment ref="H445" authorId="0" shapeId="0">
      <text>
        <t>F444 · Board, independent members, group structure, related-party flows, dividends
Document: S2, annual report, FY2024, 2025-04-09, audited, katjes-2024-annual-report.pdf
Page: 77
Quote: "The general partner of Katjes International GmbH &amp; Co. KG acts as the chief operating decision maker across the Group"
Status: approved by a named reviewer
Approver: demo reviewer, date not recorded
Proof: https://vanillabonds.com/dossier.html?c=katjes&amp;viewer=1&amp;item=F444</t>
      </text>
    </comment>
    <comment ref="H446" authorId="0" shapeId="0">
      <text>
        <t>F445 · Board, independent members, group structure, related-party flows, dividends
Document: S2, annual report, FY2024, 2025-04-09, audited, katjes-2024-annual-report.pdf
Page: 80
Quote: "The parent company is managed by the general partner Xaver Fassin International GmbH, whose shareholders are Mr Bastian Fassin and Mr Tobias Bachmüller. These individuals are also the limited partners"
Status: approved by a named reviewer
Approver: demo reviewer, date not recorded
Proof: https://vanillabonds.com/dossier.html?c=katjes&amp;viewer=1&amp;item=F445</t>
      </text>
    </comment>
    <comment ref="H447" authorId="0" shapeId="0">
      <text>
        <t>F446 · Board, independent members, group structure, related-party flows, dividends
Document: S2, annual report, FY2024, 2025-04-09, audited, katjes-2024-annual-report.pdf
Page: 80
Quote: "All business relationships are conducted at arm’s length and are not collateralised."
Status: approved by a named reviewer
Approver: demo reviewer, date not recorded
Proof: https://vanillabonds.com/dossier.html?c=katjes&amp;viewer=1&amp;item=F446</t>
      </text>
    </comment>
    <comment ref="H448" authorId="0" shapeId="0">
      <text>
        <t>F447 · Board, independent members, group structure, related-party flows, dividends
Document: S2, annual report, FY2024, 2025-04-09, audited, katjes-2024-annual-report.pdf
Page: 81
Quote: "make use of the exemption from certain regulations on the preparation, auditing and publication of the annual financial statements/management report pursuant to section 264 (3) HGB"
Status: approved by a named reviewer
Approver: demo reviewer, date not recorded
Proof: https://vanillabonds.com/dossier.html?c=katjes&amp;viewer=1&amp;item=F447</t>
      </text>
    </comment>
    <comment ref="H449" authorId="0" shapeId="0">
      <text>
        <t>F448 · Monitoring
Document: S2, annual report, FY2024, 2025-04-09, audited, katjes-2024-annual-report.pdf
Page: 25
Quote: "The key performance indicators are financial in nature and in- clude revenue as an indicator of business growth and EBITDA"
Status: approved by a named reviewer
Approver: demo reviewer, date not recorded
Proof: https://vanillabonds.com/dossier.html?c=katjes&amp;viewer=1&amp;item=F448</t>
      </text>
    </comment>
    <comment ref="H450" authorId="0" shapeId="0">
      <text>
        <t>F449 · Monitoring
Document: S2, annual report, FY2024, 2025-04-09, audited, katjes-2024-annual-report.pdf
Page: 37
Quote: "To address the aforementioned risks, Katjes International has established a set of coordinated risk management and control systems."
Status: approved by a named reviewer
Approver: demo reviewer, date not recorded
Proof: https://vanillabonds.com/dossier.html?c=katjes&amp;viewer=1&amp;item=F449</t>
      </text>
    </comment>
    <comment ref="H451" authorId="0" shapeId="0">
      <text>
        <t>F450 · Monitoring
Document: S2, annual report, FY2024, 2025-04-09, audited, katjes-2024-annual-report.pdf
Page: 38
Quote: "The EBITDA margin, which had been forecast at 10% i.e. at the upper end of the margin in the half-year 2024 financial report, exceeded expectations with an actual margin of 11.4%."
Status: approved by a named reviewer
Approver: demo reviewer, date not recorded
Proof: https://vanillabonds.com/dossier.html?c=katjes&amp;viewer=1&amp;item=F450</t>
      </text>
    </comment>
    <comment ref="H452" authorId="0" shapeId="0">
      <text>
        <t>F451 · Monitoring
Document: S2, annual report, FY2024, 2025-04-09, audited, katjes-2024-annual-report.pdf
Page: 58
Quote: "The Group regularly monitors and updates its cash planning."
Status: approved by a named reviewer
Approver: demo reviewer, date not recorded
Proof: https://vanillabonds.com/dossier.html?c=katjes&amp;viewer=1&amp;item=F451</t>
      </text>
    </comment>
    <comment ref="H453" authorId="0" shapeId="0">
      <text>
        <t>F452 · Market
Document: S2, annual report, FY2024, 2025-04-09, audited, katjes-2024-annual-report.pdf
Page: 24
Quote: "Sperlari is the second largest provider in the Italian su- gar confectionery market, and the market leader in the seg- ment for sugar-free candies, seasonal products and sweete- ners."
Status: approved by a named reviewer
Approver: demo reviewer, date not recorded
Proof: https://vanillabonds.com/dossier.html?c=katjes&amp;viewer=1&amp;item=F452</t>
      </text>
    </comment>
    <comment ref="H454" authorId="0" shapeId="0">
      <text>
        <t>F453 · Market
Document: S2, annual report, FY2024, 2025-04-09, audited, katjes-2024-annual-report.pdf
Page: 24
Quote: "With its Dallmann’s sage cough drops, the Germany-based company Dallmann’s Pharma Candy (part of Katjes Internati"
Status: approved by a named reviewer
Approver: demo reviewer, date not recorded
Proof: https://vanillabonds.com/dossier.html?c=katjes&amp;viewer=1&amp;item=F453</t>
      </text>
    </comment>
    <comment ref="H455" authorId="0" shapeId="0">
      <text>
        <t>F454 · Market
Document: S2, annual report, FY2024, 2025-04-09, audited, katjes-2024-annual-report.pdf
Page: 24
Quote: "Since May 2020 Bübchen, the market leader in the baby &amp; kids body care segment in Germany, is part of the Katjes Internati"
Status: approved by a named reviewer
Approver: demo reviewer, date not recorded
Proof: https://vanillabonds.com/dossier.html?c=katjes&amp;viewer=1&amp;item=F454</t>
      </text>
    </comment>
    <comment ref="H456" authorId="0" shapeId="0">
      <text>
        <t>F455 · Market
Document: S2, annual report, FY2024, 2025-04-09, audited, katjes-2024-annual-report.pdf
Page: 24
Quote: "For instance, Vademecum is based on volume the leading or- ganic toothpaste in France."
Status: approved by a named reviewer
Approver: demo reviewer, date not recorded
Proof: https://vanillabonds.com/dossier.html?c=katjes&amp;viewer=1&amp;item=F455</t>
      </text>
    </comment>
    <comment ref="H457" authorId="0" shapeId="0">
      <text>
        <t>F456 · Market
Document: S2, annual report, FY2024, 2025-04-09, audited, katjes-2024-annual-report.pdf
Page: 26
Quote: "According to expert forecasts (i. a. Euromonitor International), the European confectionery market (sugar and chocolate pro- ducts) is expected to grow to nearly EUR 100 billion by 2029."
Status: approved by a named reviewer
Approver: demo reviewer, date not recorded
Proof: https://vanillabonds.com/dossier.html?c=katjes&amp;viewer=1&amp;item=F456</t>
      </text>
    </comment>
    <comment ref="H458" authorId="0" shapeId="0">
      <text>
        <t>F457 · Market
Document: S2, annual report, FY2024, 2025-04-09, audited, katjes-2024-annual-report.pdf
Page: 26
Quote: "The Group’s key sales markets for fast-moving consumer goods (FMCG) are generally characterized by low cyclicality and high economic resilience"
Status: approved by a named reviewer
Approver: demo reviewer, date not recorded
Proof: https://vanillabonds.com/dossier.html?c=katjes&amp;viewer=1&amp;item=F457</t>
      </text>
    </comment>
    <comment ref="H459" authorId="0" shapeId="0">
      <text>
        <t>F458 · Market
Document: S2, annual report, FY2024, 2025-04-09, audited, katjes-2024-annual-report.pdf
Page: 26
Quote: "Volatile raw material prices continued to pose challenges in 2024. Although sugar prices stabilized over the course of the year, cocoa prices rose significantly."
Status: approved by a named reviewer
Approver: demo reviewer, date not recorded
Proof: https://vanillabonds.com/dossier.html?c=katjes&amp;viewer=1&amp;item=F458</t>
      </text>
    </comment>
    <comment ref="H460" authorId="0" shapeId="0">
      <text>
        <t>F459 · Market
Document: S2, annual report, FY2024, 2025-04-09, audited, katjes-2024-annual-report.pdf
Page: 29
Quote: "The approximately 23% stake in CPK, the number two in the French sugar confectionery market, is accounted for using the equity method."
Status: approved by a named reviewer
Approver: demo reviewer, date not recorded
Proof: https://vanillabonds.com/dossier.html?c=katjes&amp;viewer=1&amp;item=F459</t>
      </text>
    </comment>
    <comment ref="H461" authorId="0" shapeId="0">
      <text>
        <t>F460 · Concentration
Document: S2, annual report, FY2024, 2025-04-09, audited, katjes-2024-annual-report.pdf
Page: 13
Quote: "Cremona, Italy, and three other production sites in Italy"
Status: approved by a named reviewer
Approver: demo reviewer, date not recorded
Proof: https://vanillabonds.com/dossier.html?c=katjes&amp;viewer=1&amp;item=F460</t>
      </text>
    </comment>
    <comment ref="H462" authorId="0" shapeId="0">
      <text>
        <t>F461 · Concentration
Document: S2, annual report, FY2024, 2025-04-09, audited, katjes-2024-annual-report.pdf
Page: 18
Quote: "Dusseldorf / Viersen, Germany"
Status: approved by a named reviewer
Approver: demo reviewer, date not recorded
Proof: https://vanillabonds.com/dossier.html?c=katjes&amp;viewer=1&amp;item=F461</t>
      </text>
    </comment>
    <comment ref="H463" authorId="0" shapeId="0">
      <text>
        <t>F462 · Concentration
Document: S2, annual report, FY2024, 2025-04-09, audited, katjes-2024-annual-report.pdf
Page: 29
Quote: "Katjes International generated 31.3% (previous year: 30.6%) of its revenues in Italy and 27.2% (previous year: 27.7%) in Ger"
Status: approved by a named reviewer
Approver: demo reviewer, date not recorded
Proof: https://vanillabonds.com/dossier.html?c=katjes&amp;viewer=1&amp;item=F462</t>
      </text>
    </comment>
    <comment ref="H464" authorId="0" shapeId="0">
      <text>
        <t>F463 · Concentration
Document: S2, annual report, FY2024, 2025-04-09, audited, katjes-2024-annual-report.pdf
Page: 29
Quote: "pany generated 40.8% (previous year: 41.4%) of its revenues from sugar confectionery, followed by body care products with 23.0% (previous year: 23.1%)."
Status: approved by a named reviewer
Approver: demo reviewer, date not recorded
Proof: https://vanillabonds.com/dossier.html?c=katjes&amp;viewer=1&amp;item=F463</t>
      </text>
    </comment>
    <comment ref="H465" authorId="0" shapeId="0">
      <text>
        <t>F464 · Concentration
Document: S2, annual report, FY2024, 2025-04-09, audited, katjes-2024-annual-report.pdf
Page: 32
Quote: "these, approximately 63% were employed in Germany, followed by around 34% in Italy and roughly 2% in the United Kingdom."
Status: approved by a named reviewer
Approver: demo reviewer, date not recorded
Proof: https://vanillabonds.com/dossier.html?c=katjes&amp;viewer=1&amp;item=F464</t>
      </text>
    </comment>
    <comment ref="H466" authorId="0" shapeId="0">
      <text>
        <t>F465 · Concentration
Document: S2, annual report, FY2024, 2025-04-09, audited, katjes-2024-annual-report.pdf
Page: 77
Quote: "Sales are primarily generated through food retailers and drugstores."
Status: approved by a named reviewer
Approver: demo reviewer, date not recorded
Proof: https://vanillabonds.com/dossier.html?c=katjes&amp;viewer=1&amp;item=F465</t>
      </text>
    </comment>
    <comment ref="H467" authorId="0" shapeId="0">
      <text>
        <t>F466 · Investment plan item
Document: S2, annual report, FY2024, 2025-04-09, audited, katjes-2024-annual-report.pdf
Page: 17
Quote: "Set to go live in February 2025, the campaign aims to reach over 16 million people and further boost brand awareness."
Status: approved by a named reviewer
Approver: demo reviewer, date not recorded
Proof: https://vanillabonds.com/dossier.html?c=katjes&amp;viewer=1&amp;item=F466</t>
      </text>
    </comment>
    <comment ref="H468" authorId="0" shapeId="0">
      <text>
        <t>F467 · Investment plan item
Document: S2, annual report, FY2024, 2025-04-09, audited, katjes-2024-annual-report.pdf
Page: 24
Quote: "and 75% of the Italian company Dulcioliva, with the option to acquire the remaining 25%. As of December 31, 2024, the exer"
Status: approved by a named reviewer
Approver: demo reviewer, date not recorded
Proof: https://vanillabonds.com/dossier.html?c=katjes&amp;viewer=1&amp;item=F467</t>
      </text>
    </comment>
    <comment ref="H469" authorId="0" shapeId="0">
      <text>
        <t>F468 · Investment plan item
Document: S2, annual report, FY2024, 2025-04-09, audited, katjes-2024-annual-report.pdf
Page: 55
Quote: "The jointly developed body care line is scheduled to launch in the second quarter of 2025."
Status: approved by a named reviewer
Approver: demo reviewer, date not recorded
Proof: https://vanillabonds.com/dossier.html?c=katjes&amp;viewer=1&amp;item=F468</t>
      </text>
    </comment>
    <comment ref="F470" authorId="0" shapeId="0">
      <text>
        <t>F469 · Investment plan item
Prepayments and assets under construction (PP&amp;E) of EUR 9.7m at 31 Dec 2024 (2023: 2.7) after additions of 7.5 in the year.
Document: S2, annual report, FY2024, 2025-04-09, audited, katjes-2024-annual-report.pdf
Page: 84
Quote: "6. Prepayments and assets under construction 2.7 7.5 -0.5 0.0 9.7"
Status: approved by a named reviewer
Approver: demo reviewer, date not recorded
Proof: https://vanillabonds.com/dossier.html?c=katjes&amp;viewer=1&amp;item=F469</t>
      </text>
    </comment>
    <comment ref="F471" authorId="0" shapeId="0">
      <text>
        <t>F470 · Debt principal falling due in the period · FY2024
Current financial liabilities (incl. 2.9 lease liabilities) due within one year as at 31 Dec 2023, undiscounted contractual cash flows.
Document: S2, annual report, FY2024, 2025-04-09, audited, katjes-2024-annual-report.pdf
Page: 59
Quote: "Current financial liabilities (incl. liabilities from leases) 35.2 0.0 0.0 0.0 35.2 35.2"
Status: approved by a named reviewer
Approver: demo reviewer, date not recorded
Proof: https://vanillabonds.com/dossier.html?c=katjes&amp;viewer=1&amp;item=F470</t>
      </text>
    </comment>
    <comment ref="F472" authorId="0" shapeId="0">
      <text>
        <t>F471 · Debt principal falling due in the period · FY2025E
Financial liabilities due within one year as at 31 Dec 2024, incl. 3.7 lease liabilities (undiscounted contractual maturities).
Document: S2, annual report, FY2024, 2025-04-09, audited, katjes-2024-annual-report.pdf
Page: 59
Quote: "Current financial liabilities (incl. liabilities from leases) 37.4 0.0 0.0 0.0 37.4 37.4"
Status: extracted, pending review
Approver: none yet
Note on file: conflict: S1·p63 15.1 vs S2·p59 37.4; primary per fact agent: S2 p59 - S2's maturity table at 31 Dec 2024 is the later audited measurement of amounts due in 2025; S1's 15.1 is the one-to-two-year band at 31 Dec 2023.
Proof: https://vanillabonds.com/dossier.html?c=katjes&amp;viewer=1&amp;item=F471</t>
      </text>
    </comment>
    <comment ref="F473" authorId="0" shapeId="0">
      <text>
        <t>F472 · Debt principal falling due in the period · FY2026E
Non-current financial liabilities due in one to two years as at 31 Dec 2024, incl. 3.6 lease liabilities.
Document: S2, annual report, FY2024, 2025-04-09, audited, katjes-2024-annual-report.pdf
Page: 59
Quote: "As of 31 Dec 2024 Non-current financial liabilities (incl. liabilities from leases) 0.0 12.3 136.0 3.7 152.0 152.0"
Status: extracted, pending review
Approver: none yet
Note on file: conflict: S2·p59 12.3 vs S3·p57 74.3; primary per fact agent: S3 p57 - S3's maturity table at 31 Dec 2025 is the later audited measurement of amounts due in 2026; S2's 12.3 is the one-to-two-year band at 31 Dec 2024.
Proof: https://vanillabonds.com/dossier.html?c=katjes&amp;viewer=1&amp;item=F472</t>
      </text>
    </comment>
    <comment ref="F474" authorId="0" shapeId="0">
      <text>
        <t>F473 · Debt principal falling due in the period · FY2027E-FY2029E
Non-current financial liabilities due in two to five years as at 31 Dec 2024 (band, incl. 5.5 lease liabilities and the EUR 115m bond 2023/2028); a further 3.7 falls due after more than five years.
Document: S2, annual report, FY2024, 2025-04-09, audited, katjes-2024-annual-report.pdf
Page: 59
Quote: "As of 31 Dec 2024 Non-current financial liabilities (incl. liabilities from leases) 0.0 12.3 136.0 3.7 152.0 152.0"
Status: approved by a named reviewer
Approver: demo reviewer, date not recorded
Proof: https://vanillabonds.com/dossier.html?c=katjes&amp;viewer=1&amp;item=F473</t>
      </text>
    </comment>
    <comment ref="F475" authorId="0" shapeId="0">
      <text>
        <t>F474 · Issue cost item · FY2023
item: incidental costs of the 2023/2028 bond; amount: 2.8; source: cash flow statement 2023
Document: S2, annual report, FY2024, 2025-04-09, audited, katjes-2024-annual-report.pdf
Page: 45
Quote: "Incidental costs of the bond 0.0 -2.8"
Status: approved by a named reviewer
Approver: demo reviewer, date not recorded
Proof: https://vanillabonds.com/dossier.html?c=katjes&amp;viewer=1&amp;item=F474</t>
      </text>
    </comment>
    <comment ref="H476" authorId="0" shapeId="0">
      <text>
        <t>F475 · Group entity
Document: S2, annual report, FY2024, 2025-04-09, audited, katjes-2024-annual-report.pdf
Page: 56
Quote: "Current assets 9.2 4.5 Non-current assets 268.3 268.5 Current liabilities 5.1 6.1 Non-current liabilities 0.0 0.0"
Status: approved by a named reviewer
Approver: demo reviewer, date not recorded
Proof: https://vanillabonds.com/dossier.html?c=katjes&amp;viewer=1&amp;item=F475</t>
      </text>
    </comment>
    <comment ref="H477" authorId="0" shapeId="0">
      <text>
        <t>F476 · Group entity
Document: S2, annual report, FY2024, 2025-04-09, audited, katjes-2024-annual-report.pdf
Page: 83
Quote: "Piasten GmbH, Forchheim 100 A 100 A"
Status: approved by a named reviewer
Approver: demo reviewer, date not recorded
Proof: https://vanillabonds.com/dossier.html?c=katjes&amp;viewer=1&amp;item=F476</t>
      </text>
    </comment>
    <comment ref="H478" authorId="0" shapeId="0">
      <text>
        <t>F477 · Group entity
Document: S2, annual report, FY2024, 2025-04-09, audited, katjes-2024-annual-report.pdf
Page: 83
Quote: "Dallmann’s Pharma Candy GmbH, Hofheim am Taunus 100 A 100 A"
Status: approved by a named reviewer
Approver: demo reviewer, date not recorded
Proof: https://vanillabonds.com/dossier.html?c=katjes&amp;viewer=1&amp;item=F477</t>
      </text>
    </comment>
    <comment ref="H479" authorId="0" shapeId="0">
      <text>
        <t>F478 · Group entity
Document: S2, annual report, FY2024, 2025-04-09, audited, katjes-2024-annual-report.pdf
Page: 83
Quote: "Bübchen-Werk Ewald Hermes Pharmazeutische Fabrik GmbH, Soest 100 A 100 A"
Status: approved by a named reviewer
Approver: demo reviewer, date not recorded
Proof: https://vanillabonds.com/dossier.html?c=katjes&amp;viewer=1&amp;item=F478</t>
      </text>
    </comment>
    <comment ref="H480" authorId="0" shapeId="0">
      <text>
        <t>F479 · Group entity
Document: S2, annual report, FY2024, 2025-04-09, audited, katjes-2024-annual-report.pdf
Page: 83
Quote: "Bübchen Bodycare GmbH, Dusseldorf 100 A 100 A"
Status: approved by a named reviewer
Approver: demo reviewer, date not recorded
Proof: https://vanillabonds.com/dossier.html?c=katjes&amp;viewer=1&amp;item=F479</t>
      </text>
    </comment>
    <comment ref="H481" authorId="0" shapeId="0">
      <text>
        <t>F480 · Group entity
Document: S2, annual report, FY2024, 2025-04-09, audited, katjes-2024-annual-report.pdf
Page: 83
Quote: "Katjes 24 GmbH, Emmerich 100 A 100 A"
Status: approved by a named reviewer
Approver: demo reviewer, date not recorded
Proof: https://vanillabonds.com/dossier.html?c=katjes&amp;viewer=1&amp;item=F480</t>
      </text>
    </comment>
    <comment ref="H482" authorId="0" shapeId="0">
      <text>
        <t>F481 · Group entity
Document: S2, annual report, FY2024, 2025-04-09, audited, katjes-2024-annual-report.pdf
Page: 83
Quote: "Pharma Candy GmbH &amp; Co. KG, Emmerich 99.9 A 99.9 A"
Status: approved by a named reviewer
Approver: demo reviewer, date not recorded
Proof: https://vanillabonds.com/dossier.html?c=katjes&amp;viewer=1&amp;item=F481</t>
      </text>
    </comment>
    <comment ref="H483" authorId="0" shapeId="0">
      <text>
        <t>F482 · Group entity
Document: S2, annual report, FY2024, 2025-04-09, audited, katjes-2024-annual-report.pdf
Page: 83
Quote: "Shirin Beauty GmbH, Dusseldorf 50 B — —"
Status: approved by a named reviewer
Approver: demo reviewer, date not recorded
Proof: https://vanillabonds.com/dossier.html?c=katjes&amp;viewer=1&amp;item=F482</t>
      </text>
    </comment>
    <comment ref="H484" authorId="0" shapeId="0">
      <text>
        <t>F483 · Group entity
Document: S2, annual report, FY2024, 2025-04-09, audited, katjes-2024-annual-report.pdf
Page: 83
Quote: "Blaue Helden GmbH i.L., Bad Homburg 11.1 — 11.1 —"
Status: approved by a named reviewer
Approver: demo reviewer, date not recorded
Proof: https://vanillabonds.com/dossier.html?c=katjes&amp;viewer=1&amp;item=F483</t>
      </text>
    </comment>
    <comment ref="H485" authorId="0" shapeId="0">
      <text>
        <t>F484 · Group entity
Document: S2, annual report, FY2024, 2025-04-09, audited, katjes-2024-annual-report.pdf
Page: 83
Quote: "Harlekĳntjes B.V., Nĳkerk,Netherlands 100 A 100 A"
Status: approved by a named reviewer
Approver: demo reviewer, date not recorded
Proof: https://vanillabonds.com/dossier.html?c=katjes&amp;viewer=1&amp;item=F484</t>
      </text>
    </comment>
    <comment ref="H486" authorId="0" shapeId="0">
      <text>
        <t>F485 · Group entity
Document: S2, annual report, FY2024, 2025-04-09, audited, katjes-2024-annual-report.pdf
Page: 83
Quote: "Heel Veel Snoepjes B.V., Nĳkerk,Netherlands 100 A 100 A"
Status: approved by a named reviewer
Approver: demo reviewer, date not recorded
Proof: https://vanillabonds.com/dossier.html?c=katjes&amp;viewer=1&amp;item=F485</t>
      </text>
    </comment>
    <comment ref="H487" authorId="0" shapeId="0">
      <text>
        <t>F486 · Group entity
Document: S2, annual report, FY2024, 2025-04-09, audited, katjes-2024-annual-report.pdf
Page: 83
Quote: "ÖZW Österreichische Zuckerwaren GmbH, Vienna, Austria 100 A 100 A"
Status: approved by a named reviewer
Approver: demo reviewer, date not recorded
Proof: https://vanillabonds.com/dossier.html?c=katjes&amp;viewer=1&amp;item=F486</t>
      </text>
    </comment>
    <comment ref="H488" authorId="0" shapeId="0">
      <text>
        <t>F487 · Group entity
Document: S2, annual report, FY2024, 2025-04-09, audited, katjes-2024-annual-report.pdf
Page: 83
Quote: "Sperlari S.r.l., Cremona, Italy 100 A 100 A"
Status: approved by a named reviewer
Approver: demo reviewer, date not recorded
Proof: https://vanillabonds.com/dossier.html?c=katjes&amp;viewer=1&amp;item=F487</t>
      </text>
    </comment>
    <comment ref="H489" authorId="0" shapeId="0">
      <text>
        <t>F488 · Group entity
Document: S2, annual report, FY2024, 2025-04-09, audited, katjes-2024-annual-report.pdf
Page: 83
Quote: "Dulcioliva S.r.l., Borgo San Dalmazzo, Italy 75 A 75 A"
Status: approved by a named reviewer
Approver: demo reviewer, date not recorded
Proof: https://vanillabonds.com/dossier.html?c=katjes&amp;viewer=1&amp;item=F488</t>
      </text>
    </comment>
    <comment ref="H490" authorId="0" shapeId="0">
      <text>
        <t>F489 · Group entity
Document: S2, annual report, FY2024, 2025-04-09, audited, katjes-2024-annual-report.pdf
Page: 83
Quote: "Paluani 1921 S.r.l., Verona, Italy 100 A 100 A"
Status: approved by a named reviewer
Approver: demo reviewer, date not recorded
Proof: https://vanillabonds.com/dossier.html?c=katjes&amp;viewer=1&amp;item=F489</t>
      </text>
    </comment>
    <comment ref="H491" authorId="0" shapeId="0">
      <text>
        <t>F490 · Group entity
Document: S2, annual report, FY2024, 2025-04-09, audited, katjes-2024-annual-report.pdf
Page: 83
Quote: "Candy Kittens Ltd., London, UK 88 A 56.5 A"
Status: approved by a named reviewer
Approver: demo reviewer, date not recorded
Proof: https://vanillabonds.com/dossier.html?c=katjes&amp;viewer=1&amp;item=F490</t>
      </text>
    </comment>
    <comment ref="H492" authorId="0" shapeId="0">
      <text>
        <t>F491 · Group entity
Document: S2, annual report, FY2024, 2025-04-09, audited, katjes-2024-annual-report.pdf
Page: 83
Quote: "Longaim Ltd, London, UK 88 A 56.5 A"
Status: approved by a named reviewer
Approver: demo reviewer, date not recorded
Proof: https://vanillabonds.com/dossier.html?c=katjes&amp;viewer=1&amp;item=F491</t>
      </text>
    </comment>
    <comment ref="H493" authorId="0" shapeId="0">
      <text>
        <t>F492 · Group entity
Document: S2, annual report, FY2024, 2025-04-09, audited, katjes-2024-annual-report.pdf
Page: 83
Quote: "Tuckshop Ltd, London, UK 75 A 75 A"
Status: approved by a named reviewer
Approver: demo reviewer, date not recorded
Proof: https://vanillabonds.com/dossier.html?c=katjes&amp;viewer=1&amp;item=F492</t>
      </text>
    </comment>
    <comment ref="H494" authorId="0" shapeId="0">
      <text>
        <t>F493 · Group entity
Document: S2, annual report, FY2024, 2025-04-09, audited, katjes-2024-annual-report.pdf
Page: 83
Quote: "Nuud Snacks Ltd, London ,UK 8 —"
Status: approved by a named reviewer
Approver: demo reviewer, date not recorded
Proof: https://vanillabonds.com/dossier.html?c=katjes&amp;viewer=1&amp;item=F493</t>
      </text>
    </comment>
    <comment ref="H495" authorId="0" shapeId="0">
      <text>
        <t>F494 · Board member
Document: S2, annual report, FY2024, 2025-04-09, audited, katjes-2024-annual-report.pdf
Page: 6
Quote: "BASTIAN FASSIN Managing Shareholder of Katjes International Career Since 2004 – Managing Shareholder of Katjes International"
Status: approved by a named reviewer
Approver: demo reviewer, date not recorded
Proof: https://vanillabonds.com/dossier.html?c=katjes&amp;viewer=1&amp;item=F494</t>
      </text>
    </comment>
    <comment ref="H496" authorId="0" shapeId="0">
      <text>
        <t>F495 · Board member
Document: S2, annual report, FY2024, 2025-04-09, audited, katjes-2024-annual-report.pdf
Page: 6
Quote: "TOBIAS BACHMÜLLER Managing Shareholder of Katjes International Career since 1996 – Managing Shareholder of Katjes International"
Status: approved by a named reviewer
Approver: demo reviewer, date not recorded
Proof: https://vanillabonds.com/dossier.html?c=katjes&amp;viewer=1&amp;item=F495</t>
      </text>
    </comment>
    <comment ref="H497" authorId="0" shapeId="0">
      <text>
        <t>F496 · Board member
Document: S2, annual report, FY2024, 2025-04-09, audited, katjes-2024-annual-report.pdf
Page: 6
Quote: "STEPHAN MILDE Managing Director (CFO) of Katjes International Career Since 2012 – CFO Katjes International"
Status: approved by a named reviewer
Approver: demo reviewer, date not recorded
Proof: https://vanillabonds.com/dossier.html?c=katjes&amp;viewer=1&amp;item=F496</t>
      </text>
    </comment>
    <comment ref="F498" authorId="0" shapeId="0">
      <text>
        <t>F497 · Related-party flow
counterparty: Katjes Germany (Katjes Fassin GmbH + Co. KG, sister company); kind: purchase of goods and services; amount: 13.1; year: 2024 (2023: 14.7); terms: arm’s length, not collateralised
Document: S2, annual report, FY2024, 2025-04-09, audited, katjes-2024-annual-report.pdf
Page: 80
Quote: "Purchase of goods and services from Katjes Germany 13.1 14.7"
Status: approved by a named reviewer
Approver: demo reviewer, date not recorded
Proof: https://vanillabonds.com/dossier.html?c=katjes&amp;viewer=1&amp;item=F497</t>
      </text>
    </comment>
    <comment ref="F499" authorId="0" shapeId="0">
      <text>
        <t>F498 · Related-party flow
counterparty: Katjes Germany; kind: trade payable for goods and services at year end; amount: 2.7; year: 2024 (2023: 2.0)
Document: S2, annual report, FY2024, 2025-04-09, audited, katjes-2024-annual-report.pdf
Page: 80
Quote: "Trade payable for goods and services to Katjes Germany 2.7 2.0"
Status: approved by a named reviewer
Approver: demo reviewer, date not recorded
Proof: https://vanillabonds.com/dossier.html?c=katjes&amp;viewer=1&amp;item=F498</t>
      </text>
    </comment>
    <comment ref="F500" authorId="0" shapeId="0">
      <text>
        <t>F499 · Related-party flow
counterparty: Katjes Germany; kind: sale of goods; amount: 0.0; year: 2024 (2023: 0.3)
Document: S2, annual report, FY2024, 2025-04-09, audited, katjes-2024-annual-report.pdf
Page: 80
Quote: "Sale of goods to Katjes Germany 0.0 0.3"
Status: approved by a named reviewer
Approver: demo reviewer, date not recorded
Proof: https://vanillabonds.com/dossier.html?c=katjes&amp;viewer=1&amp;item=F499</t>
      </text>
    </comment>
    <comment ref="F501" authorId="0" shapeId="0">
      <text>
        <t>F500 · Related-party flow
counterparty: related companies; kind: loan (granted by the Group); amount: 4.2; year: 2024 (2023: 1.8); terms: interest income 0.1 (2023: 0.1), arm’s length, not collateralised
Document: S2, annual report, FY2024, 2025-04-09, audited, katjes-2024-annual-report.pdf
Page: 80
Quote: "Loans to related companies 4.2 1.8"
Status: approved by a named reviewer
Approver: demo reviewer, date not recorded
Proof: https://vanillabonds.com/dossier.html?c=katjes&amp;viewer=1&amp;item=F500</t>
      </text>
    </comment>
    <comment ref="F502" authorId="0" shapeId="0">
      <text>
        <t>F501 · Related-party flow
counterparty: related parties; kind: other income; amount: 7.7; year: 2023 (2024: 0.0)
Document: S2, annual report, FY2024, 2025-04-09, audited, katjes-2024-annual-report.pdf
Page: 80
Quote: "Other income 0.0 7.7"
Status: approved by a named reviewer
Approver: demo reviewer, date not recorded
Proof: https://vanillabonds.com/dossier.html?c=katjes&amp;viewer=1&amp;item=F501</t>
      </text>
    </comment>
    <comment ref="F503" authorId="0" shapeId="0">
      <text>
        <t>F502 · Shareholder loan
lender: limited partners (interest-bearing clearing accounts); amount: 0.0 at 31 Dec 2024 (2023: 0.5); rate: 5.0% (2023: 5.0%)
Document: S2, annual report, FY2024, 2025-04-09, audited, katjes-2024-annual-report.pdf
Page: 80
Quote: "The interest-bearing clearing accounts of the limited partners bear interest at a rate of 5.0% (2023: 5.0%)."
Status: approved by a named reviewer
Approver: demo reviewer, date not recorded
Proof: https://vanillabonds.com/dossier.html?c=katjes&amp;viewer=1&amp;item=F502</t>
      </text>
    </comment>
    <comment ref="F504" authorId="0" shapeId="0">
      <text>
        <t>F503 · Owner's stake as stated
Limited partnership capital EUR 1.0m: fixed capital shares Bastian Fassin 0.9 (2023: 0.5) and Tobias Bachmüller 0.1 (0.1); no personal guarantee, share pledge or family charter is mentioned.
Document: S2, annual report, FY2024, 2025-04-09, audited, katjes-2024-annual-report.pdf
Page: 67
Quote: "Limited partner Bastian Fassin 0.9 0.5 Limited partner Tobias Bachmüller 0.1 0.1"
Status: approved by a named reviewer
Approver: demo reviewer, date not recorded
Proof: https://vanillabonds.com/dossier.html?c=katjes&amp;viewer=1&amp;item=F503</t>
      </text>
    </comment>
    <comment ref="F505" authorId="0" shapeId="0">
      <text>
        <t>F504 · Market variable
variable: confectionery market growth Western Europe; year: 2024; value: 7.8; unit: % y/y; source: management report (Euromonitor International cited for the market table)
Document: S2, annual report, FY2024, 2025-04-09, audited, katjes-2024-annual-report.pdf
Page: 26
Quote: "Western Europe recorded an increase of 7.8% compared to the previous year, while Eastern Europe saw a growth rate of 5.8%."
Status: approved by a named reviewer
Approver: demo reviewer, date not recorded
Proof: https://vanillabonds.com/dossier.html?c=katjes&amp;viewer=1&amp;item=F504</t>
      </text>
    </comment>
    <comment ref="F506" authorId="0" shapeId="0">
      <text>
        <t>F505 · Market variable
variable: confectionery market growth Eastern Europe; year: 2024; value: 5.8; unit: % y/y; source: management report
Document: S2, annual report, FY2024, 2025-04-09, audited, katjes-2024-annual-report.pdf
Page: 26
Quote: "Western Europe recorded an increase of 7.8% compared to the previous year, while Eastern Europe saw a growth rate of 5.8%."
Status: approved by a named reviewer
Approver: demo reviewer, date not recorded
Proof: https://vanillabonds.com/dossier.html?c=katjes&amp;viewer=1&amp;item=F505</t>
      </text>
    </comment>
    <comment ref="F507" authorId="0" shapeId="0">
      <text>
        <t>F506 · Market variable
variable: euro area GDP growth; year: 2024; value: 0.7; unit: % (2023: 0.5); source: OECD Economic Outlook Dec 2024 / Mar 2025
Document: S2, annual report, FY2024, 2025-04-09, audited, katjes-2024-annual-report.pdf
Page: 26
Quote: "In 2024, the gross domestic product (GDP) grew by only 0.7% (2023: 0.5%)"
Status: approved by a named reviewer
Approver: demo reviewer, date not recorded
Proof: https://vanillabonds.com/dossier.html?c=katjes&amp;viewer=1&amp;item=F506</t>
      </text>
    </comment>
    <comment ref="F508" authorId="0" shapeId="0">
      <text>
        <t>F507 · Market variable
variable: confectionery market volume Germany; year: 2024; value: 13.3; unit: EUR bn; source: Euromonitor International
Document: S2, annual report, FY2024, 2025-04-09, audited, katjes-2024-annual-report.pdf
Page: 27
Quote: "Germany 12.7 13.3"
Status: approved by a named reviewer
Approver: demo reviewer, date not recorded
Proof: https://vanillabonds.com/dossier.html?c=katjes&amp;viewer=1&amp;item=F507</t>
      </text>
    </comment>
    <comment ref="F509" authorId="0" shapeId="0">
      <text>
        <t>F508 · Market variable
variable: confectionery market volume Germany; year: 2023; value: 12.7; unit: EUR bn; source: Euromonitor International
Document: S2, annual report, FY2024, 2025-04-09, audited, katjes-2024-annual-report.pdf
Page: 27
Quote: "Germany 12.7 13.3"
Status: approved by a named reviewer
Approver: demo reviewer, date not recorded
Proof: https://vanillabonds.com/dossier.html?c=katjes&amp;viewer=1&amp;item=F508</t>
      </text>
    </comment>
    <comment ref="F510" authorId="0" shapeId="0">
      <text>
        <t>F509 · Market variable
variable: confectionery market volume United Kingdom; year: 2024; value: 10.5; unit: EUR bn; source: Euromonitor International
Document: S2, annual report, FY2024, 2025-04-09, audited, katjes-2024-annual-report.pdf
Page: 27
Quote: "United Kingdom 9.7 10.5"
Status: approved by a named reviewer
Approver: demo reviewer, date not recorded
Proof: https://vanillabonds.com/dossier.html?c=katjes&amp;viewer=1&amp;item=F509</t>
      </text>
    </comment>
    <comment ref="F511" authorId="0" shapeId="0">
      <text>
        <t>F510 · Market variable
variable: confectionery market volume United Kingdom; year: 2023; value: 9.7; unit: EUR bn; source: Euromonitor International
Document: S2, annual report, FY2024, 2025-04-09, audited, katjes-2024-annual-report.pdf
Page: 27
Quote: "United Kingdom 9.7 10.5"
Status: approved by a named reviewer
Approver: demo reviewer, date not recorded
Proof: https://vanillabonds.com/dossier.html?c=katjes&amp;viewer=1&amp;item=F510</t>
      </text>
    </comment>
    <comment ref="F512" authorId="0" shapeId="0">
      <text>
        <t>F511 · Market variable
variable: confectionery market volume France; year: 2024; value: 7.8; unit: EUR bn; source: Euromonitor International
Document: S2, annual report, FY2024, 2025-04-09, audited, katjes-2024-annual-report.pdf
Page: 27
Quote: "France 7.2 7.8"
Status: approved by a named reviewer
Approver: demo reviewer, date not recorded
Proof: https://vanillabonds.com/dossier.html?c=katjes&amp;viewer=1&amp;item=F511</t>
      </text>
    </comment>
    <comment ref="F513" authorId="0" shapeId="0">
      <text>
        <t>F512 · Market variable
variable: confectionery market volume France; year: 2023; value: 7.2; unit: EUR bn; source: Euromonitor International
Document: S2, annual report, FY2024, 2025-04-09, audited, katjes-2024-annual-report.pdf
Page: 27
Quote: "France 7.2 7.8"
Status: approved by a named reviewer
Approver: demo reviewer, date not recorded
Proof: https://vanillabonds.com/dossier.html?c=katjes&amp;viewer=1&amp;item=F512</t>
      </text>
    </comment>
    <comment ref="F514" authorId="0" shapeId="0">
      <text>
        <t>F513 · Market variable
variable: confectionery market volume Italy; year: 2024; value: 3.8; unit: EUR bn; source: Euromonitor International
Document: S2, annual report, FY2024, 2025-04-09, audited, katjes-2024-annual-report.pdf
Page: 27
Quote: "Italy 3.6 3.8"
Status: approved by a named reviewer
Approver: demo reviewer, date not recorded
Proof: https://vanillabonds.com/dossier.html?c=katjes&amp;viewer=1&amp;item=F513</t>
      </text>
    </comment>
    <comment ref="F515" authorId="0" shapeId="0">
      <text>
        <t>F514 · Market variable
variable: confectionery market volume Italy; year: 2023; value: 3.6; unit: EUR bn; source: Euromonitor International
Document: S2, annual report, FY2024, 2025-04-09, audited, katjes-2024-annual-report.pdf
Page: 27
Quote: "Italy 3.6 3.8"
Status: approved by a named reviewer
Approver: demo reviewer, date not recorded
Proof: https://vanillabonds.com/dossier.html?c=katjes&amp;viewer=1&amp;item=F514</t>
      </text>
    </comment>
    <comment ref="F516" authorId="0" shapeId="0">
      <text>
        <t>F515 · Market variable
variable: confectionery market volume Netherlands; year: 2024; value: 2.1; unit: EUR bn; source: Euromonitor International
Document: S2, annual report, FY2024, 2025-04-09, audited, katjes-2024-annual-report.pdf
Page: 27
Quote: "Netherlands 2.0 2.1"
Status: approved by a named reviewer
Approver: demo reviewer, date not recorded
Proof: https://vanillabonds.com/dossier.html?c=katjes&amp;viewer=1&amp;item=F515</t>
      </text>
    </comment>
    <comment ref="F517" authorId="0" shapeId="0">
      <text>
        <t>F516 · Market variable
variable: confectionery market volume Netherlands; year: 2023; value: 2.0; unit: EUR bn; source: Euromonitor International
Document: S2, annual report, FY2024, 2025-04-09, audited, katjes-2024-annual-report.pdf
Page: 27
Quote: "Netherlands 2.0 2.1"
Status: approved by a named reviewer
Approver: demo reviewer, date not recorded
Proof: https://vanillabonds.com/dossier.html?c=katjes&amp;viewer=1&amp;item=F516</t>
      </text>
    </comment>
    <comment ref="F518" authorId="0" shapeId="0">
      <text>
        <t>F517 · Market variable
variable: baby and child care market volume Germany; year: 2024; value: 561; unit: EUR m (+1.3% value, +1.6% volume); source: Nielsen
Document: S2, annual report, FY2024, 2025-04-09, audited, katjes-2024-annual-report.pdf
Page: 27
Quote: "According to Nielsen data, the market volume in Germany reached EUR 561 million in 2024, representing an increase of 1.3%."
Status: approved by a named reviewer
Approver: demo reviewer, date not recorded
Proof: https://vanillabonds.com/dossier.html?c=katjes&amp;viewer=1&amp;item=F517</t>
      </text>
    </comment>
    <comment ref="F519" authorId="0" shapeId="0">
      <text>
        <t>F518 · Market variable
variable: oral care category sales Germany; year: 2024; value: 1980; unit: EUR m (+10.0% y/y); source: Statista
Document: S2, annual report, FY2024, 2025-04-09, audited, katjes-2024-annual-report.pdf
Page: 27
Quote: "In 2024, sales in this category amounted to approximately EUR 1.98 billion, represen- ting a year-on-year increase of 10.0%, according to data from Statista."
Status: approved by a named reviewer
Approver: demo reviewer, date not recorded
Proof: https://vanillabonds.com/dossier.html?c=katjes&amp;viewer=1&amp;item=F518</t>
      </text>
    </comment>
    <comment ref="F520" authorId="0" shapeId="0">
      <text>
        <t>F519 · Market variable
variable: confectionery market growth Western Europe (forecast); year: 2025; value: 7.2; unit: % y/y; source: management report forecast section (Eastern Europe 5.9%)
Document: S2, annual report, FY2024, 2025-04-09, audited, katjes-2024-annual-report.pdf
Page: 38
Quote: "In the confectionery sector, the market volume in Western Europe is projected to grow by approximately 7.2% in 2025, and by 5.9% in Eastern Europe"
Status: approved by a named reviewer
Approver: demo reviewer, date not recorded
Proof: https://vanillabonds.com/dossier.html?c=katjes&amp;viewer=1&amp;item=F519</t>
      </text>
    </comment>
    <comment ref="F521" authorId="0" shapeId="0">
      <text>
        <t>F520 · Market variable
variable: euro area GDP growth (forecast); year: 2025; value: 1.0; unit: % (Germany 0.4, Netherlands 1.6, Italy 0.7, France 0.8, UK 1.7); source: OECD Dec 2024 updated Mar 2025
Document: S2, annual report, FY2024, 2025-04-09, audited, katjes-2024-annual-report.pdf
Page: 38
Quote: "The OECD expects GDP in the euro area to increase by 1.0% in 2025. For the Federal Republic of Germany, growth of 0.4% is forecasted"
Status: approved by a named reviewer
Approver: demo reviewer, date not recorded
Proof: https://vanillabonds.com/dossier.html?c=katjes&amp;viewer=1&amp;item=F520</t>
      </text>
    </comment>
    <comment ref="H522" authorId="0" shapeId="0">
      <text>
        <t>F521 · Regulation
Document: S2, annual report, FY2024, 2025-04-09, audited, katjes-2024-annual-report.pdf
Page: 49
Quote: "IFRS 18 and IFRS 19, which are applicable to financial years beginning on or after 1 January 2027."
Status: approved by a named reviewer
Approver: demo reviewer, date not recorded
Proof: https://vanillabonds.com/dossier.html?c=katjes&amp;viewer=1&amp;item=F521</t>
      </text>
    </comment>
    <comment ref="H523" authorId="0" shapeId="0">
      <text>
        <t>F522 · Regulation
Document: S2, annual report, FY2024, 2025-04-09, audited, katjes-2024-annual-report.pdf
Page: 49
Quote: "cerning the classification of current and non-current financial li- abilities, as well as non-current liabilities with covenants, did not result in any material changes."
Status: approved by a named reviewer
Approver: demo reviewer, date not recorded
Proof: https://vanillabonds.com/dossier.html?c=katjes&amp;viewer=1&amp;item=F522</t>
      </text>
    </comment>
    <comment ref="F524" authorId="0" shapeId="0">
      <text>
        <t>F523 · Regulation
measure: Electricity Price Reduction Act (Strompreisbremsegesetz, StromPBG); effective: 2023; effect on the company as stated: relief payments of about EUR 2.4m reduced cost of sales in 2023, none material in 2024; source: note 2.3
Document: S2, annual report, FY2024, 2025-04-09, audited, katjes-2024-annual-report.pdf
Page: 51
Quote: "proximately EUR 2.4 million were recognized as a reduction in cost of sales in connection with the Electricity Price Reduction Act (Strompreisbremsegesetz – StromPBG)."
Status: approved by a named reviewer
Approver: demo reviewer, date not recorded
Proof: https://vanillabonds.com/dossier.html?c=katjes&amp;viewer=1&amp;item=F523</t>
      </text>
    </comment>
    <comment ref="H525" authorId="0" shapeId="0">
      <text>
        <t>F524 · Key contract
Document: S2, annual report, FY2024, 2025-04-09, audited, katjes-2024-annual-report.pdf
Page: 15
Quote: "Throat and cough drops / distribution of ‘WICK’ cough drops"
Status: approved by a named reviewer
Approver: demo reviewer, date not recorded
Proof: https://vanillabonds.com/dossier.html?c=katjes&amp;viewer=1&amp;item=F524</t>
      </text>
    </comment>
    <comment ref="F526" authorId="0" shapeId="0">
      <text>
        <t>F525 · Price or input-cost series
variable: cost of raw materials, consumables, supplies and purchased merchandise; year: 2024; value: 192.3; unit: EUR m; source: note 7.2 (2023: 204.4)
Document: S2, annual report, FY2024, 2025-04-09, audited, katjes-2024-annual-report.pdf
Page: 74
Quote: "Cost of raw materials, consumables and supplies, and purchased mer- chandise 192.3 204.4"
Status: approved by a named reviewer
Approver: demo reviewer, date not recorded
Proof: https://vanillabonds.com/dossier.html?c=katjes&amp;viewer=1&amp;item=F525</t>
      </text>
    </comment>
    <comment ref="F527" authorId="0" shapeId="0">
      <text>
        <t>F526 · Price or input-cost series
variable: energy cost; year: 2024; value: 13.3; unit: EUR m; source: note 7.2 (2023: 12.6)
Document: S2, annual report, FY2024, 2025-04-09, audited, katjes-2024-annual-report.pdf
Page: 74
Quote: "Energy 13.3 12.6"
Status: approved by a named reviewer
Approver: demo reviewer, date not recorded
Proof: https://vanillabonds.com/dossier.html?c=katjes&amp;viewer=1&amp;item=F526</t>
      </text>
    </comment>
    <comment ref="F528" authorId="0" shapeId="0">
      <text>
        <t>F527 · Price or input-cost series
variable: advertising costs; year: 2024; value: 16.0; unit: EUR m; source: note 7.2 (2023: 12.2)
Document: S2, annual report, FY2024, 2025-04-09, audited, katjes-2024-annual-report.pdf
Page: 74
Quote: "Advertising costs 16.0 12.2"
Status: approved by a named reviewer
Approver: demo reviewer, date not recorded
Proof: https://vanillabonds.com/dossier.html?c=katjes&amp;viewer=1&amp;item=F527</t>
      </text>
    </comment>
    <comment ref="H529" authorId="0" shapeId="0">
      <text>
        <t>F528 · Certification, licence, permit or patent
Document: S2, annual report, FY2024, 2025-04-09, audited, katjes-2024-annual-report.pdf
Page: 20
Quote: "with fellow B Corp brands to ensure design and sustainability remained integral."
Status: approved by a named reviewer
Approver: demo reviewer, date not recorded
Proof: https://vanillabonds.com/dossier.html?c=katjes&amp;viewer=1&amp;item=F528</t>
      </text>
    </comment>
    <comment ref="H530" authorId="0" shapeId="0">
      <text>
        <t>F529 · Certification, licence, permit or patent
Document: S2, annual report, FY2024, 2025-04-09, audited, katjes-2024-annual-report.pdf
Page: 24
Quote: "N.A.E specialises in certified organic body care products, particularly in the French market."
Status: approved by a named reviewer
Approver: demo reviewer, date not recorded
Proof: https://vanillabonds.com/dossier.html?c=katjes&amp;viewer=1&amp;item=F529</t>
      </text>
    </comment>
    <comment ref="H531" authorId="0" shapeId="0">
      <text>
        <t>F530 · Certification, licence, permit or patent
Document: S2, annual report, FY2024, 2025-04-09, audited, katjes-2024-annual-report.pdf
Page: 32
Quote: "are certified, among others, in accordance with the International Featured Standards (IFS) or the British Retail Consortium (BRC) standards for food production."
Status: approved by a named reviewer
Approver: demo reviewer, date not recorded
Proof: https://vanillabonds.com/dossier.html?c=katjes&amp;viewer=1&amp;item=F530</t>
      </text>
    </comment>
    <comment ref="H532" authorId="0" shapeId="0">
      <text>
        <t>F531 · Certification, licence, permit or patent
Document: S2, annual report, FY2024, 2025-04-09, audited, katjes-2024-annual-report.pdf
Page: 32
Quote: "are certified, among others, in accordance with the International Featured Standards (IFS) or the British Retail Consortium (BRC) standards for food production."
Status: approved by a named reviewer
Approver: demo reviewer, date not recorded
Proof: https://vanillabonds.com/dossier.html?c=katjes&amp;viewer=1&amp;item=F531</t>
      </text>
    </comment>
    <comment ref="F533" authorId="0" shapeId="0">
      <text>
        <t>F532 · One-off item · FY2023
item: government relief payments under the Electricity Price Reduction Act (StromPBG) recognised as reduction of cost of sales; amount: 2.4; recurrence: none in 2024
Document: S2, annual report, FY2024, 2025-04-09, audited, katjes-2024-annual-report.pdf
Page: 51
Quote: "cost of sales in connection with the Electricity Price Reduction Act (Strompreisbremsegesetz – StromPBG)."
Status: approved by a named reviewer
Approver: demo reviewer, date not recorded
Proof: https://vanillabonds.com/dossier.html?c=katjes&amp;viewer=1&amp;item=F532</t>
      </text>
    </comment>
    <comment ref="F534" authorId="0" shapeId="0">
      <text>
        <t>F533 · One-off item · FY2023
item: other income from related parties; amount: 7.7; recurrence: none in 2024 (0.0)
Document: S2, annual report, FY2024, 2025-04-09, audited, katjes-2024-annual-report.pdf
Page: 80
Quote: "Other income 0.0 7.7"
Status: approved by a named reviewer
Approver: demo reviewer, date not recorded
Proof: https://vanillabonds.com/dossier.html?c=katjes&amp;viewer=1&amp;item=F533</t>
      </text>
    </comment>
    <comment ref="F535" authorId="0" shapeId="0">
      <text>
        <t>F534 · One-off item · FY2024
item: non-recurring deferred tax expense from the corporate income tax option; amount: -6.9; recurrence: none (2023: 0.0)
Document: S2, annual report, FY2024, 2025-04-09, audited, katjes-2024-annual-report.pdf
Page: 40
Quote: "Thereof non-recurring due to the exercise of the corporate income tax option: EUR -6.9 million (previous year: EUR 0.0 million)"
Status: approved by a named reviewer
Approver: demo reviewer, date not recorded
Proof: https://vanillabonds.com/dossier.html?c=katjes&amp;viewer=1&amp;item=F534</t>
      </text>
    </comment>
    <comment ref="H536" authorId="0" shapeId="0">
      <text>
        <t>F535 · One-off item · FY2024
Document: S2, annual report, FY2024, 2025-04-09, audited, katjes-2024-annual-report.pdf
Page: 75
Quote: "it also includes income from a legal case that was decided in the Group’s favor."
Status: approved by a named reviewer
Approver: demo reviewer, date not recorded
Proof: https://vanillabonds.com/dossier.html?c=katjes&amp;viewer=1&amp;item=F535</t>
      </text>
    </comment>
    <comment ref="F537" authorId="0" shapeId="0">
      <text>
        <t>F536 · One-off item · FY2024
item: income from the reversal of provisions; amount: 1.6; recurrence: 2023 (0.5)
Document: S2, annual report, FY2024, 2025-04-09, audited, katjes-2024-annual-report.pdf
Page: 75
Quote: "Income from the reversal of provisi- ons 1.6 0.5"
Status: approved by a named reviewer
Approver: demo reviewer, date not recorded
Proof: https://vanillabonds.com/dossier.html?c=katjes&amp;viewer=1&amp;item=F536</t>
      </text>
    </comment>
    <comment ref="F538" authorId="0" shapeId="0">
      <text>
        <t>F537 · One-off item · FY2024
item: severance payments; amount: 0.8; recurrence: 2023 (0.2)
Document: S2, annual report, FY2024, 2025-04-09, audited, katjes-2024-annual-report.pdf
Page: 75
Quote: "In the financial year 2024, total expenses for severance pay- ments amounted to EUR 0.8 million (2023: EUR 0.2 million)."
Status: approved by a named reviewer
Approver: demo reviewer, date not recorded
Proof: https://vanillabonds.com/dossier.html?c=katjes&amp;viewer=1&amp;item=F537</t>
      </text>
    </comment>
    <comment ref="F539" authorId="0" shapeId="0">
      <text>
        <t>F538 · Off-balance item · FY2023
kind: pension deficit (provisions for pensions and similar obligations); amount: 9.6; counterparty: employees
Document: S2, annual report, FY2024, 2025-04-09, audited, katjes-2024-annual-report.pdf
Page: 43
Quote: "Provisions for pensions and similar obligations 6.12 8.9 9.6"
Status: approved by a named reviewer
Approver: demo reviewer, date not recorded
Proof: https://vanillabonds.com/dossier.html?c=katjes&amp;viewer=1&amp;item=F538</t>
      </text>
    </comment>
    <comment ref="F540" authorId="0" shapeId="0">
      <text>
        <t>F539 · Off-balance item · FY2024
kind: pension deficit (provisions for pensions and similar obligations, defined benefit plans in Germany and Italy); amount: 8.9; counterparty: employees (DBO funded 7.1 less plan assets 6.4 = 0.7, unfunded provision 8.2)
Document: S2, annual report, FY2024, 2025-04-09, audited, katjes-2024-annual-report.pdf
Page: 43
Quote: "Provisions for pensions and similar obligations 6.12 8.9 9.6"
Status: approved by a named reviewer
Approver: demo reviewer, date not recorded
Proof: https://vanillabonds.com/dossier.html?c=katjes&amp;viewer=1&amp;item=F539</t>
      </text>
    </comment>
    <comment ref="H541" authorId="0" shapeId="0">
      <text>
        <t>F540 · Off-balance item · FY2024
Document: S2, annual report, FY2024, 2025-04-09, audited, katjes-2024-annual-report.pdf
Page: 66
Quote: "In the reporting year, 96% of Piasten’s trade receivables and ap- proximately 43% of Sperlari’s trade receivables were sold to factoring companies."
Status: approved by a named reviewer
Approver: demo reviewer, date not recorded
Proof: https://vanillabonds.com/dossier.html?c=katjes&amp;viewer=1&amp;item=F540</t>
      </text>
    </comment>
    <comment ref="H542" authorId="0" shapeId="0">
      <text>
        <t>F541 · Audit facts · FY2023
Document: S2, annual report, FY2024, 2025-04-09, audited, katjes-2024-annual-report.pdf
Page: 85
Quote: "(1) The previous year's figures have been adjusted due to the retrospective effects of the purchase price allocation finalised in the reporting year."
Status: approved by a named reviewer
Approver: demo reviewer, date not recorded
Proof: https://vanillabonds.com/dossier.html?c=katjes&amp;viewer=1&amp;item=F541</t>
      </text>
    </comment>
    <comment ref="F543" authorId="0" shapeId="0">
      <text>
        <t>F542 · Days from year end to filing of the accounts · FY2024
Auditor's report dated 9 April 2025, 99 days after the 31 Dec 2024 year end; management authorised the statements for issue on the same day.
Document: S2, annual report, FY2024, 2025-04-09, audited, katjes-2024-annual-report.pdf
Page: 90
Quote: "Dusseldorf, 9th April 2025"
Status: approved by a named reviewer
Approver: demo reviewer, date not recorded
Proof: https://vanillabonds.com/dossier.html?c=katjes&amp;viewer=1&amp;item=F542</t>
      </text>
    </comment>
    <comment ref="F544" authorId="0" shapeId="0">
      <text>
        <t>F543 · Tax item
Exercise of the corporate income tax option effective 2025 caused a one-time deferred tax expense of EUR -6.9m in 2024 from remeasuring deferred taxes at the future corporate tax rate (IAS 12.47).
Document: S2, annual report, FY2024, 2025-04-09, audited, katjes-2024-annual-report.pdf
Page: 40
Quote: "Thereof non-recurring due to the exercise of the corporate income tax option: EUR -6.9 million (previous year: EUR 0.0 million)"
Status: approved by a named reviewer
Approver: demo reviewer, date not recorded
Proof: https://vanillabonds.com/dossier.html?c=katjes&amp;viewer=1&amp;item=F543</t>
      </text>
    </comment>
    <comment ref="F545" authorId="0" shapeId="0">
      <text>
        <t>F544 · Tax item
Deferred tax liabilities EUR 31.1m at 31 Dec 2024 (2023: 24.0), deferred tax assets 3.5 (3.6); net deferred tax position -27.5 (2023: -20.4).
Document: S2, annual report, FY2024, 2025-04-09, audited, katjes-2024-annual-report.pdf
Page: 43
Quote: "Deferred tax liabilities 6.11 31.1 24.0"
Status: approved by a named reviewer
Approver: demo reviewer, date not recorded
Proof: https://vanillabonds.com/dossier.html?c=katjes&amp;viewer=1&amp;item=F544</t>
      </text>
    </comment>
    <comment ref="H546" authorId="0" shapeId="0">
      <text>
        <t>F545 · Tax item
Document: S2, annual report, FY2024, 2025-04-09, audited, katjes-2024-annual-report.pdf
Page: 53
Quote: "The provisions regarding global minimum taxation pursuant to the OECD BEPS Pillar II (GloBE Rules) did not apply"
Status: approved by a named reviewer
Approver: demo reviewer, date not recorded
Proof: https://vanillabonds.com/dossier.html?c=katjes&amp;viewer=1&amp;item=F545</t>
      </text>
    </comment>
    <comment ref="F547" authorId="0" shapeId="0">
      <text>
        <t>F546 · Tax item
No deferred tax assets recognised for corporate income tax loss carryforwards of EUR 34.0m (2023: 35.8), trade tax loss carryforwards 7.5 (6.8) and other 9.3 (8.1); Dutch losses of 0.8 expire within one to two years.
Document: S2, annual report, FY2024, 2025-04-09, audited, katjes-2024-annual-report.pdf
Page: 70
Quote: "No deferred tax assets were recognized for corporate income tax loss carryforwards amounting to EUR 34.0 million (2023: EUR 35.8 million) or for trade tax loss carryforwards of EUR 7.5 million"
Status: approved by a named reviewer
Approver: demo reviewer, date not recorded
Proof: https://vanillabonds.com/dossier.html?c=katjes&amp;viewer=1&amp;item=F546</t>
      </text>
    </comment>
    <comment ref="F548" authorId="0" shapeId="0">
      <text>
        <t>F547 · Tax item
Income tax expense 2024 EUR 10.2m: current 3.3 (Germany 2.7, other 0.6), deferred 6.9 (2023: 0.9 = current 4.4, deferred -3.5); expected tax rate 12.9% (2023: 12.4%), the average rate of the German parent.
Document: S2, annual report, FY2024, 2025-04-09, audited, katjes-2024-annual-report.pdf
Page: 76
Quote: "The expected tax rate of 12.9% (2023: 12.4%) corresponds to the average tax rate of the German parent company."
Status: approved by a named reviewer
Approver: demo reviewer, date not recorded
Proof: https://vanillabonds.com/dossier.html?c=katjes&amp;viewer=1&amp;item=F547</t>
      </text>
    </comment>
    <comment ref="F549" authorId="0" shapeId="0">
      <text>
        <t>F548 · Tax item
No deferred taxes recognised on taxable temporary differences of EUR 671.1m (2023: 654.2) relating to investments in subsidiaries, as reversal is not expected.
Document: S2, annual report, FY2024, 2025-04-09, audited, katjes-2024-annual-report.pdf
Page: 76
Quote: "No deferred taxes were recognized as of December 31, 2024, for taxable temporary differences relating to investments in sub"
Status: approved by a named reviewer
Approver: demo reviewer, date not recorded
Proof: https://vanillabonds.com/dossier.html?c=katjes&amp;viewer=1&amp;item=F548</t>
      </text>
    </comment>
    <comment ref="F550" authorId="0" shapeId="0">
      <text>
        <t>F549 · Segment · FY2023
segment: Confectionery (business line); revenue: 156.2
Document: S2, annual report, FY2024, 2025-04-09, audited, katjes-2024-annual-report.pdf
Page: 74
Quote: "Confectionery 160.0 156.2"
Status: approved by a named reviewer
Approver: demo reviewer, date not recorded
Proof: https://vanillabonds.com/dossier.html?c=katjes&amp;viewer=1&amp;item=F549</t>
      </text>
    </comment>
    <comment ref="F551" authorId="0" shapeId="0">
      <text>
        <t>F550 · Segment · FY2023
segment: Body care products (business line); revenue: 87.0
Document: S2, annual report, FY2024, 2025-04-09, audited, katjes-2024-annual-report.pdf
Page: 74
Quote: "Body care products 90.4 87.0"
Status: approved by a named reviewer
Approver: demo reviewer, date not recorded
Proof: https://vanillabonds.com/dossier.html?c=katjes&amp;viewer=1&amp;item=F550</t>
      </text>
    </comment>
    <comment ref="F552" authorId="0" shapeId="0">
      <text>
        <t>F551 · Segment · FY2023
segment: Chocolate (business line); revenue: 59.4
Document: S2, annual report, FY2024, 2025-04-09, audited, katjes-2024-annual-report.pdf
Page: 74
Quote: "Chocolate 57.8 59.4"
Status: approved by a named reviewer
Approver: demo reviewer, date not recorded
Proof: https://vanillabonds.com/dossier.html?c=katjes&amp;viewer=1&amp;item=F551</t>
      </text>
    </comment>
    <comment ref="F553" authorId="0" shapeId="0">
      <text>
        <t>F552 · Segment · FY2023
segment: Seasonals (business line); revenue: 46.7
Document: S2, annual report, FY2024, 2025-04-09, audited, katjes-2024-annual-report.pdf
Page: 74
Quote: "Seasonals 54.7 46.7"
Status: approved by a named reviewer
Approver: demo reviewer, date not recorded
Proof: https://vanillabonds.com/dossier.html?c=katjes&amp;viewer=1&amp;item=F552</t>
      </text>
    </comment>
    <comment ref="F554" authorId="0" shapeId="0">
      <text>
        <t>F553 · Segment · FY2023
segment: Other (business line); revenue: 28.1
Document: S2, annual report, FY2024, 2025-04-09, audited, katjes-2024-annual-report.pdf
Page: 74
Quote: "Other 29.7 28.1"
Status: approved by a named reviewer
Approver: demo reviewer, date not recorded
Proof: https://vanillabonds.com/dossier.html?c=katjes&amp;viewer=1&amp;item=F553</t>
      </text>
    </comment>
    <comment ref="F555" authorId="0" shapeId="0">
      <text>
        <t>F554 · Segment · FY2023
segment: Italy (region); revenue: 115.5
Document: S2, annual report, FY2024, 2025-04-09, audited, katjes-2024-annual-report.pdf
Page: 77
Quote: "Italy 122.8 115.5"
Status: approved by a named reviewer
Approver: demo reviewer, date not recorded
Proof: https://vanillabonds.com/dossier.html?c=katjes&amp;viewer=1&amp;item=F554</t>
      </text>
    </comment>
    <comment ref="F556" authorId="0" shapeId="0">
      <text>
        <t>F555 · Segment · FY2023
segment: Germany (region); revenue: 104.4
Document: S2, annual report, FY2024, 2025-04-09, audited, katjes-2024-annual-report.pdf
Page: 77
Quote: "Germany 106.8 104.4"
Status: approved by a named reviewer
Approver: demo reviewer, date not recorded
Proof: https://vanillabonds.com/dossier.html?c=katjes&amp;viewer=1&amp;item=F555</t>
      </text>
    </comment>
    <comment ref="F557" authorId="0" shapeId="0">
      <text>
        <t>F556 · Segment · FY2023
segment: UK (region); revenue: 15.1
Document: S2, annual report, FY2024, 2025-04-09, audited, katjes-2024-annual-report.pdf
Page: 77
Quote: "UK 18.7 15.1"
Status: approved by a named reviewer
Approver: demo reviewer, date not recorded
Proof: https://vanillabonds.com/dossier.html?c=katjes&amp;viewer=1&amp;item=F556</t>
      </text>
    </comment>
    <comment ref="F558" authorId="0" shapeId="0">
      <text>
        <t>F557 · Segment · FY2023
segment: Netherlands (region); revenue: 16.5
Document: S2, annual report, FY2024, 2025-04-09, audited, katjes-2024-annual-report.pdf
Page: 77
Quote: "Netherlands 16.1 16.5"
Status: approved by a named reviewer
Approver: demo reviewer, date not recorded
Proof: https://vanillabonds.com/dossier.html?c=katjes&amp;viewer=1&amp;item=F557</t>
      </text>
    </comment>
    <comment ref="F559" authorId="0" shapeId="0">
      <text>
        <t>F558 · Segment · FY2023
segment: Other EU countries + Switzerland (region); revenue: 107.8
Document: S2, annual report, FY2024, 2025-04-09, audited, katjes-2024-annual-report.pdf
Page: 77
Quote: "Other EU countries + Switzerland 107.4 107.8"
Status: approved by a named reviewer
Approver: demo reviewer, date not recorded
Proof: https://vanillabonds.com/dossier.html?c=katjes&amp;viewer=1&amp;item=F558</t>
      </text>
    </comment>
    <comment ref="F560" authorId="0" shapeId="0">
      <text>
        <t>F559 · Segment · FY2023
segment: Non-EU countries (region); revenue: 18.1
Document: S2, annual report, FY2024, 2025-04-09, audited, katjes-2024-annual-report.pdf
Page: 77
Quote: "Non-EU countries 20.8 18.1"
Status: approved by a named reviewer
Approver: demo reviewer, date not recorded
Proof: https://vanillabonds.com/dossier.html?c=katjes&amp;viewer=1&amp;item=F559</t>
      </text>
    </comment>
    <comment ref="F561" authorId="0" shapeId="0">
      <text>
        <t>F560 · Segment · FY2023
segment: Germany (region, non-current assets); assets: 132.4
Document: S2, annual report, FY2024, 2025-04-09, audited, katjes-2024-annual-report.pdf
Page: 78
Quote: "Germany 141.4 132.4"
Status: approved by a named reviewer
Approver: demo reviewer, date not recorded
Proof: https://vanillabonds.com/dossier.html?c=katjes&amp;viewer=1&amp;item=F560</t>
      </text>
    </comment>
    <comment ref="F562" authorId="0" shapeId="0">
      <text>
        <t>F561 · Segment · FY2023
segment: Italy (region, non-current assets); assets: 94.9
Document: S2, annual report, FY2024, 2025-04-09, audited, katjes-2024-annual-report.pdf
Page: 78
Quote: "Italy 95.6 94.9"
Status: approved by a named reviewer
Approver: demo reviewer, date not recorded
Proof: https://vanillabonds.com/dossier.html?c=katjes&amp;viewer=1&amp;item=F561</t>
      </text>
    </comment>
    <comment ref="F563" authorId="0" shapeId="0">
      <text>
        <t>F562 · Segment · FY2023
segment: Netherlands (region, non-current assets); assets: 71.1
Document: S2, annual report, FY2024, 2025-04-09, audited, katjes-2024-annual-report.pdf
Page: 78
Quote: "Netherlands 72.3 71.1"
Status: approved by a named reviewer
Approver: demo reviewer, date not recorded
Proof: https://vanillabonds.com/dossier.html?c=katjes&amp;viewer=1&amp;item=F562</t>
      </text>
    </comment>
    <comment ref="F564" authorId="0" shapeId="0">
      <text>
        <t>F563 · Segment · FY2023
segment: UK (region, non-current assets); assets: 10.3
Document: S2, annual report, FY2024, 2025-04-09, audited, katjes-2024-annual-report.pdf
Page: 78
Quote: "UK 11.4 10.3"
Status: approved by a named reviewer
Approver: demo reviewer, date not recorded
Proof: https://vanillabonds.com/dossier.html?c=katjes&amp;viewer=1&amp;item=F563</t>
      </text>
    </comment>
    <comment ref="F565" authorId="0" shapeId="0">
      <text>
        <t>F564 · Segment · FY2024
segment: Confectionery (business line); revenue: 160.0
Document: S2, annual report, FY2024, 2025-04-09, audited, katjes-2024-annual-report.pdf
Page: 74
Quote: "Confectionery 160.0 156.2"
Status: approved by a named reviewer
Approver: demo reviewer, date not recorded
Proof: https://vanillabonds.com/dossier.html?c=katjes&amp;viewer=1&amp;item=F564</t>
      </text>
    </comment>
    <comment ref="F566" authorId="0" shapeId="0">
      <text>
        <t>F565 · Segment · FY2024
segment: Body care products (business line); revenue: 90.4
Document: S2, annual report, FY2024, 2025-04-09, audited, katjes-2024-annual-report.pdf
Page: 74
Quote: "Body care products 90.4 87.0"
Status: approved by a named reviewer
Approver: demo reviewer, date not recorded
Proof: https://vanillabonds.com/dossier.html?c=katjes&amp;viewer=1&amp;item=F565</t>
      </text>
    </comment>
    <comment ref="F567" authorId="0" shapeId="0">
      <text>
        <t>F566 · Segment · FY2024
segment: Chocolate (business line); revenue: 57.8
Document: S2, annual report, FY2024, 2025-04-09, audited, katjes-2024-annual-report.pdf
Page: 74
Quote: "Chocolate 57.8 59.4"
Status: approved by a named reviewer
Approver: demo reviewer, date not recorded
Proof: https://vanillabonds.com/dossier.html?c=katjes&amp;viewer=1&amp;item=F566</t>
      </text>
    </comment>
    <comment ref="F568" authorId="0" shapeId="0">
      <text>
        <t>F567 · Segment · FY2024
segment: Seasonals (business line); revenue: 54.7
Document: S2, annual report, FY2024, 2025-04-09, audited, katjes-2024-annual-report.pdf
Page: 74
Quote: "Seasonals 54.7 46.7"
Status: approved by a named reviewer
Approver: demo reviewer, date not recorded
Proof: https://vanillabonds.com/dossier.html?c=katjes&amp;viewer=1&amp;item=F567</t>
      </text>
    </comment>
    <comment ref="F569" authorId="0" shapeId="0">
      <text>
        <t>F568 · Segment · FY2024
segment: Other (business line); revenue: 29.7
Document: S2, annual report, FY2024, 2025-04-09, audited, katjes-2024-annual-report.pdf
Page: 74
Quote: "Other 29.7 28.1"
Status: approved by a named reviewer
Approver: demo reviewer, date not recorded
Proof: https://vanillabonds.com/dossier.html?c=katjes&amp;viewer=1&amp;item=F568</t>
      </text>
    </comment>
    <comment ref="F570" authorId="0" shapeId="0">
      <text>
        <t>F569 · Segment · FY2024
segment: Italy (region, revenue by customer location; CPK not included); revenue: 122.8
Document: S2, annual report, FY2024, 2025-04-09, audited, katjes-2024-annual-report.pdf
Page: 77
Quote: "Italy 122.8 115.5"
Status: approved by a named reviewer
Approver: demo reviewer, date not recorded
Proof: https://vanillabonds.com/dossier.html?c=katjes&amp;viewer=1&amp;item=F569</t>
      </text>
    </comment>
    <comment ref="F571" authorId="0" shapeId="0">
      <text>
        <t>F570 · Segment · FY2024
segment: Germany (region, revenue by customer location; CPK not included); revenue: 106.8
Document: S2, annual report, FY2024, 2025-04-09, audited, katjes-2024-annual-report.pdf
Page: 77
Quote: "Germany 106.8 104.4"
Status: approved by a named reviewer
Approver: demo reviewer, date not recorded
Proof: https://vanillabonds.com/dossier.html?c=katjes&amp;viewer=1&amp;item=F570</t>
      </text>
    </comment>
    <comment ref="F572" authorId="0" shapeId="0">
      <text>
        <t>F571 · Segment · FY2024
segment: UK (region, revenue by customer location; CPK not included); revenue: 18.7
Document: S2, annual report, FY2024, 2025-04-09, audited, katjes-2024-annual-report.pdf
Page: 77
Quote: "UK 18.7 15.1"
Status: approved by a named reviewer
Approver: demo reviewer, date not recorded
Proof: https://vanillabonds.com/dossier.html?c=katjes&amp;viewer=1&amp;item=F571</t>
      </text>
    </comment>
    <comment ref="F573" authorId="0" shapeId="0">
      <text>
        <t>F572 · Segment · FY2024
segment: Netherlands (region, revenue by customer location; CPK not included); revenue: 16.1
Document: S2, annual report, FY2024, 2025-04-09, audited, katjes-2024-annual-report.pdf
Page: 77
Quote: "Netherlands 16.1 16.5"
Status: approved by a named reviewer
Approver: demo reviewer, date not recorded
Proof: https://vanillabonds.com/dossier.html?c=katjes&amp;viewer=1&amp;item=F572</t>
      </text>
    </comment>
    <comment ref="F574" authorId="0" shapeId="0">
      <text>
        <t>F573 · Segment · FY2024
segment: Other EU countries + Switzerland (region, revenue by customer location; CPK not included); revenue: 107.4
Document: S2, annual report, FY2024, 2025-04-09, audited, katjes-2024-annual-report.pdf
Page: 77
Quote: "Other EU countries + Switzerland 107.4 107.8"
Status: approved by a named reviewer
Approver: demo reviewer, date not recorded
Proof: https://vanillabonds.com/dossier.html?c=katjes&amp;viewer=1&amp;item=F573</t>
      </text>
    </comment>
    <comment ref="F575" authorId="0" shapeId="0">
      <text>
        <t>F574 · Segment · FY2024
segment: Non-EU countries (region, revenue by customer location; CPK not included); revenue: 20.8
Document: S2, annual report, FY2024, 2025-04-09, audited, katjes-2024-annual-report.pdf
Page: 77
Quote: "Non-EU countries 20.8 18.1"
Status: approved by a named reviewer
Approver: demo reviewer, date not recorded
Proof: https://vanillabonds.com/dossier.html?c=katjes&amp;viewer=1&amp;item=F574</t>
      </text>
    </comment>
    <comment ref="F576" authorId="0" shapeId="0">
      <text>
        <t>F575 · Segment · FY2024
segment: Germany (region, non-current assets); assets: 141.4
Document: S2, annual report, FY2024, 2025-04-09, audited, katjes-2024-annual-report.pdf
Page: 78
Quote: "Germany 141.4 132.4"
Status: approved by a named reviewer
Approver: demo reviewer, date not recorded
Proof: https://vanillabonds.com/dossier.html?c=katjes&amp;viewer=1&amp;item=F575</t>
      </text>
    </comment>
    <comment ref="F577" authorId="0" shapeId="0">
      <text>
        <t>F576 · Segment · FY2024
segment: Italy (region, non-current assets); assets: 95.6
Document: S2, annual report, FY2024, 2025-04-09, audited, katjes-2024-annual-report.pdf
Page: 78
Quote: "Italy 95.6 94.9"
Status: approved by a named reviewer
Approver: demo reviewer, date not recorded
Proof: https://vanillabonds.com/dossier.html?c=katjes&amp;viewer=1&amp;item=F576</t>
      </text>
    </comment>
    <comment ref="F578" authorId="0" shapeId="0">
      <text>
        <t>F577 · Segment · FY2024
segment: Netherlands (region, non-current assets (includes the EUR 65.0m at-equity investment in CPK)); assets: 72.3
Document: S2, annual report, FY2024, 2025-04-09, audited, katjes-2024-annual-report.pdf
Page: 78
Quote: "Netherlands 72.3 71.1"
Status: approved by a named reviewer
Approver: demo reviewer, date not recorded
Proof: https://vanillabonds.com/dossier.html?c=katjes&amp;viewer=1&amp;item=F577</t>
      </text>
    </comment>
    <comment ref="F579" authorId="0" shapeId="0">
      <text>
        <t>F578 · Segment · FY2024
segment: UK (region, non-current assets); assets: 11.4
Document: S2, annual report, FY2024, 2025-04-09, audited, katjes-2024-annual-report.pdf
Page: 78
Quote: "UK 11.4 10.3"
Status: approved by a named reviewer
Approver: demo reviewer, date not recorded
Proof: https://vanillabonds.com/dossier.html?c=katjes&amp;viewer=1&amp;item=F578</t>
      </text>
    </comment>
    <comment ref="F580" authorId="0" shapeId="0">
      <text>
        <t>F579 · Income taxes paid (cash flow statement) · FY2023
Income taxes paid per cash flow statement 2023.
Document: S2, annual report, FY2024, 2025-04-09, audited, katjes-2024-annual-report.pdf
Page: 45
Quote: "Income taxes paid -2.5 -2.5"
Status: approved by a named reviewer
Approver: demo reviewer, date not recorded
Proof: https://vanillabonds.com/dossier.html?c=katjes&amp;viewer=1&amp;item=F579</t>
      </text>
    </comment>
    <comment ref="F581" authorId="0" shapeId="0">
      <text>
        <t>F580 · Income taxes paid (cash flow statement) · FY2024
Income taxes paid per cash flow statement 2024.
Document: S2, annual report, FY2024, 2025-04-09, audited, katjes-2024-annual-report.pdf
Page: 45
Quote: "Income taxes paid -2.5 -2.5"
Status: approved by a named reviewer
Approver: demo reviewer, date not recorded
Proof: https://vanillabonds.com/dossier.html?c=katjes&amp;viewer=1&amp;item=F580</t>
      </text>
    </comment>
    <comment ref="F582" authorId="0" shapeId="0">
      <text>
        <t>F581 · Hedge
instrument: interest rate swap (one at 31 Dec 2024; three at 31 Dec 2023); notional: 3.7 (2023: 6.0); hedged item: rate (rising variable interest); fair value change EUR 0.0m
Document: S2, annual report, FY2024, 2025-04-09, audited, katjes-2024-annual-report.pdf
Page: 65
Quote: "As at 31 December 2024, the Group held one interest rate swap (31 December 2023: three interest rate swaps) with a notional principal amount of EUR 3.7 million (2023: EUR 6.0 million,"
Status: approved by a named reviewer
Approver: demo reviewer, date not recorded
Proof: https://vanillabonds.com/dossier.html?c=katjes&amp;viewer=1&amp;item=F581</t>
      </text>
    </comment>
    <comment ref="H583" authorId="0" shapeId="0">
      <text>
        <t>F582 · Rate structure of the debt
Document: S2, annual report, FY2024, 2025-04-09, audited, katjes-2024-annual-report.pdf
Page: 57
Quote: "The Group is also exposed to interest rate risk arising from fac- toring. This risk is linked to the development of the 3-month and 2-month EURIBOR"
Status: approved by a named reviewer
Approver: demo reviewer, date not recorded
Proof: https://vanillabonds.com/dossier.html?c=katjes&amp;viewer=1&amp;item=F582</t>
      </text>
    </comment>
    <comment ref="F584" authorId="0" shapeId="0">
      <text>
        <t>F583 · Past maturity
instrument: purchase-price liability for the Oral Care production site in Viersen, recognised as financial liability at 31 Dec 2023; amount: 6.4; due: 2024; outcome: repaid in 2024
Document: S2, annual report, FY2024, 2025-04-09, audited, katjes-2024-annual-report.pdf
Page: 60
Quote: "In the previous year, this also included a liability of EUR 6.4 million re- lated to the acquisition of the Oral Care production site."
Status: approved by a named reviewer
Approver: demo reviewer, date not recorded
Proof: https://vanillabonds.com/dossier.html?c=katjes&amp;viewer=1&amp;item=F583</t>
      </text>
    </comment>
    <comment ref="F585" authorId="0" shapeId="0">
      <text>
        <t>F584 · Past maturity
instrument: 2019/2024 corporate bond; amount: 110.0; due: 2024; outcome: refinanced early in September 2023 at 100.5% by the new 2023/2028 bond of EUR 115m at 6.75%
Document: S2, annual report, FY2024, 2025-04-09, audited, katjes-2024-annual-report.pdf
Page: 68
Quote: "vious year, 2023, at 100.5%. To redeem the bond, a new 2023/2028 bond bearing interest at 6.75% was issued in Sep- tember 2023."
Status: approved by a named reviewer
Approver: demo reviewer, date not recorded
Proof: https://vanillabonds.com/dossier.html?c=katjes&amp;viewer=1&amp;item=F584</t>
      </text>
    </comment>
    <comment ref="F586" authorId="0" shapeId="0">
      <text>
        <t>F585 · Past maturity
instrument: 2020 liquidity-support bank loan, largely secured by a government guarantee (not from a promotional bank); amount: 5.0; outcome: repaid, EUR 0.0m at 31 Dec 2024
Document: S2, annual report, FY2024, 2025-04-09, audited, katjes-2024-annual-report.pdf
Page: 68
Quote: "Included in the liabilities to banks was a loan granted in 2020 as part of liquidity support measures (total amount: EUR 5.0 million; as of 31 December 2024: EUR 0.0 million)."
Status: approved by a named reviewer
Approver: demo reviewer, date not recorded
Proof: https://vanillabonds.com/dossier.html?c=katjes&amp;viewer=1&amp;item=F585</t>
      </text>
    </comment>
    <comment ref="H587" authorId="0" shapeId="0">
      <text>
        <t>F586 · Stated strategy
Document: S2, annual report, FY2024, 2025-04-09, audited, katjes-2024-annual-report.pdf
Page: 23
Quote: "Katjes International also sees itself as a carve-out investor, acquiring business units from large"
Status: approved by a named reviewer
Approver: demo reviewer, date not recorded
Proof: https://vanillabonds.com/dossier.html?c=katjes&amp;viewer=1&amp;item=F586</t>
      </text>
    </comment>
    <comment ref="H588" authorId="0" shapeId="0">
      <text>
        <t>F587 · Stated strategy
Document: S2, annual report, FY2024, 2025-04-09, audited, katjes-2024-annual-report.pdf
Page: 23
Quote: "Following an acquisition, the port- folio companies remain legally and organizationally indepen- dent and retain their local management."
Status: approved by a named reviewer
Approver: demo reviewer, date not recorded
Proof: https://vanillabonds.com/dossier.html?c=katjes&amp;viewer=1&amp;item=F587</t>
      </text>
    </comment>
    <comment ref="H589" authorId="0" shapeId="0">
      <text>
        <t>F588 · Stated strategy
Document: S2, annual report, FY2024, 2025-04-09, audited, katjes-2024-annual-report.pdf
Page: 38
Quote: "Katjes International will continue to pursue its proven strategy in 2025. This includes promoting the organic growth of its subsidiaries, pursuing further investments with a focus on strong brands"
Status: approved by a named reviewer
Approver: demo reviewer, date not recorded
Note on file: text: company wording put in quotation marks (reviewer, 20 Oct 2026)
Proof: https://vanillabonds.com/dossier.html?c=katjes&amp;viewer=1&amp;item=F588</t>
      </text>
    </comment>
    <comment ref="H590" authorId="0" shapeId="0">
      <text>
        <t>F589 · Financial policy, stated and revealed
Document: S2, annual report, FY2024, 2025-04-09, audited, katjes-2024-annual-report.pdf
Page: 30
Quote: "Katjes International generally uses corporate bonds as its pre- ferred instrument to finance acquisitions."
Status: approved by a named reviewer
Approver: demo reviewer, date not recorded
Proof: https://vanillabonds.com/dossier.html?c=katjes&amp;viewer=1&amp;item=F589</t>
      </text>
    </comment>
    <comment ref="H591" authorId="0" shapeId="0">
      <text>
        <t>F590 · Financial policy, stated and revealed
Document: S2, annual report, FY2024, 2025-04-09, audited, katjes-2024-annual-report.pdf
Page: 30
Quote: "The Company primarily finances its ongoing operations through internal financing, factoring, bank loans, and available credit lines."
Status: approved by a named reviewer
Approver: demo reviewer, date not recorded
Proof: https://vanillabonds.com/dossier.html?c=katjes&amp;viewer=1&amp;item=F590</t>
      </text>
    </comment>
    <comment ref="H592" authorId="0" shapeId="0">
      <text>
        <t>F591 · Financial policy, stated and revealed
Document: S2, annual report, FY2024, 2025-04-09, audited, katjes-2024-annual-report.pdf
Page: 30
Quote: "To hedge against potential interest rate risks, the Compa- ny uses derivatives (interest rate swaps) to the extent deemed appropriate from a risk management perspective."
Status: approved by a named reviewer
Approver: demo reviewer, date not recorded
Proof: https://vanillabonds.com/dossier.html?c=katjes&amp;viewer=1&amp;item=F591</t>
      </text>
    </comment>
    <comment ref="H593" authorId="0" shapeId="0">
      <text>
        <t>F592 · Financial policy, stated and revealed
Document: S2, annual report, FY2024, 2025-04-09, audited, katjes-2024-annual-report.pdf
Page: 57
Quote: "The Group manages this risk by entering into supplier agreements, which typically have terms ranging from 3 to 24 months."
Status: approved by a named reviewer
Approver: demo reviewer, date not recorded
Proof: https://vanillabonds.com/dossier.html?c=katjes&amp;viewer=1&amp;item=F592</t>
      </text>
    </comment>
    <comment ref="F594" authorId="0" shapeId="0">
      <text>
        <t>F593 · Financial policy, stated and revealed
item: leverage target; stated: capital monitored on net debt / total capital (net debt = total financial liabilities less cash); realised: 43% at end-2024 and end-2023; year: 2024
Document: S2, annual report, FY2024, 2025-04-09, audited, katjes-2024-annual-report.pdf
Page: 60
Quote: "Leverage ratio 43% 43%"
Status: approved by a named reviewer
Approver: demo reviewer, date not recorded
Proof: https://vanillabonds.com/dossier.html?c=katjes&amp;viewer=1&amp;item=F593</t>
      </text>
    </comment>
    <comment ref="H595" authorId="0" shapeId="0">
      <text>
        <t>F594 · Insurance
Document: S2, annual report, FY2024, 2025-04-09, audited, katjes-2024-annual-report.pdf
Page: 37
Quote: "In addition, insurance policies are in place to cover potential damages."
Status: approved by a named reviewer
Approver: demo reviewer, date not recorded
Proof: https://vanillabonds.com/dossier.html?c=katjes&amp;viewer=1&amp;item=F594</t>
      </text>
    </comment>
    <comment ref="H596" authorId="0" shapeId="0">
      <text>
        <t>F595 · Insurance
Document: S2, annual report, FY2024, 2025-04-09, audited, katjes-2024-annual-report.pdf
Page: 58
Quote: "In certain cases, credit insurance is also taken out for receivables."
Status: approved by a named reviewer
Approver: demo reviewer, date not recorded
Proof: https://vanillabonds.com/dossier.html?c=katjes&amp;viewer=1&amp;item=F595</t>
      </text>
    </comment>
    <comment ref="F597" authorId="0" shapeId="0">
      <text>
        <t>F596 · Remuneration as disclosed in the filed accounts · FY2024
person or body: general partner Xaver Fassin International GmbH (total remuneration paid to the management); amount: 0.3; year: 2024 (2023: 0.3); remuneration of executive bodies beyond this is not disclosed under section 286 (4) HGB
Document: S2, annual report, FY2024, 2025-04-09, audited, katjes-2024-annual-report.pdf
Page: 80
Quote: "*Remuneration paid to the general partner."
Status: approved by a named reviewer
Approver: demo reviewer, date not recorded
Proof: https://vanillabonds.com/dossier.html?c=katjes&amp;viewer=1&amp;item=F596</t>
      </text>
    </comment>
    <comment ref="H598" authorId="0" shapeId="0">
      <text>
        <t>F597 · Plan claim as a variable
Document: S2, annual report, FY2024, 2025-04-09, audited, katjes-2024-annual-report.pdf
Page: 38
Quote: "International is targeting an EBITDA margin between 9% and 10% in 2025."
Status: approved by a named reviewer
Approver: demo reviewer, date not recorded
Proof: https://vanillabonds.com/dossier.html?c=katjes&amp;viewer=1&amp;item=F597</t>
      </text>
    </comment>
    <comment ref="F599" authorId="0" shapeId="0">
      <text>
        <t>F598 · Plan claim as a variable
variable: average EBITDA margin (mid-term goal); value: at least 0.10; year: mid-term; source: management forecast report
Document: S2, annual report, FY2024, 2025-04-09, audited, katjes-2024-annual-report.pdf
Page: 38
Quote: "The mid-term goal remains to sustainably achieve an average EBITDA margin of at least 10%."
Status: approved by a named reviewer
Approver: demo reviewer, date not recorded
Proof: https://vanillabonds.com/dossier.html?c=katjes&amp;viewer=1&amp;item=F598</t>
      </text>
    </comment>
    <comment ref="F600" authorId="0" shapeId="0">
      <text>
        <t>F599 · Security asset
asset: land, land rights and buildings incl. buildings on third-party land; book value: 68.5 (2023: 70.2); encumbrance: not stated
Document: S2, annual report, FY2024, 2025-04-09, audited, katjes-2024-annual-report.pdf
Page: 84
Quote: "4.Land, land rights and buildings, including buildings on third-party land 84.7 1.0 0.0 0.0 85.7 14.4 2.7 0.0 17.2 68.5 70.2"
Status: approved by a named reviewer
Approver: demo reviewer, date not recorded
Proof: https://vanillabonds.com/dossier.html?c=katjes&amp;viewer=1&amp;item=F599</t>
      </text>
    </comment>
    <comment ref="F601" authorId="0" shapeId="0">
      <text>
        <t>F600 · Security asset
asset: technical equipment and machinery, other equipment, operating and office equipment; book value: 46.9 (2023: 49.5); encumbrance: not stated
Document: S2, annual report, FY2024, 2025-04-09, audited, katjes-2024-annual-report.pdf
Page: 84
Quote: "114.6 5.1 0.5 -1.6 118.6 65.1 7.1 -0.5 71.7 46.9 49.5"
Status: approved by a named reviewer
Approver: demo reviewer, date not recorded
Proof: https://vanillabonds.com/dossier.html?c=katjes&amp;viewer=1&amp;item=F600</t>
      </text>
    </comment>
    <comment ref="F602" authorId="0" shapeId="0">
      <text>
        <t>F601 · Appraisal
asset: Piasten brand; date: 2014 (initial consolidation); method: relief-from-royalty, royalty 2.0%, discount 7.5%, 40-year life; value: 6.0
Document: S2, annual report, FY2024, 2025-04-09, audited, katjes-2024-annual-report.pdf
Page: 62
Quote: "The assumed royalty was 2.0%. The discount rate was 7.5% and the useful life was 40 years. The brand value calculated using this method amounted to EUR 6.0 million."
Status: approved by a named reviewer
Approver: demo reviewer, date not recorded
Proof: https://vanillabonds.com/dossier.html?c=katjes&amp;viewer=1&amp;item=F601</t>
      </text>
    </comment>
    <comment ref="F603" authorId="0" shapeId="0">
      <text>
        <t>F602 · Appraisal
asset: Harlekĳntjes brand; date: 2016 (initial consolidation); method: relief-from-royalty, royalty 6.0%, discount 6.3%, indefinite life; value: 4.9
Document: S2, annual report, FY2024, 2025-04-09, audited, katjes-2024-annual-report.pdf
Page: 62
Quote: "The assumed royalty is 6.0%. The discount rate is 6.3%. The useful life is indefinite due to the strength of the brand. The brand value calculated using this method amounted to EUR 4.9 million."
Status: approved by a named reviewer
Approver: demo reviewer, date not recorded
Proof: https://vanillabonds.com/dossier.html?c=katjes&amp;viewer=1&amp;item=F602</t>
      </text>
    </comment>
    <comment ref="F604" authorId="0" shapeId="0">
      <text>
        <t>F603 · Appraisal
asset: Sperlari brands; date: 2017 (initial consolidation); appraiser: not named (purchase price allocation); method: relief-from-royalty, royalty 3.5%, discount rate 6.4%, 40-year life; value: 22.9
Document: S2, annual report, FY2024, 2025-04-09, audited, katjes-2024-annual-report.pdf
Page: 63
Quote: "The assumed royalty was 3.5% and the discount rate was 6.4%. The useful life is 40 years. The brand value calculated using this method amounted to EUR 22.9 million."
Status: approved by a named reviewer
Approver: demo reviewer, date not recorded
Proof: https://vanillabonds.com/dossier.html?c=katjes&amp;viewer=1&amp;item=F603</t>
      </text>
    </comment>
    <comment ref="F605" authorId="0" shapeId="0">
      <text>
        <t>F604 · Appraisal
asset: oral care brands (Theramed, Vademecum, Antica Erboristeria, Licor del Polo, Denivit); date: 2022 (initial consolidation); method: relief-from-royalty, royalty 4.0%, discount 5.7%, 40-year life; value: 23.8
Document: S2, annual report, FY2024, 2025-04-09, audited, katjes-2024-annual-report.pdf
Page: 63
Quote: "sumed royalty was 4.0% and the discount rate was 5.7%. The useful life is 40 years. The brand value calculated using this me- thod amounted to EUR 23.8 million."
Status: approved by a named reviewer
Approver: demo reviewer, date not recorded
Proof: https://vanillabonds.com/dossier.html?c=katjes&amp;viewer=1&amp;item=F604</t>
      </text>
    </comment>
    <comment ref="F606" authorId="0" shapeId="0">
      <text>
        <t>F605 · Appraisal
asset: Bübchen brand; date: 2021 (initial consolidation); method: relief-from-royalty, royalty 4.0%, discount 5.0%, 40-year life; value: 22.5
Document: S2, annual report, FY2024, 2025-04-09, audited, katjes-2024-annual-report.pdf
Page: 63
Quote: "count rate was 5.0%. The useful life is 40 years. The brand va- lue calculated using this method amounted to EUR 22.5 million."
Status: approved by a named reviewer
Approver: demo reviewer, date not recorded
Proof: https://vanillabonds.com/dossier.html?c=katjes&amp;viewer=1&amp;item=F605</t>
      </text>
    </comment>
    <comment ref="F607" authorId="0" shapeId="0">
      <text>
        <t>F606 · Appraisal
asset: Candy Kittens brand; date: 2021 (initial consolidation); method: relief-from-royalty, royalty 6%, discount 8.3%, indefinite life; value: 9.8
Document: S2, annual report, FY2024, 2025-04-09, audited, katjes-2024-annual-report.pdf
Page: 63
Quote: "The useful life is indefinite due to the strength of the brand. The brand value calculated using this method amounted to EUR 9.8 million."
Status: approved by a named reviewer
Approver: demo reviewer, date not recorded
Proof: https://vanillabonds.com/dossier.html?c=katjes&amp;viewer=1&amp;item=F606</t>
      </text>
    </comment>
    <comment ref="F608" authorId="0" shapeId="0">
      <text>
        <t>F607 · Appraisal
asset: Dallmann’s brand; date: 2012 (initial consolidation); method: relief-from-royalty, royalty 9.5%, discount 8.4%, indefinite life; value: 7.7
Document: S2, annual report, FY2024, 2025-04-09, audited, katjes-2024-annual-report.pdf
Page: 63
Quote: "brand. The brand value calculated using this method amounted to EUR 7.7 million."
Status: approved by a named reviewer
Approver: demo reviewer, date not recorded
Proof: https://vanillabonds.com/dossier.html?c=katjes&amp;viewer=1&amp;item=F607</t>
      </text>
    </comment>
    <comment ref="F609" authorId="0" shapeId="0">
      <text>
        <t>F608 · Appraisal
asset: Dulcioliva brand; date: 2021 (initial consolidation); method: relief-from-royalty, royalty 5.0%, discount 4.0%, 40-year life; value: 7.6
Document: S2, annual report, FY2024, 2025-04-09, audited, katjes-2024-annual-report.pdf
Page: 63
Quote: "count rate was 4.0%. The useful life is 40 years. The brand va- lue calculated using this method amounted to EUR 7.6 million."
Status: approved by a named reviewer
Approver: demo reviewer, date not recorded
Proof: https://vanillabonds.com/dossier.html?c=katjes&amp;viewer=1&amp;item=F608</t>
      </text>
    </comment>
    <comment ref="F610" authorId="0" shapeId="0">
      <text>
        <t>F609 · Appraisal
asset: Paluani brand; date: 2022 (initial consolidation); method: relief-from-royalty, royalty 3.5%, discount 5.9%, 40-year life; value: 7.1
Document: S2, annual report, FY2024, 2025-04-09, audited, katjes-2024-annual-report.pdf
Page: 63
Quote: "count rate was 5.9%. The useful life is 40 years. The brand va- lue calculated using this method amounted to EUR 7.1 million."
Status: approved by a named reviewer
Approver: demo reviewer, date not recorded
Proof: https://vanillabonds.com/dossier.html?c=katjes&amp;viewer=1&amp;item=F609</t>
      </text>
    </comment>
    <comment ref="H611" authorId="0" shapeId="0">
      <text>
        <t>F610 · Litigation, insolvency, fine or tax dispute
Document: S2, annual report, FY2024, 2025-04-09, audited, katjes-2024-annual-report.pdf
Page: 75
Quote: "it also includes income from a legal case that was decided in the Group’s favor."
Status: approved by a named reviewer
Approver: demo reviewer, date not recorded
Proof: https://vanillabonds.com/dossier.html?c=katjes&amp;viewer=1&amp;item=F610</t>
      </text>
    </comment>
    <comment ref="H612" authorId="0" shapeId="0">
      <text>
        <t>F611 · Litigation, insolvency, fine or tax dispute
Document: S2, annual report, FY2024, 2025-04-09, audited, katjes-2024-annual-report.pdf
Page: 79
Quote: "not involved as a defendant in current or foreseeable legal or arbitration proceedings that could have a significant influence"
Status: approved by a named reviewer
Approver: demo reviewer, date not recorded
Proof: https://vanillabonds.com/dossier.html?c=katjes&amp;viewer=1&amp;item=F611</t>
      </text>
    </comment>
    <comment ref="H613" authorId="0" shapeId="0">
      <text>
        <t>F612 · ESG fact
Document: S2, annual report, FY2024, 2025-04-09, audited, katjes-2024-annual-report.pdf
Page: 13
Quote: "by using a flowpack 100% recyclable into paper."
Status: approved by a named reviewer
Approver: demo reviewer, date not recorded
Proof: https://vanillabonds.com/dossier.html?c=katjes&amp;viewer=1&amp;item=F612</t>
      </text>
    </comment>
    <comment ref="F614" authorId="0" shapeId="0">
      <text>
        <t>F613 · ESG fact
item: labour (apprentices); value: average of 22 apprentices; year: 2024; source: management report 4.4
Document: S2, annual report, FY2024, 2025-04-09, audited, katjes-2024-annual-report.pdf
Page: 32
Quote: "In 2024, Katjes International also employed an average of 22 apprentices."
Status: approved by a named reviewer
Approver: demo reviewer, date not recorded
Proof: https://vanillabonds.com/dossier.html?c=katjes&amp;viewer=1&amp;item=F613</t>
      </text>
    </comment>
    <comment ref="H615" authorId="0" shapeId="0">
      <text>
        <t>F614 · ESG fact
Document: S2, annual report, FY2024, 2025-04-09, audited, katjes-2024-annual-report.pdf
Page: 32
Quote: "As a family-owned company with a strong medium-sized busi- ness character, sustainable action is an integral part of Katjes International’s corporate identity."
Status: approved by a named reviewer
Approver: demo reviewer, date not recorded
Proof: https://vanillabonds.com/dossier.html?c=katjes&amp;viewer=1&amp;item=F614</t>
      </text>
    </comment>
    <comment ref="H616" authorId="0" shapeId="0">
      <text>
        <t>F615 · Instrument term
Document: S2, annual report, FY2024, 2025-04-09, audited, katjes-2024-annual-report.pdf
Page: 45
Quote: "Repayment of the 2019/2024 bond (EUR 110 million) / issue of the 2023/2028 bond (EUR 115 million)"
Status: approved by a named reviewer
Approver: demo reviewer, date not recorded
Proof: https://vanillabonds.com/dossier.html?c=katjes&amp;viewer=1&amp;item=F615</t>
      </text>
    </comment>
    <comment ref="F617" authorId="0" shapeId="0">
      <text>
        <t>F616 · Instrument term
term: fair value at 31 Dec 2024 (level II); value: EUR 123.7m against carrying amount 115.0
Document: S2, annual report, FY2024, 2025-04-09, audited, katjes-2024-annual-report.pdf
Page: 64
Quote: "Liabilities from the issuance of a bond2 115.0 123.7**"
Status: approved by a named reviewer
Approver: demo reviewer, date not recorded
Proof: https://vanillabonds.com/dossier.html?c=katjes&amp;viewer=1&amp;item=F616</t>
      </text>
    </comment>
    <comment ref="F618" authorId="0" shapeId="0">
      <text>
        <t>F617 · Instrument term
term: coupon / rate type; value: 6.75% fixed (2023/2028 corporate bond, EUR 115m)
Document: S2, annual report, FY2024, 2025-04-09, audited, katjes-2024-annual-report.pdf
Page: 68
Quote: "Due to strong investor demand, the total volume of the new bond amounted to EUR 115 million."
Status: approved by a named reviewer
Approver: demo reviewer, date not recorded
Proof: https://vanillabonds.com/dossier.html?c=katjes&amp;viewer=1&amp;item=F617</t>
      </text>
    </comment>
    <comment ref="H619" authorId="0" shapeId="0">
      <text>
        <t>F618 · Legal name
Document: S3, annual report, FY2025, 2026-04-02, audited, katjes-2025-annual-report.pdf
Page: 44
Quote: "Katjes International GmbH &amp; Co. KG (“Katjes International”, “the Company”) is a limited partnership established under the laws of the Federal Republic of Germany"
Status: approved by a named reviewer
Approver: demo reviewer, date not recorded
Proof: https://vanillabonds.com/dossier.html?c=katjes&amp;viewer=1&amp;item=F618</t>
      </text>
    </comment>
    <comment ref="H620" authorId="0" shapeId="0">
      <text>
        <t>F619 · Legal form
Document: S3, annual report, FY2025, 2026-04-02, audited, katjes-2025-annual-report.pdf
Page: 44
Quote: "Company”) is a limited partnership established under the laws of the Federal Republic of Germany, with its registered office in Emmerich am Rhein."
Status: approved by a named reviewer
Approver: demo reviewer, date not recorded
Proof: https://vanillabonds.com/dossier.html?c=katjes&amp;viewer=1&amp;item=F619</t>
      </text>
    </comment>
    <comment ref="H621" authorId="0" shapeId="0">
      <text>
        <t>F620 · Commercial register / registration no.
Document: S3, annual report, FY2025, 2026-04-02, audited, katjes-2025-annual-report.pdf
Page: 44
Quote: "It is registered under commercial register number HRA 1076 in the commercial register of the Local Court of Kleve."
Status: approved by a named reviewer
Approver: demo reviewer, date not recorded
Proof: https://vanillabonds.com/dossier.html?c=katjes&amp;viewer=1&amp;item=F620</t>
      </text>
    </comment>
    <comment ref="H622" authorId="0" shapeId="0">
      <text>
        <t>F621 · Founded
Document: S3, annual report, FY2025, 2026-04-02, audited, katjes-2025-annual-report.pdf
Page: 9
Quote: "was established in 2011 from predecessor entities and, together with its two independent and legally separate sister companies"
Status: approved by a named reviewer
Approver: demo reviewer, date not recorded
Proof: https://vanillabonds.com/dossier.html?c=katjes&amp;viewer=1&amp;item=F621</t>
      </text>
    </comment>
    <comment ref="H623" authorId="0" shapeId="0">
      <text>
        <t>F622 · Registered office
Document: S3, annual report, FY2025, 2026-04-02, audited, katjes-2025-annual-report.pdf
Page: 44
Quote: "Dechant-Sprünken-Str. 53–57 46446 Emmerich am Rhein Germany"
Status: approved by a named reviewer
Approver: demo reviewer, date not recorded
Proof: https://vanillabonds.com/dossier.html?c=katjes&amp;viewer=1&amp;item=F622</t>
      </text>
    </comment>
    <comment ref="H624" authorId="0" shapeId="0">
      <text>
        <t>F623 · Country of incorporation (ISO-2)
Document: S3, annual report, FY2025, 2026-04-02, audited, katjes-2025-annual-report.pdf
Page: 44
Quote: "established under the laws of the Federal Republic of Germany, with its registered office in Emmerich am Rhein."
Status: approved by a named reviewer
Approver: demo reviewer, date not recorded
Proof: https://vanillabonds.com/dossier.html?c=katjes&amp;viewer=1&amp;item=F623</t>
      </text>
    </comment>
    <comment ref="H625" authorId="0" shapeId="0">
      <text>
        <t>F624 · Sector
Document: S3, annual report, FY2025, 2026-04-02, audited, katjes-2025-annual-report.pdf
Page: 77
Quote: "brand holding that, through its portfolio companies, develops and distributes consumer goods brands with a focus on confectionery, personal care and body care products as well as lifestyle"
Status: approved by a named reviewer
Approver: demo reviewer, date not recorded
Proof: https://vanillabonds.com/dossier.html?c=katjes&amp;viewer=1&amp;item=F624</t>
      </text>
    </comment>
    <comment ref="H626" authorId="0" shapeId="0">
      <text>
        <t>F625 · Sites / countries of operation
Document: S3, annual report, FY2025, 2026-04-02, audited, katjes-2025-annual-report.pdf
Page: 21
Quote: "In the financial year 2025, Katjes International was primarily active through its investments in Germany, Italy, Switzerland, Austria, the United Kingdom, France, the Netherlands and Spain."
Status: approved by a named reviewer
Approver: demo reviewer, date not recorded
Proof: https://vanillabonds.com/dossier.html?c=katjes&amp;viewer=1&amp;item=F625</t>
      </text>
    </comment>
    <comment ref="F627" authorId="0" shapeId="0">
      <text>
        <t>F626 · Employees (FTE, period end) · FY2024
Average number of employees 2024 (not period end): 1,097, of which 692 in Germany
Document: S3, annual report, FY2025, 2026-04-02, audited, katjes-2025-annual-report.pdf
Page: 44
Quote: "In the financial year 2025, the Group employed an average of 1,648 employees (2024: 1,097), of which 1,137 were employed in Germany (2024: 692)"
Status: approved by a named reviewer
Approver: demo reviewer, date not recorded
Proof: https://vanillabonds.com/dossier.html?c=katjes&amp;viewer=1&amp;item=F626</t>
      </text>
    </comment>
    <comment ref="F628" authorId="0" shapeId="0">
      <text>
        <t>F627 · Employees (FTE, period end) · FY2025
Average number of employees 2025 (not period end): 1,648, of which 1,137 in Germany
Document: S3, annual report, FY2025, 2026-04-02, audited, katjes-2025-annual-report.pdf
Page: 44
Quote: "In the financial year 2025, the Group employed an average of 1,648 employees (2024: 1,097), of which 1,137 were employed in Germany (2024: 692)"
Status: approved by a named reviewer
Approver: demo reviewer, date not recorded
Proof: https://vanillabonds.com/dossier.html?c=katjes&amp;viewer=1&amp;item=F627</t>
      </text>
    </comment>
    <comment ref="H629" authorId="0" shapeId="0">
      <text>
        <t>F628 · Ownership / UBO
Document: S3, annual report, FY2025, 2026-04-02, audited, katjes-2025-annual-report.pdf
Page: 67
Quote: "Limited partner Bastian Fassin 0.9 0.9 Limited partner Tobias Bachmüller 0.1 0.1"
Status: approved by a named reviewer
Approver: demo reviewer, date not recorded
Proof: https://vanillabonds.com/dossier.html?c=katjes&amp;viewer=1&amp;item=F628</t>
      </text>
    </comment>
    <comment ref="H630" authorId="0" shapeId="0">
      <text>
        <t>F629 · Auditor
Document: S3, annual report, FY2025, 2026-04-02, audited, katjes-2025-annual-report.pdf
Page: 91
Quote: "Köln, April 2, 2026 EY GmbH &amp; Co. KG Wirtschaftsprüfungsgesellschaft"
Status: approved by a named reviewer
Approver: demo reviewer, date not recorded
Proof: https://vanillabonds.com/dossier.html?c=katjes&amp;viewer=1&amp;item=F629</t>
      </text>
    </comment>
    <comment ref="H631" authorId="0" shapeId="0">
      <text>
        <t>F630 · Audit opinion · FY2025
Document: S3, annual report, FY2025, 2026-04-02, audited, katjes-2025-annual-report.pdf
Page: 88
Quote: "the accompanying consolidated financial statements comply, in all material respects, with the IFRS Accounting Standards as issued by the International Accounting Standards Board"
Status: approved by a named reviewer
Approver: demo reviewer, date not recorded
Proof: https://vanillabonds.com/dossier.html?c=katjes&amp;viewer=1&amp;item=F630</t>
      </text>
    </comment>
    <comment ref="H632" authorId="0" shapeId="0">
      <text>
        <t>F631 · Accounting standard
Document: S3, annual report, FY2025, 2026-04-02, audited, katjes-2025-annual-report.pdf
Page: 45
Quote: "have been prepared in accordance with IFRS Accounting Standards (IFRS) as adopted by the European Union and the supplementary provisions of German commercial law pursuant to Section 315e (1) HGB"
Status: approved by a named reviewer
Approver: demo reviewer, date not recorded
Proof: https://vanillabonds.com/dossier.html?c=katjes&amp;viewer=1&amp;item=F631</t>
      </text>
    </comment>
    <comment ref="H633" authorId="0" shapeId="0">
      <text>
        <t>F632 · Fiscal year end
Document: S3, annual report, FY2025, 2026-04-02, audited, katjes-2025-annual-report.pdf
Page: 88
Quote: "for the fiscal year from 1 January 2025 to 31 December 2025"
Status: approved by a named reviewer
Approver: demo reviewer, date not recorded
Proof: https://vanillabonds.com/dossier.html?c=katjes&amp;viewer=1&amp;item=F632</t>
      </text>
    </comment>
    <comment ref="H634" authorId="0" shapeId="0">
      <text>
        <t>F633 · Business fact
Document: S3, annual report, FY2025, 2026-04-02, audited, katjes-2025-annual-report.pdf
Page: 18
Quote: "The present consolidated financial statements relate exclusively to Katjes International and its portfolio companies."
Status: approved by a named reviewer
Approver: demo reviewer, date not recorded
Proof: https://vanillabonds.com/dossier.html?c=katjes&amp;viewer=1&amp;item=F633</t>
      </text>
    </comment>
    <comment ref="H635" authorId="0" shapeId="0">
      <text>
        <t>F634 · Business fact
Document: S3, annual report, FY2025, 2026-04-02, audited, katjes-2025-annual-report.pdf
Page: 25
Quote: "Accordingly, the gross margin of 27.4% was above the pri- or-year level (2024: 25.2%)."
Status: approved by a named reviewer
Approver: demo reviewer, date not recorded
Proof: https://vanillabonds.com/dossier.html?c=katjes&amp;viewer=1&amp;item=F634</t>
      </text>
    </comment>
    <comment ref="H636" authorId="0" shapeId="0">
      <text>
        <t>F635 · Business fact
Document: S3, annual report, FY2025, 2026-04-02, audited, katjes-2025-annual-report.pdf
Page: 25
Quote: "Sugar confectionery accounted for 34.8% (prior year: 40.8%)"
Status: approved by a named reviewer
Approver: demo reviewer, date not recorded
Proof: https://vanillabonds.com/dossier.html?c=katjes&amp;viewer=1&amp;item=F635</t>
      </text>
    </comment>
    <comment ref="H637" authorId="0" shapeId="0">
      <text>
        <t>F636 · Business fact
Document: S3, annual report, FY2025, 2026-04-02, audited, katjes-2025-annual-report.pdf
Page: 34
Quote: "Raw material price risks are largely monitored as part of joint procurement activities with Katjes Germany"
Status: approved by a named reviewer
Approver: demo reviewer, date not recorded
Proof: https://vanillabonds.com/dossier.html?c=katjes&amp;viewer=1&amp;item=F636</t>
      </text>
    </comment>
    <comment ref="F638" authorId="0" shapeId="0">
      <text>
        <t>F637 · Business fact
Interest paid EUR 17.8m in 2025 (2024: 12.8) per cash flow statement; interest expenses corporate bond 9.5 (7.8), banks 3.6 (4.2).
Document: S3, annual report, FY2025, 2026-04-02, audited, katjes-2025-annual-report.pdf
Page: 42
Quote: "Interest paid 7.4 -17.8 -12.8"
Status: approved by a named reviewer
Approver: demo reviewer, date not recorded
Proof: https://vanillabonds.com/dossier.html?c=katjes&amp;viewer=1&amp;item=F637</t>
      </text>
    </comment>
    <comment ref="F639" authorId="0" shapeId="0">
      <text>
        <t>F638 · Business fact
48 fully consolidated entities at 31 Dec 2025 (32 in Germany, 16 abroad) versus 32 in 2024 (23 / 9).
Document: S3, annual report, FY2025, 2026-04-02, audited, katjes-2025-annual-report.pdf
Page: 46
Quote: "Germany 32 23 Other countries 16 9 Total 48 32"
Status: approved by a named reviewer
Approver: demo reviewer, date not recorded
Proof: https://vanillabonds.com/dossier.html?c=katjes&amp;viewer=1&amp;item=F638</t>
      </text>
    </comment>
    <comment ref="H640" authorId="0" shapeId="0">
      <text>
        <t>F639 · Business fact
Document: S3, annual report, FY2025, 2026-04-02, audited, katjes-2025-annual-report.pdf
Page: 47
Quote: "Closing rate USD as at December 31, 2025: 1.18, average rate 2025: 1.17"
Status: approved by a named reviewer
Approver: demo reviewer, date not recorded
Proof: https://vanillabonds.com/dossier.html?c=katjes&amp;viewer=1&amp;item=F639</t>
      </text>
    </comment>
    <comment ref="F641" authorId="0" shapeId="0">
      <text>
        <t>F640 · Business fact
Brands recognised under intangible assets carried at EUR 214.9m at 31 Dec 2025 (2024: 108.0); goodwill only 0.3.
Document: S3, annual report, FY2025, 2026-04-02, audited, katjes-2025-annual-report.pdf
Page: 61
Quote: "The total carrying amount of brands recognised under intangible assets amounted to EUR 214.9 million as at December 31, 2025 (December 31, 2024: EUR 108.0 million)."
Status: approved by a named reviewer
Approver: demo reviewer, date not recorded
Proof: https://vanillabonds.com/dossier.html?c=katjes&amp;viewer=1&amp;item=F640</t>
      </text>
    </comment>
    <comment ref="F642" authorId="0" shapeId="0">
      <text>
        <t>F641 · Business fact
Current provisions EUR 33.5m at 31 Dec 2025 (2024: 19.1): outstanding invoices 13.6, returns 8.8, personnel 6.5, other 4.6; 13.2 added via initial consolidation.
Document: S3, annual report, FY2025, 2026-04-02, audited, katjes-2025-annual-report.pdf
Page: 73
Quote: "Total 19.1 -26.0 13.2 29.7 -2.5 33.5"
Status: approved by a named reviewer
Approver: demo reviewer, date not recorded
Proof: https://vanillabonds.com/dossier.html?c=katjes&amp;viewer=1&amp;item=F641</t>
      </text>
    </comment>
    <comment ref="F643" authorId="0" shapeId="0">
      <text>
        <t>F642 · Business fact
Personnel expenses EUR 94.3m in 2025 (2024: 73.8), increase mainly from the Bogner consolidation; marketing expenses 26.0 (16.0).
Document: S3, annual report, FY2025, 2026-04-02, audited, katjes-2025-annual-report.pdf
Page: 74
Quote: "Wages and salaries 74.6 57.9 Social security 16.8 13.1 Post-employment costs 2.3 1.8 Other personnel expenses 0.6 1.0 Total 94.3 73.8"
Status: approved by a named reviewer
Approver: demo reviewer, date not recorded
Proof: https://vanillabonds.com/dossier.html?c=katjes&amp;viewer=1&amp;item=F642</t>
      </text>
    </comment>
    <comment ref="F644" authorId="0" shapeId="0">
      <text>
        <t>F643 · Business fact
Other operating result EUR 60.9m in 2025 (2024: 6.7): other operating income 61.5 (badwill 35.1, CPK gain 20.1, provision releases 2.7, JV results 1.3, other 2.3) less other operating expenses 0.6.
Document: S3, annual report, FY2025, 2026-04-02, audited, katjes-2025-annual-report.pdf
Page: 75
Quote: "Income from the reversal of provisi- ons 2.7 1.6 Share of results of Joint Ventures 1.3 0.0 Other 2.3 5.4 Total 61.5 7.0"
Status: approved by a named reviewer
Approver: demo reviewer, date not recorded
Proof: https://vanillabonds.com/dossier.html?c=katjes&amp;viewer=1&amp;item=F643</t>
      </text>
    </comment>
    <comment ref="H645" authorId="0" shapeId="0">
      <text>
        <t>F644 · Key event (M&amp;A, financing, strategy)
Document: S3, annual report, FY2025, 2026-04-02, audited, katjes-2025-annual-report.pdf
Page: 5
Quote: "With the signing of the agreement on March 3, 2026, the foundation was laid for the acquisition of approximately 27% of Missoni S.p.A. Closing is expected in the second quarter of the current year."
Status: approved by a named reviewer
Approver: demo reviewer, date not recorded
Proof: https://vanillabonds.com/dossier.html?c=katjes&amp;viewer=1&amp;item=F644</t>
      </text>
    </comment>
    <comment ref="H646" authorId="0" shapeId="0">
      <text>
        <t>F645 · Key event (M&amp;A, financing, strategy)
Document: S3, annual report, FY2025, 2026-04-02, audited, katjes-2025-annual-report.pdf
Page: 5
Quote: "successfully launched a premium beauty line at the beginning of the second quarter of 2025"
Status: approved by a named reviewer
Approver: demo reviewer, date not recorded
Proof: https://vanillabonds.com/dossier.html?c=katjes&amp;viewer=1&amp;item=F645</t>
      </text>
    </comment>
    <comment ref="H647" authorId="0" shapeId="0">
      <text>
        <t>F646 · Key event (M&amp;A, financing, strategy)
Document: S3, annual report, FY2025, 2026-04-02, audited, katjes-2025-annual-report.pdf
Page: 5
Quote: "launched the sale of products under the brand “Shades by Niko” in the United Kingdom in May."
Status: approved by a named reviewer
Approver: demo reviewer, date not recorded
Proof: https://vanillabonds.com/dossier.html?c=katjes&amp;viewer=1&amp;item=F646</t>
      </text>
    </comment>
    <comment ref="F648" authorId="0" shapeId="0">
      <text>
        <t>F647 · Key event (M&amp;A, financing, strategy)
The 2023/2028 bond was increased by EUR 70m in August 2025 to fund the Bogner acquisition; net inflow after transaction costs 68.4.
Document: S3, annual report, FY2025, 2026-04-02, audited, katjes-2025-annual-report.pdf
Page: 42
Quote: "Increase of the 2023/2028 bond, net of transaction costs 68.4 0.0"
Status: approved by a named reviewer
Approver: demo reviewer, date not recorded
Proof: https://vanillabonds.com/dossier.html?c=katjes&amp;viewer=1&amp;item=F647</t>
      </text>
    </comment>
    <comment ref="H649" authorId="0" shapeId="0">
      <text>
        <t>F648 · Key event (M&amp;A, financing, strategy)
Document: S3, annual report, FY2025, 2026-04-02, audited, katjes-2025-annual-report.pdf
Page: 45
Quote: "The financial year-end of the Bogner entities, which have been part of Katjes International since September 1, 2025, was changed from March 31"
Status: approved by a named reviewer
Approver: demo reviewer, date not recorded
Proof: https://vanillabonds.com/dossier.html?c=katjes&amp;viewer=1&amp;item=F648</t>
      </text>
    </comment>
    <comment ref="F650" authorId="0" shapeId="0">
      <text>
        <t>F649 · Key event (M&amp;A, financing, strategy)
On September 1, 2025 Katjes Quiet Luxury GmbH acquired 60% of Willy Bogner GmbH; the Bogner family keeps 40%; cash outflow EUR 61.2m.
Document: S3, annual report, FY2025, 2026-04-02, audited, katjes-2025-annual-report.pdf
Page: 53
Quote: "acquired 60% of the shares and thus a majority stake in Willy Bogner GmbH (“Bogner Group”, “Bogner entities”, “Bogner”). The remaining 40% of the shares continue to be held by the Bogner family."
Status: approved by a named reviewer
Approver: demo reviewer, date not recorded
Proof: https://vanillabonds.com/dossier.html?c=katjes&amp;viewer=1&amp;item=F649</t>
      </text>
    </comment>
    <comment ref="F651" authorId="0" shapeId="0">
      <text>
        <t>F650 · Key event (M&amp;A, financing, strategy)
In Q4 2025 the 23% equity-accounted stake in CPK S.A.S., Paris was sold under tag-along rights for slightly more than EUR 80m (cash flow statement: 81.9) with a gain of about EUR 20m before transaction costs.
Document: S3, annual report, FY2025, 2026-04-02, audited, katjes-2025-annual-report.pdf
Page: 53
Quote: "In the fourth quarter of 2025, the 23% minority interest in the French company CPK, accounted for using the equity method, was sold."
Status: approved by a named reviewer
Approver: demo reviewer, date not recorded
Proof: https://vanillabonds.com/dossier.html?c=katjes&amp;viewer=1&amp;item=F650</t>
      </text>
    </comment>
    <comment ref="H652" authorId="0" shapeId="0">
      <text>
        <t>F651 · Key event (M&amp;A, financing, strategy)
Document: S3, annual report, FY2025, 2026-04-02, audited, katjes-2025-annual-report.pdf
Page: 81
Quote: "Kingdom, acquired 100% of the shares in Nature Delivered Ltd. (“Graze”) from Unilever as planned. The related agreements were signed in December 2025."
Status: approved by a named reviewer
Approver: demo reviewer, date not recorded
Proof: https://vanillabonds.com/dossier.html?c=katjes&amp;viewer=1&amp;item=F651</t>
      </text>
    </comment>
    <comment ref="F653" authorId="0" shapeId="0">
      <text>
        <t>F652 · Revenue · FY2021
Rounded chart value from the At a glance sales development series
Document: S3, annual report, FY2025, 2026-04-02, audited, katjes-2025-annual-report.pdf
Page: 7
Quote: "255 295 377 393 2021 2022 2023 2024 2025 503"
Status: approved by a named reviewer
Approver: demo reviewer, date not recorded
Proof: https://vanillabonds.com/dossier.html?c=katjes&amp;viewer=1&amp;item=F652</t>
      </text>
    </comment>
    <comment ref="F654" authorId="0" shapeId="0">
      <text>
        <t>F653 · Revenue · FY2022
Rounded chart value from the At a glance sales development series
Document: S3, annual report, FY2025, 2026-04-02, audited, katjes-2025-annual-report.pdf
Page: 7
Quote: "255 295 377 393 2021 2022 2023 2024 2025 503"
Status: approved by a named reviewer
Approver: demo reviewer, date not recorded
Proof: https://vanillabonds.com/dossier.html?c=katjes&amp;viewer=1&amp;item=F653</t>
      </text>
    </comment>
    <comment ref="F655" authorId="0" shapeId="0">
      <text>
        <t>F654 · Revenue · FY2023
Rounded chart value from the At a glance sales development series (2021-2025: 255, 295, 377, 393, 503)
Document: S3, annual report, FY2025, 2026-04-02, audited, katjes-2025-annual-report.pdf
Page: 7
Quote: "255 295 377 393 2021 2022 2023 2024 2025 503"
Status: approved by a named reviewer
Approver: demo reviewer, date not recorded
Proof: https://vanillabonds.com/dossier.html?c=katjes&amp;viewer=1&amp;item=F654</t>
      </text>
    </comment>
    <comment ref="F656" authorId="0" shapeId="0">
      <text>
        <t>F655 · Revenue · FY2024
Group revenue 2024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https://vanillabonds.com/dossier.html?c=katjes&amp;viewer=1&amp;item=F655</t>
      </text>
    </comment>
    <comment ref="F657" authorId="0" shapeId="0">
      <text>
        <t>F656 · Revenue · FY2025
Group revenue 2025 per consolidated income statement
Document: S3, annual report, FY2025, 2026-04-02, audited, katjes-2025-annual-report.pdf
Page: 37
Quote: "Revenue 7.1 503.0 392.6"
Status: approved by a named reviewer
Approver: demo reviewer, date not recorded
Proof: https://vanillabonds.com/dossier.html?c=katjes&amp;viewer=1&amp;item=F656</t>
      </text>
    </comment>
    <comment ref="F658" authorId="0" shapeId="0">
      <text>
        <t>F657 · EBITDA (as reported) · FY2021
Rounded chart value from the At a glance EBITDA series
Document: S3, annual report, FY2025, 2026-04-02, audited, katjes-2025-annual-report.pdf
Page: 7
Quote: "41 37 23 2021 2022 2023 2024 2025 45 99"
Status: extracted, pending review
Approver: none yet
Note on file: conflict: S1·p7 17.0 vs S3·p7 41.0; primary per fact agent: open - no audited statement on file carries FY2021 EBITDA, and the chart text layers in S1 p7, S2 p7 and S3 p7 list bar values without a year for …
Proof: https://vanillabonds.com/dossier.html?c=katjes&amp;viewer=1&amp;item=F657</t>
      </text>
    </comment>
    <comment ref="F659" authorId="0" shapeId="0">
      <text>
        <t>F658 · EBITDA (as reported) · FY2022
Rounded chart value from the At a glance EBITDA series
Document: S3, annual report, FY2025, 2026-04-02, audited, katjes-2025-annual-report.pdf
Page: 7
Quote: "41 37 23 2021 2022 2023 2024 2025 45 99"
Status: approved by a named reviewer
Approver: demo reviewer, date not recorded
Proof: https://vanillabonds.com/dossier.html?c=katjes&amp;viewer=1&amp;item=F658</t>
      </text>
    </comment>
    <comment ref="F660" authorId="0" shapeId="0">
      <text>
        <t>F659 · EBITDA (as reported) · FY2023
Rounded chart value from the At a glance EBITDA series (2021-2025: 41, 37, 23, 45, 99)
Document: S3, annual report, FY2025, 2026-04-02, audited, katjes-2025-annual-report.pdf
Page: 7
Quote: "41 37 23 2021 2022 2023 2024 2025 45 99"
Status: extracted, pending review
Approver: none yet
Note on file: conflict: S1·p32 40.8 vs S2·p29 40.8 vs S3·p7 23.0; primary per fact agent: S2 p29 - S2 is the later audited report carrying FY2023 and its comparative equals S1 p32; S3 carries no FY2023 statement, and its 23.0 is a …
Proof: https://vanillabonds.com/dossier.html?c=katjes&amp;viewer=1&amp;item=F659</t>
      </text>
    </comment>
    <comment ref="F661" authorId="0" shapeId="0">
      <text>
        <t>F660 · EBITDA (as reported) · FY2024
EBITDA as reported in the group management report; EBITDA margin 11.4%
Document: S3, annual report, FY2025, 2026-04-02, audited, katjes-2025-annual-report.pdf
Page: 25
Quote: "EBITDA amounted to EUR 98.8 million in the financial year 2025 (2024: EUR 44.8 million)."
Status: approved by a named reviewer
Approver: demo reviewer, date not recorded
Proof: https://vanillabonds.com/dossier.html?c=katjes&amp;viewer=1&amp;item=F660</t>
      </text>
    </comment>
    <comment ref="F662" authorId="0" shapeId="0">
      <text>
        <t>F661 · EBITDA (as reported) · FY2025
EBITDA as reported in the group management report; EBITDA margin 19.7%
Document: S3, annual report, FY2025, 2026-04-02, audited, katjes-2025-annual-report.pdf
Page: 25
Quote: "EBITDA amounted to EUR 98.8 million in the financial year 2025 (2024: EUR 44.8 million)."
Status: approved by a named reviewer
Approver: demo reviewer, date not recorded
Proof: https://vanillabonds.com/dossier.html?c=katjes&amp;viewer=1&amp;item=F661</t>
      </text>
    </comment>
    <comment ref="F663" authorId="0" shapeId="0">
      <text>
        <t>F662 · EBIT / operating result · FY2024
Operating result per consolidated income statement
Document: S3, annual report, FY2025, 2026-04-02, audited, katjes-2025-annual-report.pdf
Page: 37
Quote: "Operating result 71.1 25.0"
Status: approved by a named reviewer
Approver: demo reviewer, date not recorded
Proof: https://vanillabonds.com/dossier.html?c=katjes&amp;viewer=1&amp;item=F662</t>
      </text>
    </comment>
    <comment ref="F664" authorId="0" shapeId="0">
      <text>
        <t>F663 · EBIT / operating result · FY2025
Operating result per consolidated income statement
Document: S3, annual report, FY2025, 2026-04-02, audited, katjes-2025-annual-report.pdf
Page: 37
Quote: "Operating result 71.1 25.0"
Status: approved by a named reviewer
Approver: demo reviewer, date not recorded
Proof: https://vanillabonds.com/dossier.html?c=katjes&amp;viewer=1&amp;item=F663</t>
      </text>
    </comment>
    <comment ref="F665" authorId="0" shapeId="0">
      <text>
        <t>F664 · Net result · FY2024
Earnings after tax; non-controlling interests 0.0
Document: S3, annual report, FY2025, 2026-04-02, audited, katjes-2025-annual-report.pdf
Page: 37
Quote: "Earnings after tax 53.2 3.2"
Status: approved by a named reviewer
Approver: demo reviewer, date not recorded
Proof: https://vanillabonds.com/dossier.html?c=katjes&amp;viewer=1&amp;item=F664</t>
      </text>
    </comment>
    <comment ref="F666" authorId="0" shapeId="0">
      <text>
        <t>F665 · Net result · FY2025
Earnings after tax; of which non-controlling interests 3.1 and attributable to Katjes International 50.1
Document: S3, annual report, FY2025, 2026-04-02, audited, katjes-2025-annual-report.pdf
Page: 37
Quote: "Earnings after tax 53.2 3.2"
Status: approved by a named reviewer
Approver: demo reviewer, date not recorded
Proof: https://vanillabonds.com/dossier.html?c=katjes&amp;viewer=1&amp;item=F665</t>
      </text>
    </comment>
    <comment ref="F667" authorId="0" shapeId="0">
      <text>
        <t>F666 · Depreciation &amp; amortisation · FY2024
Total depreciation/amortisation additions per statement of changes in fixed assets incl. right-of-use assets 4.8 and participation write-down 1.6; cash flow statement lists 10.4 PP&amp;E, 4.8 right-of-use, 4.6 intangibles
Document: S3, annual report, FY2025, 2026-04-02, audited, katjes-2025-annual-report.pdf
Page: 86
Quote: "414.0 31.3 0.0 -1.4 443.9 107.0 20.8 -0.5 127.4 316.4 307.1"
Status: extracted, pending review
Approver: none yet
Note on file: conflict: S2·p74 19.8 vs S3·p86 20.8; primary per fact agent: S2 p74 - S3 does not restate FY2024: its 2024 cash flow lines on p42 (10.4, 4.8, 4.6) are the same as S2's, S3 shows no labelled D&amp;A total for …
Proof: https://vanillabonds.com/dossier.html?c=katjes&amp;viewer=1&amp;item=F666</t>
      </text>
    </comment>
    <comment ref="F668" authorId="0" shapeId="0">
      <text>
        <t>F667 · Depreciation &amp; amortisation · FY2025
Total depreciation/amortisation additions per statement of changes in fixed assets incl. right-of-use assets; cash flow statement lists depreciation of PP&amp;E 11.4, amortisation of right-of-use assets 9.9, amortisation of intangibles 6.3
Document: S3, annual report, FY2025, 2026-04-02, audited, katjes-2025-annual-report.pdf
Page: 85
Quote: "443.9 23.3 -1.1 -65.7 291.1 691.6 127.4 27.2 -1.0 91.8 245.5 446.0 316.4"
Status: approved by a named reviewer
Approver: demo reviewer, date not recorded
Proof: https://vanillabonds.com/dossier.html?c=katjes&amp;viewer=1&amp;item=F667</t>
      </text>
    </comment>
    <comment ref="F669" authorId="0" shapeId="0">
      <text>
        <t>F668 · Net finance cost · FY2024
Financial result -11.6 reported as net finance cost
Document: S3, annual report, FY2025, 2026-04-02, audited, katjes-2025-annual-report.pdf
Page: 37
Quote: "Financial result 7.4 -19.2 -11.6"
Status: approved by a named reviewer
Approver: demo reviewer, date not recorded
Proof: https://vanillabonds.com/dossier.html?c=katjes&amp;viewer=1&amp;item=F668</t>
      </text>
    </comment>
    <comment ref="F670" authorId="0" shapeId="0">
      <text>
        <t>F669 · Net finance cost · FY2025
Financial result -19.2 reported as net finance cost; includes share of loss of Bogner GCA Holding -1.8 and share of profit of CPK 1.8
Document: S3, annual report, FY2025, 2026-04-02, audited, katjes-2025-annual-report.pdf
Page: 37
Quote: "Financial result 7.4 -19.2 -11.6"
Status: approved by a named reviewer
Approver: demo reviewer, date not recorded
Proof: https://vanillabonds.com/dossier.html?c=katjes&amp;viewer=1&amp;item=F669</t>
      </text>
    </comment>
    <comment ref="F671" authorId="0" shapeId="0">
      <text>
        <t>F670 · Cash flow from operating activities · FY2024
Cash flow from operating activities
Document: S3, annual report, FY2025, 2026-04-02, audited, katjes-2025-annual-report.pdf
Page: 42
Quote: "Cash flow from operating activities 19.1 45.6"
Status: approved by a named reviewer
Approver: demo reviewer, date not recorded
Proof: https://vanillabonds.com/dossier.html?c=katjes&amp;viewer=1&amp;item=F670</t>
      </text>
    </comment>
    <comment ref="F672" authorId="0" shapeId="0">
      <text>
        <t>F671 · Cash flow from operating activities · FY2025
Cash flow from operating activities; decrease attributed to inclusion of the Bogner Group and its seasonal working capital
Document: S3, annual report, FY2025, 2026-04-02, audited, katjes-2025-annual-report.pdf
Page: 42
Quote: "Cash flow from operating activities 19.1 45.6"
Status: approved by a named reviewer
Approver: demo reviewer, date not recorded
Proof: https://vanillabonds.com/dossier.html?c=katjes&amp;viewer=1&amp;item=F671</t>
      </text>
    </comment>
    <comment ref="F673" authorId="0" shapeId="0">
      <text>
        <t>F672 · Capex (PP&amp;E + intangibles) · FY2024
Additions at cost to intangible assets (5.2) and property, plant and equipment (13.6) per statement of changes in fixed assets; cash flow statement shows -13.0 PP&amp;E and -4.9 intangibles
Document: S3, annual report, FY2025, 2026-04-02, audited, katjes-2025-annual-report.pdf
Page: 86
Quote: "330.1 18.8 0.0 -1.4 347.5 95.4 14.4 -0.5 109.3 238.2 234.8"
Status: extracted, pending review
Approver: none yet
Note on file: conflict: S2·p45 17.9 vs S3·p86 18.8; primary per fact agent: S3 p42 - S3 is the later audited report; its FY2024 cash flow comparatives (-13.0 and -4.9) are the same lines as S2's, so S2's 17.9 on the cash flow …
Proof: https://vanillabonds.com/dossier.html?c=katjes&amp;viewer=1&amp;item=F672</t>
      </text>
    </comment>
    <comment ref="F674" authorId="0" shapeId="0">
      <text>
        <t>F673 · Capex (PP&amp;E + intangibles) · FY2025
Additions at cost to intangible assets (2.1) and property, plant and equipment (17.5) per statement of changes in fixed assets; cash flow statement shows acquisitions of PP&amp;E -16.6 and intangibles -1.2
Document: S3, annual report, FY2025, 2026-04-02, audited, katjes-2025-annual-report.pdf
Page: 85
Quote: "347.5 19.6 -1.1 -3.8 221.9 584.1 109.3 18.2 -1.0 90.6 217.1 367.0 238.2"
Status: approved by a named reviewer
Approver: demo reviewer, date not recorded
Proof: https://vanillabonds.com/dossier.html?c=katjes&amp;viewer=1&amp;item=F673</t>
      </text>
    </comment>
    <comment ref="F675" authorId="0" shapeId="0">
      <text>
        <t>F674 · Cash &amp; equivalents · FY2023
Cash and cash equivalents at 1 January 2024 per cash flow statement
Document: S3, annual report, FY2025, 2026-04-02, audited, katjes-2025-annual-report.pdf
Page: 42
Quote: "Cash and cash equivalents as at 1 January 54.0 58.4"
Status: approved by a named reviewer
Approver: demo reviewer, date not recorded
Proof: https://vanillabonds.com/dossier.html?c=katjes&amp;viewer=1&amp;item=F674</t>
      </text>
    </comment>
    <comment ref="F676" authorId="0" shapeId="0">
      <text>
        <t>F675 · Cash &amp; equivalents · FY2024
Cash and cash equivalents at 31 Dec 2024
Document: S3, annual report, FY2025, 2026-04-02, audited, katjes-2025-annual-report.pdf
Page: 39
Quote: "Cash and cash equivalents 6.7 146.8 54.0"
Status: approved by a named reviewer
Approver: demo reviewer, date not recorded
Proof: https://vanillabonds.com/dossier.html?c=katjes&amp;viewer=1&amp;item=F675</t>
      </text>
    </comment>
    <comment ref="F677" authorId="0" shapeId="0">
      <text>
        <t>F676 · Cash &amp; equivalents · FY2025
Cash and cash equivalents at 31 Dec 2025
Document: S3, annual report, FY2025, 2026-04-02, audited, katjes-2025-annual-report.pdf
Page: 39
Quote: "Cash and cash equivalents 6.7 146.8 54.0"
Status: approved by a named reviewer
Approver: demo reviewer, date not recorded
Proof: https://vanillabonds.com/dossier.html?c=katjes&amp;viewer=1&amp;item=F676</t>
      </text>
    </comment>
    <comment ref="F678" authorId="0" shapeId="0">
      <text>
        <t>F677 · Lease liabilities · FY2024
IFRS 16 lease liabilities (non-current 9.5, current 3.7)
Document: S3, annual report, FY2025, 2026-04-02, audited, katjes-2025-annual-report.pdf
Page: 58
Quote: "financial liabilities include lease liabilities in accordance with IFRS 16 in the amount of EUR 74.7 million (2024: EUR 13.2 million)"
Status: approved by a named reviewer
Approver: demo reviewer, date not recorded
Proof: https://vanillabonds.com/dossier.html?c=katjes&amp;viewer=1&amp;item=F677</t>
      </text>
    </comment>
    <comment ref="F679" authorId="0" shapeId="0">
      <text>
        <t>F678 · Lease liabilities · FY2025
IFRS 16 lease liabilities (non-current 58.0, current 16.7)
Document: S3, annual report, FY2025, 2026-04-02, audited, katjes-2025-annual-report.pdf
Page: 58
Quote: "financial liabilities include lease liabilities in accordance with IFRS 16 in the amount of EUR 74.7 million (2024: EUR 13.2 million)"
Status: approved by a named reviewer
Approver: demo reviewer, date not recorded
Proof: https://vanillabonds.com/dossier.html?c=katjes&amp;viewer=1&amp;item=F678</t>
      </text>
    </comment>
    <comment ref="F680" authorId="0" shapeId="0">
      <text>
        <t>F679 · Net debt (as reported) · FY2024
Net debt as reported = financial liabilities 189.4 (incl. lease liabilities 13.2) less cash 54.0
Document: S3, annual report, FY2025, 2026-04-02, audited, katjes-2025-annual-report.pdf
Page: 58
Quote: "Net debt 206.0 135.4"
Status: approved by a named reviewer
Approver: demo reviewer, date not recorded
Proof: https://vanillabonds.com/dossier.html?c=katjes&amp;viewer=1&amp;item=F679</t>
      </text>
    </comment>
    <comment ref="F681" authorId="0" shapeId="0">
      <text>
        <t>F680 · Net debt (as reported) · FY2025
Net debt as reported = financial liabilities 352.8 (incl. lease liabilities 74.7, hire purchase 8.2, option liabilities 7.1, accrued bond interest 3.5) less cash 146.8
Document: S3, annual report, FY2025, 2026-04-02, audited, katjes-2025-annual-report.pdf
Page: 58
Quote: "Net debt 206.0 135.4"
Status: approved by a named reviewer
Approver: demo reviewer, date not recorded
Proof: https://vanillabonds.com/dossier.html?c=katjes&amp;viewer=1&amp;item=F680</t>
      </text>
    </comment>
    <comment ref="F682" authorId="0" shapeId="0">
      <text>
        <t>F681 · Total equity · FY2023
Total equity at 31 Dec 2023 per statement of changes in equity (shareholders 173.0, non-controlling 3.0)
Document: S3, annual report, FY2025, 2026-04-02, audited, katjes-2025-annual-report.pdf
Page: 41
Quote: "As at 31 Dec 2023/ 01 Jan 2024 0.6 2.0 2.0 153.5 10.1 1.2 3.6 0.0 4,8 173.0 3.0 176.0"
Status: approved by a named reviewer
Approver: demo reviewer, date not recorded
Proof: https://vanillabonds.com/dossier.html?c=katjes&amp;viewer=1&amp;item=F681</t>
      </text>
    </comment>
    <comment ref="F683" authorId="0" shapeId="0">
      <text>
        <t>F682 · Total equity · FY2024
Total equity incl. non-controlling interests 1.2; shareholders' equity 175.0; equity ratio 35.9%
Document: S3, annual report, FY2025, 2026-04-02, audited, katjes-2025-annual-report.pdf
Page: 40
Quote: "Total equity 6.8 266.9 176.2"
Status: approved by a named reviewer
Approver: demo reviewer, date not recorded
Proof: https://vanillabonds.com/dossier.html?c=katjes&amp;viewer=1&amp;item=F682</t>
      </text>
    </comment>
    <comment ref="F684" authorId="0" shapeId="0">
      <text>
        <t>F683 · Total equity · FY2025
Total equity incl. non-controlling interests 47.5; shareholders' equity 219.4; equity ratio 32.9%
Document: S3, annual report, FY2025, 2026-04-02, audited, katjes-2025-annual-report.pdf
Page: 40
Quote: "Total equity 6.8 266.9 176.2"
Status: approved by a named reviewer
Approver: demo reviewer, date not recorded
Proof: https://vanillabonds.com/dossier.html?c=katjes&amp;viewer=1&amp;item=F683</t>
      </text>
    </comment>
    <comment ref="F685" authorId="0" shapeId="0">
      <text>
        <t>F684 · Total assets · FY2024
Total assets at 31 Dec 2024
Document: S3, annual report, FY2025, 2026-04-02, audited, katjes-2025-annual-report.pdf
Page: 39
Quote: "Total assets 812.3 491.7"
Status: approved by a named reviewer
Approver: demo reviewer, date not recorded
Proof: https://vanillabonds.com/dossier.html?c=katjes&amp;viewer=1&amp;item=F684</t>
      </text>
    </comment>
    <comment ref="F686" authorId="0" shapeId="0">
      <text>
        <t>F685 · Total assets · FY2025
Total assets at 31 Dec 2025
Document: S3, annual report, FY2025, 2026-04-02, audited, katjes-2025-annual-report.pdf
Page: 39
Quote: "Total assets 812.3 491.7"
Status: approved by a named reviewer
Approver: demo reviewer, date not recorded
Proof: https://vanillabonds.com/dossier.html?c=katjes&amp;viewer=1&amp;item=F685</t>
      </text>
    </comment>
    <comment ref="F687" authorId="0" shapeId="0">
      <text>
        <t>F686 · Debt instrument
Liabilities to banks total EUR 72.0m at 31 Dec 2025 (2024: 50.4) within financial liabilities of 352.8.
Document: S3, annual report, FY2025, 2026-04-02, audited, katjes-2025-annual-report.pdf
Page: 58
Quote: "liabilities to banks in the amount of EUR 72.0 million"
Status: approved by a named reviewer
Approver: demo reviewer, date not recorded
Proof: https://vanillabonds.com/dossier.html?c=katjes&amp;viewer=1&amp;item=F686</t>
      </text>
    </comment>
    <comment ref="F688" authorId="0" shapeId="0">
      <text>
        <t>F687 · Debt instrument
Accrued interest liabilities relating to the bond EUR 3.5m at 31 Dec 2025 (2024: 2.1).
Document: S3, annual report, FY2025, 2026-04-02, audited, katjes-2025-annual-report.pdf
Page: 58
Quote: "as accrued interest liabilities relating to the bond in the amount of EUR 3.5 million (2024: EUR 2.1 million)"
Status: approved by a named reviewer
Approver: demo reviewer, date not recorded
Proof: https://vanillabonds.com/dossier.html?c=katjes&amp;viewer=1&amp;item=F687</t>
      </text>
    </comment>
    <comment ref="F689" authorId="0" shapeId="0">
      <text>
        <t>F688 · Debt instrument
Hire purchase liabilities EUR 8.2m at 31 Dec 2025, of which current 2.4 (2024: 6.7, current 5.5); interest expense hire purchases 0.3.
Document: S3, annual report, FY2025, 2026-04-02, audited, katjes-2025-annual-report.pdf
Page: 58
Quote: "from hire purchase agreements in the amount of EUR 8.2 million (of which current: EUR 2.4 million)"
Status: approved by a named reviewer
Approver: demo reviewer, date not recorded
Proof: https://vanillabonds.com/dossier.html?c=katjes&amp;viewer=1&amp;item=F688</t>
      </text>
    </comment>
    <comment ref="F690" authorId="0" shapeId="0">
      <text>
        <t>F689 · Debt instrument
Liability from the purchase option on the remaining 25% of Dulcioliva EUR 1.6m, fully recognised as exercise probability unchanged.
Document: S3, annual report, FY2025, 2026-04-02, audited, katjes-2025-annual-report.pdf
Page: 58
Quote: "includes the liability arising from the exercise of the purchase option for the remaining 25% of Dulcioliva (EUR 1.6 million)."
Status: approved by a named reviewer
Approver: demo reviewer, date not recorded
Proof: https://vanillabonds.com/dossier.html?c=katjes&amp;viewer=1&amp;item=F689</t>
      </text>
    </comment>
    <comment ref="F691" authorId="0" shapeId="0">
      <text>
        <t>F690 · Debt instrument
Put option granted to Bogner non-controlling shareholders recognised as financial liability of EUR 5.5m since initial consolidation.
Document: S3, annual report, FY2025, 2026-04-02, audited, katjes-2025-annual-report.pdf
Page: 58
Quote: "Since the initial consolidation of Bogner, this item also includes a liability from a put option granted to non-controlling"
Status: approved by a named reviewer
Approver: demo reviewer, date not recorded
Proof: https://vanillabonds.com/dossier.html?c=katjes&amp;viewer=1&amp;item=F690</t>
      </text>
    </comment>
    <comment ref="F692" authorId="0" shapeId="0">
      <text>
        <t>F691 · Debt instrument
2023/2028 corporate bond, 6.75% fixed, issued September 2023 at EUR 115m, increased by EUR 70m in August 2025 to EUR 185.0m outstanding at 31 Dec 2025 (2024: 115.0); interest expense 2025 EUR 9.5m; no ISIN or security stated.
Document: S3, annual report, FY2025, 2026-04-02, audited, katjes-2025-annual-report.pdf
Page: 63
Quote: "Corporate bond 6.75 185.0 115.0"
Status: approved by a named reviewer
Approver: demo reviewer, date not recorded
Proof: https://vanillabonds.com/dossier.html?c=katjes&amp;viewer=1&amp;item=F691</t>
      </text>
    </comment>
    <comment ref="F693" authorId="0" shapeId="0">
      <text>
        <t>F692 · Debt instrument
Bank loan of kEUR 24,000 at 5.6%, EUR 16.8m outstanding at 31 Dec 2025 (2024: 20.9).
Document: S3, annual report, FY2025, 2026-04-02, audited, katjes-2025-annual-report.pdf
Page: 63
Quote: "Bank loan kEUR 24.000 5.6 16.8 20.9"
Status: approved by a named reviewer
Approver: demo reviewer, date not recorded
Proof: https://vanillabonds.com/dossier.html?c=katjes&amp;viewer=1&amp;item=F692</t>
      </text>
    </comment>
    <comment ref="F694" authorId="0" shapeId="0">
      <text>
        <t>F693 · Debt instrument
Bank loan of kEUR 11,700 at 2.9%, EUR 0.0m outstanding at 31 Dec 2025 (2024: 3.7), i.e. repaid in 2025.
Document: S3, annual report, FY2025, 2026-04-02, audited, katjes-2025-annual-report.pdf
Page: 63
Quote: "Bank loan kEUR 11.700 2.9 0.0 3.7"
Status: approved by a named reviewer
Approver: demo reviewer, date not recorded
Proof: https://vanillabonds.com/dossier.html?c=katjes&amp;viewer=1&amp;item=F693</t>
      </text>
    </comment>
    <comment ref="F695" authorId="0" shapeId="0">
      <text>
        <t>F694 · Debt instrument
Revolving line of up to kEUR 40,000 at 6.65%, EUR 16.3m drawn at 31 Dec 2025 (2024: 0.0).
Document: S3, annual report, FY2025, 2026-04-02, audited, katjes-2025-annual-report.pdf
Page: 63
Quote: "Revolving line up kEUR 40.000 6.65 16.3 0.0"
Status: approved by a named reviewer
Approver: demo reviewer, date not recorded
Proof: https://vanillabonds.com/dossier.html?c=katjes&amp;viewer=1&amp;item=F694</t>
      </text>
    </comment>
    <comment ref="F696" authorId="0" shapeId="0">
      <text>
        <t>F695 · Debt instrument
Bank loan of kEUR 5,000 at 4.98%, EUR 3.6m outstanding at 31 Dec 2025 (2024: 5.0).
Document: S3, annual report, FY2025, 2026-04-02, audited, katjes-2025-annual-report.pdf
Page: 63
Quote: "Bank loan kEUR 5.000 4.98 3.6 5.0"
Status: approved by a named reviewer
Approver: demo reviewer, date not recorded
Proof: https://vanillabonds.com/dossier.html?c=katjes&amp;viewer=1&amp;item=F695</t>
      </text>
    </comment>
    <comment ref="F697" authorId="0" shapeId="0">
      <text>
        <t>F696 · Debt instrument
Bank loan of kEUR 5,000 at 8.5%, EUR 1.9m outstanding at 31 Dec 2025 (2024: 3.1).
Document: S3, annual report, FY2025, 2026-04-02, audited, katjes-2025-annual-report.pdf
Page: 63
Quote: "Bank loan kEUR 5.000 8.5 1.9 3.1"
Status: approved by a named reviewer
Approver: demo reviewer, date not recorded
Proof: https://vanillabonds.com/dossier.html?c=katjes&amp;viewer=1&amp;item=F696</t>
      </text>
    </comment>
    <comment ref="F698" authorId="0" shapeId="0">
      <text>
        <t>F697 · Debt instrument
Bank loan of kEUR 3,000 at 2.0%, EUR 0.0m outstanding at 31 Dec 2025 (2024: 0.4).
Document: S3, annual report, FY2025, 2026-04-02, audited, katjes-2025-annual-report.pdf
Page: 63
Quote: "Bank loan kEUR 3.000 2.0 0.0 0.4"
Status: approved by a named reviewer
Approver: demo reviewer, date not recorded
Proof: https://vanillabonds.com/dossier.html?c=katjes&amp;viewer=1&amp;item=F697</t>
      </text>
    </comment>
    <comment ref="F699" authorId="0" shapeId="0">
      <text>
        <t>F698 · Debt instrument
Other loans, variable and fixed rate, EUR 42.8m at 31 Dec 2025 (2024: 24.0).
Document: S3, annual report, FY2025, 2026-04-02, audited, katjes-2025-annual-report.pdf
Page: 63
Quote: "Other loans Variable and fixed 42.8 24.0"
Status: approved by a named reviewer
Approver: demo reviewer, date not recorded
Proof: https://vanillabonds.com/dossier.html?c=katjes&amp;viewer=1&amp;item=F698</t>
      </text>
    </comment>
    <comment ref="F700" authorId="0" shapeId="0">
      <text>
        <t>F699 · Debt instrument
Other financial interest-bearing liabilities, variable and fixed, EUR 82.4m at 31 Dec 2025 (2024: 14.7); per note 6.2 mainly lease liabilities and the option liabilities for Dulcioliva and Bogner minorities.
Document: S3, annual report, FY2025, 2026-04-02, audited, katjes-2025-annual-report.pdf
Page: 63
Quote: "Other financial interest-bearing liabilities Variable and fixed 82.4 14.7"
Status: approved by a named reviewer
Approver: demo reviewer, date not recorded
Proof: https://vanillabonds.com/dossier.html?c=katjes&amp;viewer=1&amp;item=F699</t>
      </text>
    </comment>
    <comment ref="H701" authorId="0" shapeId="0">
      <text>
        <t>F700 · Financial covenant / restriction
Document: S3, annual report, FY2025, 2026-04-02, audited, katjes-2025-annual-report.pdf
Page: 32
Quote: "Under existing financing agreements, certain subsidiaries of Katjes International are required to comply with certain"
Status: approved by a named reviewer
Approver: demo reviewer, date not recorded
Proof: https://vanillabonds.com/dossier.html?c=katjes&amp;viewer=1&amp;item=F700</t>
      </text>
    </comment>
    <comment ref="F702" authorId="0" shapeId="0">
      <text>
        <t>F701 · Risk fact
Operating cash flow fell to 19.1 (2024: 45.6), attributed among other factors to the Bogner Group's strongly seasonal working capital; inventories rose to 97.1 (51.3) and receivables to 100.6 (59.2).
Document: S3, annual report, FY2025, 2026-04-02, audited, katjes-2025-annual-report.pdf
Page: 26
Quote: "In the financial year 2025, cash flow from operating activities amounted to EUR 19.1 million (2024: EUR 45.6 million)"
Status: approved by a named reviewer
Approver: demo reviewer, date not recorded
Proof: https://vanillabonds.com/dossier.html?c=katjes&amp;viewer=1&amp;item=F701</t>
      </text>
    </comment>
    <comment ref="H703" authorId="0" shapeId="0">
      <text>
        <t>F702 · Risk fact
Document: S3, annual report, FY2025, 2026-04-02, audited, katjes-2025-annual-report.pdf
Page: 30
Quote: "Luxury consumer goods are subject to significant risks, but also offer corresponding opportunities."
Status: approved by a named reviewer
Approver: demo reviewer, date not recorded
Proof: https://vanillabonds.com/dossier.html?c=katjes&amp;viewer=1&amp;item=F702</t>
      </text>
    </comment>
    <comment ref="H704" authorId="0" shapeId="0">
      <text>
        <t>F703 · Risk fact
Document: S3, annual report, FY2025, 2026-04-02, audited, katjes-2025-annual-report.pdf
Page: 32
Quote: "is exposed to foreign exchange risks, especially against the US dollar."
Status: approved by a named reviewer
Approver: demo reviewer, date not recorded
Proof: https://vanillabonds.com/dossier.html?c=katjes&amp;viewer=1&amp;item=F703</t>
      </text>
    </comment>
    <comment ref="H705" authorId="0" shapeId="0">
      <text>
        <t>F704 · Risk fact
Document: S3, annual report, FY2025, 2026-04-02, audited, katjes-2025-annual-report.pdf
Page: 32
Quote: "Group companies may be required to repay subsidies or other government grants."
Status: approved by a named reviewer
Approver: demo reviewer, date not recorded
Proof: https://vanillabonds.com/dossier.html?c=katjes&amp;viewer=1&amp;item=F704</t>
      </text>
    </comment>
    <comment ref="H706" authorId="0" shapeId="0">
      <text>
        <t>F705 · Risk fact
Document: S3, annual report, FY2025, 2026-04-02, audited, katjes-2025-annual-report.pdf
Page: 32
Quote: "The success of Katjes International depends on the expertise and experience of key management personnel and qualified employees."
Status: approved by a named reviewer
Approver: demo reviewer, date not recorded
Proof: https://vanillabonds.com/dossier.html?c=katjes&amp;viewer=1&amp;item=F705</t>
      </text>
    </comment>
    <comment ref="H707" authorId="0" shapeId="0">
      <text>
        <t>F706 · Risk fact
Document: S3, annual report, FY2025, 2026-04-02, audited, katjes-2025-annual-report.pdf
Page: 32
Quote: "however, its earnings are primarily dependent on the results of its subsidiaries and portfolio companies."
Status: approved by a named reviewer
Approver: demo reviewer, date not recorded
Proof: https://vanillabonds.com/dossier.html?c=katjes&amp;viewer=1&amp;item=F706</t>
      </text>
    </comment>
    <comment ref="H708" authorId="0" shapeId="0">
      <text>
        <t>F707 · Risk fact
Document: S3, annual report, FY2025, 2026-04-02, audited, katjes-2025-annual-report.pdf
Page: 32
Quote: "A single incident may have serious consequences (e.g. business interruption, data loss)."
Status: approved by a named reviewer
Approver: demo reviewer, date not recorded
Proof: https://vanillabonds.com/dossier.html?c=katjes&amp;viewer=1&amp;item=F707</t>
      </text>
    </comment>
    <comment ref="H709" authorId="0" shapeId="0">
      <text>
        <t>F708 · Risk fact
Document: S3, annual report, FY2025, 2026-04-02, audited, katjes-2025-annual-report.pdf
Page: 32
Quote: "Katjes International assesses the overall risk arising from these"
Status: approved by a named reviewer
Approver: demo reviewer, date not recorded
Proof: https://vanillabonds.com/dossier.html?c=katjes&amp;viewer=1&amp;item=F708</t>
      </text>
    </comment>
    <comment ref="H710" authorId="0" shapeId="0">
      <text>
        <t>F709 · Risk fact
Document: S3, annual report, FY2025, 2026-04-02, audited, katjes-2025-annual-report.pdf
Page: 33
Quote: "However, further developments in the Russia-Ukraine war and the security situation in the Middle East remain of importance"
Status: approved by a named reviewer
Approver: demo reviewer, date not recorded
Proof: https://vanillabonds.com/dossier.html?c=katjes&amp;viewer=1&amp;item=F709</t>
      </text>
    </comment>
    <comment ref="F711" authorId="0" shapeId="0">
      <text>
        <t>F710 · Risk fact
Trade receivables of EUR 2.1m more than six months past due at 31 Dec 2025, impaired by 0.7; total impairment allowance 1.5 (2024: 0.7); no collateral received.
Document: S3, annual report, FY2025, 2026-04-02, audited, katjes-2025-annual-report.pdf
Page: 66
Quote: "As at the reporting date, trade receivables amounting to EUR 2.1 million were more than six months past due"
Status: approved by a named reviewer
Approver: demo reviewer, date not recorded
Proof: https://vanillabonds.com/dossier.html?c=katjes&amp;viewer=1&amp;item=F710</t>
      </text>
    </comment>
    <comment ref="H712" authorId="0" shapeId="0">
      <text>
        <t>F711 · Risk fact
Document: S3, annual report, FY2025, 2026-04-02, audited, katjes-2025-annual-report.pdf
Page: 81
Quote: "On February 28, 2026, the United States and Israel initiated a military conflict with Iran."
Status: approved by a named reviewer
Approver: demo reviewer, date not recorded
Proof: https://vanillabonds.com/dossier.html?c=katjes&amp;viewer=1&amp;item=F711</t>
      </text>
    </comment>
    <comment ref="H713" authorId="0" shapeId="0">
      <text>
        <t>F712 · Risk fact
Document: S3, annual report, FY2025, 2026-04-02, audited, katjes-2025-annual-report.pdf
Page: 84
Quote: "Bogner Eastern Europe LLC, Moscow, Russia 60 A"
Status: approved by a named reviewer
Approver: demo reviewer, date not recorded
Proof: https://vanillabonds.com/dossier.html?c=katjes&amp;viewer=1&amp;item=F712</t>
      </text>
    </comment>
    <comment ref="H714" authorId="0" shapeId="0">
      <text>
        <t>F713 · Executive
Document: S3, annual report, FY2025, 2026-04-02, audited, katjes-2025-annual-report.pdf
Page: 6
Quote: "STEPHAN MILDE Managing Director (CFO) of Katjes International Career since 2012 – CFO Katjes International before several years in Investment Banking at Deutsche Bank and Citigroup in London"
Status: approved by a named reviewer
Approver: demo reviewer, date not recorded
Proof: https://vanillabonds.com/dossier.html?c=katjes&amp;viewer=1&amp;item=F713</t>
      </text>
    </comment>
    <comment ref="H715" authorId="0" shapeId="0">
      <text>
        <t>F714 · Executive
Document: S3, annual report, FY2025, 2026-04-02, audited, katjes-2025-annual-report.pdf
Page: 6
Quote: "since 2004 – Managing Shareholder of Katjes International until 2003 – Marketing and Sales, Kraft Foods until 2000 – Roland Berger Strategy Consultants"
Status: approved by a named reviewer
Approver: demo reviewer, date not recorded
Proof: https://vanillabonds.com/dossier.html?c=katjes&amp;viewer=1&amp;item=F714</t>
      </text>
    </comment>
    <comment ref="H716" authorId="0" shapeId="0">
      <text>
        <t>F715 · Executive
Document: S3, annual report, FY2025, 2026-04-02, audited, katjes-2025-annual-report.pdf
Page: 6
Quote: "since 1996 – Managing Shareholder of Katjes International until 1995 – General Manager, Kraft Foods (Milka) until 1992 – Principal, The Boston Consulting Group"
Status: approved by a named reviewer
Approver: demo reviewer, date not recorded
Proof: https://vanillabonds.com/dossier.html?c=katjes&amp;viewer=1&amp;item=F715</t>
      </text>
    </comment>
    <comment ref="F717" authorId="0" shapeId="0">
      <text>
        <t>F716 · Revenue as budgeted for that year (management plan at the time) · FY2025
Guidance for 2025 was Group revenue of at least EUR 400m; actual 503.0
Document: S3, annual report, FY2025, 2026-04-02, audited, katjes-2025-annual-report.pdf
Page: 35
Quote: "Group revenue of at least EUR 400 million for the financial year 2025 in its guidance."
Status: approved by a named reviewer
Approver: demo reviewer, date not recorded
Proof: https://vanillabonds.com/dossier.html?c=katjes&amp;viewer=1&amp;item=F716</t>
      </text>
    </comment>
    <comment ref="F718" authorId="0" shapeId="0">
      <text>
        <t>F717 · Revenue as budgeted for that year (management plan at the time) · FY2026E
Guidance for 2026: revenue of more than EUR 650m (management forecast, status rep)
Document: S3, annual report, FY2025, 2026-04-02, audited, katjes-2025-annual-report.pdf
Page: 35
Quote: "For the financial year 2026, the Company expects revenue of more than EUR 650 million."
Status: approved by a named reviewer
Approver: demo reviewer, date not recorded
Proof: https://vanillabonds.com/dossier.html?c=katjes&amp;viewer=1&amp;item=F717</t>
      </text>
    </comment>
    <comment ref="H719" authorId="0" shapeId="0">
      <text>
        <t>F718 · Covenant test
Document: S3, annual report, FY2025, 2026-04-02, audited, katjes-2025-annual-report.pdf
Page: 34
Quote: "Compliance with existing covenants is ensured through"
Status: approved by a named reviewer
Approver: demo reviewer, date not recorded
Proof: https://vanillabonds.com/dossier.html?c=katjes&amp;viewer=1&amp;item=F718</t>
      </text>
    </comment>
    <comment ref="H720" authorId="0" shapeId="0">
      <text>
        <t>F719 · Acquisition / disposal
Document: S3, annual report, FY2025, 2026-04-02, audited, katjes-2025-annual-report.pdf
Page: 12
Quote: "With the acquisition of the operating business of Paluani S.p.A. on August 1, 2022, Sperlari took a further strategic step"
Status: approved by a named reviewer
Approver: demo reviewer, date not recorded
Proof: https://vanillabonds.com/dossier.html?c=katjes&amp;viewer=1&amp;item=F719</t>
      </text>
    </comment>
    <comment ref="H721" authorId="0" shapeId="0">
      <text>
        <t>F720 · Acquisition / disposal
Document: S3, annual report, FY2025, 2026-04-02, audited, katjes-2025-annual-report.pdf
Page: 19
Quote: "Since May 2020 Bübchen, the market leader in the baby &amp; kids body care segment in Germany"
Status: approved by a named reviewer
Approver: demo reviewer, date not recorded
Proof: https://vanillabonds.com/dossier.html?c=katjes&amp;viewer=1&amp;item=F720</t>
      </text>
    </comment>
    <comment ref="H722" authorId="0" shapeId="0">
      <text>
        <t>F721 · Acquisition / disposal
Document: S3, annual report, FY2025, 2026-04-02, audited, katjes-2025-annual-report.pdf
Page: 19
Quote: "Since December 2022, the Oral Care business acquired from Henkel"
Status: approved by a named reviewer
Approver: demo reviewer, date not recorded
Proof: https://vanillabonds.com/dossier.html?c=katjes&amp;viewer=1&amp;item=F721</t>
      </text>
    </comment>
    <comment ref="H723" authorId="0" shapeId="0">
      <text>
        <t>F722 · Acquisition / disposal
Document: S3, annual report, FY2025, 2026-04-02, audited, katjes-2025-annual-report.pdf
Page: 19
Quote: "holds approximately 88% of the shares in the UK-based Candy Kittens and 75% of the shares in the Italian company Dulcioliva, with the option to acquire the remaining 25%."
Status: approved by a named reviewer
Approver: demo reviewer, date not recorded
Proof: https://vanillabonds.com/dossier.html?c=katjes&amp;viewer=1&amp;item=F722</t>
      </text>
    </comment>
    <comment ref="H724" authorId="0" shapeId="0">
      <text>
        <t>F723 · Acquisition / disposal
Document: S3, annual report, FY2025, 2026-04-02, audited, katjes-2025-annual-report.pdf
Page: 19
Quote: "Since November 2023, Naturale Antica Erboristeria (N.A.E.), an additional brand in the body care segment, has been part of Katjes International."
Status: approved by a named reviewer
Approver: demo reviewer, date not recorded
Proof: https://vanillabonds.com/dossier.html?c=katjes&amp;viewer=1&amp;item=F723</t>
      </text>
    </comment>
    <comment ref="H725" authorId="0" shapeId="0">
      <text>
        <t>F724 · Acquisition / disposal
Document: S3, annual report, FY2025, 2026-04-02, audited, katjes-2025-annual-report.pdf
Page: 19
Quote: "In April 2024, the cosmetics brand Barnängen was acquired"
Status: approved by a named reviewer
Approver: demo reviewer, date not recorded
Proof: https://vanillabonds.com/dossier.html?c=katjes&amp;viewer=1&amp;item=F724</t>
      </text>
    </comment>
    <comment ref="H726" authorId="0" shapeId="0">
      <text>
        <t>F725 · Acquisition / disposal
Document: S3, annual report, FY2025, 2026-04-02, audited, katjes-2025-annual-report.pdf
Page: 19
Quote: "In Italy, Sperlari has been part of Katjes International since 2017."
Status: approved by a named reviewer
Approver: demo reviewer, date not recorded
Proof: https://vanillabonds.com/dossier.html?c=katjes&amp;viewer=1&amp;item=F725</t>
      </text>
    </comment>
    <comment ref="H727" authorId="0" shapeId="0">
      <text>
        <t>F726 · Acquisition / disposal
Document: S3, annual report, FY2025, 2026-04-02, audited, katjes-2025-annual-report.pdf
Page: 19
Quote: "In 2024, a joint venture was established with entrepreneur and musician Shirin David, in which Katjes International holds 50%."
Status: approved by a named reviewer
Approver: demo reviewer, date not recorded
Proof: https://vanillabonds.com/dossier.html?c=katjes&amp;viewer=1&amp;item=F726</t>
      </text>
    </comment>
    <comment ref="F728" authorId="0" shapeId="0">
      <text>
        <t>F727 · Acquisition / disposal
Bogner: 60% of Willy Bogner GmbH, 2025, cash outflow 61.2, funded by the EUR 70m bond tap; acquired financial liabilities 98.9, cash 33.2, intangibles 113.0 (brand 112.5), NCI 40.8 at fair value (full goodwill method); badwill 35.1 'mainly resulted from the competitive situation in the acquisition process'; Bogner 2025 revenue approximately 200 and profitable.
Document: S3, annual report, FY2025, 2026-04-02, audited, katjes-2025-annual-report.pdf
Page: 53
Quote: "In connection with the acquisition of the assets, cash outflows amounted to EUR 61.2 million."
Status: approved by a named reviewer
Approver: demo reviewer, date not recorded
Proof: https://vanillabonds.com/dossier.html?c=katjes&amp;viewer=1&amp;item=F727</t>
      </text>
    </comment>
    <comment ref="F729" authorId="0" shapeId="0">
      <text>
        <t>F728 · Acquisition / disposal
CPK S.A.S. (France): disposal of the 23% equity-accounted stake, 2025, proceeds slightly above 80 (81.9 per cash flow), gain 20.1 recognised in other operating income; at-equity carrying amount fell from 65.0 to 4.3.
Document: S3, annual report, FY2025, 2026-04-02, audited, katjes-2025-annual-report.pdf
Page: 53
Quote: "As expected, cash inflows of slightly more than EUR 80 million were realised. At the same time, the disposal of the investment resulted in a gain of approximately EUR 20 million."
Status: approved by a named reviewer
Approver: demo reviewer, date not recorded
Proof: https://vanillabonds.com/dossier.html?c=katjes&amp;viewer=1&amp;item=F728</t>
      </text>
    </comment>
    <comment ref="H730" authorId="0" shapeId="0">
      <text>
        <t>F729 · Board, independent members, group structure, related-party flows, dividends
Document: S3, annual report, FY2025, 2026-04-02, audited, katjes-2025-annual-report.pdf
Page: 27
Quote: "the equity ratio remained at a solid level of 32.9% (December 31, 2024: 35.9%)."
Status: approved by a named reviewer
Approver: demo reviewer, date not recorded
Proof: https://vanillabonds.com/dossier.html?c=katjes&amp;viewer=1&amp;item=F729</t>
      </text>
    </comment>
    <comment ref="H731" authorId="0" shapeId="0">
      <text>
        <t>F730 · Board, independent members, group structure, related-party flows, dividends
Document: S3, annual report, FY2025, 2026-04-02, audited, katjes-2025-annual-report.pdf
Page: 34
Quote: "the advisory board meets several times a year with management to discuss and critically review the strategy and operational business of Katjes International."
Status: approved by a named reviewer
Approver: demo reviewer, date not recorded
Proof: https://vanillabonds.com/dossier.html?c=katjes&amp;viewer=1&amp;item=F730</t>
      </text>
    </comment>
    <comment ref="H732" authorId="0" shapeId="0">
      <text>
        <t>F731 · Board, independent members, group structure, related-party flows, dividends
Document: S3, annual report, FY2025, 2026-04-02, audited, katjes-2025-annual-report.pdf
Page: 44
Quote: "The general partner (personally liable partner) of the Company is Xaver Fassin International GmbH, whose shareholders are Bastian Fassin and Tobias Bachmüller."
Status: approved by a named reviewer
Approver: demo reviewer, date not recorded
Proof: https://vanillabonds.com/dossier.html?c=katjes&amp;viewer=1&amp;item=F731</t>
      </text>
    </comment>
    <comment ref="H733" authorId="0" shapeId="0">
      <text>
        <t>F732 · Board, independent members, group structure, related-party flows, dividends
Document: S3, annual report, FY2025, 2026-04-02, audited, katjes-2025-annual-report.pdf
Page: 44
Quote: "In accordance with Section 2 of the partnership agreement dated November 22, 2024"
Status: approved by a named reviewer
Approver: demo reviewer, date not recorded
Proof: https://vanillabonds.com/dossier.html?c=katjes&amp;viewer=1&amp;item=F732</t>
      </text>
    </comment>
    <comment ref="F734" authorId="0" shapeId="0">
      <text>
        <t>F733 · Board, independent members, group structure, related-party flows, dividends
Non-controlling interests of EUR 47.5m at 31 Dec 2025 (2024: 1.2) relate mainly to the Bogner Group minorities, plus Candy Kittens, Longaim and Tuckshop minorities; the Bogner put option was recognised in equity.
Document: S3, annual report, FY2025, 2026-04-02, audited, katjes-2025-annual-report.pdf
Page: 67
Quote: "Non-controlling interests relate to the minority interests in the Bogner Group"
Status: approved by a named reviewer
Approver: demo reviewer, date not recorded
Proof: https://vanillabonds.com/dossier.html?c=katjes&amp;viewer=1&amp;item=F733</t>
      </text>
    </comment>
    <comment ref="F735" authorId="0" shapeId="0">
      <text>
        <t>F734 · Board, independent members, group structure, related-party flows, dividends
Auditor fees recognised 2025 EUR 0.7m (audit services 0.6, other services 0.1; 2024: 0.5), of which 0.2 for foreign subsidiaries.
Document: S3, annual report, FY2025, 2026-04-02, audited, katjes-2025-annual-report.pdf
Page: 75
Quote: "Fees for audit services 0.6 0.5 Other services 0.1 0.0 Total 0.7 0.5"
Status: approved by a named reviewer
Approver: demo reviewer, date not recorded
Proof: https://vanillabonds.com/dossier.html?c=katjes&amp;viewer=1&amp;item=F734</t>
      </text>
    </comment>
    <comment ref="H736" authorId="0" shapeId="0">
      <text>
        <t>F735 · Board, independent members, group structure, related-party flows, dividends
Document: S3, annual report, FY2025, 2026-04-02, audited, katjes-2025-annual-report.pdf
Page: 80
Quote: "is omitted with reference to the exemption clause pursuant to Section 286 (4) HGB"
Status: approved by a named reviewer
Approver: demo reviewer, date not recorded
Proof: https://vanillabonds.com/dossier.html?c=katjes&amp;viewer=1&amp;item=F735</t>
      </text>
    </comment>
    <comment ref="H737" authorId="0" shapeId="0">
      <text>
        <t>F736 · Board, independent members, group structure, related-party flows, dividends
Document: S3, annual report, FY2025, 2026-04-02, audited, katjes-2025-annual-report.pdf
Page: 81
Quote: "These consolidated financial statements were approved for publication by the management on April 2, 2026."
Status: approved by a named reviewer
Approver: demo reviewer, date not recorded
Proof: https://vanillabonds.com/dossier.html?c=katjes&amp;viewer=1&amp;item=F736</t>
      </text>
    </comment>
    <comment ref="H738" authorId="0" shapeId="0">
      <text>
        <t>F737 · Board, independent members, group structure, related-party flows, dividends
Document: S3, annual report, FY2025, 2026-04-02, audited, katjes-2025-annual-report.pdf
Page: 81
Quote: "the exemption from certain regulations on the preparation, auditing and publication of the annual financial statements/management report pursuant to section 264 (3) HGB"
Status: approved by a named reviewer
Approver: demo reviewer, date not recorded
Proof: https://vanillabonds.com/dossier.html?c=katjes&amp;viewer=1&amp;item=F737</t>
      </text>
    </comment>
    <comment ref="H739" authorId="0" shapeId="0">
      <text>
        <t>F738 · Monitoring
Document: S3, annual report, FY2025, 2026-04-02, audited, katjes-2025-annual-report.pdf
Page: 20
Quote: "include revenue as an indicator of business growth and EBITDA (Group earnings before interest, taxes, depreciation and amortisation) as a key indicator of profitability."
Status: approved by a named reviewer
Approver: demo reviewer, date not recorded
Proof: https://vanillabonds.com/dossier.html?c=katjes&amp;viewer=1&amp;item=F738</t>
      </text>
    </comment>
    <comment ref="H740" authorId="0" shapeId="0">
      <text>
        <t>F739 · Monitoring
Document: S3, annual report, FY2025, 2026-04-02, audited, katjes-2025-annual-report.pdf
Page: 34
Quote: "The objective of risk management is to identify risks affecting the Group and their potential impact on the Group’s business objectives"
Status: approved by a named reviewer
Approver: demo reviewer, date not recorded
Proof: https://vanillabonds.com/dossier.html?c=katjes&amp;viewer=1&amp;item=F739</t>
      </text>
    </comment>
    <comment ref="H741" authorId="0" shapeId="0">
      <text>
        <t>F740 · Monitoring
Document: S3, annual report, FY2025, 2026-04-02, audited, katjes-2025-annual-report.pdf
Page: 56
Quote: "The Group regularly monitors and updates its cash planning."
Status: approved by a named reviewer
Approver: demo reviewer, date not recorded
Proof: https://vanillabonds.com/dossier.html?c=katjes&amp;viewer=1&amp;item=F740</t>
      </text>
    </comment>
    <comment ref="H742" authorId="0" shapeId="0">
      <text>
        <t>F741 · Monitoring
Document: S3, annual report, FY2025, 2026-04-02, audited, katjes-2025-annual-report.pdf
Page: 77
Quote: "There is no regular internal reporting or performance measurement by"
Status: approved by a named reviewer
Approver: demo reviewer, date not recorded
Proof: https://vanillabonds.com/dossier.html?c=katjes&amp;viewer=1&amp;item=F741</t>
      </text>
    </comment>
    <comment ref="H743" authorId="0" shapeId="0">
      <text>
        <t>F742 · Market
Document: S3, annual report, FY2025, 2026-04-02, audited, katjes-2025-annual-report.pdf
Page: 11
Quote: "In 2025, Treets, part of Piasten GmbH — Bavaria’s largest confectionery manufacturer and Germany’s leading pro- ducer of dragées, headquartered in Forchheim"
Status: approved by a named reviewer
Approver: demo reviewer, date not recorded
Proof: https://vanillabonds.com/dossier.html?c=katjes&amp;viewer=1&amp;item=F742</t>
      </text>
    </comment>
    <comment ref="H744" authorId="0" shapeId="0">
      <text>
        <t>F743 · Market
Document: S3, annual report, FY2025, 2026-04-02, audited, katjes-2025-annual-report.pdf
Page: 19
Quote: "is the leader in German pharmacies in terms of number of bags sold."
Status: approved by a named reviewer
Approver: demo reviewer, date not recorded
Proof: https://vanillabonds.com/dossier.html?c=katjes&amp;viewer=1&amp;item=F743</t>
      </text>
    </comment>
    <comment ref="H745" authorId="0" shapeId="0">
      <text>
        <t>F744 · Market
Document: S3, annual report, FY2025, 2026-04-02, audited, katjes-2025-annual-report.pdf
Page: 19
Quote: "which produces the best-selling liquorice product in the Netherlands by volume."
Status: approved by a named reviewer
Approver: demo reviewer, date not recorded
Proof: https://vanillabonds.com/dossier.html?c=katjes&amp;viewer=1&amp;item=F744</t>
      </text>
    </comment>
    <comment ref="H746" authorId="0" shapeId="0">
      <text>
        <t>F745 · Market
Document: S3, annual report, FY2025, 2026-04-02, audited, katjes-2025-annual-report.pdf
Page: 19
Quote: "Sperlari is one of the largest supplier in the Italian sugar confectionery market and the market leader in the segment for seasonal products, sweeteners and sugar-free candies."
Status: approved by a named reviewer
Approver: demo reviewer, date not recorded
Proof: https://vanillabonds.com/dossier.html?c=katjes&amp;viewer=1&amp;item=F745</t>
      </text>
    </comment>
    <comment ref="H747" authorId="0" shapeId="0">
      <text>
        <t>F746 · Market
Document: S3, annual report, FY2025, 2026-04-02, audited, katjes-2025-annual-report.pdf
Page: 19
Quote: "For example, Vademecum is the number 1 organic too- thpaste in France in terms of sales volume."
Status: approved by a named reviewer
Approver: demo reviewer, date not recorded
Proof: https://vanillabonds.com/dossier.html?c=katjes&amp;viewer=1&amp;item=F746</t>
      </text>
    </comment>
    <comment ref="H748" authorId="0" shapeId="0">
      <text>
        <t>F747 · Market
Document: S3, annual report, FY2025, 2026-04-02, audited, katjes-2025-annual-report.pdf
Page: 19
Quote: "With Candy Kittens, Katjes International holds a majority stake in one of the UK’s fastest growing gourmet fruit gum brands."
Status: approved by a named reviewer
Approver: demo reviewer, date not recorded
Proof: https://vanillabonds.com/dossier.html?c=katjes&amp;viewer=1&amp;item=F747</t>
      </text>
    </comment>
    <comment ref="H749" authorId="0" shapeId="0">
      <text>
        <t>F748 · Market
Document: S3, annual report, FY2025, 2026-04-02, audited, katjes-2025-annual-report.pdf
Page: 20
Quote: "The internationally active Bogner Group is the largest family-owned luxury apparel brand in Germany."
Status: approved by a named reviewer
Approver: demo reviewer, date not recorded
Proof: https://vanillabonds.com/dossier.html?c=katjes&amp;viewer=1&amp;item=F748</t>
      </text>
    </comment>
    <comment ref="H750" authorId="0" shapeId="0">
      <text>
        <t>F749 · Market
Document: S3, annual report, FY2025, 2026-04-02, audited, katjes-2025-annual-report.pdf
Page: 21
Quote: "The sales markets for consumer goods that are material for the Group are generally characterised by low cyclicality and high economic resilience, which was also observed in 2025."
Status: approved by a named reviewer
Approver: demo reviewer, date not recorded
Proof: https://vanillabonds.com/dossier.html?c=katjes&amp;viewer=1&amp;item=F749</t>
      </text>
    </comment>
    <comment ref="H751" authorId="0" shapeId="0">
      <text>
        <t>F750 · Market
Document: S3, annual report, FY2025, 2026-04-02, audited, katjes-2025-annual-report.pdf
Page: 23
Quote: "Europe and the United States are expected to offer the greatest growth potential in the luxury segment in 2025, driven by declining inflation and higher disposable income."
Status: approved by a named reviewer
Approver: demo reviewer, date not recorded
Proof: https://vanillabonds.com/dossier.html?c=katjes&amp;viewer=1&amp;item=F750</t>
      </text>
    </comment>
    <comment ref="H752" authorId="0" shapeId="0">
      <text>
        <t>F751 · Concentration
Document: S3, annual report, FY2025, 2026-04-02, audited, katjes-2025-annual-report.pdf
Page: 31
Quote: "Concentration risks may arise from major customers, particularly in the food retail sector."
Status: approved by a named reviewer
Approver: demo reviewer, date not recorded
Proof: https://vanillabonds.com/dossier.html?c=katjes&amp;viewer=1&amp;item=F751</t>
      </text>
    </comment>
    <comment ref="H753" authorId="0" shapeId="0">
      <text>
        <t>F752 · Concentration
Document: S3, annual report, FY2025, 2026-04-02, audited, katjes-2025-annual-report.pdf
Page: 31
Quote: "and from dependencies on various suppliers, on whom key parts of production are concentrated."
Status: approved by a named reviewer
Approver: demo reviewer, date not recorded
Proof: https://vanillabonds.com/dossier.html?c=katjes&amp;viewer=1&amp;item=F752</t>
      </text>
    </comment>
    <comment ref="H754" authorId="0" shapeId="0">
      <text>
        <t>F753 · Concentration
Document: S3, annual report, FY2025, 2026-04-02, audited, katjes-2025-annual-report.pdf
Page: 56
Quote: "As at the reporting date, there were no significant concentrations of risk."
Status: approved by a named reviewer
Approver: demo reviewer, date not recorded
Proof: https://vanillabonds.com/dossier.html?c=katjes&amp;viewer=1&amp;item=F753</t>
      </text>
    </comment>
    <comment ref="F755" authorId="0" shapeId="0">
      <text>
        <t>F754 · Debt principal falling due in the period · FY2026E
Current financial liabilities due within one year at 31 Dec 2025 incl. lease liabilities 16.7 and interest liabilities 3.8 (maturity table, partly undiscounted)
Document: S3, annual report, FY2025, 2026-04-02, audited, katjes-2025-annual-report.pdf
Page: 57
Quote: "Current financial liabilities (incl. liabilities from leases) 74.3 0.0 0.0 0.0 74.3 74.3"
Status: extracted, pending review
Approver: none yet
Note on file: conflict: S2·p59 12.3 vs S3·p57 74.3; primary per fact agent: S3 p57 - S3's maturity table at 31 Dec 2025 is the later audited measurement of amounts due in 2026; S2's 12.3 is the one-to-two-year band at 31 Dec 2024.
Proof: https://vanillabonds.com/dossier.html?c=katjes&amp;viewer=1&amp;item=F754</t>
      </text>
    </comment>
    <comment ref="F756" authorId="0" shapeId="0">
      <text>
        <t>F755 · Debt principal falling due in the period · FY2027E
Non-current financial liabilities due in one to two years at 31 Dec 2025 incl. lease liabilities 15.8 (maturity table, partly undiscounted)
Document: S3, annual report, FY2025, 2026-04-02, audited, katjes-2025-annual-report.pdf
Page: 57
Quote: "As of 31 Dec 2025 Non-current financial liabilities (incl. liabilities from leases) 0.0 30.7 232.6 15.2 278.5 278.5"
Status: approved by a named reviewer
Approver: demo reviewer, date not recorded
Proof: https://vanillabonds.com/dossier.html?c=katjes&amp;viewer=1&amp;item=F755</t>
      </text>
    </comment>
    <comment ref="F757" authorId="0" shapeId="0">
      <text>
        <t>F756 · Debt principal falling due in the period · FY2028E
2023/2028 corporate bond outstanding 185.0 at 31 Dec 2025 due 2028 (increased to 200.0 in March 2026); maturity table shows 232.6 of non-current financial liabilities incl. leases due in two to five years
Document: S3, annual report, FY2025, 2026-04-02, audited, katjes-2025-annual-report.pdf
Page: 57
Quote: "As of 31 Dec 2025 Non-current financial liabilities (incl. liabilities from leases) 0.0 30.7 232.6 15.2 278.5 278.5"
Status: approved by a named reviewer
Approver: demo reviewer, date not recorded
Note on file: conflict: S3·p57 185.0 vs S13·p26 115.0
Proof: https://vanillabonds.com/dossier.html?c=katjes&amp;viewer=1&amp;item=F756</t>
      </text>
    </comment>
    <comment ref="F758" authorId="0" shapeId="0">
      <text>
        <t>F757 · Bank facility
Revolving line of up to kEUR 40,000 at 6.65%, drawn EUR 16.3m at 31 Dec 2025 (2024: undrawn); lender and maturity not named.
Document: S3, annual report, FY2025, 2026-04-02, audited, katjes-2025-annual-report.pdf
Page: 63
Quote: "Revolving line up kEUR 40.000 6.65 16.3 0.0"
Status: approved by a named reviewer
Approver: demo reviewer, date not recorded
Proof: https://vanillabonds.com/dossier.html?c=katjes&amp;viewer=1&amp;item=F757</t>
      </text>
    </comment>
    <comment ref="F759" authorId="0" shapeId="0">
      <text>
        <t>F758 · Group entity
entity: Willy Bogner GmbH, München (Bogner Group, 60% since 1 Sep 2025, fully consolidated); jurisdiction: DE; revenue: approximately 200 for FY2025 (profitable); debt: financial liabilities 98.9 at acquisition
Document: S3, annual report, FY2025, 2026-04-02, audited, katjes-2025-annual-report.pdf
Page: 53
Quote: "In the financial year 2025, the Bogner Group generated revenue of approximately EUR 200 million and was profitable."
Status: approved by a named reviewer
Approver: demo reviewer, date not recorded
Proof: https://vanillabonds.com/dossier.html?c=katjes&amp;viewer=1&amp;item=F758</t>
      </text>
    </comment>
    <comment ref="H760" authorId="0" shapeId="0">
      <text>
        <t>F759 · Group entity
Document: S3, annual report, FY2025, 2026-04-02, audited, katjes-2025-annual-report.pdf
Page: 83
Quote: "Katjes Quiet Luxury GmbH, Düsseldorf 100 A"
Status: approved by a named reviewer
Approver: demo reviewer, date not recorded
Proof: https://vanillabonds.com/dossier.html?c=katjes&amp;viewer=1&amp;item=F759</t>
      </text>
    </comment>
    <comment ref="H761" authorId="0" shapeId="0">
      <text>
        <t>F760 · Group entity
Document: S3, annual report, FY2025, 2026-04-02, audited, katjes-2025-annual-report.pdf
Page: 83
Quote: "Piasten GmbH, Forchheim 100 A"
Status: approved by a named reviewer
Approver: demo reviewer, date not recorded
Proof: https://vanillabonds.com/dossier.html?c=katjes&amp;viewer=1&amp;item=F760</t>
      </text>
    </comment>
    <comment ref="H762" authorId="0" shapeId="0">
      <text>
        <t>F761 · Group entity
Document: S3, annual report, FY2025, 2026-04-02, audited, katjes-2025-annual-report.pdf
Page: 83
Quote: "Dallmann’s Pharma Candy GmbH, Hofheim am Taunus 100 A"
Status: approved by a named reviewer
Approver: demo reviewer, date not recorded
Proof: https://vanillabonds.com/dossier.html?c=katjes&amp;viewer=1&amp;item=F761</t>
      </text>
    </comment>
    <comment ref="H763" authorId="0" shapeId="0">
      <text>
        <t>F762 · Group entity
Document: S3, annual report, FY2025, 2026-04-02, audited, katjes-2025-annual-report.pdf
Page: 83
Quote: "Bübchen Skincare GmbH (former: Dallmann’s Pharma GmbH), Hofheim am Taunus 100 A"
Status: approved by a named reviewer
Approver: demo reviewer, date not recorded
Proof: https://vanillabonds.com/dossier.html?c=katjes&amp;viewer=1&amp;item=F762</t>
      </text>
    </comment>
    <comment ref="H764" authorId="0" shapeId="0">
      <text>
        <t>F763 · Group entity
Document: S3, annual report, FY2025, 2026-04-02, audited, katjes-2025-annual-report.pdf
Page: 83
Quote: "Bübchen Bodycare GmbH, Düsseldorf 100 A"
Status: approved by a named reviewer
Approver: demo reviewer, date not recorded
Proof: https://vanillabonds.com/dossier.html?c=katjes&amp;viewer=1&amp;item=F763</t>
      </text>
    </comment>
    <comment ref="H765" authorId="0" shapeId="0">
      <text>
        <t>F764 · Group entity
Document: S3, annual report, FY2025, 2026-04-02, audited, katjes-2025-annual-report.pdf
Page: 83
Quote: "Bogner GCA IP GmbH &amp; Co. KG, Grünwald 60 A"
Status: approved by a named reviewer
Approver: demo reviewer, date not recorded
Proof: https://vanillabonds.com/dossier.html?c=katjes&amp;viewer=1&amp;item=F764</t>
      </text>
    </comment>
    <comment ref="H766" authorId="0" shapeId="0">
      <text>
        <t>F765 · Group entity
Document: S3, annual report, FY2025, 2026-04-02, audited, katjes-2025-annual-report.pdf
Page: 83
Quote: "Shirin Beauty GmbH, Düsseldorf 50 C"
Status: approved by a named reviewer
Approver: demo reviewer, date not recorded
Proof: https://vanillabonds.com/dossier.html?c=katjes&amp;viewer=1&amp;item=F765</t>
      </text>
    </comment>
    <comment ref="H767" authorId="0" shapeId="0">
      <text>
        <t>F766 · Group entity
Document: S3, annual report, FY2025, 2026-04-02, audited, katjes-2025-annual-report.pdf
Page: 84
Quote: "Sperlari S.r.l., Cremona, Italy 100 A"
Status: approved by a named reviewer
Approver: demo reviewer, date not recorded
Proof: https://vanillabonds.com/dossier.html?c=katjes&amp;viewer=1&amp;item=F766</t>
      </text>
    </comment>
    <comment ref="H768" authorId="0" shapeId="0">
      <text>
        <t>F767 · Group entity
Document: S3, annual report, FY2025, 2026-04-02, audited, katjes-2025-annual-report.pdf
Page: 84
Quote: "Dulcioliva S.r.l., Borgo San Dalmazzo, Italy 75 A"
Status: approved by a named reviewer
Approver: demo reviewer, date not recorded
Proof: https://vanillabonds.com/dossier.html?c=katjes&amp;viewer=1&amp;item=F767</t>
      </text>
    </comment>
    <comment ref="H769" authorId="0" shapeId="0">
      <text>
        <t>F768 · Group entity
Document: S3, annual report, FY2025, 2026-04-02, audited, katjes-2025-annual-report.pdf
Page: 84
Quote: "Paluani 1921 S.r.l., Verona, Italy 100 A"
Status: approved by a named reviewer
Approver: demo reviewer, date not recorded
Proof: https://vanillabonds.com/dossier.html?c=katjes&amp;viewer=1&amp;item=F768</t>
      </text>
    </comment>
    <comment ref="H770" authorId="0" shapeId="0">
      <text>
        <t>F769 · Group entity
Document: S3, annual report, FY2025, 2026-04-02, audited, katjes-2025-annual-report.pdf
Page: 84
Quote: "Candy Kittens Ltd., London, UK 88.0 A"
Status: approved by a named reviewer
Approver: demo reviewer, date not recorded
Proof: https://vanillabonds.com/dossier.html?c=katjes&amp;viewer=1&amp;item=F769</t>
      </text>
    </comment>
    <comment ref="H771" authorId="0" shapeId="0">
      <text>
        <t>F770 · Group entity
Document: S3, annual report, FY2025, 2026-04-02, audited, katjes-2025-annual-report.pdf
Page: 84
Quote: "Harlekĳntjes B.V., Nĳkerk, Netherlands 100 A"
Status: approved by a named reviewer
Approver: demo reviewer, date not recorded
Proof: https://vanillabonds.com/dossier.html?c=katjes&amp;viewer=1&amp;item=F770</t>
      </text>
    </comment>
    <comment ref="H772" authorId="0" shapeId="0">
      <text>
        <t>F771 · Group entity
Document: S3, annual report, FY2025, 2026-04-02, audited, katjes-2025-annual-report.pdf
Page: 84
Quote: "Bogner Sport AG, Zürich, Switzerland 60 A"
Status: approved by a named reviewer
Approver: demo reviewer, date not recorded
Proof: https://vanillabonds.com/dossier.html?c=katjes&amp;viewer=1&amp;item=F771</t>
      </text>
    </comment>
    <comment ref="H773" authorId="0" shapeId="0">
      <text>
        <t>F772 · Group entity
Document: S3, annual report, FY2025, 2026-04-02, audited, katjes-2025-annual-report.pdf
Page: 84
Quote: "Bogner of America Inc., New York City, USA 60 A"
Status: approved by a named reviewer
Approver: demo reviewer, date not recorded
Proof: https://vanillabonds.com/dossier.html?c=katjes&amp;viewer=1&amp;item=F772</t>
      </text>
    </comment>
    <comment ref="H774" authorId="0" shapeId="0">
      <text>
        <t>F773 · Group entity
Document: S3, annual report, FY2025, 2026-04-02, audited, katjes-2025-annual-report.pdf
Page: 84
Quote: "Bogner Vertriebsgesellschaft GmbH, Salzburg, Austria 60 A"
Status: approved by a named reviewer
Approver: demo reviewer, date not recorded
Proof: https://vanillabonds.com/dossier.html?c=katjes&amp;viewer=1&amp;item=F773</t>
      </text>
    </comment>
    <comment ref="H775" authorId="0" shapeId="0">
      <text>
        <t>F774 · Group entity
Document: S3, annual report, FY2025, 2026-04-02, audited, katjes-2025-annual-report.pdf
Page: 84
Quote: "Bogner Eastern Europe LLC, Moscow, Russia 60 A"
Status: approved by a named reviewer
Approver: demo reviewer, date not recorded
Proof: https://vanillabonds.com/dossier.html?c=katjes&amp;viewer=1&amp;item=F774</t>
      </text>
    </comment>
    <comment ref="H776" authorId="0" shapeId="0">
      <text>
        <t>F775 · Group entity
Document: S3, annual report, FY2025, 2026-04-02, audited, katjes-2025-annual-report.pdf
Page: 84
Quote: "Bogner Asia, Ltd., Hong Kong/China 60 A"
Status: approved by a named reviewer
Approver: demo reviewer, date not recorded
Proof: https://vanillabonds.com/dossier.html?c=katjes&amp;viewer=1&amp;item=F775</t>
      </text>
    </comment>
    <comment ref="H777" authorId="0" shapeId="0">
      <text>
        <t>F776 · Group entity
Document: S3, annual report, FY2025, 2026-04-02, audited, katjes-2025-annual-report.pdf
Page: 84
Quote: "Future Snacks Ltd., London, UK 100 A"
Status: approved by a named reviewer
Approver: demo reviewer, date not recorded
Proof: https://vanillabonds.com/dossier.html?c=katjes&amp;viewer=1&amp;item=F776</t>
      </text>
    </comment>
    <comment ref="F778" authorId="0" shapeId="0">
      <text>
        <t>F777 · Group entity
entity: Bogner GCA Holding PTE. Ltd., Singapore (associate, equity method); jurisdiction: SG; share 45%; revenue: 4.3 (summarised 2025 information); share of loss -1.8 in 2025
Document: S3, annual report, FY2025, 2026-04-02, audited, katjes-2025-annual-report.pdf
Page: 84
Quote: "Bogner GCA Holding PTE. Ltd., Singapore 45 B"
Status: approved by a named reviewer
Approver: demo reviewer, date not recorded
Proof: https://vanillabonds.com/dossier.html?c=katjes&amp;viewer=1&amp;item=F777</t>
      </text>
    </comment>
    <comment ref="H779" authorId="0" shapeId="0">
      <text>
        <t>F778 · Group entity
Document: S3, annual report, FY2025, 2026-04-02, audited, katjes-2025-annual-report.pdf
Page: 84
Quote: "Shades Snacks Ltd., London, UK 49 C"
Status: approved by a named reviewer
Approver: demo reviewer, date not recorded
Proof: https://vanillabonds.com/dossier.html?c=katjes&amp;viewer=1&amp;item=F778</t>
      </text>
    </comment>
    <comment ref="H780" authorId="0" shapeId="0">
      <text>
        <t>F779 · Group entity
Document: S3, annual report, FY2025, 2026-04-02, audited, katjes-2025-annual-report.pdf
Page: 84
Quote: "Nuud Snacks Ltd., London, UK 8"
Status: approved by a named reviewer
Approver: demo reviewer, date not recorded
Proof: https://vanillabonds.com/dossier.html?c=katjes&amp;viewer=1&amp;item=F779</t>
      </text>
    </comment>
    <comment ref="H781" authorId="0" shapeId="0">
      <text>
        <t>F780 · Group entity
Document: S3, annual report, FY2025, 2026-04-02, audited, katjes-2025-annual-report.pdf
Page: 84
Quote: "CPK S.A.S., Paris, France - - 23 B"
Status: approved by a named reviewer
Approver: demo reviewer, date not recorded
Proof: https://vanillabonds.com/dossier.html?c=katjes&amp;viewer=1&amp;item=F780</t>
      </text>
    </comment>
    <comment ref="H782" authorId="0" shapeId="0">
      <text>
        <t>F781 · Board member
Document: S3, annual report, FY2025, 2026-04-02, audited, katjes-2025-annual-report.pdf
Page: 6
Quote: "since 1996 – Managing Shareholder of Katjes International"
Status: approved by a named reviewer
Approver: demo reviewer, date not recorded
Proof: https://vanillabonds.com/dossier.html?c=katjes&amp;viewer=1&amp;item=F781</t>
      </text>
    </comment>
    <comment ref="H783" authorId="0" shapeId="0">
      <text>
        <t>F782 · Board member
Document: S3, annual report, FY2025, 2026-04-02, audited, katjes-2025-annual-report.pdf
Page: 44
Quote: "In addition to the two shareholders, Stephan Milde is also appointed as managing"
Status: approved by a named reviewer
Approver: demo reviewer, date not recorded
Proof: https://vanillabonds.com/dossier.html?c=katjes&amp;viewer=1&amp;item=F782</t>
      </text>
    </comment>
    <comment ref="H784" authorId="0" shapeId="0">
      <text>
        <t>F783 · Board member
Document: S3, annual report, FY2025, 2026-04-02, audited, katjes-2025-annual-report.pdf
Page: 80
Quote: "The management of the parent company is carried out by the general partner, Xaver Fassin International GmbH, whose shareholders are Mr Bastian Fassin and Mr Tobias Bachmüller."
Status: approved by a named reviewer
Approver: demo reviewer, date not recorded
Proof: https://vanillabonds.com/dossier.html?c=katjes&amp;viewer=1&amp;item=F783</t>
      </text>
    </comment>
    <comment ref="F785" authorId="0" shapeId="0">
      <text>
        <t>F784 · Related-party flow
counterparty: related parties (Katjes Group sister companies and shareholders); kind: purchase of goods and services; amount: 20.0; year: 2025; terms: arm's length, not secured
Document: S3, annual report, FY2025, 2026-04-02, audited, katjes-2025-annual-report.pdf
Page: 80
Quote: "Purchase of goods and services from related parties 20.0 13.1"
Status: approved by a named reviewer
Approver: demo reviewer, date not recorded
Proof: https://vanillabonds.com/dossier.html?c=katjes&amp;viewer=1&amp;item=F784</t>
      </text>
    </comment>
    <comment ref="F786" authorId="0" shapeId="0">
      <text>
        <t>F785 · Related-party flow
counterparty: related parties; kind: purchase of goods and services; amount: 13.1; year: 2024; terms: arm's length, not secured
Document: S3, annual report, FY2025, 2026-04-02, audited, katjes-2025-annual-report.pdf
Page: 80
Quote: "Purchase of goods and services from related parties 20.0 13.1"
Status: approved by a named reviewer
Approver: demo reviewer, date not recorded
Proof: https://vanillabonds.com/dossier.html?c=katjes&amp;viewer=1&amp;item=F785</t>
      </text>
    </comment>
    <comment ref="F787" authorId="0" shapeId="0">
      <text>
        <t>F786 · Related-party flow
counterparty: related parties; kind: sale of goods; amount: 7.4; year: 2025 (2024: 0.0); terms: arm's length
Document: S3, annual report, FY2025, 2026-04-02, audited, katjes-2025-annual-report.pdf
Page: 80
Quote: "Sale of goods to related parties 7.4 0.0"
Status: approved by a named reviewer
Approver: demo reviewer, date not recorded
Proof: https://vanillabonds.com/dossier.html?c=katjes&amp;viewer=1&amp;item=F786</t>
      </text>
    </comment>
    <comment ref="F788" authorId="0" shapeId="0">
      <text>
        <t>F787 · Related-party flow
counterparty: related parties; kind: trade payable for goods and services at year end; amount: 6.0; year: 2025 (2024: 2.7)
Document: S3, annual report, FY2025, 2026-04-02, audited, katjes-2025-annual-report.pdf
Page: 80
Quote: "Trade payable for goods and services to related parties 6.0 2.7"
Status: approved by a named reviewer
Approver: demo reviewer, date not recorded
Proof: https://vanillabonds.com/dossier.html?c=katjes&amp;viewer=1&amp;item=F787</t>
      </text>
    </comment>
    <comment ref="F789" authorId="0" shapeId="0">
      <text>
        <t>F788 · Related-party flow
counterparty: related parties; kind: trade receivables at year end; amount: 0.4; year: 2025 (2024: 0.0)
Document: S3, annual report, FY2025, 2026-04-02, audited, katjes-2025-annual-report.pdf
Page: 80
Quote: "Trade receivables to related parties 0.4 0.0"
Status: approved by a named reviewer
Approver: demo reviewer, date not recorded
Proof: https://vanillabonds.com/dossier.html?c=katjes&amp;viewer=1&amp;item=F788</t>
      </text>
    </comment>
    <comment ref="F790" authorId="0" shapeId="0">
      <text>
        <t>F789 · Related-party flow
counterparty: related companies; kind: loan (granted by the Group); amount: 4.8; year: 2025; terms: interest income 0.3, not secured
Document: S3, annual report, FY2025, 2026-04-02, audited, katjes-2025-annual-report.pdf
Page: 80
Quote: "Loans to related companies 4.8 4.2"
Status: approved by a named reviewer
Approver: demo reviewer, date not recorded
Proof: https://vanillabonds.com/dossier.html?c=katjes&amp;viewer=1&amp;item=F789</t>
      </text>
    </comment>
    <comment ref="F791" authorId="0" shapeId="0">
      <text>
        <t>F790 · Related-party flow
counterparty: related companies; kind: loan (granted by the Group); amount: 4.2; year: 2024; terms: interest income 0.1
Document: S3, annual report, FY2025, 2026-04-02, audited, katjes-2025-annual-report.pdf
Page: 80
Quote: "Loans to related companies 4.8 4.2"
Status: approved by a named reviewer
Approver: demo reviewer, date not recorded
Proof: https://vanillabonds.com/dossier.html?c=katjes&amp;viewer=1&amp;item=F790</t>
      </text>
    </comment>
    <comment ref="F792" authorId="0" shapeId="0">
      <text>
        <t>F791 · Related-party flow
counterparty: related parties; kind: interest income on loans; amount: 0.3; year: 2025 (2024: 0.1)
Document: S3, annual report, FY2025, 2026-04-02, audited, katjes-2025-annual-report.pdf
Page: 80
Quote: "Interest income from loans to related parties 0.3 0.1"
Status: approved by a named reviewer
Approver: demo reviewer, date not recorded
Proof: https://vanillabonds.com/dossier.html?c=katjes&amp;viewer=1&amp;item=F791</t>
      </text>
    </comment>
    <comment ref="H793" authorId="0" shapeId="0">
      <text>
        <t>F792 · Shareholder loan
Document: S3, annual report, FY2025, 2026-04-02, audited, katjes-2025-annual-report.pdf
Page: 80
Quote: "The interest-bearing current accounts of the limited partners bear interest at 5.0% (2024: 5.0%)."
Status: approved by a named reviewer
Approver: demo reviewer, date not recorded
Proof: https://vanillabonds.com/dossier.html?c=katjes&amp;viewer=1&amp;item=F792</t>
      </text>
    </comment>
    <comment ref="F794" authorId="0" shapeId="0">
      <text>
        <t>F793 · Market variable
variable: European confectionery market growth Western Europe; year: 2025; value: 12.2; unit: % yoy; source: company statement in the group management report (Eastern Europe 6.9%)
Document: S3, annual report, FY2025, 2026-04-02, audited, katjes-2025-annual-report.pdf
Page: 21
Quote: "In 2025, Western Europe recorded an increase of 12.2% compared to the previous year, while Eastern Europe recorded an increase of 6.9%."
Status: approved by a named reviewer
Approver: demo reviewer, date not recorded
Proof: https://vanillabonds.com/dossier.html?c=katjes&amp;viewer=1&amp;item=F793</t>
      </text>
    </comment>
    <comment ref="F795" authorId="0" shapeId="0">
      <text>
        <t>F794 · Market variable
variable: European confectionery market volume forecast (sugar confectionery and chocolate); year: 2030; value: 110; unit: EUR bn; source: Euromonitor International forecast as cited
Document: S3, annual report, FY2025, 2026-04-02, audited, katjes-2025-annual-report.pdf
Page: 21
Quote: "Expert (Euromonitor International) forecasts expect the Euro- pean confectionery market (sugar confectionery and chocolate products) to grow to a volume of approximately EUR 110 billion by 2030."
Status: approved by a named reviewer
Approver: demo reviewer, date not recorded
Proof: https://vanillabonds.com/dossier.html?c=katjes&amp;viewer=1&amp;item=F794</t>
      </text>
    </comment>
    <comment ref="F796" authorId="0" shapeId="0">
      <text>
        <t>F795 · Market variable
variable: GDP growth euro area; year: 2025; value: 1.4; unit: % (2024: 0.8); source: OECD Economic Outlook December 2025, updated March 2026 (as cited)
Document: S3, annual report, FY2025, 2026-04-02, audited, katjes-2025-annual-report.pdf
Page: 21
Quote: "Gross domestic product (GDP) increased by 1.4% (2024: 0.8%)"
Status: approved by a named reviewer
Approver: demo reviewer, date not recorded
Proof: https://vanillabonds.com/dossier.html?c=katjes&amp;viewer=1&amp;item=F795</t>
      </text>
    </comment>
    <comment ref="F797" authorId="0" shapeId="0">
      <text>
        <t>F796 · Market variable
variable: GDP growth Germany; year: 2025; value: 0.4; unit: % (2024: -0.5); source: OECD Economic Outlook December 2025, updated March 2026 (as cited)
Document: S3, annual report, FY2025, 2026-04-02, audited, katjes-2025-annual-report.pdf
Page: 21
Quote: "The German economy recorded a sideways trend, with growth of 0.4% (2024: -0.5%)."
Status: approved by a named reviewer
Approver: demo reviewer, date not recorded
Proof: https://vanillabonds.com/dossier.html?c=katjes&amp;viewer=1&amp;item=F796</t>
      </text>
    </comment>
    <comment ref="F798" authorId="0" shapeId="0">
      <text>
        <t>F797 · Market variable
variable: GDP growth Italy; year: 2025; value: 0.5; unit: % (2024: 0.7; France 0.9); source: OECD Economic Outlook December 2025, updated March 2026 (as cited)
Document: S3, annual report, FY2025, 2026-04-02, audited, katjes-2025-annual-report.pdf
Page: 21
Quote: "Economic growth in Italy amounted to 0.5% (2024: 0.7%), while France, the second-largest economy in the euro area, recorded growth of 0.9% (2024: 1.1%)."
Status: approved by a named reviewer
Approver: demo reviewer, date not recorded
Proof: https://vanillabonds.com/dossier.html?c=katjes&amp;viewer=1&amp;item=F797</t>
      </text>
    </comment>
    <comment ref="F799" authorId="0" shapeId="0">
      <text>
        <t>F798 · Market variable
variable: GDP growth United Kingdom; year: 2025; value: 1.3; unit: % (2024: 1.1); Netherlands 1.7 (2024: 1.1); source: OECD Economic Outlook December 2025, updated March 2026 (as cited)
Document: S3, annual report, FY2025, 2026-04-02, audited, katjes-2025-annual-report.pdf
Page: 21
Quote: "The United Kingdom developed positively, with growth of 1.3% (2024: 1.1%), while GDP growth in the Netherlands amounted to 1.7% (2024: 1.1%)."
Status: approved by a named reviewer
Approver: demo reviewer, date not recorded
Proof: https://vanillabonds.com/dossier.html?c=katjes&amp;viewer=1&amp;item=F798</t>
      </text>
    </comment>
    <comment ref="F800" authorId="0" shapeId="0">
      <text>
        <t>F799 · Market variable
variable: GDP growth Switzerland; year: 2025; value: 1.1; unit: % (2024: 1.4); Austria 0.3 (2024: -0.8); source: OECD Economic Outlook December 2025, updated March 2026 (as cited)
Document: S3, annual report, FY2025, 2026-04-02, audited, katjes-2025-annual-report.pdf
Page: 21
Quote: "The Swiss economy grew by 1.1%, representing a slight decline (2024: 1.4%)."
Status: approved by a named reviewer
Approver: demo reviewer, date not recorded
Proof: https://vanillabonds.com/dossier.html?c=katjes&amp;viewer=1&amp;item=F799</t>
      </text>
    </comment>
    <comment ref="F801" authorId="0" shapeId="0">
      <text>
        <t>F800 · Market variable
variable: GDP growth United States; year: 2025; value: 2.1; unit: % (2024: 2.8); source: OECD Economic Outlook December 2025, updated March 2026 (as cited)
Document: S3, annual report, FY2025, 2026-04-02, audited, katjes-2025-annual-report.pdf
Page: 21
Quote: "The United States recorded GDP growth of 2.1%, representing solid growth, albeit slightly below the prior year (2024: 2.8%)."
Status: approved by a named reviewer
Approver: demo reviewer, date not recorded
Proof: https://vanillabonds.com/dossier.html?c=katjes&amp;viewer=1&amp;item=F800</t>
      </text>
    </comment>
    <comment ref="F802" authorId="0" shapeId="0">
      <text>
        <t>F801 · Market variable
variable: confectionery market volume Germany; year: 2025; value: 15.4; unit: EUR bn; source: Euromonitor International (as cited in the group management report)
Document: S3, annual report, FY2025, 2026-04-02, audited, katjes-2025-annual-report.pdf
Page: 22
Quote: "Germany 15.4 13.7"
Status: approved by a named reviewer
Approver: demo reviewer, date not recorded
Proof: https://vanillabonds.com/dossier.html?c=katjes&amp;viewer=1&amp;item=F801</t>
      </text>
    </comment>
    <comment ref="F803" authorId="0" shapeId="0">
      <text>
        <t>F802 · Market variable
variable: confectionery market volume Germany; year: 2024; value: 13.7; unit: EUR bn; source: Euromonitor International (as cited in the group management report)
Document: S3, annual report, FY2025, 2026-04-02, audited, katjes-2025-annual-report.pdf
Page: 22
Quote: "Germany 15.4 13.7"
Status: approved by a named reviewer
Approver: demo reviewer, date not recorded
Proof: https://vanillabonds.com/dossier.html?c=katjes&amp;viewer=1&amp;item=F802</t>
      </text>
    </comment>
    <comment ref="F804" authorId="0" shapeId="0">
      <text>
        <t>F803 · Market variable
variable: confectionery market volume United Kingdom; year: 2025; value: 13.9; unit: EUR bn; source: Euromonitor International (as cited in the group management report)
Document: S3, annual report, FY2025, 2026-04-02, audited, katjes-2025-annual-report.pdf
Page: 22
Quote: "United Kingdom 13.9 12.6"
Status: approved by a named reviewer
Approver: demo reviewer, date not recorded
Proof: https://vanillabonds.com/dossier.html?c=katjes&amp;viewer=1&amp;item=F803</t>
      </text>
    </comment>
    <comment ref="F805" authorId="0" shapeId="0">
      <text>
        <t>F804 · Market variable
variable: confectionery market volume United Kingdom; year: 2024; value: 12.6; unit: EUR bn; source: Euromonitor International (as cited in the group management report)
Document: S3, annual report, FY2025, 2026-04-02, audited, katjes-2025-annual-report.pdf
Page: 22
Quote: "United Kingdom 13.9 12.6"
Status: approved by a named reviewer
Approver: demo reviewer, date not recorded
Proof: https://vanillabonds.com/dossier.html?c=katjes&amp;viewer=1&amp;item=F804</t>
      </text>
    </comment>
    <comment ref="F806" authorId="0" shapeId="0">
      <text>
        <t>F805 · Market variable
variable: confectionery market volume France; year: 2025; value: 9.0; unit: EUR bn; source: Euromonitor International (as cited in the group management report)
Document: S3, annual report, FY2025, 2026-04-02, audited, katjes-2025-annual-report.pdf
Page: 22
Quote: "France 9.0 7.8"
Status: approved by a named reviewer
Approver: demo reviewer, date not recorded
Proof: https://vanillabonds.com/dossier.html?c=katjes&amp;viewer=1&amp;item=F805</t>
      </text>
    </comment>
    <comment ref="F807" authorId="0" shapeId="0">
      <text>
        <t>F806 · Market variable
variable: confectionery market volume France; year: 2024; value: 7.8; unit: EUR bn; source: Euromonitor International (as cited in the group management report)
Document: S3, annual report, FY2025, 2026-04-02, audited, katjes-2025-annual-report.pdf
Page: 22
Quote: "France 9.0 7.8"
Status: approved by a named reviewer
Approver: demo reviewer, date not recorded
Proof: https://vanillabonds.com/dossier.html?c=katjes&amp;viewer=1&amp;item=F806</t>
      </text>
    </comment>
    <comment ref="F808" authorId="0" shapeId="0">
      <text>
        <t>F807 · Market variable
variable: confectionery market volume Italy; year: 2025; value: 4.2; unit: EUR bn; source: Euromonitor International (as cited in the group management report)
Document: S3, annual report, FY2025, 2026-04-02, audited, katjes-2025-annual-report.pdf
Page: 22
Quote: "Italy 4.2 3.8"
Status: approved by a named reviewer
Approver: demo reviewer, date not recorded
Proof: https://vanillabonds.com/dossier.html?c=katjes&amp;viewer=1&amp;item=F807</t>
      </text>
    </comment>
    <comment ref="F809" authorId="0" shapeId="0">
      <text>
        <t>F808 · Market variable
variable: confectionery market volume Italy; year: 2024; value: 3.8; unit: EUR bn; source: Euromonitor International (as cited in the group management report)
Document: S3, annual report, FY2025, 2026-04-02, audited, katjes-2025-annual-report.pdf
Page: 22
Quote: "Italy 4.2 3.8"
Status: approved by a named reviewer
Approver: demo reviewer, date not recorded
Proof: https://vanillabonds.com/dossier.html?c=katjes&amp;viewer=1&amp;item=F808</t>
      </text>
    </comment>
    <comment ref="F810" authorId="0" shapeId="0">
      <text>
        <t>F809 · Market variable
variable: confectionery market volume Netherlands; year: 2025; value: 2.3; unit: EUR bn; source: Euromonitor International (as cited in the group management report)
Document: S3, annual report, FY2025, 2026-04-02, audited, katjes-2025-annual-report.pdf
Page: 22
Quote: "Netherlands 2.3 2.1"
Status: approved by a named reviewer
Approver: demo reviewer, date not recorded
Proof: https://vanillabonds.com/dossier.html?c=katjes&amp;viewer=1&amp;item=F809</t>
      </text>
    </comment>
    <comment ref="F811" authorId="0" shapeId="0">
      <text>
        <t>F810 · Market variable
variable: confectionery market volume Netherlands; year: 2024; value: 2.1; unit: EUR bn; source: Euromonitor International (as cited in the group management report)
Document: S3, annual report, FY2025, 2026-04-02, audited, katjes-2025-annual-report.pdf
Page: 22
Quote: "Netherlands 2.3 2.1"
Status: approved by a named reviewer
Approver: demo reviewer, date not recorded
Proof: https://vanillabonds.com/dossier.html?c=katjes&amp;viewer=1&amp;item=F810</t>
      </text>
    </comment>
    <comment ref="F812" authorId="0" shapeId="0">
      <text>
        <t>F811 · Market variable
variable: baby and children's care market volume Germany; year: 2025; value: 566; unit: EUR m; source: Nielsen (as cited); -1.4% vs 2024, sales volume -3.7%
Document: S3, annual report, FY2025, 2026-04-02, audited, katjes-2025-annual-report.pdf
Page: 22
Quote: "According to Nielsen data, the market volume in Germany amounted to EUR 566 million in 2025 (2024: EUR 574 million)."
Status: approved by a named reviewer
Approver: demo reviewer, date not recorded
Proof: https://vanillabonds.com/dossier.html?c=katjes&amp;viewer=1&amp;item=F811</t>
      </text>
    </comment>
    <comment ref="F813" authorId="0" shapeId="0">
      <text>
        <t>F812 · Market variable
variable: baby and children's care market volume Germany; year: 2024; value: 574; unit: EUR m; source: Nielsen (as cited); +1.0% vs 2023
Document: S3, annual report, FY2025, 2026-04-02, audited, katjes-2025-annual-report.pdf
Page: 22
Quote: "According to Nielsen data, the market volume in Germany amounted to EUR 566 million in 2025 (2024: EUR 574 million)."
Status: approved by a named reviewer
Approver: demo reviewer, date not recorded
Proof: https://vanillabonds.com/dossier.html?c=katjes&amp;viewer=1&amp;item=F812</t>
      </text>
    </comment>
    <comment ref="F814" authorId="0" shapeId="0">
      <text>
        <t>F813 · Market variable
variable: dental and oral care revenue Germany; year: 2025; value: 2,080; unit: EUR m; source: Circana (as cited); +2.8% yoy
Document: S3, annual report, FY2025, 2026-04-02, audited, katjes-2025-annual-report.pdf
Page: 23
Quote: "Revenue generated with products in this segment amounted to approximately EUR 2.08 billion in 2025 and, according to Circana data, increased by +2.8% compared to the previous year."
Status: approved by a named reviewer
Approver: demo reviewer, date not recorded
Proof: https://vanillabonds.com/dossier.html?c=katjes&amp;viewer=1&amp;item=F813</t>
      </text>
    </comment>
    <comment ref="F815" authorId="0" shapeId="0">
      <text>
        <t>F814 · Market variable
variable: confectionery market volume growth forecast Western Europe; year: 2026; value: 4.7; unit: %; source: group management report forecast (Eastern Europe 2.6%)
Document: S3, annual report, FY2025, 2026-04-02, audited, katjes-2025-annual-report.pdf
Page: 35
Quote: "In the confectionery segment, the market volume in Western Europe is expected to increase by approximately 4.7% in 2026, while Eastern Europe is expected to grow by 2.6%"
Status: approved by a named reviewer
Approver: demo reviewer, date not recorded
Proof: https://vanillabonds.com/dossier.html?c=katjes&amp;viewer=1&amp;item=F814</t>
      </text>
    </comment>
    <comment ref="F816" authorId="0" shapeId="0">
      <text>
        <t>F815 · Market variable
variable: baby and children's care market growth forecast Germany; year: 2026; value: 1.7; unit: %; source: Euromonitor International (as cited in the group management report)
Document: S3, annual report, FY2025, 2026-04-02, audited, katjes-2025-annual-report.pdf
Page: 35
Quote: "According to Euromonitor data, the market for baby and children’s care products in Germany is also expected to grow by 1.7% in 2026."
Status: approved by a named reviewer
Approver: demo reviewer, date not recorded
Proof: https://vanillabonds.com/dossier.html?c=katjes&amp;viewer=1&amp;item=F815</t>
      </text>
    </comment>
    <comment ref="F817" authorId="0" shapeId="0">
      <text>
        <t>F816 · Market variable
variable: oral care market growth forecast Germany; year: 2026; value: nearly 4; unit: %; source: Euromonitor International (as cited in the group management report)
Document: S3, annual report, FY2025, 2026-04-02, audited, katjes-2025-annual-report.pdf
Page: 35
Quote: "The oral care market in Germany is expected to grow by nearly 4% in 2026, according to Euromonitor data."
Status: approved by a named reviewer
Approver: demo reviewer, date not recorded
Proof: https://vanillabonds.com/dossier.html?c=katjes&amp;viewer=1&amp;item=F816</t>
      </text>
    </comment>
    <comment ref="F818" authorId="0" shapeId="0">
      <text>
        <t>F817 · Market variable
variable: designer apparel market growth forecast Germany; year: 2026; value: nearly 2; unit: %; source: Euromonitor International (as cited in the group management report)
Document: S3, annual report, FY2025, 2026-04-02, audited, katjes-2025-annual-report.pdf
Page: 35
Quote: "The designer apparel market in Germany is expected to grow by nearly 2% in 2026, according to Euromonitor data."
Status: approved by a named reviewer
Approver: demo reviewer, date not recorded
Proof: https://vanillabonds.com/dossier.html?c=katjes&amp;viewer=1&amp;item=F817</t>
      </text>
    </comment>
    <comment ref="F819" authorId="0" shapeId="0">
      <text>
        <t>F818 · Market variable
variable: GDP growth forecast euro area; year: 2026; value: 0.8; unit: %; Germany 0.8, Netherlands 1.4; source: OECD Economic Outlook December 2025, updated March 2026 (as cited)
Document: S3, annual report, FY2025, 2026-04-02, audited, katjes-2025-annual-report.pdf
Page: 35
Quote: "The OECD expects gross domestic product (GDP) in the euro area to increase by 0.8% in 2026. Growth of 0.8% is expected for the Federal Republic of Germany and 1.4% for the Netherlands."
Status: approved by a named reviewer
Approver: demo reviewer, date not recorded
Proof: https://vanillabonds.com/dossier.html?c=katjes&amp;viewer=1&amp;item=F818</t>
      </text>
    </comment>
    <comment ref="F820" authorId="0" shapeId="0">
      <text>
        <t>F819 · Market variable
variable: GDP growth forecast Italy; year: 2026; value: 0.4; unit: %; France 0.8, United Kingdom 0.7; source: OECD Economic Outlook December 2025, updated March 2026 (as cited)
Document: S3, annual report, FY2025, 2026-04-02, audited, katjes-2025-annual-report.pdf
Page: 35
Quote: "Economic output in Italy is expected to increase by 0.4%. Growth of 0.8% is forecast for France, while GDP in the United Kingdom is expected to rise by 0.7%."
Status: approved by a named reviewer
Approver: demo reviewer, date not recorded
Proof: https://vanillabonds.com/dossier.html?c=katjes&amp;viewer=1&amp;item=F819</t>
      </text>
    </comment>
    <comment ref="F821" authorId="0" shapeId="0">
      <text>
        <t>F820 · Market variable
variable: GDP growth forecast United States; year: 2026; value: 2.0; unit: %; Switzerland 1.2, Austria 0.9; source: OECD Economic Outlook December 2025, updated March 2026 (as cited)
Document: S3, annual report, FY2025, 2026-04-02, audited, katjes-2025-annual-report.pdf
Page: 35
Quote: "GDP growth of 1.2% is expected for Switzerland and 0.9% for Austria. For the United States, growth of 2.0% is forecast."
Status: approved by a named reviewer
Approver: demo reviewer, date not recorded
Proof: https://vanillabonds.com/dossier.html?c=katjes&amp;viewer=1&amp;item=F820</t>
      </text>
    </comment>
    <comment ref="H822" authorId="0" shapeId="0">
      <text>
        <t>F821 · Regulation
Document: S3, annual report, FY2025, 2026-04-02, audited, katjes-2025-annual-report.pdf
Page: 28
Quote: "the gradual reduction of the corporate income tax rate resolved in July 2025 as part of the German tax investment programme"
Status: approved by a named reviewer
Approver: demo reviewer, date not recorded
Proof: https://vanillabonds.com/dossier.html?c=katjes&amp;viewer=1&amp;item=F821</t>
      </text>
    </comment>
    <comment ref="H823" authorId="0" shapeId="0">
      <text>
        <t>F822 · Regulation
Document: S3, annual report, FY2025, 2026-04-02, audited, katjes-2025-annual-report.pdf
Page: 31
Quote: "Changes in legal frameworks or other regulatory interventions may restrict the production or sale of products in their current form or volume."
Status: approved by a named reviewer
Approver: demo reviewer, date not recorded
Proof: https://vanillabonds.com/dossier.html?c=katjes&amp;viewer=1&amp;item=F822</t>
      </text>
    </comment>
    <comment ref="H824" authorId="0" shapeId="0">
      <text>
        <t>F823 · Regulation
Document: S3, annual report, FY2025, 2026-04-02, audited, katjes-2025-annual-report.pdf
Page: 46
Quote: "Except for the presentation changes required by IFRS 18, no material impact on the consolidated financial statements"
Status: approved by a named reviewer
Approver: demo reviewer, date not recorded
Proof: https://vanillabonds.com/dossier.html?c=katjes&amp;viewer=1&amp;item=F823</t>
      </text>
    </comment>
    <comment ref="H825" authorId="0" shapeId="0">
      <text>
        <t>F824 · Regulation
Document: S3, annual report, FY2025, 2026-04-02, audited, katjes-2025-annual-report.pdf
Page: 50
Quote: "The rules on global minimum taxation under OECD BEPS Pillar II (GloBE Rules) are not applicable to the Katjes International Group in the financial year 2025"
Status: approved by a named reviewer
Approver: demo reviewer, date not recorded
Proof: https://vanillabonds.com/dossier.html?c=katjes&amp;viewer=1&amp;item=F824</t>
      </text>
    </comment>
    <comment ref="H826" authorId="0" shapeId="0">
      <text>
        <t>F825 · Third-party industry assessment, quoted verbatim
Document: S3, annual report, FY2025, 2026-04-02, audited, katjes-2025-annual-report.pdf
Page: 23
Quote: "For the coming years, a neutral to positive development with growth between 0% and 5% is expected."
Status: approved by a named reviewer
Approver: demo reviewer, date not recorded
Proof: https://vanillabonds.com/dossier.html?c=katjes&amp;viewer=1&amp;item=F825</t>
      </text>
    </comment>
    <comment ref="H827" authorId="0" shapeId="0">
      <text>
        <t>F826 · Key contract
Document: S3, annual report, FY2025, 2026-04-02, audited, katjes-2025-annual-report.pdf
Page: 13
Quote: "Through a new licensing partnership with the BBC for the internationally successful brand Bluey, Bübchen is bringing fresh momentum to the toddler segment."
Status: approved by a named reviewer
Approver: demo reviewer, date not recorded
Proof: https://vanillabonds.com/dossier.html?c=katjes&amp;viewer=1&amp;item=F826</t>
      </text>
    </comment>
    <comment ref="H828" authorId="0" shapeId="0">
      <text>
        <t>F827 · Key contract
Document: S3, annual report, FY2025, 2026-04-02, audited, katjes-2025-annual-report.pdf
Page: 14
Quote: "As part of a licensing partnership with Hasbro, Theramed launched a children’s toothpaste featuring the popular Peppa Pig licence in September."
Status: approved by a named reviewer
Approver: demo reviewer, date not recorded
Proof: https://vanillabonds.com/dossier.html?c=katjes&amp;viewer=1&amp;item=F827</t>
      </text>
    </comment>
    <comment ref="H829" authorId="0" shapeId="0">
      <text>
        <t>F828 · Key contract
Document: S3, annual report, FY2025, 2026-04-02, audited, katjes-2025-annual-report.pdf
Page: 15
Quote: "Candy Kittens became the first branded confectionery product to be listed by Marks &amp; Spencer"
Status: approved by a named reviewer
Approver: demo reviewer, date not recorded
Proof: https://vanillabonds.com/dossier.html?c=katjes&amp;viewer=1&amp;item=F828</t>
      </text>
    </comment>
    <comment ref="H830" authorId="0" shapeId="0">
      <text>
        <t>F829 · Key contract
Document: S3, annual report, FY2025, 2026-04-02, audited, katjes-2025-annual-report.pdf
Page: 16
Quote: "For more than 70 years, BOGNER has equipped athletes of the German Ski Association for the World Cup season"
Status: approved by a named reviewer
Approver: demo reviewer, date not recorded
Proof: https://vanillabonds.com/dossier.html?c=katjes&amp;viewer=1&amp;item=F829</t>
      </text>
    </comment>
    <comment ref="H831" authorId="0" shapeId="0">
      <text>
        <t>F830 · Key contract
Document: S3, annual report, FY2025, 2026-04-02, audited, katjes-2025-annual-report.pdf
Page: 55
Quote: "The Group addresses this risk by entering into contracts with suppliers, which typically have terms of between 3 and 24 months."
Status: approved by a named reviewer
Approver: demo reviewer, date not recorded
Proof: https://vanillabonds.com/dossier.html?c=katjes&amp;viewer=1&amp;item=F830</t>
      </text>
    </comment>
    <comment ref="H832" authorId="0" shapeId="0">
      <text>
        <t>F831 · Price or input-cost series
Document: S3, annual report, FY2025, 2026-04-02, audited, katjes-2025-annual-report.pdf
Page: 21
Quote: "While sugar prices stabilised over the course of the year, cocoa prices remained volatile and rose to a record high in the first half of the year before declining in the second half."
Status: approved by a named reviewer
Approver: demo reviewer, date not recorded
Proof: https://vanillabonds.com/dossier.html?c=katjes&amp;viewer=1&amp;item=F831</t>
      </text>
    </comment>
    <comment ref="H833" authorId="0" shapeId="0">
      <text>
        <t>F832 · Price or input-cost series
Document: S3, annual report, FY2025, 2026-04-02, audited, katjes-2025-annual-report.pdf
Page: 31
Quote: "Katjes International may not be able to fully or partially offset such increases or pass them on to customers."
Status: approved by a named reviewer
Approver: demo reviewer, date not recorded
Proof: https://vanillabonds.com/dossier.html?c=katjes&amp;viewer=1&amp;item=F832</t>
      </text>
    </comment>
    <comment ref="F834" authorId="0" shapeId="0">
      <text>
        <t>F833 · Price or input-cost series
variable: raw materials, consumables and goods purchased in cost of sales; year: 2025; value: 246.2 (2024: 192.3); unit: EUR m; source: notes 7.2
Document: S3, annual report, FY2025, 2026-04-02, audited, katjes-2025-annual-report.pdf
Page: 74
Quote: "as well as goods purchased in the amount of EUR 246.2 million (2024: EUR 192.3 million)"
Status: approved by a named reviewer
Approver: demo reviewer, date not recorded
Proof: https://vanillabonds.com/dossier.html?c=katjes&amp;viewer=1&amp;item=F833</t>
      </text>
    </comment>
    <comment ref="H835" authorId="0" shapeId="0">
      <text>
        <t>F834 · Certification, licence, permit or patent
Document: S3, annual report, FY2025, 2026-04-02, audited, katjes-2025-annual-report.pdf
Page: 29
Quote: "the key investments in the confectionery and personal care segments regularly undergo food and quality"
Status: approved by a named reviewer
Approver: demo reviewer, date not recorded
Proof: https://vanillabonds.com/dossier.html?c=katjes&amp;viewer=1&amp;item=F834</t>
      </text>
    </comment>
    <comment ref="F836" authorId="0" shapeId="0">
      <text>
        <t>F835 · One-off item · FY2024
item: non-recurring deferred tax expense from exercising the corporate income tax option; amount: -6.9 tax expense; recurrence: none (0.0 in 2025)
Document: S3, annual report, FY2025, 2026-04-02, audited, katjes-2025-annual-report.pdf
Page: 37
Quote: "Thereof non-recurring due to the exercise of the corporate income tax option: EUR 0.0 million (previous year: EUR -6.9 million)"
Status: approved by a named reviewer
Approver: demo reviewer, date not recorded
Proof: https://vanillabonds.com/dossier.html?c=katjes&amp;viewer=1&amp;item=F835</t>
      </text>
    </comment>
    <comment ref="H837" authorId="0" shapeId="0">
      <text>
        <t>F836 · One-off item · FY2024
Document: S3, annual report, FY2025, 2026-04-02, audited, katjes-2025-annual-report.pdf
Page: 75
Quote: "In the previous year, the line item “Other” included, among other things, income from a legal case that was decided in the Group’s favor."
Status: approved by a named reviewer
Approver: demo reviewer, date not recorded
Proof: https://vanillabonds.com/dossier.html?c=katjes&amp;viewer=1&amp;item=F836</t>
      </text>
    </comment>
    <comment ref="F838" authorId="0" shapeId="0">
      <text>
        <t>F837 · One-off item · FY2025
item: badwill from initial consolidation of Bogner (other operating income); amount: 35.1; recurrence: none
Document: S3, annual report, FY2025, 2026-04-02, audited, katjes-2025-annual-report.pdf
Page: 75
Quote: "Income from badwill 35.1 0.0"
Status: approved by a named reviewer
Approver: demo reviewer, date not recorded
Proof: https://vanillabonds.com/dossier.html?c=katjes&amp;viewer=1&amp;item=F837</t>
      </text>
    </comment>
    <comment ref="F839" authorId="0" shapeId="0">
      <text>
        <t>F838 · One-off item · FY2025
item: gain on disposal of the 23% CPK minority interest (other operating income); amount: 20.1; recurrence: none
Document: S3, annual report, FY2025, 2026-04-02, audited, katjes-2025-annual-report.pdf
Page: 75
Quote: "Gains on disposal of fixed assets 20.1 0.0"
Status: approved by a named reviewer
Approver: demo reviewer, date not recorded
Proof: https://vanillabonds.com/dossier.html?c=katjes&amp;viewer=1&amp;item=F838</t>
      </text>
    </comment>
    <comment ref="F840" authorId="0" shapeId="0">
      <text>
        <t>F839 · One-off item · FY2025
item: fees in connection with the repayment of loans (financial expenses, other); amount: 1.3; recurrence: none
Document: S3, annual report, FY2025, 2026-04-02, audited, katjes-2025-annual-report.pdf
Page: 75
Quote: "fees in connection with the repayment of loans in the reporting year (EUR 1.3 million)"
Status: approved by a named reviewer
Approver: demo reviewer, date not recorded
Proof: https://vanillabonds.com/dossier.html?c=katjes&amp;viewer=1&amp;item=F839</t>
      </text>
    </comment>
    <comment ref="F841" authorId="0" shapeId="0">
      <text>
        <t>F840 · One-off item · FY2025
item: expenses from changes in fair value of stand-alone derivatives (financial expenses, other); amount: 1.5; recurrence: none
Document: S3, annual report, FY2025, 2026-04-02, audited, katjes-2025-annual-report.pdf
Page: 75
Quote: "the fair value of stand-alone derivatives (EUR 1.5"
Status: approved by a named reviewer
Approver: demo reviewer, date not recorded
Proof: https://vanillabonds.com/dossier.html?c=katjes&amp;viewer=1&amp;item=F840</t>
      </text>
    </comment>
    <comment ref="F842" authorId="0" shapeId="0">
      <text>
        <t>F841 · One-off item · FY2025
item: severance payments; amount: 0.6 (2024: 0.8); recurrence: 2024
Document: S3, annual report, FY2025, 2026-04-02, audited, katjes-2025-annual-report.pdf
Page: 75
Quote: "ments amounted to EUR 0.6 million (2024: EUR 0.8 million)."
Status: approved by a named reviewer
Approver: demo reviewer, date not recorded
Proof: https://vanillabonds.com/dossier.html?c=katjes&amp;viewer=1&amp;item=F841</t>
      </text>
    </comment>
    <comment ref="F843" authorId="0" shapeId="0">
      <text>
        <t>F842 · Off-balance item · FY2024
kind: pension deficit; amount: 8.9 provision for pensions and similar obligations at 31 Dec 2024; counterparty: defined benefit plans in Germany, Italy and Switzerland
Document: S3, annual report, FY2025, 2026-04-02, audited, katjes-2025-annual-report.pdf
Page: 40
Quote: "Provisions for pensions and similar obligations 6.12 16.1 8.9"
Status: approved by a named reviewer
Approver: demo reviewer, date not recorded
Proof: https://vanillabonds.com/dossier.html?c=katjes&amp;viewer=1&amp;item=F842</t>
      </text>
    </comment>
    <comment ref="F844" authorId="0" shapeId="0">
      <text>
        <t>F843 · Off-balance item · FY2025
kind: pension deficit; amount: 16.1 provision for pensions and similar obligations (2024: 8.9), funded DBO 17.2 less plan assets 14.8 plus unfunded obligations; counterparty: defined benefit plans in Germany, Italy and Switzerland, 8.6 added from Bogner
Document: S3, annual report, FY2025, 2026-04-02, audited, katjes-2025-annual-report.pdf
Page: 40
Quote: "Provisions for pensions and similar obligations 6.12 16.1 8.9"
Status: approved by a named reviewer
Approver: demo reviewer, date not recorded
Proof: https://vanillabonds.com/dossier.html?c=katjes&amp;viewer=1&amp;item=F843</t>
      </text>
    </comment>
    <comment ref="F845" authorId="0" shapeId="0">
      <text>
        <t>F844 · Off-balance item · FY2025
kind: earn-out (minority option liabilities); amount: 7.1 other financial liabilities at fair value (Dulcioliva purchase option 1.6 and Bogner put option 5.5); counterparty: Dulcioliva and Bogner minority shareholders
Document: S3, annual report, FY2025, 2026-04-02, audited, katjes-2025-annual-report.pdf
Page: 62
Quote: "Other financial liabilities³ 7.1 7.1** FV PL | FV OCI"
Status: approved by a named reviewer
Approver: demo reviewer, date not recorded
Proof: https://vanillabonds.com/dossier.html?c=katjes&amp;viewer=1&amp;item=F844</t>
      </text>
    </comment>
    <comment ref="H846" authorId="0" shapeId="0">
      <text>
        <t>F845 · Off-balance item · FY2025
Document: S3, annual report, FY2025, 2026-04-02, audited, katjes-2025-annual-report.pdf
Page: 66
Quote: "In the reporting year, 69% of Piasten’s trade receivables, around 50% of Sperlari’s and 43% of Bübchen Skincare’s were sold to factoring companies or similar service providers."
Status: approved by a named reviewer
Approver: demo reviewer, date not recorded
Proof: https://vanillabonds.com/dossier.html?c=katjes&amp;viewer=1&amp;item=F845</t>
      </text>
    </comment>
    <comment ref="F847" authorId="0" shapeId="0">
      <text>
        <t>F846 · Off-balance item · FY2025
kind: supplier financing (reverse factoring); amount: 2.1 recognised as liabilities to banks (2024: 3.0), of which 2.1 already paid to suppliers; counterparty: bank; average payment term approximately 60 days
Document: S3, annual report, FY2025, 2026-04-02, audited, katjes-2025-annual-report.pdf
Page: 69
Quote: "As at December 31, 2025, an amount of EUR 2.1 million"
Status: approved by a named reviewer
Approver: demo reviewer, date not recorded
Proof: https://vanillabonds.com/dossier.html?c=katjes&amp;viewer=1&amp;item=F846</t>
      </text>
    </comment>
    <comment ref="H848" authorId="0" shapeId="0">
      <text>
        <t>F847 · Audit facts · FY2025
Document: S3, annual report, FY2025, 2026-04-02, audited, katjes-2025-annual-report.pdf
Page: 77
Quote: "To reflect the inclusion of the Bogner entities, prior year figures have been adjusted in certain areas."
Status: approved by a named reviewer
Approver: demo reviewer, date not recorded
Proof: https://vanillabonds.com/dossier.html?c=katjes&amp;viewer=1&amp;item=F847</t>
      </text>
    </comment>
    <comment ref="F849" authorId="0" shapeId="0">
      <text>
        <t>F848 · Days from year end to filing of the accounts · FY2025
Year end 31 Dec 2025 to auditor's report dated April 2, 2026 (consolidated statements approved for publication the same day)
Document: S3, annual report, FY2025, 2026-04-02, audited, katjes-2025-annual-report.pdf
Page: 91
Quote: "Köln, April 2, 2026 EY GmbH &amp; Co. KG"
Status: approved by a named reviewer
Approver: demo reviewer, date not recorded
Proof: https://vanillabonds.com/dossier.html?c=katjes&amp;viewer=1&amp;item=F848</t>
      </text>
    </comment>
    <comment ref="H850" authorId="0" shapeId="0">
      <text>
        <t>F849 · Tax item
Document: S3, annual report, FY2025, 2026-04-02, audited, katjes-2025-annual-report.pdf
Page: 24
Quote: "exercised the so-called corporate income tax option with effect from January 1, 2025"
Status: approved by a named reviewer
Approver: demo reviewer, date not recorded
Proof: https://vanillabonds.com/dossier.html?c=katjes&amp;viewer=1&amp;item=F849</t>
      </text>
    </comment>
    <comment ref="F851" authorId="0" shapeId="0">
      <text>
        <t>F850 · Tax item
Deferred tax liabilities EUR 52.4m at 31 Dec 2025 (2024: 31.1), increase mainly from the Bogner purchase price allocation; deferred tax assets 13.2 (3.5).
Document: S3, annual report, FY2025, 2026-04-02, audited, katjes-2025-annual-report.pdf
Page: 40
Quote: "Deferred tax liabilities 6.11 52.4 31.1"
Status: approved by a named reviewer
Approver: demo reviewer, date not recorded
Proof: https://vanillabonds.com/dossier.html?c=katjes&amp;viewer=1&amp;item=F850</t>
      </text>
    </comment>
    <comment ref="F852" authorId="0" shapeId="0">
      <text>
        <t>F851 · Tax item
No deferred tax assets on corporate income tax loss carryforwards of EUR 43.6m (2024: 33.7), trade tax loss carryforwards 8.0 (7.5) and other unrecognised loss carryforwards 8.6 (8.7); six-year planning horizon for recognised losses.
Document: S3, annual report, FY2025, 2026-04-02, audited, katjes-2025-annual-report.pdf
Page: 70
Quote: "No deferred taxes were recognised on corporate income tax loss carryforwards amounting to EUR 43.6 million (2024: EUR 33.7 million) and on trade tax loss carryforwards amounting to EUR 8.0 million"
Status: approved by a named reviewer
Approver: demo reviewer, date not recorded
Proof: https://vanillabonds.com/dossier.html?c=katjes&amp;viewer=1&amp;item=F851</t>
      </text>
    </comment>
    <comment ref="F853" authorId="0" shapeId="0">
      <text>
        <t>F852 · Tax item
Dutch corporate income tax loss carryforwards of EUR 0.3m (2024: 0.8) expire within one year; other loss carryforwards available indefinitely.
Document: S3, annual report, FY2025, 2026-04-02, audited, katjes-2025-annual-report.pdf
Page: 70
Quote: "Dutch corporate income tax loss carryforwards amounting to EUR 0.3 million (2024: EUR 0.8 million) expire within one year."
Status: approved by a named reviewer
Approver: demo reviewer, date not recorded
Proof: https://vanillabonds.com/dossier.html?c=katjes&amp;viewer=1&amp;item=F852</t>
      </text>
    </comment>
    <comment ref="H854" authorId="0" shapeId="0">
      <text>
        <t>F853 · Tax item
Document: S3, annual report, FY2025, 2026-04-02, audited, katjes-2025-annual-report.pdf
Page: 76
Quote: "The expected tax rate of 28.9% (2024: 12.9%) represents the average long-term tax rate of the German parent company."
Status: approved by a named reviewer
Approver: demo reviewer, date not recorded
Proof: https://vanillabonds.com/dossier.html?c=katjes&amp;viewer=1&amp;item=F853</t>
      </text>
    </comment>
    <comment ref="F855" authorId="0" shapeId="0">
      <text>
        <t>F854 · Tax item
2025 tax income EUR 1.3m (2024: expense 10.2): current tax expense 3.5 (Germany 2.2, other 1.3; 2024: 3.3) and deferred tax income -4.8 (2024: expense 6.9); reconciliation includes tax rate changes -3.3 and initial consolidation -9.7.
Document: S3, annual report, FY2025, 2026-04-02, audited, katjes-2025-annual-report.pdf
Page: 76
Quote: "Current tax expense/(income): Germany 2.2 2.7 Other countries 1.3 0.6 3.5 3.3"
Status: approved by a named reviewer
Approver: demo reviewer, date not recorded
Proof: https://vanillabonds.com/dossier.html?c=katjes&amp;viewer=1&amp;item=F854</t>
      </text>
    </comment>
    <comment ref="F856" authorId="0" shapeId="0">
      <text>
        <t>F855 · Tax item
No deferred tax liabilities on taxable temporary differences of EUR 851.9m (2024: 671.1) relating to investments in subsidiaries, as reversal is controlled and not expected.
Document: S3, annual report, FY2025, 2026-04-02, audited, katjes-2025-annual-report.pdf
Page: 76
Quote: "No deferred taxes were recognised as at December 31, 2025 for taxable temporary differences in connection with investments in subsidiaries amounting to EUR 851.9 million (2024: EUR 671.1"
Status: approved by a named reviewer
Approver: demo reviewer, date not recorded
Proof: https://vanillabonds.com/dossier.html?c=katjes&amp;viewer=1&amp;item=F855</t>
      </text>
    </comment>
    <comment ref="F857" authorId="0" shapeId="0">
      <text>
        <t>F856 · Segment · FY2024
segment: Confectionery (business line, revenue only; single IFRS 8 operating segment); revenue: 160.0
Document: S3, annual report, FY2025, 2026-04-02, audited, katjes-2025-annual-report.pdf
Page: 74
Quote: "Confectionery 174.9 160.0"
Status: approved by a named reviewer
Approver: demo reviewer, date not recorded
Proof: https://vanillabonds.com/dossier.html?c=katjes&amp;viewer=1&amp;item=F856</t>
      </text>
    </comment>
    <comment ref="F858" authorId="0" shapeId="0">
      <text>
        <t>F857 · Segment · FY2024
segment: Seasonals (business line, revenue only; single IFRS 8 operating segment); revenue: 54.7
Document: S3, annual report, FY2025, 2026-04-02, audited, katjes-2025-annual-report.pdf
Page: 74
Quote: "Seasonals 145.1 54.7"
Status: approved by a named reviewer
Approver: demo reviewer, date not recorded
Proof: https://vanillabonds.com/dossier.html?c=katjes&amp;viewer=1&amp;item=F857</t>
      </text>
    </comment>
    <comment ref="F859" authorId="0" shapeId="0">
      <text>
        <t>F858 · Segment · FY2024
segment: Body care products (business line, revenue only; single IFRS 8 operating segment); revenue: 90.4
Document: S3, annual report, FY2025, 2026-04-02, audited, katjes-2025-annual-report.pdf
Page: 74
Quote: "Body care products 97.1 90.4"
Status: approved by a named reviewer
Approver: demo reviewer, date not recorded
Proof: https://vanillabonds.com/dossier.html?c=katjes&amp;viewer=1&amp;item=F858</t>
      </text>
    </comment>
    <comment ref="F860" authorId="0" shapeId="0">
      <text>
        <t>F859 · Segment · FY2024
segment: Chocolate (business line, revenue only; single IFRS 8 operating segment); revenue: 57.8
Document: S3, annual report, FY2025, 2026-04-02, audited, katjes-2025-annual-report.pdf
Page: 74
Quote: "Chocolate 57.3 57.8"
Status: approved by a named reviewer
Approver: demo reviewer, date not recorded
Proof: https://vanillabonds.com/dossier.html?c=katjes&amp;viewer=1&amp;item=F859</t>
      </text>
    </comment>
    <comment ref="F861" authorId="0" shapeId="0">
      <text>
        <t>F860 · Segment · FY2024
segment: Other (business line, revenue only; single IFRS 8 operating segment); revenue: 29.7
Document: S3, annual report, FY2025, 2026-04-02, audited, katjes-2025-annual-report.pdf
Page: 74
Quote: "Other 28.6 29.7"
Status: approved by a named reviewer
Approver: demo reviewer, date not recorded
Proof: https://vanillabonds.com/dossier.html?c=katjes&amp;viewer=1&amp;item=F860</t>
      </text>
    </comment>
    <comment ref="F862" authorId="0" shapeId="0">
      <text>
        <t>F861 · Segment · FY2024
segment: Germany (region, revenue; prior-year figures adjusted for Bogner inclusion); revenue: 106.8
Document: S3, annual report, FY2025, 2026-04-02, audited, katjes-2025-annual-report.pdf
Page: 77
Quote: "Germany 158.1 106.8"
Status: approved by a named reviewer
Approver: demo reviewer, date not recorded
Proof: https://vanillabonds.com/dossier.html?c=katjes&amp;viewer=1&amp;item=F861</t>
      </text>
    </comment>
    <comment ref="F863" authorId="0" shapeId="0">
      <text>
        <t>F862 · Segment · FY2024
segment: Italy (region, revenue; prior-year figures adjusted for Bogner inclusion); revenue: 122.8
Document: S3, annual report, FY2025, 2026-04-02, audited, katjes-2025-annual-report.pdf
Page: 77
Quote: "Italy 119.1 122.8"
Status: approved by a named reviewer
Approver: demo reviewer, date not recorded
Proof: https://vanillabonds.com/dossier.html?c=katjes&amp;viewer=1&amp;item=F862</t>
      </text>
    </comment>
    <comment ref="F864" authorId="0" shapeId="0">
      <text>
        <t>F863 · Segment · FY2024
segment: Switzerland (region, revenue; prior-year figures adjusted for Bogner inclusion); revenue: 24.4
Document: S3, annual report, FY2025, 2026-04-02, audited, katjes-2025-annual-report.pdf
Page: 77
Quote: "Switzerland 41.5 24.4"
Status: approved by a named reviewer
Approver: demo reviewer, date not recorded
Proof: https://vanillabonds.com/dossier.html?c=katjes&amp;viewer=1&amp;item=F863</t>
      </text>
    </comment>
    <comment ref="F865" authorId="0" shapeId="0">
      <text>
        <t>F864 · Segment · FY2024
segment: UK (region, revenue; prior-year figures adjusted for Bogner inclusion); revenue: 18.7
Document: S3, annual report, FY2025, 2026-04-02, audited, katjes-2025-annual-report.pdf
Page: 77
Quote: "UK 31.5 18.7"
Status: approved by a named reviewer
Approver: demo reviewer, date not recorded
Proof: https://vanillabonds.com/dossier.html?c=katjes&amp;viewer=1&amp;item=F864</t>
      </text>
    </comment>
    <comment ref="F866" authorId="0" shapeId="0">
      <text>
        <t>F865 · Segment · FY2024
segment: North America (region, revenue; prior-year figures adjusted for Bogner inclusion); revenue: 5.3
Document: S3, annual report, FY2025, 2026-04-02, audited, katjes-2025-annual-report.pdf
Page: 77
Quote: "North America 22.0 5.3"
Status: approved by a named reviewer
Approver: demo reviewer, date not recorded
Proof: https://vanillabonds.com/dossier.html?c=katjes&amp;viewer=1&amp;item=F865</t>
      </text>
    </comment>
    <comment ref="F867" authorId="0" shapeId="0">
      <text>
        <t>F866 · Segment · FY2024
segment: Netherlands (region, revenue; prior-year figures adjusted for Bogner inclusion); revenue: 16.1
Document: S3, annual report, FY2025, 2026-04-02, audited, katjes-2025-annual-report.pdf
Page: 77
Quote: "Netherlands 19.1 16.1"
Status: approved by a named reviewer
Approver: demo reviewer, date not recorded
Proof: https://vanillabonds.com/dossier.html?c=katjes&amp;viewer=1&amp;item=F866</t>
      </text>
    </comment>
    <comment ref="F868" authorId="0" shapeId="0">
      <text>
        <t>F867 · Segment · FY2024
segment: Other EU countries (region, revenue; prior-year figures adjusted for Bogner inclusion); revenue: 81.2
Document: S3, annual report, FY2025, 2026-04-02, audited, katjes-2025-annual-report.pdf
Page: 77
Quote: "Other EU countries 91.3 81.2"
Status: approved by a named reviewer
Approver: demo reviewer, date not recorded
Proof: https://vanillabonds.com/dossier.html?c=katjes&amp;viewer=1&amp;item=F867</t>
      </text>
    </comment>
    <comment ref="F869" authorId="0" shapeId="0">
      <text>
        <t>F868 · Segment · FY2024
segment: Non-EU countries (region, revenue; prior-year figures adjusted for Bogner inclusion); revenue: 17.3
Document: S3, annual report, FY2025, 2026-04-02, audited, katjes-2025-annual-report.pdf
Page: 77
Quote: "Non-EU countries 20.4 17.3"
Status: approved by a named reviewer
Approver: demo reviewer, date not recorded
Proof: https://vanillabonds.com/dossier.html?c=katjes&amp;viewer=1&amp;item=F868</t>
      </text>
    </comment>
    <comment ref="F870" authorId="0" shapeId="0">
      <text>
        <t>F869 · Segment · FY2024
segment: Germany (region, non-current assets); assets: 141.4
Document: S3, annual report, FY2025, 2026-04-02, audited, katjes-2025-annual-report.pdf
Page: 78
Quote: "Germany 200.5 141.4"
Status: approved by a named reviewer
Approver: demo reviewer, date not recorded
Proof: https://vanillabonds.com/dossier.html?c=katjes&amp;viewer=1&amp;item=F869</t>
      </text>
    </comment>
    <comment ref="F871" authorId="0" shapeId="0">
      <text>
        <t>F870 · Segment · FY2024
segment: Italy (region, non-current assets); assets: 95.6
Document: S3, annual report, FY2025, 2026-04-02, audited, katjes-2025-annual-report.pdf
Page: 78
Quote: "Italy 93.5 95.6"
Status: approved by a named reviewer
Approver: demo reviewer, date not recorded
Proof: https://vanillabonds.com/dossier.html?c=katjes&amp;viewer=1&amp;item=F870</t>
      </text>
    </comment>
    <comment ref="F872" authorId="0" shapeId="0">
      <text>
        <t>F871 · Segment · FY2024
segment: Netherlands (region, non-current assets); assets: 72.3
Document: S3, annual report, FY2025, 2026-04-02, audited, katjes-2025-annual-report.pdf
Page: 78
Quote: "Netherlands 12.3 72.3"
Status: approved by a named reviewer
Approver: demo reviewer, date not recorded
Proof: https://vanillabonds.com/dossier.html?c=katjes&amp;viewer=1&amp;item=F871</t>
      </text>
    </comment>
    <comment ref="F873" authorId="0" shapeId="0">
      <text>
        <t>F872 · Segment · FY2024
segment: Switzerland (region, non-current assets); assets: 0.0
Document: S3, annual report, FY2025, 2026-04-02, audited, katjes-2025-annual-report.pdf
Page: 78
Quote: "Switzerland 12.2 0.0"
Status: approved by a named reviewer
Approver: demo reviewer, date not recorded
Proof: https://vanillabonds.com/dossier.html?c=katjes&amp;viewer=1&amp;item=F872</t>
      </text>
    </comment>
    <comment ref="F874" authorId="0" shapeId="0">
      <text>
        <t>F873 · Segment · FY2024
segment: UK (region, non-current assets); assets: 11.4
Document: S3, annual report, FY2025, 2026-04-02, audited, katjes-2025-annual-report.pdf
Page: 78
Quote: "UK 10.9 11.4"
Status: approved by a named reviewer
Approver: demo reviewer, date not recorded
Proof: https://vanillabonds.com/dossier.html?c=katjes&amp;viewer=1&amp;item=F873</t>
      </text>
    </comment>
    <comment ref="F875" authorId="0" shapeId="0">
      <text>
        <t>F874 · Segment · FY2024
segment: North America (region, non-current assets); assets: 0.0
Document: S3, annual report, FY2025, 2026-04-02, audited, katjes-2025-annual-report.pdf
Page: 78
Quote: "North America 9.7 0.0"
Status: approved by a named reviewer
Approver: demo reviewer, date not recorded
Proof: https://vanillabonds.com/dossier.html?c=katjes&amp;viewer=1&amp;item=F874</t>
      </text>
    </comment>
    <comment ref="F876" authorId="0" shapeId="0">
      <text>
        <t>F875 · Segment · FY2024
segment: Austria (region, non-current assets); assets: 0.0
Document: S3, annual report, FY2025, 2026-04-02, audited, katjes-2025-annual-report.pdf
Page: 78
Quote: "Austria 1.1 0.0"
Status: approved by a named reviewer
Approver: demo reviewer, date not recorded
Proof: https://vanillabonds.com/dossier.html?c=katjes&amp;viewer=1&amp;item=F875</t>
      </text>
    </comment>
    <comment ref="F877" authorId="0" shapeId="0">
      <text>
        <t>F876 · Segment · FY2024
segment: Group total (non-current assets by region); assets: 320.7
Document: S3, annual report, FY2025, 2026-04-02, audited, katjes-2025-annual-report.pdf
Page: 78
Quote: "Total 340.7 320.7"
Status: approved by a named reviewer
Approver: demo reviewer, date not recorded
Proof: https://vanillabonds.com/dossier.html?c=katjes&amp;viewer=1&amp;item=F876</t>
      </text>
    </comment>
    <comment ref="F878" authorId="0" shapeId="0">
      <text>
        <t>F877 · Segment · FY2025
segment: Confectionery (business line, revenue only; single IFRS 8 operating segment); revenue: 174.9
Document: S3, annual report, FY2025, 2026-04-02, audited, katjes-2025-annual-report.pdf
Page: 74
Quote: "Confectionery 174.9 160.0"
Status: approved by a named reviewer
Approver: demo reviewer, date not recorded
Proof: https://vanillabonds.com/dossier.html?c=katjes&amp;viewer=1&amp;item=F877</t>
      </text>
    </comment>
    <comment ref="F879" authorId="0" shapeId="0">
      <text>
        <t>F878 · Segment · FY2025
segment: Seasonals (business line, revenue only; single IFRS 8 operating segment); revenue: 145.1
Document: S3, annual report, FY2025, 2026-04-02, audited, katjes-2025-annual-report.pdf
Page: 74
Quote: "Seasonals 145.1 54.7"
Status: approved by a named reviewer
Approver: demo reviewer, date not recorded
Proof: https://vanillabonds.com/dossier.html?c=katjes&amp;viewer=1&amp;item=F878</t>
      </text>
    </comment>
    <comment ref="F880" authorId="0" shapeId="0">
      <text>
        <t>F879 · Segment · FY2025
segment: Body care products (business line, revenue only; single IFRS 8 operating segment); revenue: 97.1
Document: S3, annual report, FY2025, 2026-04-02, audited, katjes-2025-annual-report.pdf
Page: 74
Quote: "Body care products 97.1 90.4"
Status: approved by a named reviewer
Approver: demo reviewer, date not recorded
Proof: https://vanillabonds.com/dossier.html?c=katjes&amp;viewer=1&amp;item=F879</t>
      </text>
    </comment>
    <comment ref="F881" authorId="0" shapeId="0">
      <text>
        <t>F880 · Segment · FY2025
segment: Chocolate (business line, revenue only; single IFRS 8 operating segment); revenue: 57.3
Document: S3, annual report, FY2025, 2026-04-02, audited, katjes-2025-annual-report.pdf
Page: 74
Quote: "Chocolate 57.3 57.8"
Status: approved by a named reviewer
Approver: demo reviewer, date not recorded
Proof: https://vanillabonds.com/dossier.html?c=katjes&amp;viewer=1&amp;item=F880</t>
      </text>
    </comment>
    <comment ref="F882" authorId="0" shapeId="0">
      <text>
        <t>F881 · Segment · FY2025
segment: Other (business line, revenue only; single IFRS 8 operating segment); revenue: 28.6
Document: S3, annual report, FY2025, 2026-04-02, audited, katjes-2025-annual-report.pdf
Page: 74
Quote: "Other 28.6 29.7"
Status: approved by a named reviewer
Approver: demo reviewer, date not recorded
Proof: https://vanillabonds.com/dossier.html?c=katjes&amp;viewer=1&amp;item=F881</t>
      </text>
    </comment>
    <comment ref="F883" authorId="0" shapeId="0">
      <text>
        <t>F882 · Segment · FY2025
segment: Germany (region, revenue by customer location); revenue: 158.1
Document: S3, annual report, FY2025, 2026-04-02, audited, katjes-2025-annual-report.pdf
Page: 77
Quote: "Germany 158.1 106.8"
Status: approved by a named reviewer
Approver: demo reviewer, date not recorded
Proof: https://vanillabonds.com/dossier.html?c=katjes&amp;viewer=1&amp;item=F882</t>
      </text>
    </comment>
    <comment ref="F884" authorId="0" shapeId="0">
      <text>
        <t>F883 · Segment · FY2025
segment: Italy (region, revenue by customer location); revenue: 119.1
Document: S3, annual report, FY2025, 2026-04-02, audited, katjes-2025-annual-report.pdf
Page: 77
Quote: "Italy 119.1 122.8"
Status: approved by a named reviewer
Approver: demo reviewer, date not recorded
Proof: https://vanillabonds.com/dossier.html?c=katjes&amp;viewer=1&amp;item=F883</t>
      </text>
    </comment>
    <comment ref="F885" authorId="0" shapeId="0">
      <text>
        <t>F884 · Segment · FY2025
segment: Switzerland (region, revenue by customer location); revenue: 41.5
Document: S3, annual report, FY2025, 2026-04-02, audited, katjes-2025-annual-report.pdf
Page: 77
Quote: "Switzerland 41.5 24.4"
Status: approved by a named reviewer
Approver: demo reviewer, date not recorded
Proof: https://vanillabonds.com/dossier.html?c=katjes&amp;viewer=1&amp;item=F884</t>
      </text>
    </comment>
    <comment ref="F886" authorId="0" shapeId="0">
      <text>
        <t>F885 · Segment · FY2025
segment: UK (region, revenue by customer location); revenue: 31.5
Document: S3, annual report, FY2025, 2026-04-02, audited, katjes-2025-annual-report.pdf
Page: 77
Quote: "UK 31.5 18.7"
Status: approved by a named reviewer
Approver: demo reviewer, date not recorded
Proof: https://vanillabonds.com/dossier.html?c=katjes&amp;viewer=1&amp;item=F885</t>
      </text>
    </comment>
    <comment ref="F887" authorId="0" shapeId="0">
      <text>
        <t>F886 · Segment · FY2025
segment: North America (region, revenue by customer location); revenue: 22.0
Document: S3, annual report, FY2025, 2026-04-02, audited, katjes-2025-annual-report.pdf
Page: 77
Quote: "North America 22.0 5.3"
Status: approved by a named reviewer
Approver: demo reviewer, date not recorded
Proof: https://vanillabonds.com/dossier.html?c=katjes&amp;viewer=1&amp;item=F886</t>
      </text>
    </comment>
    <comment ref="F888" authorId="0" shapeId="0">
      <text>
        <t>F887 · Segment · FY2025
segment: Netherlands (region, revenue by customer location); revenue: 19.1
Document: S3, annual report, FY2025, 2026-04-02, audited, katjes-2025-annual-report.pdf
Page: 77
Quote: "Netherlands 19.1 16.1"
Status: approved by a named reviewer
Approver: demo reviewer, date not recorded
Proof: https://vanillabonds.com/dossier.html?c=katjes&amp;viewer=1&amp;item=F887</t>
      </text>
    </comment>
    <comment ref="F889" authorId="0" shapeId="0">
      <text>
        <t>F888 · Segment · FY2025
segment: Other EU countries (region, revenue by customer location); revenue: 91.3
Document: S3, annual report, FY2025, 2026-04-02, audited, katjes-2025-annual-report.pdf
Page: 77
Quote: "Other EU countries 91.3 81.2"
Status: approved by a named reviewer
Approver: demo reviewer, date not recorded
Proof: https://vanillabonds.com/dossier.html?c=katjes&amp;viewer=1&amp;item=F888</t>
      </text>
    </comment>
    <comment ref="F890" authorId="0" shapeId="0">
      <text>
        <t>F889 · Segment · FY2025
segment: Non-EU countries (region, revenue by customer location); revenue: 20.4
Document: S3, annual report, FY2025, 2026-04-02, audited, katjes-2025-annual-report.pdf
Page: 77
Quote: "Non-EU countries 20.4 17.3"
Status: approved by a named reviewer
Approver: demo reviewer, date not recorded
Proof: https://vanillabonds.com/dossier.html?c=katjes&amp;viewer=1&amp;item=F889</t>
      </text>
    </comment>
    <comment ref="F891" authorId="0" shapeId="0">
      <text>
        <t>F890 · Segment · FY2025
segment: Germany (region, non-current assets: PP&amp;E, intangibles, other financial assets, investments); assets: 200.5
Document: S3, annual report, FY2025, 2026-04-02, audited, katjes-2025-annual-report.pdf
Page: 78
Quote: "Germany 200.5 141.4"
Status: approved by a named reviewer
Approver: demo reviewer, date not recorded
Proof: https://vanillabonds.com/dossier.html?c=katjes&amp;viewer=1&amp;item=F890</t>
      </text>
    </comment>
    <comment ref="F892" authorId="0" shapeId="0">
      <text>
        <t>F891 · Segment · FY2025
segment: Italy (region, non-current assets: PP&amp;E, intangibles, other financial assets, investments); assets: 93.5
Document: S3, annual report, FY2025, 2026-04-02, audited, katjes-2025-annual-report.pdf
Page: 78
Quote: "Italy 93.5 95.6"
Status: approved by a named reviewer
Approver: demo reviewer, date not recorded
Proof: https://vanillabonds.com/dossier.html?c=katjes&amp;viewer=1&amp;item=F891</t>
      </text>
    </comment>
    <comment ref="F893" authorId="0" shapeId="0">
      <text>
        <t>F892 · Segment · FY2025
segment: Netherlands (region, non-current assets: PP&amp;E, intangibles, other financial assets, investments); assets: 12.3
Document: S3, annual report, FY2025, 2026-04-02, audited, katjes-2025-annual-report.pdf
Page: 78
Quote: "Netherlands 12.3 72.3"
Status: approved by a named reviewer
Approver: demo reviewer, date not recorded
Proof: https://vanillabonds.com/dossier.html?c=katjes&amp;viewer=1&amp;item=F892</t>
      </text>
    </comment>
    <comment ref="F894" authorId="0" shapeId="0">
      <text>
        <t>F893 · Segment · FY2025
segment: Switzerland (region, non-current assets: PP&amp;E, intangibles, other financial assets, investments); assets: 12.2
Document: S3, annual report, FY2025, 2026-04-02, audited, katjes-2025-annual-report.pdf
Page: 78
Quote: "Switzerland 12.2 0.0"
Status: approved by a named reviewer
Approver: demo reviewer, date not recorded
Proof: https://vanillabonds.com/dossier.html?c=katjes&amp;viewer=1&amp;item=F893</t>
      </text>
    </comment>
    <comment ref="F895" authorId="0" shapeId="0">
      <text>
        <t>F894 · Segment · FY2025
segment: UK (region, non-current assets: PP&amp;E, intangibles, other financial assets, investments); assets: 10.9
Document: S3, annual report, FY2025, 2026-04-02, audited, katjes-2025-annual-report.pdf
Page: 78
Quote: "UK 10.9 11.4"
Status: approved by a named reviewer
Approver: demo reviewer, date not recorded
Proof: https://vanillabonds.com/dossier.html?c=katjes&amp;viewer=1&amp;item=F894</t>
      </text>
    </comment>
    <comment ref="F896" authorId="0" shapeId="0">
      <text>
        <t>F895 · Segment · FY2025
segment: North America (region, non-current assets: PP&amp;E, intangibles, other financial assets, investments); assets: 9.7
Document: S3, annual report, FY2025, 2026-04-02, audited, katjes-2025-annual-report.pdf
Page: 78
Quote: "North America 9.7 0.0"
Status: approved by a named reviewer
Approver: demo reviewer, date not recorded
Proof: https://vanillabonds.com/dossier.html?c=katjes&amp;viewer=1&amp;item=F895</t>
      </text>
    </comment>
    <comment ref="F897" authorId="0" shapeId="0">
      <text>
        <t>F896 · Segment · FY2025
segment: Austria (region, non-current assets: PP&amp;E, intangibles, other financial assets, investments); assets: 1.1
Document: S3, annual report, FY2025, 2026-04-02, audited, katjes-2025-annual-report.pdf
Page: 78
Quote: "Austria 1.1 0.0"
Status: approved by a named reviewer
Approver: demo reviewer, date not recorded
Proof: https://vanillabonds.com/dossier.html?c=katjes&amp;viewer=1&amp;item=F896</t>
      </text>
    </comment>
    <comment ref="F898" authorId="0" shapeId="0">
      <text>
        <t>F897 · Segment · FY2025
segment: Group total (non-current assets by region); assets: 340.7
Document: S3, annual report, FY2025, 2026-04-02, audited, katjes-2025-annual-report.pdf
Page: 78
Quote: "Total 340.7 320.7"
Status: approved by a named reviewer
Approver: demo reviewer, date not recorded
Proof: https://vanillabonds.com/dossier.html?c=katjes&amp;viewer=1&amp;item=F897</t>
      </text>
    </comment>
    <comment ref="F899" authorId="0" shapeId="0">
      <text>
        <t>F898 · Income taxes paid (cash flow statement) · FY2024
Income taxes paid per cash flow statement
Document: S3, annual report, FY2025, 2026-04-02, audited, katjes-2025-annual-report.pdf
Page: 42
Quote: "Income taxes paid -0.6 -2.5"
Status: approved by a named reviewer
Approver: demo reviewer, date not recorded
Proof: https://vanillabonds.com/dossier.html?c=katjes&amp;viewer=1&amp;item=F898</t>
      </text>
    </comment>
    <comment ref="F900" authorId="0" shapeId="0">
      <text>
        <t>F899 · Income taxes paid (cash flow statement) · FY2025
Income taxes paid per cash flow statement
Document: S3, annual report, FY2025, 2026-04-02, audited, katjes-2025-annual-report.pdf
Page: 42
Quote: "Income taxes paid -0.6 -2.5"
Status: approved by a named reviewer
Approver: demo reviewer, date not recorded
Proof: https://vanillabonds.com/dossier.html?c=katjes&amp;viewer=1&amp;item=F899</t>
      </text>
    </comment>
    <comment ref="F901" authorId="0" shapeId="0">
      <text>
        <t>F900 · Hedge
instrument: interest rate swap; notional: 3.6 (2024: 3.7); hedged item: rate (increase in variable interest rates); fair value change 0.0
Document: S3, annual report, FY2025, 2026-04-02, audited, katjes-2025-annual-report.pdf
Page: 63
Quote: "As at December 31, 2025, the Group had one interest rate swap (December 31, 2024: one interest rate swap) with a nominal amount outstanding of EUR 3.6 million (2024: EUR 3.7 million)."
Status: approved by a named reviewer
Approver: demo reviewer, date not recorded
Proof: https://vanillabonds.com/dossier.html?c=katjes&amp;viewer=1&amp;item=F900</t>
      </text>
    </comment>
    <comment ref="F902" authorId="0" shapeId="0">
      <text>
        <t>F901 · Hedge
instrument: hedging reserve; notional: 0.2 at 31 Dec 2025; fair value of derivative financial liabilities 1.1 (non-current 0.7, current 0.9 per note 6.2)
Document: S3, annual report, FY2025, 2026-04-02, audited, katjes-2025-annual-report.pdf
Page: 64
Quote: "As at the reporting date, the hedging reserve amounted to EUR 0.2 million."
Status: approved by a named reviewer
Approver: demo reviewer, date not recorded
Proof: https://vanillabonds.com/dossier.html?c=katjes&amp;viewer=1&amp;item=F901</t>
      </text>
    </comment>
    <comment ref="F903" authorId="0" shapeId="0">
      <text>
        <t>F902 · Hedge
instrument: foreign exchange forward contracts in cash flow hedges; notional: 92.0 (51.6 within 1 year, 40.4 in 1-2 years); maturity: up to early 2028; hedged item: FX (expected EUR revenues and USD purchases), newly designated at Bogner acquisition 1 Sep 2025
Document: S3, annual report, FY2025, 2026-04-02, audited, katjes-2025-annual-report.pdf
Page: 65
Quote: "51.6 40.4 0.0 92.0"
Status: approved by a named reviewer
Approver: demo reviewer, date not recorded
Proof: https://vanillabonds.com/dossier.html?c=katjes&amp;viewer=1&amp;item=F902</t>
      </text>
    </comment>
    <comment ref="H904" authorId="0" shapeId="0">
      <text>
        <t>F903 · Rate structure of the debt
Document: S3, annual report, FY2025, 2026-04-02, audited, katjes-2025-annual-report.pdf
Page: 55
Quote: "If these interest rates had increased/decreased by 1%, profit after tax in the reporting year would have been EUR 0.3 million lower/EUR 0.3 million higher"
Status: approved by a named reviewer
Approver: demo reviewer, date not recorded
Proof: https://vanillabonds.com/dossier.html?c=katjes&amp;viewer=1&amp;item=F903</t>
      </text>
    </comment>
    <comment ref="F905" authorId="0" shapeId="0">
      <text>
        <t>F904 · Past maturity
instrument: 2019/2024 bond; due: 2024; outcome: refinanced early in 2023 at 100.5% by the 2023/2028 bond of EUR 115m at 6.75%
Document: S3, annual report, FY2025, 2026-04-02, audited, katjes-2025-annual-report.pdf
Page: 68
Quote: "The 2019/2024 bond was refinanced early in 2023 at 100.5%. For this purpose, the 2023/2028 bond bearing interest at 6.75% was issued in September 2023"
Status: approved by a named reviewer
Approver: demo reviewer, date not recorded
Proof: https://vanillabonds.com/dossier.html?c=katjes&amp;viewer=1&amp;item=F904</t>
      </text>
    </comment>
    <comment ref="F906" authorId="0" shapeId="0">
      <text>
        <t>F905 · Project or acquisition
name: Bogner 60% acquisition; realised cost: 61.2 cash outflow; realised timing: closed 1 Sep 2025, financial year-end aligned to 31 Dec; realised result: badwill 35.1 in other operating income, Bogner contributed revenue in Germany, Switzerland, North America and Austria from September
Document: S3, annual report, FY2025, 2026-04-02, audited, katjes-2025-annual-report.pdf
Page: 53
Quote: "In the financial year 2025, the Bogner Group generated revenue of approximately EUR 200 million and was profitable."
Status: approved by a named reviewer
Approver: demo reviewer, date not recorded
Proof: https://vanillabonds.com/dossier.html?c=katjes&amp;viewer=1&amp;item=F905</t>
      </text>
    </comment>
    <comment ref="H907" authorId="0" shapeId="0">
      <text>
        <t>F906 · Stated strategy
Document: S3, annual report, FY2025, 2026-04-02, audited, katjes-2025-annual-report.pdf
Page: 4
Quote: "While we generally do not dispose of majority interests, this"
Status: approved by a named reviewer
Approver: demo reviewer, date not recorded
Proof: https://vanillabonds.com/dossier.html?c=katjes&amp;viewer=1&amp;item=F906</t>
      </text>
    </comment>
    <comment ref="H908" authorId="0" shapeId="0">
      <text>
        <t>F907 · Stated strategy
Document: S3, annual report, FY2025, 2026-04-02, audited, katjes-2025-annual-report.pdf
Page: 18
Quote: "acquiring businesses from large corporations that, for example, have lost critical size within the respective group."
Status: approved by a named reviewer
Approver: demo reviewer, date not recorded
Note on file: text: company wording put in quotation marks (reviewer, 20 Oct 2026)
Proof: https://vanillabonds.com/dossier.html?c=katjes&amp;viewer=1&amp;item=F907</t>
      </text>
    </comment>
    <comment ref="H909" authorId="0" shapeId="0">
      <text>
        <t>F908 · Stated strategy
Document: S3, annual report, FY2025, 2026-04-02, audited, katjes-2025-annual-report.pdf
Page: 35
Quote: "Katjes International will continue to pursue its proven strategy in 2026."
Status: approved by a named reviewer
Approver: demo reviewer, date not recorded
Note on file: text: company wording put in quotation marks (reviewer, 20 Oct 2026)
Proof: https://vanillabonds.com/dossier.html?c=katjes&amp;viewer=1&amp;item=F908</t>
      </text>
    </comment>
    <comment ref="F910" authorId="0" shapeId="0">
      <text>
        <t>F909 · Stated strategy
year: 2026; statement: long-term objective of a sustainable average EBITDA margin of at least 10%; what happened: 19.7% in 2025 incl. badwill and disposal gain, 11.4% in 2024; source: forecast report
Document: S3, annual report, FY2025, 2026-04-02, audited, katjes-2025-annual-report.pdf
Page: 35
Quote: "The Company’s long-term objective is to sustainably achieve an average EBITDA margin of at least 10%."
Status: approved by a named reviewer
Approver: demo reviewer, date not recorded
Proof: https://vanillabonds.com/dossier.html?c=katjes&amp;viewer=1&amp;item=F909</t>
      </text>
    </comment>
    <comment ref="H911" authorId="0" shapeId="0">
      <text>
        <t>F910 · Stated strategy
Document: S3, annual report, FY2025, 2026-04-02, audited, katjes-2025-annual-report.pdf
Page: 77
Quote: "Even after an acquisition, the brands and their respective companies remain organisationally independent"
Status: approved by a named reviewer
Approver: demo reviewer, date not recorded
Proof: https://vanillabonds.com/dossier.html?c=katjes&amp;viewer=1&amp;item=F910</t>
      </text>
    </comment>
    <comment ref="H912" authorId="0" shapeId="0">
      <text>
        <t>F911 · Financial policy, stated and revealed
Document: S3, annual report, FY2025, 2026-04-02, audited, katjes-2025-annual-report.pdf
Page: 26
Quote: "The Company primarily finances its ongoing operations through internal financing, factoring, bank loans and available credit lines."
Status: approved by a named reviewer
Approver: demo reviewer, date not recorded
Proof: https://vanillabonds.com/dossier.html?c=katjes&amp;viewer=1&amp;item=F911</t>
      </text>
    </comment>
    <comment ref="H913" authorId="0" shapeId="0">
      <text>
        <t>F912 · Financial policy, stated and revealed
Document: S3, annual report, FY2025, 2026-04-02, audited, katjes-2025-annual-report.pdf
Page: 55
Quote: "The Group addresses this risk by entering into contracts with suppliers, which typically have terms of between 3 and 24 months."
Status: approved by a named reviewer
Approver: demo reviewer, date not recorded
Proof: https://vanillabonds.com/dossier.html?c=katjes&amp;viewer=1&amp;item=F912</t>
      </text>
    </comment>
    <comment ref="H914" authorId="0" shapeId="0">
      <text>
        <t>F913 · Financial policy, stated and revealed
Document: S3, annual report, FY2025, 2026-04-02, audited, katjes-2025-annual-report.pdf
Page: 56
Quote: "The objective is to finance non-current assets through long-term funding and to ensure sufficient credit lines to cover short-term liquidity requirements."
Status: approved by a named reviewer
Approver: demo reviewer, date not recorded
Note on file: text: company wording put in quotation marks (reviewer, 20 Oct 2026)
Proof: https://vanillabonds.com/dossier.html?c=katjes&amp;viewer=1&amp;item=F913</t>
      </text>
    </comment>
    <comment ref="F915" authorId="0" shapeId="0">
      <text>
        <t>F914 · Financial policy, stated and revealed
item: leverage target; stated: capital monitored on the leverage ratio net debt to total capital (equity plus net debt), objective an optimal capital structure; realised: 44% at 31 Dec 2025 (2024: 43%); year: 2025
Document: S3, annual report, FY2025, 2026-04-02, audited, katjes-2025-annual-report.pdf
Page: 58
Quote: "Leverage ratio 44% 43%"
Status: approved by a named reviewer
Approver: demo reviewer, date not recorded
Proof: https://vanillabonds.com/dossier.html?c=katjes&amp;viewer=1&amp;item=F914</t>
      </text>
    </comment>
    <comment ref="H916" authorId="0" shapeId="0">
      <text>
        <t>F915 · Insurance
Document: S3, annual report, FY2025, 2026-04-02, audited, katjes-2025-annual-report.pdf
Page: 34
Quote: "In addition, insurance coverage is maintained against relevant risks."
Status: approved by a named reviewer
Approver: demo reviewer, date not recorded
Proof: https://vanillabonds.com/dossier.html?c=katjes&amp;viewer=1&amp;item=F915</t>
      </text>
    </comment>
    <comment ref="H917" authorId="0" shapeId="0">
      <text>
        <t>F916 · Insurance
Document: S3, annual report, FY2025, 2026-04-02, audited, katjes-2025-annual-report.pdf
Page: 56
Quote: "In addition, credit insurance is obtained for certain receivables."
Status: approved by a named reviewer
Approver: demo reviewer, date not recorded
Proof: https://vanillabonds.com/dossier.html?c=katjes&amp;viewer=1&amp;item=F916</t>
      </text>
    </comment>
    <comment ref="F918" authorId="0" shapeId="0">
      <text>
        <t>F917 · Remuneration as disclosed in the filed accounts
person or body: general partner Xaver Fassin International GmbH (total remuneration paid to the management); amount: 0.3; year: 2025
Document: S3, annual report, FY2025, 2026-04-02, audited, katjes-2025-annual-report.pdf
Page: 80
Quote: "Total remuneration paid to the ma- nagement* 0.3 0.3"
Status: approved by a named reviewer
Approver: demo reviewer, date not recorded
Proof: https://vanillabonds.com/dossier.html?c=katjes&amp;viewer=1&amp;item=F917</t>
      </text>
    </comment>
    <comment ref="F919" authorId="0" shapeId="0">
      <text>
        <t>F918 · Remuneration as disclosed in the filed accounts
person or body: general partner Xaver Fassin International GmbH; amount: 0.3; year: 2024
Document: S3, annual report, FY2025, 2026-04-02, audited, katjes-2025-annual-report.pdf
Page: 80
Quote: "*Remuneration paid to the general partner."
Status: approved by a named reviewer
Approver: demo reviewer, date not recorded
Proof: https://vanillabonds.com/dossier.html?c=katjes&amp;viewer=1&amp;item=F918</t>
      </text>
    </comment>
    <comment ref="H920" authorId="0" shapeId="0">
      <text>
        <t>F919 · Plan claim as a variable
Document: S3, annual report, FY2025, 2026-04-02, audited, katjes-2025-annual-report.pdf
Page: 35
Quote: "The EBITDA margin of Katjes International, which had been guided in a range of 9% to 10%, amounted to 19.7%"
Status: approved by a named reviewer
Approver: demo reviewer, date not recorded
Proof: https://vanillabonds.com/dossier.html?c=katjes&amp;viewer=1&amp;item=F919</t>
      </text>
    </comment>
    <comment ref="H921" authorId="0" shapeId="0">
      <text>
        <t>F920 · Plan claim as a variable
Document: S3, annual report, FY2025, 2026-04-02, audited, katjes-2025-annual-report.pdf
Page: 35
Quote: "Katjes International plans to achieve an EBITDA margin between 10% and 12% in the financial year 2026."
Status: approved by a named reviewer
Approver: demo reviewer, date not recorded
Proof: https://vanillabonds.com/dossier.html?c=katjes&amp;viewer=1&amp;item=F920</t>
      </text>
    </comment>
    <comment ref="F922" authorId="0" shapeId="0">
      <text>
        <t>F921 · Appraisal
asset: brand Piasten; date: initial consolidation 2013/14; method: relief-from-royalty, royalty 2.0%, discount 7.5%, 40 years; value: 6.0
Document: S3, annual report, FY2025, 2026-04-02, audited, katjes-2025-annual-report.pdf
Page: 60
Quote: "The discount rate was 7.5% and the useful life 40 years. The resul- ting brand value amounted to EUR 6.0 million."
Status: approved by a named reviewer
Approver: demo reviewer, date not recorded
Proof: https://vanillabonds.com/dossier.html?c=katjes&amp;viewer=1&amp;item=F921</t>
      </text>
    </comment>
    <comment ref="F923" authorId="0" shapeId="0">
      <text>
        <t>F922 · Appraisal
asset: brand Harlekijntjes; date: initial consolidation 2015/16; method: relief-from-royalty, royalty 6.0%, discount 6.3%, indefinite useful life; value: 4.9
Document: S3, annual report, FY2025, 2026-04-02, audited, katjes-2025-annual-report.pdf
Page: 60
Quote: "The resulting brand value amounted to EUR 4.9 million."
Status: approved by a named reviewer
Approver: demo reviewer, date not recorded
Proof: https://vanillabonds.com/dossier.html?c=katjes&amp;viewer=1&amp;item=F922</t>
      </text>
    </comment>
    <comment ref="F924" authorId="0" shapeId="0">
      <text>
        <t>F923 · Appraisal
asset: brand Bogner; date: initial consolidation 1 Sep 2025; appraiser: company (purchase price allocation); method: relief-from-royalty, royalty rate 7%, discount rate 9.2%, useful life 40 years; value: 112.5
Document: S3, annual report, FY2025, 2026-04-02, audited, katjes-2025-annual-report.pdf
Page: 61
Quote: "The re- sulting brand value amounted to EUR 112.5 million."
Status: approved by a named reviewer
Approver: demo reviewer, date not recorded
Proof: https://vanillabonds.com/dossier.html?c=katjes&amp;viewer=1&amp;item=F923</t>
      </text>
    </comment>
    <comment ref="F925" authorId="0" shapeId="0">
      <text>
        <t>F924 · Appraisal
asset: Oral Care brands (Theramed, Vademecum, Antica Erboristeria, Licor del Polo, Denivit); date: initial consolidation 2022; method: relief-from-royalty, royalty 4.0%, discount 5.7%, 40 years; value: 23.8
Document: S3, annual report, FY2025, 2026-04-02, audited, katjes-2025-annual-report.pdf
Page: 61
Quote: "The resulting brand value amounted to EUR 23.8 million."
Status: approved by a named reviewer
Approver: demo reviewer, date not recorded
Proof: https://vanillabonds.com/dossier.html?c=katjes&amp;viewer=1&amp;item=F924</t>
      </text>
    </comment>
    <comment ref="F926" authorId="0" shapeId="0">
      <text>
        <t>F925 · Appraisal
asset: Sperlari brands; date: initial consolidation 2017; method: relief-from-royalty, royalty 3.5%, discount 6.4%, 40 years; value: 22.9
Document: S3, annual report, FY2025, 2026-04-02, audited, katjes-2025-annual-report.pdf
Page: 61
Quote: "The resulting brand value amounted to EUR 22.9 million."
Status: approved by a named reviewer
Approver: demo reviewer, date not recorded
Proof: https://vanillabonds.com/dossier.html?c=katjes&amp;viewer=1&amp;item=F925</t>
      </text>
    </comment>
    <comment ref="F927" authorId="0" shapeId="0">
      <text>
        <t>F926 · Appraisal
asset: brand Bübchen; date: initial consolidation 2021 (pro rata); method: relief-from-royalty, royalty 4.0%, discount 5.0%, 40 years; value: 22.5
Document: S3, annual report, FY2025, 2026-04-02, audited, katjes-2025-annual-report.pdf
Page: 61
Quote: "The resulting brand value amounted to EUR 22.5 million."
Status: approved by a named reviewer
Approver: demo reviewer, date not recorded
Proof: https://vanillabonds.com/dossier.html?c=katjes&amp;viewer=1&amp;item=F926</t>
      </text>
    </comment>
    <comment ref="F928" authorId="0" shapeId="0">
      <text>
        <t>F927 · Appraisal
asset: brand Candy Kittens; date: initial consolidation 2021; method: relief-from-royalty, royalty 6%, discount 8.3%, indefinite useful life; value: 9.8
Document: S3, annual report, FY2025, 2026-04-02, audited, katjes-2025-annual-report.pdf
Page: 61
Quote: "The re- sulting brand value amounted to EUR 9.8 million."
Status: approved by a named reviewer
Approver: demo reviewer, date not recorded
Proof: https://vanillabonds.com/dossier.html?c=katjes&amp;viewer=1&amp;item=F927</t>
      </text>
    </comment>
    <comment ref="F929" authorId="0" shapeId="0">
      <text>
        <t>F928 · Appraisal
asset: brand Dallmann's; date: initial consolidation 2011; method: relief-from-royalty, royalty 9.5%, discount 8.4%, indefinite useful life; value: 7.7
Document: S3, annual report, FY2025, 2026-04-02, audited, katjes-2025-annual-report.pdf
Page: 61
Quote: "The resulting brand value amounted to EUR 7.7 million."
Status: approved by a named reviewer
Approver: demo reviewer, date not recorded
Proof: https://vanillabonds.com/dossier.html?c=katjes&amp;viewer=1&amp;item=F928</t>
      </text>
    </comment>
    <comment ref="F930" authorId="0" shapeId="0">
      <text>
        <t>F929 · Appraisal
asset: brand Dulcioliva; date: initial consolidation 2021 (pro rata); method: relief-from-royalty, royalty 5%, discount 4.0%, 40 years; value: 7.6
Document: S3, annual report, FY2025, 2026-04-02, audited, katjes-2025-annual-report.pdf
Page: 61
Quote: "The resulting brand value amounted to EUR 7.6 million."
Status: approved by a named reviewer
Approver: demo reviewer, date not recorded
Proof: https://vanillabonds.com/dossier.html?c=katjes&amp;viewer=1&amp;item=F929</t>
      </text>
    </comment>
    <comment ref="F931" authorId="0" shapeId="0">
      <text>
        <t>F930 · Appraisal
asset: brand Paluani; date: initial consolidation 2022 (pro rata); method: relief-from-royalty, royalty 3.5%, discount 5.9%, 40 years; value: 7.1
Document: S3, annual report, FY2025, 2026-04-02, audited, katjes-2025-annual-report.pdf
Page: 61
Quote: "The resulting brand value amounted to EUR 7.1 million."
Status: approved by a named reviewer
Approver: demo reviewer, date not recorded
Proof: https://vanillabonds.com/dossier.html?c=katjes&amp;viewer=1&amp;item=F930</t>
      </text>
    </comment>
    <comment ref="H932" authorId="0" shapeId="0">
      <text>
        <t>F931 · Litigation, insolvency, fine or tax dispute
Document: S3, annual report, FY2025, 2026-04-02, audited, katjes-2025-annual-report.pdf
Page: 79
Quote: "not involved as a defendant in current or foreseeable legal or arbitration proceedings that could have a significant influence on the economic situation"
Status: approved by a named reviewer
Approver: demo reviewer, date not recorded
Proof: https://vanillabonds.com/dossier.html?c=katjes&amp;viewer=1&amp;item=F931</t>
      </text>
    </comment>
    <comment ref="H933" authorId="0" shapeId="0">
      <text>
        <t>F932 · ESG fact
Document: S3, annual report, FY2025, 2026-04-02, audited, katjes-2025-annual-report.pdf
Page: 22
Quote: "Where possible, the portfolio is expanded to include vegan options or, as in the case of Treets, gradually converts entirely to a vegan product range."
Status: approved by a named reviewer
Approver: demo reviewer, date not recorded
Proof: https://vanillabonds.com/dossier.html?c=katjes&amp;viewer=1&amp;item=F932</t>
      </text>
    </comment>
    <comment ref="F934" authorId="0" shapeId="0">
      <text>
        <t>F933 · ESG fact
item: labour; value: average 1,648 employees in 2025, approximately 69% in Germany, 23% in Italy, 6% rest of Europe, 2% North America; year: 2025; source: group management report 4.4
Document: S3, annual report, FY2025, 2026-04-02, audited, katjes-2025-annual-report.pdf
Page: 28
Quote: "Of these, approximately 69% were employed in Germany, followed by around 23% in Italy, approximately 6% in the rest of Europe and 2% in North America."
Status: approved by a named reviewer
Approver: demo reviewer, date not recorded
Proof: https://vanillabonds.com/dossier.html?c=katjes&amp;viewer=1&amp;item=F933</t>
      </text>
    </comment>
    <comment ref="F935" authorId="0" shapeId="0">
      <text>
        <t>F934 · ESG fact
item: labour (trainees); value: average 51 trainees; year: 2025; source: group management report
Document: S3, annual report, FY2025, 2026-04-02, audited, katjes-2025-annual-report.pdf
Page: 29
Quote: "In 2025, Katjes International employed an average of 51 trai- nees."
Status: approved by a named reviewer
Approver: demo reviewer, date not recorded
Proof: https://vanillabonds.com/dossier.html?c=katjes&amp;viewer=1&amp;item=F934</t>
      </text>
    </comment>
    <comment ref="H936" authorId="0" shapeId="0">
      <text>
        <t>F935 · ESG fact
Document: S3, annual report, FY2025, 2026-04-02, audited, katjes-2025-annual-report.pdf
Page: 29
Quote: "As a medium-sized, family-owned group, sustainable business practices are an integral part of Katjes International’s corporate philosophy."
Status: approved by a named reviewer
Approver: demo reviewer, date not recorded
Proof: https://vanillabonds.com/dossier.html?c=katjes&amp;viewer=1&amp;item=F935</t>
      </text>
    </comment>
    <comment ref="H937" authorId="0" shapeId="0">
      <text>
        <t>F936 · ESG fact
Document: S3, annual report, FY2025, 2026-04-02, audited, katjes-2025-annual-report.pdf
Page: 74
Quote: "Blue-collar workers 726 717 Salaried employees 871 358 Other 51 22 Total 1,648 1,097"
Status: approved by a named reviewer
Approver: demo reviewer, date not recorded
Proof: https://vanillabonds.com/dossier.html?c=katjes&amp;viewer=1&amp;item=F936</t>
      </text>
    </comment>
    <comment ref="F938" authorId="0" shapeId="0">
      <text>
        <t>F937 · Instrument term
term: tap; value: increased by EUR 70m at the beginning of August 2025, placement multiple times oversubscribed; net of transaction costs 68.4 per cash flow statement
Document: S3, annual report, FY2025, 2026-04-02, audited, katjes-2025-annual-report.pdf
Page: 4
Quote: "increased its existing bond by EUR 70 million at the beginning of August. The strong demand from national and international investors — the placement was multiple times oversubscribed"
Status: approved by a named reviewer
Approver: demo reviewer, date not recorded
Proof: https://vanillabonds.com/dossier.html?c=katjes&amp;viewer=1&amp;item=F937</t>
      </text>
    </comment>
    <comment ref="H939" authorId="0" shapeId="0">
      <text>
        <t>F938 · Instrument term
Document: S3, annual report, FY2025, 2026-04-02, audited, katjes-2025-annual-report.pdf
Page: 26
Quote: "In September 2023, Katjes International issued a corporate bond with a volume of EUR 115 million, a term of five years and an interest rate of 6.75%."
Status: approved by a named reviewer
Approver: demo reviewer, date not recorded
Proof: https://vanillabonds.com/dossier.html?c=katjes&amp;viewer=1&amp;item=F938</t>
      </text>
    </comment>
    <comment ref="F940" authorId="0" shapeId="0">
      <text>
        <t>F939 · Instrument term
term: fair value; value: 193.3 vs carrying amount 185.0 at 31 Dec 2025 (level II, amortised cost)
Document: S3, annual report, FY2025, 2026-04-02, audited, katjes-2025-annual-report.pdf
Page: 62
Quote: "Liabilities from the issuance of a bond2 185.0 193.3** Amortised cost"
Status: approved by a named reviewer
Approver: demo reviewer, date not recorded
Proof: https://vanillabonds.com/dossier.html?c=katjes&amp;viewer=1&amp;item=F939</t>
      </text>
    </comment>
    <comment ref="F941" authorId="0" shapeId="0">
      <text>
        <t>F940 · Instrument term
term: rate type; value: fixed 6.75% coupon, 2023/2028 bond
Document: S3, annual report, FY2025, 2026-04-02, audited, katjes-2025-annual-report.pdf
Page: 68
Quote: "the 2023/2028 bond bearing interest at 6.75% was issued in September 2023 with a total volume of EUR 115 million, due to strong demand."
Status: approved by a named reviewer
Approver: demo reviewer, date not recorded
Proof: https://vanillabonds.com/dossier.html?c=katjes&amp;viewer=1&amp;item=F940</t>
      </text>
    </comment>
    <comment ref="F942" authorId="0" shapeId="0">
      <text>
        <t>F941 · Instrument term
term: tap; value: increased by EUR 15m to EUR 200m in March 2026 alongside the Missoni signing (event after the balance sheet date)
Document: S3, annual report, FY2025, 2026-04-02, audited, katjes-2025-annual-report.pdf
Page: 81
Quote: "The transaction is mainly financed from own funds; in addition, the 2023/2028 bond was increased by EUR 15 million to EUR 200 million."
Status: approved by a named reviewer
Approver: demo reviewer, date not recorded
Proof: https://vanillabonds.com/dossier.html?c=katjes&amp;viewer=1&amp;item=F941</t>
      </text>
    </comment>
    <comment ref="H943" authorId="0" shapeId="0">
      <text>
        <t>F942 · Legal name
Document: S4, term sheet, 2023-09-21 to 2028-09-21 (bond 2023/2028), 2023-09-21, unaudited, katjes-bond-2023-2028-terms.pdf
Page: 1
Quote: "Katjes International GmbH &amp; Co. KG, Emmerich"
Status: management representation, attested by a named officer
Approver: demo reviewer, date not recorded
Proof: https://vanillabonds.com/dossier.html?c=katjes&amp;viewer=1&amp;item=F942</t>
      </text>
    </comment>
    <comment ref="H944" authorId="0" shapeId="0">
      <text>
        <t>F943 · Legal form
Document: S4, term sheet, 2023-09-21 to 2028-09-21 (bond 2023/2028), 2023-09-21, unaudited, katjes-bond-2023-2028-terms.pdf
Page: 1
Quote: "Katjes International GmbH &amp; Co. KG, Emmerich"
Status: management representation, attested by a named officer
Approver: demo reviewer, date not recorded
Proof: https://vanillabonds.com/dossier.html?c=katjes&amp;viewer=1&amp;item=F943</t>
      </text>
    </comment>
    <comment ref="H945" authorId="0" shapeId="0">
      <text>
        <t>F944 · Registered office
Document: S4, term sheet, 2023-09-21 to 2028-09-21 (bond 2023/2028), 2023-09-21, unaudited, katjes-bond-2023-2028-terms.pdf
Page: 1
Quote: "Katjes International GmbH &amp; Co. KG, Emmerich"
Status: management representation, attested by a named officer
Approver: demo reviewer, date not recorded
Proof: https://vanillabonds.com/dossier.html?c=katjes&amp;viewer=1&amp;item=F944</t>
      </text>
    </comment>
    <comment ref="H946" authorId="0" shapeId="0">
      <text>
        <t>F945 · Country of incorporation (ISO-2)
Document: S4, term sheet, 2023-09-21 to 2028-09-21 (bond 2023/2028), 2023-09-21, unaudited, katjes-bond-2023-2028-terms.pdf
Page: 1
Quote: "Katjes International GmbH &amp; Co. KG, Emmerich"
Status: management representation, attested by a named officer
Approver: demo reviewer, date not recorded
Proof: https://vanillabonds.com/dossier.html?c=katjes&amp;viewer=1&amp;item=F945</t>
      </text>
    </comment>
    <comment ref="H947" authorId="0" shapeId="0">
      <text>
        <t>F946 · Ownership / UBO
Document: S4, term sheet, 2023-09-21 to 2028-09-21 (bond 2023/2028), 2023-09-21, unaudited, katjes-bond-2023-2028-terms.pdf
Page: 2
Quote: "liegt vor, wenn die Herren Bastian Fassin und Tobias Bachmüller gemeinsam nicht mehr als 50,0% der Anteile und Stimmrechte an der Emittentin besitzen und"
Status: management representation, attested by a named officer
Approver: demo reviewer, date not recorded
Proof: https://vanillabonds.com/dossier.html?c=katjes&amp;viewer=1&amp;item=F946</t>
      </text>
    </comment>
    <comment ref="H948" authorId="0" shapeId="0">
      <text>
        <t>F947 · Listings (equity, bonds)
Document: S4, term sheet, 2023-09-21 to 2028-09-21 (bond 2023/2028), 2023-09-21, unaudited, katjes-bond-2023-2028-terms.pdf
Page: 1
Quote: "Freiverkehr (Open Market) der Frankfurter Wertpapierbörse (Quotation Board)"
Status: management representation, attested by a named officer
Approver: demo reviewer, date not recorded
Proof: https://vanillabonds.com/dossier.html?c=katjes&amp;viewer=1&amp;item=F947</t>
      </text>
    </comment>
    <comment ref="H949" authorId="0" shapeId="0">
      <text>
        <t>F948 · Accounting standard
Document: S4, term sheet, 2023-09-21 to 2028-09-21 (bond 2023/2028), 2023-09-21, unaudited, katjes-bond-2023-2028-terms.pdf
Page: 2
Quote: "Geprüfter IFRS-Konzernabschluss innerhalb von 4 Monaten und ungeprüfter IFRS-"
Status: management representation, attested by a named officer
Approver: demo reviewer, date not recorded
Proof: https://vanillabonds.com/dossier.html?c=katjes&amp;viewer=1&amp;item=F948</t>
      </text>
    </comment>
    <comment ref="F950" authorId="0" shapeId="0">
      <text>
        <t>F949 · Key event (M&amp;A, financing, strategy)
Issue of the 2023/2028 bearer bond (ISIN NO0012888769) on 21 September 2023, target EUR 110m, minimum EUR 80m, due 21 September 2028, to refinance the 2019/2024 bond and for general corporate financing.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https://vanillabonds.com/dossier.html?c=katjes&amp;viewer=1&amp;item=F949</t>
      </text>
    </comment>
    <comment ref="F951" authorId="0" shapeId="0">
      <text>
        <t>F950 · Debt instrument
Bond 2023/2028: senior unsecured bearer bond, target EUR 110m (minimum EUR 80m), fixed coupon marketed at 6.25-7.50% p.a. paid semi-annually, issued 21 September 2023, due 21 September 2028, ISIN NO0012888769, denomination EUR 1,000.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https://vanillabonds.com/dossier.html?c=katjes&amp;viewer=1&amp;item=F950</t>
      </text>
    </comment>
    <comment ref="H952" authorId="0" shapeId="0">
      <text>
        <t>F951 · Debt instrument
Document: S4, term sheet, 2023-09-21 to 2028-09-21 (bond 2023/2028), 2023-09-21, unaudited, katjes-bond-2023-2028-terms.pdf
Page: 1
Quote: "Refinanzierungen der ausstehenden Anleihe 2019/2024 (DE000A2TST99) sowie"
Status: management representation, attested by a named officer
Approver: demo reviewer, date not recorded
Proof: https://vanillabonds.com/dossier.html?c=katjes&amp;viewer=1&amp;item=F951</t>
      </text>
    </comment>
    <comment ref="H953" authorId="0" shapeId="0">
      <text>
        <t>F952 · Financial covenant / restriction
Document: S4, term sheet, 2023-09-21 to 2028-09-21 (bond 2023/2028), 2023-09-21, unaudited, katjes-bond-2023-2028-terms.pdf
Page: 1
Quote: "Ein Verstoß hiergegen führt ebenso wie, wenn bestimmte Umstände eintreten (z.B. Nicht-Einhaltung bestimmter Finanzkennzahlen) zu Kündigungsrechten für die Anleihe."
Status: management representation, attested by a named officer
Approver: demo reviewer, date not recorded
Proof: https://vanillabonds.com/dossier.html?c=katjes&amp;viewer=1&amp;item=F952</t>
      </text>
    </comment>
    <comment ref="H954" authorId="0" shapeId="0">
      <text>
        <t>F953 · Financial covenant / restriction
Document: S4, term sheet, 2023-09-21 to 2028-09-21 (bond 2023/2028), 2023-09-21, unaudited, katjes-bond-2023-2028-terms.pdf
Page: 1
Quote: "• Fusionen oder ähnlichen Unternehmenszusammenschlüssen;"
Status: management representation, attested by a named officer
Approver: demo reviewer, date not recorded
Proof: https://vanillabonds.com/dossier.html?c=katjes&amp;viewer=1&amp;item=F953</t>
      </text>
    </comment>
    <comment ref="H955" authorId="0" shapeId="0">
      <text>
        <t>F954 · Financial covenant / restriction
Document: S4, term sheet, 2023-09-21 to 2028-09-21 (bond 2023/2028), 2023-09-21, unaudited, katjes-bond-2023-2028-terms.pdf
Page: 1
Quote: "• Veräußerung von Vermögenswerten;"
Status: management representation, attested by a named officer
Approver: demo reviewer, date not recorded
Proof: https://vanillabonds.com/dossier.html?c=katjes&amp;viewer=1&amp;item=F954</t>
      </text>
    </comment>
    <comment ref="H956" authorId="0" shapeId="0">
      <text>
        <t>F955 · Financial covenant / restriction
Document: S4, term sheet, 2023-09-21 to 2028-09-21 (bond 2023/2028), 2023-09-21, unaudited, katjes-bond-2023-2028-terms.pdf
Page: 1
Quote: "• finanzielle Verschuldung (Financial Indebtedness)."
Status: management representation, attested by a named officer
Approver: demo reviewer, date not recorded
Proof: https://vanillabonds.com/dossier.html?c=katjes&amp;viewer=1&amp;item=F955</t>
      </text>
    </comment>
    <comment ref="H957" authorId="0" shapeId="0">
      <text>
        <t>F956 · Financial covenant / restriction
Document: S4, term sheet, 2023-09-21 to 2028-09-21 (bond 2023/2028), 2023-09-21, unaudited, katjes-bond-2023-2028-terms.pdf
Page: 2
Quote: "Aufnahme weiterer Verschuldung der Emittentin nur zulässig, wenn: Nettoverschuldung (Net Debt) / EBITDA &lt; 3,75x."
Status: management representation, attested by a named officer
Approver: demo reviewer, date not recorded
Proof: https://vanillabonds.com/dossier.html?c=katjes&amp;viewer=1&amp;item=F956</t>
      </text>
    </comment>
    <comment ref="H958" authorId="0" shapeId="0">
      <text>
        <t>F957 · Financial covenant / restriction
Document: S4, term sheet, 2023-09-21 to 2028-09-21 (bond 2023/2028), 2023-09-21, unaudited, katjes-bond-2023-2028-terms.pdf
Page: 2
Quote: "Ausschüttungen an Gesellschafter (einschließlich Rückzahlungen und Zinszahlungen auf Gesellschafterdarlehen) sind nur zulässig, soweit:"
Status: management representation, attested by a named officer
Approver: demo reviewer, date not recorded
Proof: https://vanillabonds.com/dossier.html?c=katjes&amp;viewer=1&amp;item=F957</t>
      </text>
    </comment>
    <comment ref="H959" authorId="0" shapeId="0">
      <text>
        <t>F958 · Financial covenant / restriction
Document: S4, term sheet, 2023-09-21 to 2028-09-21 (bond 2023/2028), 2023-09-21, unaudited, katjes-bond-2023-2028-terms.pdf
Page: 2
Quote: "die Ausschüttung in dem Umfang erfolgt, in dem der Gesellschafter aus seiner Beteiligung an der Emittentin einer Steuerlast unterliegt."
Status: management representation, attested by a named officer
Approver: demo reviewer, date not recorded
Proof: https://vanillabonds.com/dossier.html?c=katjes&amp;viewer=1&amp;item=F958</t>
      </text>
    </comment>
    <comment ref="H960" authorId="0" shapeId="0">
      <text>
        <t>F959 · Financial covenant / restriction
Document: S4, term sheet, 2023-09-21 to 2028-09-21 (bond 2023/2028), 2023-09-21, unaudited, katjes-bond-2023-2028-terms.pdf
Page: 2
Quote: "Die Emittentin/Gruppe darf keine Sicherheiten an ihren Vermögensgegenständen bestellen."
Status: management representation, attested by a named officer
Approver: demo reviewer, date not recorded
Proof: https://vanillabonds.com/dossier.html?c=katjes&amp;viewer=1&amp;item=F959</t>
      </text>
    </comment>
    <comment ref="H961" authorId="0" shapeId="0">
      <text>
        <t>F960 · Financial covenant / restriction
Document: S4, term sheet, 2023-09-21 to 2028-09-21 (bond 2023/2028), 2023-09-21, unaudited, katjes-bond-2023-2028-terms.pdf
Page: 2
Quote: "Wenn Finanzverbindlichkeiten in Höhe von (insgesamt) EUR 7.5 Mio. nicht durch die Emittentin/Gruppe gezahlt werden oder (wegen Insolvenz) kündbar sind werden die Schuldverschreibungen kündbar."
Status: management representation, attested by a named officer
Approver: demo reviewer, date not recorded
Proof: https://vanillabonds.com/dossier.html?c=katjes&amp;viewer=1&amp;item=F960</t>
      </text>
    </comment>
    <comment ref="H962" authorId="0" shapeId="0">
      <text>
        <t>F961 · Financial covenant / restriction
Document: S4, term sheet, 2023-09-21 to 2028-09-21 (bond 2023/2028), 2023-09-21, unaudited, katjes-bond-2023-2028-terms.pdf
Page: 2
Quote: "Im Fall eines Kontrollwechsels haben die Anleihegläubiger das Recht, ihre Schuldverschreibungen an die Emittentin zu 101 % des Nennbetrags zzgl. Stückzinsen zu verkaufen."
Status: management representation, attested by a named officer
Approver: demo reviewer, date not recorded
Proof: https://vanillabonds.com/dossier.html?c=katjes&amp;viewer=1&amp;item=F961</t>
      </text>
    </comment>
    <comment ref="H963" authorId="0" shapeId="0">
      <text>
        <t>F962 · Financial covenant / restriction
Document: S4, term sheet, 2023-09-21 to 2028-09-21 (bond 2023/2028), 2023-09-21, unaudited, katjes-bond-2023-2028-terms.pdf
Page: 2
Quote: "liegt vor, wenn die Herren Bastian Fassin und Tobias Bachmüller gemeinsam nicht mehr als 50,0% der Anteile und Stimmrechte an der Emittentin besitzen und"
Status: management representation, attested by a named officer
Approver: demo reviewer, date not recorded
Proof: https://vanillabonds.com/dossier.html?c=katjes&amp;viewer=1&amp;item=F962</t>
      </text>
    </comment>
    <comment ref="H964" authorId="0" shapeId="0">
      <text>
        <t>F963 · Financial covenant / restriction
Document: S4, term sheet, 2023-09-21 to 2028-09-21 (bond 2023/2028), 2023-09-21, unaudited, katjes-bond-2023-2028-terms.pdf
Page: 2
Quote: "wenn eine Person oder eine gemeinsam handelnde Gruppe von Personen (mit Ausnahme der Herren Bastian Fassin und Tobias Bachmüller) 50,0% oder mehr der"
Status: management representation, attested by a named officer
Approver: demo reviewer, date not recorded
Proof: https://vanillabonds.com/dossier.html?c=katjes&amp;viewer=1&amp;item=F963</t>
      </text>
    </comment>
    <comment ref="H965" authorId="0" shapeId="0">
      <text>
        <t>F964 · Financial covenant / restriction
Document: S4, term sheet, 2023-09-21 to 2028-09-21 (bond 2023/2028), 2023-09-21, unaudited, katjes-bond-2023-2028-terms.pdf
Page: 2
Quote: "liegt darüber hinaus jederzeit bei einer Veräußerung des wesentlichen Vermögens der Emittentin/ihrer Töchter vor."
Status: management representation, attested by a named officer
Approver: demo reviewer, date not recorded
Proof: https://vanillabonds.com/dossier.html?c=katjes&amp;viewer=1&amp;item=F964</t>
      </text>
    </comment>
    <comment ref="H966" authorId="0" shapeId="0">
      <text>
        <t>F965 · Monitoring
Document: S4, term sheet, 2023-09-21 to 2028-09-21 (bond 2023/2028), 2023-09-21, unaudited, katjes-bond-2023-2028-terms.pdf
Page: 2
Quote: "Geprüfter IFRS-Konzernabschluss innerhalb von 4 Monaten und ungeprüfter IFRS- Halbjahresabschluss innerhalb von 75 Tagen, jeweils in deutscher und englischer Sprache."
Status: management representation, attested by a named officer
Approver: demo reviewer, date not recorded
Proof: https://vanillabonds.com/dossier.html?c=katjes&amp;viewer=1&amp;item=F965</t>
      </text>
    </comment>
    <comment ref="F967" authorId="0" shapeId="0">
      <text>
        <t>F966 · Proposed bond
Bond 2023/2028 target volume EUR 110m, minimum volume EUR 80m, issue price 100% of nominal.
Document: S4, term sheet, 2023-09-21 to 2028-09-21 (bond 2023/2028), 2023-09-21, unaudited, katjes-bond-2023-2028-terms.pdf
Page: 1
Quote: "EUR 110.000.000 / EUR 80.000.000"
Status: management representation, attested by a named officer
Approver: demo reviewer, date not recorded
Note on file: conflict: S4·p1 110.0 vs S13·p17 115.0
Proof: https://vanillabonds.com/dossier.html?c=katjes&amp;viewer=1&amp;item=F966</t>
      </text>
    </comment>
    <comment ref="H968" authorId="0" shapeId="0">
      <text>
        <t>F967 · Use of proceeds (one line per use)
Document: S4, term sheet, 2023-09-21 to 2028-09-21 (bond 2023/2028), 2023-09-21, unaudited, katjes-bond-2023-2028-terms.pdf
Page: 1
Quote: "Refinanzierungen der ausstehenden Anleihe 2019/2024 (DE000A2TST99) sowie"
Status: management representation, attested by a named officer
Approver: demo reviewer, date not recorded
Proof: https://vanillabonds.com/dossier.html?c=katjes&amp;viewer=1&amp;item=F967</t>
      </text>
    </comment>
    <comment ref="H969" authorId="0" shapeId="0">
      <text>
        <t>F968 · Use of proceeds (one line per use)
Document: S4, term sheet, 2023-09-21 to 2028-09-21 (bond 2023/2028), 2023-09-21, unaudited, katjes-bond-2023-2028-terms.pdf
Page: 1
Quote: "allgemeine Unternehmensfinanzierung (Details abhängig von der Höhe des"
Status: management representation, attested by a named officer
Approver: demo reviewer, date not recorded
Proof: https://vanillabonds.com/dossier.html?c=katjes&amp;viewer=1&amp;item=F968</t>
      </text>
    </comment>
    <comment ref="H970" authorId="0" shapeId="0">
      <text>
        <t>F969 · Past maturity
Document: S4, term sheet, 2023-09-21 to 2028-09-21 (bond 2023/2028), 2023-09-21, unaudited, katjes-bond-2023-2028-terms.pdf
Page: 1
Quote: "Refinanzierungen der ausstehenden Anleihe 2019/2024 (DE000A2TST99) sowie"
Status: management representation, attested by a named officer
Approver: demo reviewer, date not recorded
Proof: https://vanillabonds.com/dossier.html?c=katjes&amp;viewer=1&amp;item=F969</t>
      </text>
    </comment>
    <comment ref="F971" authorId="0" shapeId="0">
      <text>
        <t>F970 · Covenant
covenant: debt incurrence test; formula: Nettoverschuldung (Net Debt) / EBITDA; threshold: 3.75x; direction: max; test frequency: on each incurrence of additional debt
Document: S4, term sheet, 2023-09-21 to 2028-09-21 (bond 2023/2028), 2023-09-21, unaudited, katjes-bond-2023-2028-terms.pdf
Page: 2
Quote: "Aufnahme weiterer Verschuldung der Emittentin nur zulässig, wenn: Nettoverschuldung (Net Debt) / EBITDA &lt; 3,75x."
Status: management representation, attested by a named officer
Approver: demo reviewer, date not recorded
Proof: https://vanillabonds.com/dossier.html?c=katjes&amp;viewer=1&amp;item=F970</t>
      </text>
    </comment>
    <comment ref="F972" authorId="0" shapeId="0">
      <text>
        <t>F971 · Covenant
covenant: distribution test; formula: Nettoverschuldung (Net Debt) / EBITDA after the distribution; threshold: 3.75x; direction: max; test frequency: on each distribution to shareholders
Document: S4, term sheet, 2023-09-21 to 2028-09-21 (bond 2023/2028), 2023-09-21, unaudited, katjes-bond-2023-2028-terms.pdf
Page: 2
Quote: "nach der Ausschüttung die folgende Grenze nicht überschritten wird: Nettoverschuldung (Net Debt) / EBITDA &lt; 3,75x"
Status: management representation, attested by a named officer
Approver: demo reviewer, date not recorded
Proof: https://vanillabonds.com/dossier.html?c=katjes&amp;viewer=1&amp;item=F971</t>
      </text>
    </comment>
    <comment ref="F973" authorId="0" shapeId="0">
      <text>
        <t>F972 · Covenant
covenant: negative pledge basket; formula: liabilities secured on the assets of the issuer or group; threshold: EUR 1.0m or, if greater, 5% of EBITDA; direction: max
Document: S4, term sheet, 2023-09-21 to 2028-09-21 (bond 2023/2028), 2023-09-21, unaudited, katjes-bond-2023-2028-terms.pdf
Page: 2
Quote: "wenn die besicherten Verbindlichkeiten nicht höher als EUR 1 Mio. oder (wenn größer) einem Betrag entsprechen der 5 % des EBITDA übersteigt."
Status: management representation, attested by a named officer
Approver: demo reviewer, date not recorded
Proof: https://vanillabonds.com/dossier.html?c=katjes&amp;viewer=1&amp;item=F972</t>
      </text>
    </comment>
    <comment ref="H974" authorId="0" shapeId="0">
      <text>
        <t>F973 · Instrument term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https://vanillabonds.com/dossier.html?c=katjes&amp;viewer=1&amp;item=F973</t>
      </text>
    </comment>
    <comment ref="H975" authorId="0" shapeId="0">
      <text>
        <t>F974 · Instrument term
Document: S4, term sheet, 2023-09-21 to 2028-09-21 (bond 2023/2028), 2023-09-21, unaudited, katjes-bond-2023-2028-terms.pdf
Page: 1
Quote: "ISIN: NO0012888769 / WKN: A30V78"
Status: management representation, attested by a named officer
Approver: demo reviewer, date not recorded
Proof: https://vanillabonds.com/dossier.html?c=katjes&amp;viewer=1&amp;item=F974</t>
      </text>
    </comment>
    <comment ref="H976" authorId="0" shapeId="0">
      <text>
        <t>F975 · Instrument term
Document: S4, term sheet, 2023-09-21 to 2028-09-21 (bond 2023/2028), 2023-09-21, unaudited, katjes-bond-2023-2028-terms.pdf
Page: 1
Quote: "Inhaberschuldverschreibung („Anleihe“)"
Status: management representation, attested by a named officer
Approver: demo reviewer, date not recorded
Proof: https://vanillabonds.com/dossier.html?c=katjes&amp;viewer=1&amp;item=F975</t>
      </text>
    </comment>
    <comment ref="H977" authorId="0" shapeId="0">
      <text>
        <t>F976 · Instrument term
Document: S4, term sheet, 2023-09-21 to 2028-09-21 (bond 2023/2028), 2023-09-21, unaudited, katjes-bond-2023-2028-terms.pdf
Page: 1
Quote: "nicht nachrangig, unbesichert"
Status: management representation, attested by a named officer
Approver: demo reviewer, date not recorded
Proof: https://vanillabonds.com/dossier.html?c=katjes&amp;viewer=1&amp;item=F976</t>
      </text>
    </comment>
    <comment ref="F978" authorId="0" shapeId="0">
      <text>
        <t>F977 · Instrument term
term: target volume; value: EUR 110.0m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https://vanillabonds.com/dossier.html?c=katjes&amp;viewer=1&amp;item=F977</t>
      </text>
    </comment>
    <comment ref="F979" authorId="0" shapeId="0">
      <text>
        <t>F978 · Instrument term
term: minimum volume; value: EUR 80.0m
Document: S4, term sheet, 2023-09-21 to 2028-09-21 (bond 2023/2028), 2023-09-21, unaudited, katjes-bond-2023-2028-terms.pdf
Page: 1
Quote: "EUR 110.000.000 / EUR 80.000.000"
Status: management representation, attested by a named officer
Approver: demo reviewer, date not recorded
Proof: https://vanillabonds.com/dossier.html?c=katjes&amp;viewer=1&amp;item=F978</t>
      </text>
    </comment>
    <comment ref="H980" authorId="0" shapeId="0">
      <text>
        <t>F979 · Instrument term
Document: S4, term sheet, 2023-09-21 to 2028-09-21 (bond 2023/2028), 2023-09-21, unaudited, katjes-bond-2023-2028-terms.pdf
Page: 1
Quote: "EUR 1.000"
Status: management representation, attested by a named officer
Approver: demo reviewer, date not recorded
Proof: https://vanillabonds.com/dossier.html?c=katjes&amp;viewer=1&amp;item=F979</t>
      </text>
    </comment>
    <comment ref="H981" authorId="0" shapeId="0">
      <text>
        <t>F980 · Instrument term
Document: S4, term sheet, 2023-09-21 to 2028-09-21 (bond 2023/2028), 2023-09-21, unaudited, katjes-bond-2023-2028-terms.pdf
Page: 1
Quote: "6,25 - 7,50 % p.a."
Status: management representation, attested by a named officer
Approver: demo reviewer, date not recorded
Proof: https://vanillabonds.com/dossier.html?c=katjes&amp;viewer=1&amp;item=F980</t>
      </text>
    </comment>
    <comment ref="H982" authorId="0" shapeId="0">
      <text>
        <t>F981 · Instrument term
Document: S4, term sheet, 2023-09-21 to 2028-09-21 (bond 2023/2028), 2023-09-21, unaudited, katjes-bond-2023-2028-terms.pdf
Page: 1
Quote: "Festzins, zahlbar halbjährlich nachträglich am 21. März und 21. September,"
Status: management representation, attested by a named officer
Approver: demo reviewer, date not recorded
Proof: https://vanillabonds.com/dossier.html?c=katjes&amp;viewer=1&amp;item=F981</t>
      </text>
    </comment>
    <comment ref="H983" authorId="0" shapeId="0">
      <text>
        <t>F982 · Instrument term
Document: S4, term sheet, 2023-09-21 to 2028-09-21 (bond 2023/2028), 2023-09-21, unaudited, katjes-bond-2023-2028-terms.pdf
Page: 1
Quote: "erstmalig am 21. März 2024, letztmalig am 21. September 2028"
Status: management representation, attested by a named officer
Approver: demo reviewer, date not recorded
Proof: https://vanillabonds.com/dossier.html?c=katjes&amp;viewer=1&amp;item=F982</t>
      </text>
    </comment>
    <comment ref="H984" authorId="0" shapeId="0">
      <text>
        <t>F983 · Instrument term
Document: S4, term sheet, 2023-09-21 to 2028-09-21 (bond 2023/2028), 2023-09-21, unaudited, katjes-bond-2023-2028-terms.pdf
Page: 1
Quote: "Euro"
Status: management representation, attested by a named officer
Approver: demo reviewer, date not recorded
Proof: https://vanillabonds.com/dossier.html?c=katjes&amp;viewer=1&amp;item=F983</t>
      </text>
    </comment>
    <comment ref="H985" authorId="0" shapeId="0">
      <text>
        <t>F984 · Instrument term
Document: S4, term sheet, 2023-09-21 to 2028-09-21 (bond 2023/2028), 2023-09-21, unaudited, katjes-bond-2023-2028-terms.pdf
Page: 1
Quote: "100% des Nennwerts"
Status: management representation, attested by a named officer
Approver: demo reviewer, date not recorded
Proof: https://vanillabonds.com/dossier.html?c=katjes&amp;viewer=1&amp;item=F984</t>
      </text>
    </comment>
    <comment ref="H986" authorId="0" shapeId="0">
      <text>
        <t>F985 · Instrument term
Document: S4, term sheet, 2023-09-21 to 2028-09-21 (bond 2023/2028), 2023-09-21, unaudited, katjes-bond-2023-2028-terms.pdf
Page: 1
Quote: "21. September 2023"
Status: management representation, attested by a named officer
Approver: demo reviewer, date not recorded
Proof: https://vanillabonds.com/dossier.html?c=katjes&amp;viewer=1&amp;item=F985</t>
      </text>
    </comment>
    <comment ref="H987" authorId="0" shapeId="0">
      <text>
        <t>F986 · Instrument term
Document: S4, term sheet, 2023-09-21 to 2028-09-21 (bond 2023/2028), 2023-09-21, unaudited, katjes-bond-2023-2028-terms.pdf
Page: 1
Quote: "5 Jahre Laufzeit; fällig am 21. September 2028"
Status: management representation, attested by a named officer
Approver: demo reviewer, date not recorded
Proof: https://vanillabonds.com/dossier.html?c=katjes&amp;viewer=1&amp;item=F986</t>
      </text>
    </comment>
    <comment ref="H988" authorId="0" shapeId="0">
      <text>
        <t>F987 · Instrument term
Document: S4, term sheet, 2023-09-21 to 2028-09-21 (bond 2023/2028), 2023-09-21, unaudited, katjes-bond-2023-2028-terms.pdf
Page: 1
Quote: "Freiverkehr (Open Market) der Frankfurter Wertpapierbörse (Quotation Board)"
Status: management representation, attested by a named officer
Approver: demo reviewer, date not recorded
Proof: https://vanillabonds.com/dossier.html?c=katjes&amp;viewer=1&amp;item=F987</t>
      </text>
    </comment>
    <comment ref="H989" authorId="0" shapeId="0">
      <text>
        <t>F988 · Instrument term
Document: S4, term sheet, 2023-09-21 to 2028-09-21 (bond 2023/2028), 2023-09-21, unaudited, katjes-bond-2023-2028-terms.pdf
Page: 1
Quote: "Nordic ABM, Börse Oslo innerhalb von 6 Monaten nach Begebung (Nichtvornahme kann zu Zusatzverzinsung führen)"
Status: management representation, attested by a named officer
Approver: demo reviewer, date not recorded
Proof: https://vanillabonds.com/dossier.html?c=katjes&amp;viewer=1&amp;item=F988</t>
      </text>
    </comment>
    <comment ref="H990" authorId="0" shapeId="0">
      <text>
        <t>F989 · Instrument term
Document: S4, term sheet, 2023-09-21 to 2028-09-21 (bond 2023/2028), 2023-09-21, unaudited, katjes-bond-2023-2028-terms.pdf
Page: 1
Quote: "Die Emittentin kann die Schuldverschreibungen ab dem Begebungstag bis zum Ablauf von 30 Monaten zum Make Whole Amount (Gesamter Betrag, wie im Wertpapierprospekt definiert) kündigen"
Status: management representation, attested by a named officer
Approver: demo reviewer, date not recorded
Proof: https://vanillabonds.com/dossier.html?c=katjes&amp;viewer=1&amp;item=F989</t>
      </text>
    </comment>
    <comment ref="H991" authorId="0" shapeId="0">
      <text>
        <t>F990 · Instrument term
Document: S4, term sheet, 2023-09-21 to 2028-09-21 (bond 2023/2028), 2023-09-21, unaudited, katjes-bond-2023-2028-terms.pdf
Page: 1
Quote: "30 Monaten zu 100,00% des Nennbetrages + 50% des jährlichen Coupons"
Status: management representation, attested by a named officer
Approver: demo reviewer, date not recorded
Proof: https://vanillabonds.com/dossier.html?c=katjes&amp;viewer=1&amp;item=F990</t>
      </text>
    </comment>
    <comment ref="H992" authorId="0" shapeId="0">
      <text>
        <t>F991 · Instrument term
Document: S4, term sheet, 2023-09-21 to 2028-09-21 (bond 2023/2028), 2023-09-21, unaudited, katjes-bond-2023-2028-terms.pdf
Page: 1
Quote: "36 Monaten zu 100,00% des Nennbetrages + 30% des jährlichen Coupons"
Status: management representation, attested by a named officer
Approver: demo reviewer, date not recorded
Proof: https://vanillabonds.com/dossier.html?c=katjes&amp;viewer=1&amp;item=F991</t>
      </text>
    </comment>
    <comment ref="H993" authorId="0" shapeId="0">
      <text>
        <t>F992 · Instrument term
Document: S4, term sheet, 2023-09-21 to 2028-09-21 (bond 2023/2028), 2023-09-21, unaudited, katjes-bond-2023-2028-terms.pdf
Page: 1
Quote: "42 Monaten zu 100,00% des Nennbetrages + 20% des jährlichen Coupons"
Status: management representation, attested by a named officer
Approver: demo reviewer, date not recorded
Proof: https://vanillabonds.com/dossier.html?c=katjes&amp;viewer=1&amp;item=F992</t>
      </text>
    </comment>
    <comment ref="H994" authorId="0" shapeId="0">
      <text>
        <t>F993 · Instrument term
Document: S4, term sheet, 2023-09-21 to 2028-09-21 (bond 2023/2028), 2023-09-21, unaudited, katjes-bond-2023-2028-terms.pdf
Page: 1
Quote: "48 Monaten zu 100,00% des Nennbetrages + 10% des jährlichen Coupons"
Status: management representation, attested by a named officer
Approver: demo reviewer, date not recorded
Proof: https://vanillabonds.com/dossier.html?c=katjes&amp;viewer=1&amp;item=F993</t>
      </text>
    </comment>
    <comment ref="H995" authorId="0" shapeId="0">
      <text>
        <t>F994 · Instrument term
Document: S4, term sheet, 2023-09-21 to 2028-09-21 (bond 2023/2028), 2023-09-21, unaudited, katjes-bond-2023-2028-terms.pdf
Page: 1
Quote: "54 Monaten zu 100,00% des Nennbetrages + 5% des jährlichen Coupons"
Status: management representation, attested by a named officer
Approver: demo reviewer, date not recorded
Proof: https://vanillabonds.com/dossier.html?c=katjes&amp;viewer=1&amp;item=F994</t>
      </text>
    </comment>
    <comment ref="H996" authorId="0" shapeId="0">
      <text>
        <t>F995 · Instrument term
Document: S4, term sheet, 2023-09-21 to 2028-09-21 (bond 2023/2028), 2023-09-21, unaudited, katjes-bond-2023-2028-terms.pdf
Page: 1
Quote: "Sollte der Gesamtnennbetrag der ausstehenden Schuldverschreibungen (einschließlich des Betrags eventueller Aufstockungen) weniger als 40,00% des anfänglichen Emissionsbetrages"
Status: management representation, attested by a named officer
Approver: demo reviewer, date not recorded
Proof: https://vanillabonds.com/dossier.html?c=katjes&amp;viewer=1&amp;item=F995</t>
      </text>
    </comment>
    <comment ref="H997" authorId="0" shapeId="0">
      <text>
        <t>F996 · Instrument term
Document: S4, term sheet, 2023-09-21 to 2028-09-21 (bond 2023/2028), 2023-09-21, unaudited, katjes-bond-2023-2028-terms.pdf
Page: 1
Quote: "Wenn Schuldverschreibungen, die mehr als 90,0% der ausstehenden Schuldverschreibungen ausmachen, zurückgekauft wurden, weil die Anleihegläubiger"
Status: management representation, attested by a named officer
Approver: demo reviewer, date not recorded
Proof: https://vanillabonds.com/dossier.html?c=katjes&amp;viewer=1&amp;item=F996</t>
      </text>
    </comment>
    <comment ref="H998" authorId="0" shapeId="0">
      <text>
        <t>F997 · Instrument term
Document: S4, term sheet, 2023-09-21 to 2028-09-21 (bond 2023/2028), 2023-09-21, unaudited, katjes-bond-2023-2028-terms.pdf
Page: 1
Quote: "Emissionserlöses, vgl. dazu den Wertpapierprospekt)"
Status: management representation, attested by a named officer
Approver: demo reviewer, date not recorded
Proof: https://vanillabonds.com/dossier.html?c=katjes&amp;viewer=1&amp;item=F997</t>
      </text>
    </comment>
    <comment ref="H999" authorId="0" shapeId="0">
      <text>
        <t>F998 · Instrument term
Document: S4, term sheet, 2023-09-21 to 2028-09-21 (bond 2023/2028), 2023-09-21, unaudited, katjes-bond-2023-2028-terms.pdf
Page: 2
Quote: "Nordic Trustee AS"
Status: management representation, attested by a named officer
Approver: demo reviewer, date not recorded
Proof: https://vanillabonds.com/dossier.html?c=katjes&amp;viewer=1&amp;item=F998</t>
      </text>
    </comment>
    <comment ref="H1000" authorId="0" shapeId="0">
      <text>
        <t>F999 · Instrument term
Document: S4, term sheet, 2023-09-21 to 2028-09-21 (bond 2023/2028), 2023-09-21, unaudited, katjes-bond-2023-2028-terms.pdf
Page: 2
Quote: "Norwegisches Recht. Gerichtsstand für Klagen ist Norwegen."
Status: management representation, attested by a named officer
Approver: demo reviewer, date not recorded
Proof: https://vanillabonds.com/dossier.html?c=katjes&amp;viewer=1&amp;item=F999</t>
      </text>
    </comment>
    <comment ref="H1001" authorId="0" shapeId="0">
      <text>
        <t>F1000 · Instrument term
Document: S4, term sheet, 2023-09-21 to 2028-09-21 (bond 2023/2028), 2023-09-21, unaudited, katjes-bond-2023-2028-terms.pdf
Page: 2
Quote: "Quorum von 50% der stimmberechtigten Schuldverschreibungen notwendig sowie für bestimmte wesentliche Maßnahmen eine Mehrheit von 2/3 der abstimmenden"
Status: management representation, attested by a named officer
Approver: demo reviewer, date not recorded
Proof: https://vanillabonds.com/dossier.html?c=katjes&amp;viewer=1&amp;item=F1000</t>
      </text>
    </comment>
    <comment ref="H1002" authorId="0" shapeId="0">
      <text>
        <t>F1001 · Instrument term
Document: S4, term sheet, 2023-09-21 to 2028-09-21 (bond 2023/2028), 2023-09-21, unaudited, katjes-bond-2023-2028-terms.pdf
Page: 2
Quote: "Wenn das Quorum verfehlt wird, kann in einer zweiten Versammlung ohne ein Quorum abgestimmt werden. Abstimmungen können auch im schriftlichen Verfahren erfolgen."
Status: management representation, attested by a named officer
Approver: demo reviewer, date not recorded
Proof: https://vanillabonds.com/dossier.html?c=katjes&amp;viewer=1&amp;item=F1001</t>
      </text>
    </comment>
    <comment ref="H1003" authorId="0" shapeId="0">
      <text>
        <t>F1002 · Legal name
Document: S5, interim report, H1-2026, 2026-09-08, unaudited, katjes-h1-2026-interim-report.pdf
Page: 49
Quote: "Emmerich, September 8, 2026 Katjes International GmbH &amp; Co. KG The Management"
Status: approved by a named reviewer
Approver: demo reviewer, date not recorded
Proof: https://vanillabonds.com/dossier.html?c=katjes&amp;viewer=1&amp;item=F1002</t>
      </text>
    </comment>
    <comment ref="H1004" authorId="0" shapeId="0">
      <text>
        <t>F1003 · Legal form
Document: S5, interim report, H1-2026, 2026-09-08, unaudited, katjes-h1-2026-interim-report.pdf
Page: 36
Quote: "limited partnership (Kommanditgesellschaft) established under the laws of the Federal Republic of Germany."
Status: approved by a named reviewer
Approver: demo reviewer, date not recorded
Proof: https://vanillabonds.com/dossier.html?c=katjes&amp;viewer=1&amp;item=F1003</t>
      </text>
    </comment>
    <comment ref="H1005" authorId="0" shapeId="0">
      <text>
        <t>F1004 · Commercial register / registration no.
Document: S5, interim report, H1-2026, 2026-09-08, unaudited, katjes-h1-2026-interim-report.pdf
Page: 36
Quote: "Commercial Register of the Kleve Local Court (Amtsgericht) under commercial register number HRA 1076."
Status: approved by a named reviewer
Approver: demo reviewer, date not recorded
Proof: https://vanillabonds.com/dossier.html?c=katjes&amp;viewer=1&amp;item=F1004</t>
      </text>
    </comment>
    <comment ref="H1006" authorId="0" shapeId="0">
      <text>
        <t>F1005 · Founded
Document: S5, interim report, H1-2026, 2026-09-08, unaudited, katjes-h1-2026-interim-report.pdf
Page: 7
Quote: "Established in 2011 as a spin-off from predecessor companies,"
Status: approved by a named reviewer
Approver: demo reviewer, date not recorded
Proof: https://vanillabonds.com/dossier.html?c=katjes&amp;viewer=1&amp;item=F1005</t>
      </text>
    </comment>
    <comment ref="H1007" authorId="0" shapeId="0">
      <text>
        <t>F1006 · Registered office
Document: S5, interim report, H1-2026, 2026-09-08, unaudited, katjes-h1-2026-interim-report.pdf
Page: 36
Quote: "office is Emmerich am Rhein. The business address is: Dechant-Sprünken-Str. 53-57 46446 Emmerich am Rhein, Germany."
Status: approved by a named reviewer
Approver: demo reviewer, date not recorded
Proof: https://vanillabonds.com/dossier.html?c=katjes&amp;viewer=1&amp;item=F1006</t>
      </text>
    </comment>
    <comment ref="H1008" authorId="0" shapeId="0">
      <text>
        <t>F1007 · Country of incorporation (ISO-2)
Document: S5, interim report, H1-2026, 2026-09-08, unaudited, katjes-h1-2026-interim-report.pdf
Page: 36
Quote: "established under the laws of the Federal Republic of Germany"
Status: approved by a named reviewer
Approver: demo reviewer, date not recorded
Proof: https://vanillabonds.com/dossier.html?c=katjes&amp;viewer=1&amp;item=F1007</t>
      </text>
    </comment>
    <comment ref="H1009" authorId="0" shapeId="0">
      <text>
        <t>F1008 · Sector
Document: S5, interim report, H1-2026, 2026-09-08, unaudited, katjes-h1-2026-interim-report.pdf
Page: 45
Quote: "with a focus on confectionery, personal care and body care, as well as lifestyle products."
Status: approved by a named reviewer
Approver: demo reviewer, date not recorded
Proof: https://vanillabonds.com/dossier.html?c=katjes&amp;viewer=1&amp;item=F1008</t>
      </text>
    </comment>
    <comment ref="H1010" authorId="0" shapeId="0">
      <text>
        <t>F1009 · Sites / countries of operation
Document: S5, interim report, H1-2026, 2026-09-08, unaudited, katjes-h1-2026-interim-report.pdf
Page: 19
Quote: "its investments primarily in the markets of Germany, the United Kingdom, Italy, Switzerland, the Netherlands, North America, Austria, France and Spain."
Status: approved by a named reviewer
Approver: demo reviewer, date not recorded
Proof: https://vanillabonds.com/dossier.html?c=katjes&amp;viewer=1&amp;item=F1009</t>
      </text>
    </comment>
    <comment ref="F1011" authorId="0" shapeId="0">
      <text>
        <t>F1010 · Employees (FTE, period end) · H1-2025
Average headcount in H1-2025 (not period-end FTE).
Document: S5, interim report, H1-2026, 2026-09-08, unaudited, katjes-h1-2026-interim-report.pdf
Page: 25
Quote: "In the first half of 2026, the Company employed an average of 1,787 employees (6M 2025: 1,118)."
Status: approved by a named reviewer
Approver: demo reviewer, date not recorded
Proof: https://vanillabonds.com/dossier.html?c=katjes&amp;viewer=1&amp;item=F1010</t>
      </text>
    </comment>
    <comment ref="F1012" authorId="0" shapeId="0">
      <text>
        <t>F1011 · Employees (FTE, period end) · H1-2026
Average headcount in H1-2026 (not period-end FTE); 63% Germany, 21% Italy, 11% UK.
Document: S5, interim report, H1-2026, 2026-09-08, unaudited, katjes-h1-2026-interim-report.pdf
Page: 25
Quote: "In the first half of 2026, the Company employed an average of 1,787 employees (6M 2025: 1,118)."
Status: approved by a named reviewer
Approver: demo reviewer, date not recorded
Proof: https://vanillabonds.com/dossier.html?c=katjes&amp;viewer=1&amp;item=F1011</t>
      </text>
    </comment>
    <comment ref="H1013" authorId="0" shapeId="0">
      <text>
        <t>F1012 · Ownership / UBO
Document: S5, interim report, H1-2026, 2026-09-08, unaudited, katjes-h1-2026-interim-report.pdf
Page: 48
Quote: "ver Fassin International GmbH, whose managing directors and shareholders are Mr. Bastian Fassin and Mr. Tobias Bachmüller."
Status: approved by a named reviewer
Approver: demo reviewer, date not recorded
Proof: https://vanillabonds.com/dossier.html?c=katjes&amp;viewer=1&amp;item=F1012</t>
      </text>
    </comment>
    <comment ref="H1014" authorId="0" shapeId="0">
      <text>
        <t>F1013 · Audit opinion · H1-2026
Document: S5, interim report, H1-2026, 2026-09-08, unaudited, katjes-h1-2026-interim-report.pdf
Page: 37
Quote: "These interim consolidated financial statements have neither been audited nor reviewed by the auditor."
Status: approved by a named reviewer
Approver: demo reviewer, date not recorded
Proof: https://vanillabonds.com/dossier.html?c=katjes&amp;viewer=1&amp;item=F1013</t>
      </text>
    </comment>
    <comment ref="H1015" authorId="0" shapeId="0">
      <text>
        <t>F1014 · Accounting standard
Document: S5, interim report, H1-2026, 2026-09-08, unaudited, katjes-h1-2026-interim-report.pdf
Page: 37
Quote: "have been prepared in accordance with IAS 34 Interim Financial Reporting."
Status: approved by a named reviewer
Approver: demo reviewer, date not recorded
Proof: https://vanillabonds.com/dossier.html?c=katjes&amp;viewer=1&amp;item=F1014</t>
      </text>
    </comment>
    <comment ref="H1016" authorId="0" shapeId="0">
      <text>
        <t>F1015 · Fiscal year end
Document: S5, interim report, H1-2026, 2026-09-08, unaudited, katjes-h1-2026-interim-report.pdf
Page: 37
Quote: "the consolidated financial statements as at December 31, 2025."
Status: approved by a named reviewer
Approver: demo reviewer, date not recorded
Proof: https://vanillabonds.com/dossier.html?c=katjes&amp;viewer=1&amp;item=F1015</t>
      </text>
    </comment>
    <comment ref="H1017" authorId="0" shapeId="0">
      <text>
        <t>F1016 · Business fact
Document: S5, interim report, H1-2026, 2026-09-08, unaudited, katjes-h1-2026-interim-report.pdf
Page: 7
Quote: "As part of a corporate group that has remained family-owned for over 100 years,"
Status: approved by a named reviewer
Approver: demo reviewer, date not recorded
Proof: https://vanillabonds.com/dossier.html?c=katjes&amp;viewer=1&amp;item=F1016</t>
      </text>
    </comment>
    <comment ref="H1018" authorId="0" shapeId="0">
      <text>
        <t>F1017 · Business fact
Document: S5, interim report, H1-2026, 2026-09-08, unaudited, katjes-h1-2026-interim-report.pdf
Page: 9
Quote: "ria's largest confectionery manufacturer and Germany's leading producer of chocolate dragees, headquartered in Forchheim."
Status: approved by a named reviewer
Approver: demo reviewer, date not recorded
Proof: https://vanillabonds.com/dossier.html?c=katjes&amp;viewer=1&amp;item=F1017</t>
      </text>
    </comment>
    <comment ref="H1019" authorId="0" shapeId="0">
      <text>
        <t>F1018 · Business fact
Document: S5, interim report, H1-2026, 2026-09-08, unaudited, katjes-h1-2026-interim-report.pdf
Page: 9
Quote: "Another highlight was Treets being named Top Brand 2026 in the Small Bites category by Lebensmittel Zeitung."
Status: approved by a named reviewer
Approver: demo reviewer, date not recorded
Proof: https://vanillabonds.com/dossier.html?c=katjes&amp;viewer=1&amp;item=F1018</t>
      </text>
    </comment>
    <comment ref="H1020" authorId="0" shapeId="0">
      <text>
        <t>F1019 · Business fact
Document: S5, interim report, H1-2026, 2026-09-08, unaudited, katjes-h1-2026-interim-report.pdf
Page: 12
Quote: "site in Viersen, the company develops and produces a broad portfolio of oral-care products, including well-known brands such as Vademecum, Theramed, Antica Erboristeria, and Licor del Polo."
Status: approved by a named reviewer
Approver: demo reviewer, date not recorded
Proof: https://vanillabonds.com/dossier.html?c=katjes&amp;viewer=1&amp;item=F1019</t>
      </text>
    </comment>
    <comment ref="H1021" authorId="0" shapeId="0">
      <text>
        <t>F1020 · Business fact
Document: S5, interim report, H1-2026, 2026-09-08, unaudited, katjes-h1-2026-interim-report.pdf
Page: 13
Quote: "In the UK, Graze is one of the leading brands in the healthy snacking segment and has a strong presence in local food retail."
Status: approved by a named reviewer
Approver: demo reviewer, date not recorded
Note on file: text: company wording put in quotation marks (reviewer, 20 Oct 2026)
Proof: https://vanillabonds.com/dossier.html?c=katjes&amp;viewer=1&amp;item=F1020</t>
      </text>
    </comment>
    <comment ref="H1022" authorId="0" shapeId="0">
      <text>
        <t>F1021 · Business fact
Document: S5, interim report, H1-2026, 2026-09-08, unaudited, katjes-h1-2026-interim-report.pdf
Page: 15
Quote: "Asia, and China in particular, are among BOGNER's strategic growth markets."
Status: approved by a named reviewer
Approver: demo reviewer, date not recorded
Proof: https://vanillabonds.com/dossier.html?c=katjes&amp;viewer=1&amp;item=F1021</t>
      </text>
    </comment>
    <comment ref="H1023" authorId="0" shapeId="0">
      <text>
        <t>F1022 · Business fact
Document: S5, interim report, H1-2026, 2026-09-08, unaudited, katjes-h1-2026-interim-report.pdf
Page: 17
Quote: "operated as a strategic investor for over a decade and regards itself as a brand holding company."
Status: approved by a named reviewer
Approver: demo reviewer, date not recorded
Proof: https://vanillabonds.com/dossier.html?c=katjes&amp;viewer=1&amp;item=F1022</t>
      </text>
    </comment>
    <comment ref="H1024" authorId="0" shapeId="0">
      <text>
        <t>F1023 · Business fact
Document: S5, interim report, H1-2026, 2026-09-08, unaudited, katjes-h1-2026-interim-report.pdf
Page: 17
Quote: "vestee companies remain legally and organizationally indepen- dent and retain their local management."
Status: approved by a named reviewer
Approver: demo reviewer, date not recorded
Proof: https://vanillabonds.com/dossier.html?c=katjes&amp;viewer=1&amp;item=F1023</t>
      </text>
    </comment>
    <comment ref="H1025" authorId="0" shapeId="0">
      <text>
        <t>F1024 · Business fact
Document: S5, interim report, H1-2026, 2026-09-08, unaudited, katjes-h1-2026-interim-report.pdf
Page: 18
Quote: "nal since 2012) is the leader in German pharmacies in terms of number of packets sold."
Status: approved by a named reviewer
Approver: demo reviewer, date not recorded
Proof: https://vanillabonds.com/dossier.html?c=katjes&amp;viewer=1&amp;item=F1024</t>
      </text>
    </comment>
    <comment ref="H1026" authorId="0" shapeId="0">
      <text>
        <t>F1025 · Business fact
Document: S5, interim report, H1-2026, 2026-09-08, unaudited, katjes-h1-2026-interim-report.pdf
Page: 18
Quote: "Dutch company Harlekĳntjes, which makes the country’s best- selling liquorice product (based on volume)."
Status: approved by a named reviewer
Approver: demo reviewer, date not recorded
Proof: https://vanillabonds.com/dossier.html?c=katjes&amp;viewer=1&amp;item=F1025</t>
      </text>
    </comment>
    <comment ref="H1027" authorId="0" shapeId="0">
      <text>
        <t>F1026 · Business fact
Document: S5, interim report, H1-2026, 2026-09-08, unaudited, katjes-h1-2026-interim-report.pdf
Page: 18
Quote: "Bübchen, the market leader in Germany’s baby and kids care segment,"
Status: approved by a named reviewer
Approver: demo reviewer, date not recorded
Proof: https://vanillabonds.com/dossier.html?c=katjes&amp;viewer=1&amp;item=F1026</t>
      </text>
    </comment>
    <comment ref="H1028" authorId="0" shapeId="0">
      <text>
        <t>F1027 · Business fact
Document: S5, interim report, H1-2026, 2026-09-08, unaudited, katjes-h1-2026-interim-report.pdf
Page: 18
Quote: "Sperlari is one of the largest players in the Italian sugar confectionery market and one of the market leaders in the seg- ment for seasonal products, sweeteners and sugar-free"
Status: approved by a named reviewer
Approver: demo reviewer, date not recorded
Proof: https://vanillabonds.com/dossier.html?c=katjes&amp;viewer=1&amp;item=F1027</t>
      </text>
    </comment>
    <comment ref="H1029" authorId="0" shapeId="0">
      <text>
        <t>F1028 · Business fact
Document: S5, interim report, H1-2026, 2026-09-08, unaudited, katjes-h1-2026-interim-report.pdf
Page: 18
Quote: "The internationally active Bogner Group is the largest family-owned luxury apparel brand in Germany."
Status: approved by a named reviewer
Approver: demo reviewer, date not recorded
Proof: https://vanillabonds.com/dossier.html?c=katjes&amp;viewer=1&amp;item=F1028</t>
      </text>
    </comment>
    <comment ref="H1030" authorId="0" shapeId="0">
      <text>
        <t>F1029 · Business fact
Document: S5, interim report, H1-2026, 2026-09-08, unaudited, katjes-h1-2026-interim-report.pdf
Page: 22
Quote: "Gross profit reached approximately EUR 66.7 million in the first half of 2026 (6M 2025: EUR 38.1 million). The gross margin was 26.1% (6M 2025: 23.1%)."
Status: approved by a named reviewer
Approver: demo reviewer, date not recorded
Proof: https://vanillabonds.com/dossier.html?c=katjes&amp;viewer=1&amp;item=F1029</t>
      </text>
    </comment>
    <comment ref="H1031" authorId="0" shapeId="0">
      <text>
        <t>F1030 · Business fact
Document: S5, interim report, H1-2026, 2026-09-08, unaudited, katjes-h1-2026-interim-report.pdf
Page: 23
Quote: "management metric for Katjes International – reached 6.2% (6M 2025: 8.4%)."
Status: approved by a named reviewer
Approver: demo reviewer, date not recorded
Proof: https://vanillabonds.com/dossier.html?c=katjes&amp;viewer=1&amp;item=F1030</t>
      </text>
    </comment>
    <comment ref="H1032" authorId="0" shapeId="0">
      <text>
        <t>F1031 · Business fact
Document: S5, interim report, H1-2026, 2026-09-08, unaudited, katjes-h1-2026-interim-report.pdf
Page: 24
Quote: "remained generally stable at 30.0% (December 31, 2025: 32.9%)."
Status: approved by a named reviewer
Approver: demo reviewer, date not recorded
Proof: https://vanillabonds.com/dossier.html?c=katjes&amp;viewer=1&amp;item=F1031</t>
      </text>
    </comment>
    <comment ref="H1033" authorId="0" shapeId="0">
      <text>
        <t>F1032 · Business fact
Document: S5, interim report, H1-2026, 2026-09-08, unaudited, katjes-h1-2026-interim-report.pdf
Page: 24
Quote: "controlling interests were reported at EUR 40.3 million (Decem- ber 31, 2025: EUR 47.5 million) and mainly comprise the inte- rests of the minority shareholders of the Bogner Group."
Status: approved by a named reviewer
Approver: demo reviewer, date not recorded
Proof: https://vanillabonds.com/dossier.html?c=katjes&amp;viewer=1&amp;item=F1032</t>
      </text>
    </comment>
    <comment ref="H1034" authorId="0" shapeId="0">
      <text>
        <t>F1033 · Business fact
Document: S5, interim report, H1-2026, 2026-09-08, unaudited, katjes-h1-2026-interim-report.pdf
Page: 24
Quote: "Intangible assets were reported at EUR 257.3 million as at June 30, 2026 (December 31, 2025: EUR 218.7 million)"
Status: approved by a named reviewer
Approver: demo reviewer, date not recorded
Proof: https://vanillabonds.com/dossier.html?c=katjes&amp;viewer=1&amp;item=F1033</t>
      </text>
    </comment>
    <comment ref="H1035" authorId="0" shapeId="0">
      <text>
        <t>F1034 · Business fact
Document: S5, interim report, H1-2026, 2026-09-08, unaudited, katjes-h1-2026-interim-report.pdf
Page: 25
Quote: "Personnel expenses in the first half of the 2026 financial year amounted to EUR 68.0 million (6M 2025: EUR 37.2 million)."
Status: approved by a named reviewer
Approver: demo reviewer, date not recorded
Proof: https://vanillabonds.com/dossier.html?c=katjes&amp;viewer=1&amp;item=F1034</t>
      </text>
    </comment>
    <comment ref="H1036" authorId="0" shapeId="0">
      <text>
        <t>F1035 · Business fact
Document: S5, interim report, H1-2026, 2026-09-08, unaudited, katjes-h1-2026-interim-report.pdf
Page: 29
Quote: "Other operating income 26.6 3.3"
Status: approved by a named reviewer
Approver: demo reviewer, date not recorded
Proof: https://vanillabonds.com/dossier.html?c=katjes&amp;viewer=1&amp;item=F1035</t>
      </text>
    </comment>
    <comment ref="H1037" authorId="0" shapeId="0">
      <text>
        <t>F1036 · Business fact
Document: S5, interim report, H1-2026, 2026-09-08, unaudited, katjes-h1-2026-interim-report.pdf
Page: 29
Quote: "Distribution costs 50.1 17.8 Administrative expenses 40.9 19.9"
Status: approved by a named reviewer
Approver: demo reviewer, date not recorded
Proof: https://vanillabonds.com/dossier.html?c=katjes&amp;viewer=1&amp;item=F1036</t>
      </text>
    </comment>
    <comment ref="H1038" authorId="0" shapeId="0">
      <text>
        <t>F1037 · Business fact
Document: S5, interim report, H1-2026, 2026-09-08, unaudited, katjes-h1-2026-interim-report.pdf
Page: 30
Quote: "Total comprehensive income -14.7 -1.0"
Status: approved by a named reviewer
Approver: demo reviewer, date not recorded
Proof: https://vanillabonds.com/dossier.html?c=katjes&amp;viewer=1&amp;item=F1037</t>
      </text>
    </comment>
    <comment ref="H1039" authorId="0" shapeId="0">
      <text>
        <t>F1038 · Business fact
Document: S5, interim report, H1-2026, 2026-09-08, unaudited, katjes-h1-2026-interim-report.pdf
Page: 31
Quote: "Property, plant and equipment 161.2 148.3 Right-of-use assets 85.1 74.5"
Status: approved by a named reviewer
Approver: demo reviewer, date not recorded
Proof: https://vanillabonds.com/dossier.html?c=katjes&amp;viewer=1&amp;item=F1038</t>
      </text>
    </comment>
    <comment ref="H1040" authorId="0" shapeId="0">
      <text>
        <t>F1039 · Business fact
Document: S5, interim report, H1-2026, 2026-09-08, unaudited, katjes-h1-2026-interim-report.pdf
Page: 31
Quote: "Inventories 5.2 100.2 97.1 Trade and other receivables 5.5 84.4 100.6"
Status: approved by a named reviewer
Approver: demo reviewer, date not recorded
Proof: https://vanillabonds.com/dossier.html?c=katjes&amp;viewer=1&amp;item=F1039</t>
      </text>
    </comment>
    <comment ref="H1041" authorId="0" shapeId="0">
      <text>
        <t>F1040 · Business fact
Document: S5, interim report, H1-2026, 2026-09-08, unaudited, katjes-h1-2026-interim-report.pdf
Page: 32
Quote: "Interest-bearing and non-interest-bearing financial liabilities 5.4/5.5 325.7 278.5"
Status: approved by a named reviewer
Approver: demo reviewer, date not recorded
Proof: https://vanillabonds.com/dossier.html?c=katjes&amp;viewer=1&amp;item=F1040</t>
      </text>
    </comment>
    <comment ref="H1042" authorId="0" shapeId="0">
      <text>
        <t>F1041 · Business fact
Document: S5, interim report, H1-2026, 2026-09-08, unaudited, katjes-h1-2026-interim-report.pdf
Page: 32
Quote: "Provisions 16.9 33.5"
Status: approved by a named reviewer
Approver: demo reviewer, date not recorded
Proof: https://vanillabonds.com/dossier.html?c=katjes&amp;viewer=1&amp;item=F1041</t>
      </text>
    </comment>
    <comment ref="H1043" authorId="0" shapeId="0">
      <text>
        <t>F1042 · Business fact
Document: S5, interim report, H1-2026, 2026-09-08, unaudited, katjes-h1-2026-interim-report.pdf
Page: 32
Quote: "Total liabilities 595.8 545.4"
Status: approved by a named reviewer
Approver: demo reviewer, date not recorded
Proof: https://vanillabonds.com/dossier.html?c=katjes&amp;viewer=1&amp;item=F1042</t>
      </text>
    </comment>
    <comment ref="H1044" authorId="0" shapeId="0">
      <text>
        <t>F1043 · Business fact
Document: S5, interim report, H1-2026, 2026-09-08, unaudited, katjes-h1-2026-interim-report.pdf
Page: 34
Quote: "Cash flow from investing activities -96.4 -7.0"
Status: approved by a named reviewer
Approver: demo reviewer, date not recorded
Proof: https://vanillabonds.com/dossier.html?c=katjes&amp;viewer=1&amp;item=F1043</t>
      </text>
    </comment>
    <comment ref="H1045" authorId="0" shapeId="0">
      <text>
        <t>F1044 · Business fact
Document: S5, interim report, H1-2026, 2026-09-08, unaudited, katjes-h1-2026-interim-report.pdf
Page: 34
Quote: "Acquisition of financial assets -55.8 0.0 Acquisition of subsidiaries, net of cash acquired -32.3 0.0"
Status: approved by a named reviewer
Approver: demo reviewer, date not recorded
Proof: https://vanillabonds.com/dossier.html?c=katjes&amp;viewer=1&amp;item=F1044</t>
      </text>
    </comment>
    <comment ref="H1046" authorId="0" shapeId="0">
      <text>
        <t>F1045 · Business fact
Document: S5, interim report, H1-2026, 2026-09-08, unaudited, katjes-h1-2026-interim-report.pdf
Page: 34
Quote: "Cash flow from financing activities 22.6 1.2"
Status: approved by a named reviewer
Approver: demo reviewer, date not recorded
Proof: https://vanillabonds.com/dossier.html?c=katjes&amp;viewer=1&amp;item=F1045</t>
      </text>
    </comment>
    <comment ref="H1047" authorId="0" shapeId="0">
      <text>
        <t>F1046 · Business fact
Document: S5, interim report, H1-2026, 2026-09-08, unaudited, katjes-h1-2026-interim-report.pdf
Page: 34
Quote: "Proceeds from repayments/payments from loans 28.2 9.9"
Status: approved by a named reviewer
Approver: demo reviewer, date not recorded
Proof: https://vanillabonds.com/dossier.html?c=katjes&amp;viewer=1&amp;item=F1046</t>
      </text>
    </comment>
    <comment ref="H1048" authorId="0" shapeId="0">
      <text>
        <t>F1047 · Business fact
Document: S5, interim report, H1-2026, 2026-09-08, unaudited, katjes-h1-2026-interim-report.pdf
Page: 34
Quote: "Payment of leasing installments -10.8 -2.6 Interest paid -9.6 -6.1"
Status: approved by a named reviewer
Approver: demo reviewer, date not recorded
Proof: https://vanillabonds.com/dossier.html?c=katjes&amp;viewer=1&amp;item=F1047</t>
      </text>
    </comment>
    <comment ref="H1049" authorId="0" shapeId="0">
      <text>
        <t>F1048 · Business fact
Document: S5, interim report, H1-2026, 2026-09-08, unaudited, katjes-h1-2026-interim-report.pdf
Page: 34
Quote: "Change in cash and cash equivalents -72.7 -15.6"
Status: approved by a named reviewer
Approver: demo reviewer, date not recorded
Proof: https://vanillabonds.com/dossier.html?c=katjes&amp;viewer=1&amp;item=F1048</t>
      </text>
    </comment>
    <comment ref="H1050" authorId="0" shapeId="0">
      <text>
        <t>F1049 · Business fact
Document: S5, interim report, H1-2026, 2026-09-08, unaudited, katjes-h1-2026-interim-report.pdf
Page: 38
Quote: "The Company generated revenue of approximately GBP 35 mil- lion in the financial year 2025 and was profitable."
Status: approved by a named reviewer
Approver: demo reviewer, date not recorded
Proof: https://vanillabonds.com/dossier.html?c=katjes&amp;viewer=1&amp;item=F1049</t>
      </text>
    </comment>
    <comment ref="H1051" authorId="0" shapeId="0">
      <text>
        <t>F1050 · Business fact
Document: S5, interim report, H1-2026, 2026-09-08, unaudited, katjes-h1-2026-interim-report.pdf
Page: 41
Quote: "Carrying amount as at January 1, 2026 4.3 Additions 50.1 Result for the period 1.5 Carrying amount as at June 30, 2026 55.9"
Status: approved by a named reviewer
Approver: demo reviewer, date not recorded
Proof: https://vanillabonds.com/dossier.html?c=katjes&amp;viewer=1&amp;item=F1050</t>
      </text>
    </comment>
    <comment ref="H1052" authorId="0" shapeId="0">
      <text>
        <t>F1051 · Business fact
Document: S5, interim report, H1-2026, 2026-09-08, unaudited, katjes-h1-2026-interim-report.pdf
Page: 43
Quote: "The call option to acquire additional shares in Missoni was valued using the Black-Scholes model, based on an expec- ted volatility of approximately 35% and a risk-free interest rate of 2.3%."
Status: approved by a named reviewer
Approver: demo reviewer, date not recorded
Proof: https://vanillabonds.com/dossier.html?c=katjes&amp;viewer=1&amp;item=F1051</t>
      </text>
    </comment>
    <comment ref="H1053" authorId="0" shapeId="0">
      <text>
        <t>F1052 · Business fact
Document: S5, interim report, H1-2026, 2026-09-08, unaudited, katjes-h1-2026-interim-report.pdf
Page: 44
Quote: "At the balance sheet date, the hedging reserve amounted to EUR 0.7 million."
Status: approved by a named reviewer
Approver: demo reviewer, date not recorded
Proof: https://vanillabonds.com/dossier.html?c=katjes&amp;viewer=1&amp;item=F1052</t>
      </text>
    </comment>
    <comment ref="H1054" authorId="0" shapeId="0">
      <text>
        <t>F1053 · Key event (M&amp;A, financing, strategy)
Document: S5, interim report, H1-2026, 2026-09-08, unaudited, katjes-h1-2026-interim-report.pdf
Page: 4
Quote: "brand portfolio while also taking over the London production site."
Status: approved by a named reviewer
Approver: demo reviewer, date not recorded
Proof: https://vanillabonds.com/dossier.html?c=katjes&amp;viewer=1&amp;item=F1053</t>
      </text>
    </comment>
    <comment ref="H1055" authorId="0" shapeId="0">
      <text>
        <t>F1054 · Key event (M&amp;A, financing, strategy)
Document: S5, interim report, H1-2026, 2026-09-08, unaudited, katjes-h1-2026-interim-report.pdf
Page: 9
Quote: "in spring 2026, Treets will convert its product portfolio to 100% vegan."
Status: approved by a named reviewer
Approver: demo reviewer, date not recorded
Proof: https://vanillabonds.com/dossier.html?c=katjes&amp;viewer=1&amp;item=F1054</t>
      </text>
    </comment>
    <comment ref="H1056" authorId="0" shapeId="0">
      <text>
        <t>F1055 · Key event (M&amp;A, financing, strategy)
Document: S5, interim report, H1-2026, 2026-09-08, unaudited, katjes-h1-2026-interim-report.pdf
Page: 12
Quote: "With more than six million products sold and its position as the market leader in the body oil category (excluding private labels),"
Status: approved by a named reviewer
Approver: demo reviewer, date not recorded
Proof: https://vanillabonds.com/dossier.html?c=katjes&amp;viewer=1&amp;item=F1055</t>
      </text>
    </comment>
    <comment ref="H1057" authorId="0" shapeId="0">
      <text>
        <t>F1056 · Key event (M&amp;A, financing, strategy)
Document: S5, interim report, H1-2026, 2026-09-08, unaudited, katjes-h1-2026-interim-report.pdf
Page: 13
Quote: "Following the acquisition, a strategy sprint was launched to relaunch the brand within 6 months."
Status: approved by a named reviewer
Approver: demo reviewer, date not recorded
Proof: https://vanillabonds.com/dossier.html?c=katjes&amp;viewer=1&amp;item=F1056</t>
      </text>
    </comment>
    <comment ref="H1058" authorId="0" shapeId="0">
      <text>
        <t>F1057 · Key event (M&amp;A, financing, strategy)
Document: S5, interim report, H1-2026, 2026-09-08, unaudited, katjes-h1-2026-interim-report.pdf
Page: 14
Quote: "promotional packs sold out in under 6 weeks."
Status: approved by a named reviewer
Approver: demo reviewer, date not recorded
Proof: https://vanillabonds.com/dossier.html?c=katjes&amp;viewer=1&amp;item=F1057</t>
      </text>
    </comment>
    <comment ref="H1059" authorId="0" shapeId="0">
      <text>
        <t>F1058 · Key event (M&amp;A, financing, strategy)
Document: S5, interim report, H1-2026, 2026-09-08, unaudited, katjes-h1-2026-interim-report.pdf
Page: 15
Quote: "The China business is being pursued as a joint venture together with Bosideng, the world's largest manufacturer of down jackets."
Status: approved by a named reviewer
Approver: demo reviewer, date not recorded
Proof: https://vanillabonds.com/dossier.html?c=katjes&amp;viewer=1&amp;item=F1058</t>
      </text>
    </comment>
    <comment ref="H1060" authorId="0" shapeId="0">
      <text>
        <t>F1059 · Key event (M&amp;A, financing, strategy)
Document: S5, interim report, H1-2026, 2026-09-08, unaudited, katjes-h1-2026-interim-report.pdf
Page: 15
Quote: "Together with the renowned architect and designer Matteo Thun, BOGNER is developing a new store design for the mono- brand stores"
Status: approved by a named reviewer
Approver: demo reviewer, date not recorded
Proof: https://vanillabonds.com/dossier.html?c=katjes&amp;viewer=1&amp;item=F1059</t>
      </text>
    </comment>
    <comment ref="H1061" authorId="0" shapeId="0">
      <text>
        <t>F1060 · Key event (M&amp;A, financing, strategy)
Document: S5, interim report, H1-2026, 2026-09-08, unaudited, katjes-h1-2026-interim-report.pdf
Page: 18
Quote: "In 2024, a joint venture was established with entrepreneur and musician Shirin David, in which Katjes International holds 50%."
Status: approved by a named reviewer
Approver: demo reviewer, date not recorded
Proof: https://vanillabonds.com/dossier.html?c=katjes&amp;viewer=1&amp;item=F1060</t>
      </text>
    </comment>
    <comment ref="F1062" authorId="0" shapeId="0">
      <text>
        <t>F1061 · Key event (M&amp;A, financing, strategy)
In connection with the Missoni transaction the existing corporate bond was increased by EUR 15m to EUR 200m (May 2026).
Document: S5, interim report, H1-2026, 2026-09-08, unaudited, katjes-h1-2026-interim-report.pdf
Page: 21
Quote: "the existing corporate bond was increased by EUR 15 million to a total of EUR 200 million."
Status: approved by a named reviewer
Approver: demo reviewer, date not recorded
Proof: https://vanillabonds.com/dossier.html?c=katjes&amp;viewer=1&amp;item=F1061</t>
      </text>
    </comment>
    <comment ref="H1063" authorId="0" shapeId="0">
      <text>
        <t>F1062 · Key event (M&amp;A, financing, strategy)
Document: S5, interim report, H1-2026, 2026-09-08, unaudited, katjes-h1-2026-interim-report.pdf
Page: 21
Quote: "jes International was granted a call option over further shares held by the majority shareholder, the exercise of which would enable Katjes International to acquire a majority interest."
Status: approved by a named reviewer
Approver: demo reviewer, date not recorded
Proof: https://vanillabonds.com/dossier.html?c=katjes&amp;viewer=1&amp;item=F1062</t>
      </text>
    </comment>
    <comment ref="H1064" authorId="0" shapeId="0">
      <text>
        <t>F1063 · Key event (M&amp;A, financing, strategy)
Document: S5, interim report, H1-2026, 2026-09-08, unaudited, katjes-h1-2026-interim-report.pdf
Page: 49
Quote: "No events of particular significance or with material effects on the results of operations, financial position, or net assets, known to the management of Katjes International, have occurred"
Status: approved by a named reviewer
Approver: demo reviewer, date not recorded
Proof: https://vanillabonds.com/dossier.html?c=katjes&amp;viewer=1&amp;item=F1063</t>
      </text>
    </comment>
    <comment ref="F1065" authorId="0" shapeId="0">
      <text>
        <t>F1064 · Revenue · H1-2025
Group revenue H1-2025 comparative.
Document: S5, interim report, H1-2026, 2026-09-08, unaudited, katjes-h1-2026-interim-report.pdf
Page: 29
Quote: "Revenue 6 256.0 164.8"
Status: approved by a named reviewer
Approver: demo reviewer, date not recorded
Proof: https://vanillabonds.com/dossier.html?c=katjes&amp;viewer=1&amp;item=F1064</t>
      </text>
    </comment>
    <comment ref="F1066" authorId="0" shapeId="0">
      <text>
        <t>F1065 · Revenue · H1-2026
Group revenue H1-2026, up EUR 91.2m (around 55%) on H1-2025.
Document: S5, interim report, H1-2026, 2026-09-08, unaudited, katjes-h1-2026-interim-report.pdf
Page: 29
Quote: "Revenue 6 256.0 164.8"
Status: approved by a named reviewer
Approver: demo reviewer, date not recorded
Proof: https://vanillabonds.com/dossier.html?c=katjes&amp;viewer=1&amp;item=F1065</t>
      </text>
    </comment>
    <comment ref="F1067" authorId="0" shapeId="0">
      <text>
        <t>F1066 · EBITDA (as reported) · H1-2025
EBITDA as reported H1-2025; EBITDA margin 8.4%.
Document: S5, interim report, H1-2026, 2026-09-08, unaudited, katjes-h1-2026-interim-report.pdf
Page: 23
Quote: "(EBITDA) – the key management metric for the Group – stood at EUR 15.8 million (6M 2025: EUR 13.9 million)"
Status: approved by a named reviewer
Approver: demo reviewer, date not recorded
Proof: https://vanillabonds.com/dossier.html?c=katjes&amp;viewer=1&amp;item=F1066</t>
      </text>
    </comment>
    <comment ref="F1068" authorId="0" shapeId="0">
      <text>
        <t>F1067 · EBITDA (as reported) · H1-2026
EBITDA as reported, 'the key management metric for the Group'; EBITDA margin 6.2%.
Document: S5, interim report, H1-2026, 2026-09-08, unaudited, katjes-h1-2026-interim-report.pdf
Page: 23
Quote: "(EBITDA) – the key management metric for the Group – stood at EUR 15.8 million (6M 2025: EUR 13.9 million)"
Status: approved by a named reviewer
Approver: demo reviewer, date not recorded
Proof: https://vanillabonds.com/dossier.html?c=katjes&amp;viewer=1&amp;item=F1067</t>
      </text>
    </comment>
    <comment ref="F1069" authorId="0" shapeId="0">
      <text>
        <t>F1068 · EBIT / operating result · H1-2025
Operating profit H1-2025 comparative.
Document: S5, interim report, H1-2026, 2026-09-08, unaudited, katjes-h1-2026-interim-report.pdf
Page: 29
Quote: "Operating profit -6.8 3.7"
Status: approved by a named reviewer
Approver: demo reviewer, date not recorded
Proof: https://vanillabonds.com/dossier.html?c=katjes&amp;viewer=1&amp;item=F1068</t>
      </text>
    </comment>
    <comment ref="F1070" authorId="0" shapeId="0">
      <text>
        <t>F1069 · EBIT / operating result · H1-2026
Operating profit H1-2026; the report attributes the decline to Bogner seasonality and two instances of damage caused by third parties.
Document: S5, interim report, H1-2026, 2026-09-08, unaudited, katjes-h1-2026-interim-report.pdf
Page: 29
Quote: "Operating profit -6.8 3.7"
Status: approved by a named reviewer
Approver: demo reviewer, date not recorded
Proof: https://vanillabonds.com/dossier.html?c=katjes&amp;viewer=1&amp;item=F1069</t>
      </text>
    </comment>
    <comment ref="F1071" authorId="0" shapeId="0">
      <text>
        <t>F1070 · Net result · H1-2025
Earnings after tax H1-2025 comparative.
Document: S5, interim report, H1-2026, 2026-09-08, unaudited, katjes-h1-2026-interim-report.pdf
Page: 29
Quote: "Earnings after tax (net profit for the period) -15.9 -1.0"
Status: approved by a named reviewer
Approver: demo reviewer, date not recorded
Proof: https://vanillabonds.com/dossier.html?c=katjes&amp;viewer=1&amp;item=F1070</t>
      </text>
    </comment>
    <comment ref="F1072" authorId="0" shapeId="0">
      <text>
        <t>F1071 · Net result · H1-2026
Earnings after tax H1-2026; of which non-controlling interests -7.8 and Katjes International shareholders -8.1.
Document: S5, interim report, H1-2026, 2026-09-08, unaudited, katjes-h1-2026-interim-report.pdf
Page: 29
Quote: "Earnings after tax (net profit for the period) -15.9 -1.0"
Status: approved by a named reviewer
Approver: demo reviewer, date not recorded
Proof: https://vanillabonds.com/dossier.html?c=katjes&amp;viewer=1&amp;item=F1071</t>
      </text>
    </comment>
    <comment ref="H1073" authorId="0" shapeId="0">
      <text>
        <t>F1072 · Depreciation &amp; amortisation · H1-2025
Document: S5, interim report, H1-2026, 2026-09-08, unaudited, katjes-h1-2026-interim-report.pdf
Page: 34
Quote: "Depreciation of tangible fixed assets 7.1 5.3 Amortisation of right-of-use assets 10.8 2.6 Amortisation of intangible assets 4.7 2.4"
Status: approved by a named reviewer
Approver: demo reviewer, date not recorded
Proof: https://vanillabonds.com/dossier.html?c=katjes&amp;viewer=1&amp;item=F1072</t>
      </text>
    </comment>
    <comment ref="H1074" authorId="0" shapeId="0">
      <text>
        <t>F1073 · Depreciation &amp; amortisation · H1-2026
Document: S5, interim report, H1-2026, 2026-09-08, unaudited, katjes-h1-2026-interim-report.pdf
Page: 34
Quote: "Depreciation of tangible fixed assets 7.1 5.3 Amortisation of right-of-use assets 10.8 2.6 Amortisation of intangible assets 4.7 2.4"
Status: approved by a named reviewer
Approver: demo reviewer, date not recorded
Proof: https://vanillabonds.com/dossier.html?c=katjes&amp;viewer=1&amp;item=F1073</t>
      </text>
    </comment>
    <comment ref="F1075" authorId="0" shapeId="0">
      <text>
        <t>F1074 · Net finance cost · H1-2025
Financial result -4.1 (financial expenses 6.2, financial income 2.1), including equity-accounted result of 1.9.
Document: S5, interim report, H1-2026, 2026-09-08, unaudited, katjes-h1-2026-interim-report.pdf
Page: 23
Quote: "The financial result amounted to EUR -11.2 million (6M 2025: EUR -4.1 million)."
Status: approved by a named reviewer
Approver: demo reviewer, date not recorded
Proof: https://vanillabonds.com/dossier.html?c=katjes&amp;viewer=1&amp;item=F1074</t>
      </text>
    </comment>
    <comment ref="F1076" authorId="0" shapeId="0">
      <text>
        <t>F1075 · Net finance cost · H1-2026
Financial result -11.2 (financial expenses 13.2, financial income 2.0), including the Group's share of an equity-accounted result of -0.4.
Document: S5, interim report, H1-2026, 2026-09-08, unaudited, katjes-h1-2026-interim-report.pdf
Page: 23
Quote: "The financial result amounted to EUR -11.2 million (6M 2025: EUR -4.1 million)."
Status: approved by a named reviewer
Approver: demo reviewer, date not recorded
Proof: https://vanillabonds.com/dossier.html?c=katjes&amp;viewer=1&amp;item=F1075</t>
      </text>
    </comment>
    <comment ref="F1077" authorId="0" shapeId="0">
      <text>
        <t>F1076 · Cash flow from operating activities · H1-2025
Cash flow from operating activities H1-2025.
Document: S5, interim report, H1-2026, 2026-09-08, unaudited, katjes-h1-2026-interim-report.pdf
Page: 34
Quote: "Cash flow from operating activities 1.1 -9.8"
Status: approved by a named reviewer
Approver: demo reviewer, date not recorded
Proof: https://vanillabonds.com/dossier.html?c=katjes&amp;viewer=1&amp;item=F1076</t>
      </text>
    </comment>
    <comment ref="F1078" authorId="0" shapeId="0">
      <text>
        <t>F1077 · Cash flow from operating activities · H1-2026
Cash flow from operating activities H1-2026.
Document: S5, interim report, H1-2026, 2026-09-08, unaudited, katjes-h1-2026-interim-report.pdf
Page: 34
Quote: "Cash flow from operating activities 1.1 -9.8"
Status: approved by a named reviewer
Approver: demo reviewer, date not recorded
Proof: https://vanillabonds.com/dossier.html?c=katjes&amp;viewer=1&amp;item=F1077</t>
      </text>
    </comment>
    <comment ref="F1079" authorId="0" shapeId="0">
      <text>
        <t>F1078 · Capex (PP&amp;E + intangibles) · H1-2025
Sum of the two cash flow lines: acquisition of property, plant and equipment 6.0 plus acquisition of intangible assets 1.0.
Document: S5, interim report, H1-2026, 2026-09-08, unaudited, katjes-h1-2026-interim-report.pdf
Page: 34
Quote: "Acquisition of property, plant and equipment -7.4 -6.0 Acquisition of intangible assets -0.9 -1.0"
Status: approved by a named reviewer
Approver: demo reviewer, date not recorded
Proof: https://vanillabonds.com/dossier.html?c=katjes&amp;viewer=1&amp;item=F1078</t>
      </text>
    </comment>
    <comment ref="F1080" authorId="0" shapeId="0">
      <text>
        <t>F1079 · Capex (PP&amp;E + intangibles) · H1-2026
Sum of the two cash flow lines: acquisition of property, plant and equipment 7.4 plus acquisition of intangible assets 0.9.
Document: S5, interim report, H1-2026, 2026-09-08, unaudited, katjes-h1-2026-interim-report.pdf
Page: 34
Quote: "Acquisition of property, plant and equipment -7.4 -6.0 Acquisition of intangible assets -0.9 -1.0"
Status: approved by a named reviewer
Approver: demo reviewer, date not recorded
Proof: https://vanillabonds.com/dossier.html?c=katjes&amp;viewer=1&amp;item=F1079</t>
      </text>
    </comment>
    <comment ref="F1081" authorId="0" shapeId="0">
      <text>
        <t>F1080 · Cash &amp; equivalents · FY2025
Cash and cash equivalents at 31 December 2025.
Document: S5, interim report, H1-2026, 2026-09-08, unaudited, katjes-h1-2026-interim-report.pdf
Page: 31
Quote: "Cash and cash equivalents 5.3 74.1 146.8"
Status: approved by a named reviewer
Approver: demo reviewer, date not recorded
Proof: https://vanillabonds.com/dossier.html?c=katjes&amp;viewer=1&amp;item=F1080</t>
      </text>
    </comment>
    <comment ref="F1082" authorId="0" shapeId="0">
      <text>
        <t>F1081 · Cash &amp; equivalents · H1-2025
Cash and cash equivalents at 30 June 2025 (cash flow statement).
Document: S5, interim report, H1-2026, 2026-09-08, unaudited, katjes-h1-2026-interim-report.pdf
Page: 34
Quote: "Cash and cash equivalents as at June 30 5.3 74.1 38.4"
Status: approved by a named reviewer
Approver: demo reviewer, date not recorded
Proof: https://vanillabonds.com/dossier.html?c=katjes&amp;viewer=1&amp;item=F1081</t>
      </text>
    </comment>
    <comment ref="F1083" authorId="0" shapeId="0">
      <text>
        <t>F1082 · Cash &amp; equivalents · H1-2026
Cash and cash equivalents at 30 June 2026; balances at banks and cash on hand.
Document: S5, interim report, H1-2026, 2026-09-08, unaudited, katjes-h1-2026-interim-report.pdf
Page: 31
Quote: "Cash and cash equivalents 5.3 74.1 146.8"
Status: approved by a named reviewer
Approver: demo reviewer, date not recorded
Proof: https://vanillabonds.com/dossier.html?c=katjes&amp;viewer=1&amp;item=F1082</t>
      </text>
    </comment>
    <comment ref="H1084" authorId="0" shapeId="0">
      <text>
        <t>F1083 · Gross financial debt (bonds + loans, excl. leases) · H1-2026
Document: S5, interim report, H1-2026, 2026-09-08, unaudited, katjes-h1-2026-interim-report.pdf
Page: 42
Quote: "Liabilities from the issuance of a bond2 200.0 191.3** Amortised cost"
Status: approved by a named reviewer
Approver: demo reviewer, date not recorded
Proof: https://vanillabonds.com/dossier.html?c=katjes&amp;viewer=1&amp;item=F1083</t>
      </text>
    </comment>
    <comment ref="F1085" authorId="0" shapeId="0">
      <text>
        <t>F1084 · Lease liabilities · FY2025
IFRS 16 lease liabilities at 31 December 2025.
Document: S5, interim report, H1-2026, 2026-09-08, unaudited, katjes-h1-2026-interim-report.pdf
Page: 41
Quote: "As at June 30, 2026, lease liabilities amounted to a total of EUR 85.8 million (December 31, 2025: EUR 74.7 million)."
Status: approved by a named reviewer
Approver: demo reviewer, date not recorded
Proof: https://vanillabonds.com/dossier.html?c=katjes&amp;viewer=1&amp;item=F1084</t>
      </text>
    </comment>
    <comment ref="F1086" authorId="0" shapeId="0">
      <text>
        <t>F1085 · Lease liabilities · H1-2026
IFRS 16 lease liabilities at 30 June 2026, including Graze's leases.
Document: S5, interim report, H1-2026, 2026-09-08, unaudited, katjes-h1-2026-interim-report.pdf
Page: 41
Quote: "As at June 30, 2026, lease liabilities amounted to a total of EUR 85.8 million (December 31, 2025: EUR 74.7 million)."
Status: approved by a named reviewer
Approver: demo reviewer, date not recorded
Proof: https://vanillabonds.com/dossier.html?c=katjes&amp;viewer=1&amp;item=F1085</t>
      </text>
    </comment>
    <comment ref="F1087" authorId="0" shapeId="0">
      <text>
        <t>F1086 · Total equity · FY2025
Total equity at 31 December 2025: shareholders' equity 219.4 plus non-controlling interests 47.5.
Document: S5, interim report, H1-2026, 2026-09-08, unaudited, katjes-h1-2026-interim-report.pdf
Page: 32
Quote: "Total equity 255.1 266.9"
Status: approved by a named reviewer
Approver: demo reviewer, date not recorded
Proof: https://vanillabonds.com/dossier.html?c=katjes&amp;viewer=1&amp;item=F1086</t>
      </text>
    </comment>
    <comment ref="F1088" authorId="0" shapeId="0">
      <text>
        <t>F1087 · Total equity · H1-2025
Total equity at 30 June 2025 per statement of changes in equity (shareholders 174.2, NCI 1.1).
Document: S5, interim report, H1-2026, 2026-09-08, unaudited, katjes-h1-2026-interim-report.pdf
Page: 33
Quote: "As at June 30, 2025 1.0 -2.7 6.2 167.1 -1.0 -0.3 3.9 0.0 3.6 174.2 1.1 175.3"
Status: approved by a named reviewer
Approver: demo reviewer, date not recorded
Proof: https://vanillabonds.com/dossier.html?c=katjes&amp;viewer=1&amp;item=F1087</t>
      </text>
    </comment>
    <comment ref="F1089" authorId="0" shapeId="0">
      <text>
        <t>F1088 · Total equity · H1-2026
Total equity at 30 June 2026: shareholders' equity 214.8 plus non-controlling interests 40.3.
Document: S5, interim report, H1-2026, 2026-09-08, unaudited, katjes-h1-2026-interim-report.pdf
Page: 32
Quote: "Total equity 255.1 266.9"
Status: approved by a named reviewer
Approver: demo reviewer, date not recorded
Proof: https://vanillabonds.com/dossier.html?c=katjes&amp;viewer=1&amp;item=F1088</t>
      </text>
    </comment>
    <comment ref="F1090" authorId="0" shapeId="0">
      <text>
        <t>F1089 · Total assets · FY2025
Total assets at 31 December 2025.
Document: S5, interim report, H1-2026, 2026-09-08, unaudited, katjes-h1-2026-interim-report.pdf
Page: 31
Quote: "Total assets 850.9 812.3"
Status: approved by a named reviewer
Approver: demo reviewer, date not recorded
Proof: https://vanillabonds.com/dossier.html?c=katjes&amp;viewer=1&amp;item=F1089</t>
      </text>
    </comment>
    <comment ref="F1091" authorId="0" shapeId="0">
      <text>
        <t>F1090 · Total assets · H1-2026
Total assets at 30 June 2026.
Document: S5, interim report, H1-2026, 2026-09-08, unaudited, katjes-h1-2026-interim-report.pdf
Page: 31
Quote: "Total assets 850.9 812.3"
Status: approved by a named reviewer
Approver: demo reviewer, date not recorded
Proof: https://vanillabonds.com/dossier.html?c=katjes&amp;viewer=1&amp;item=F1090</t>
      </text>
    </comment>
    <comment ref="F1092" authorId="0" shapeId="0">
      <text>
        <t>F1091 · Debt instrument
Corporate bond 2023/2028, EUR 200.0m nominal after the EUR 15m increase in May 2026 (Missoni); carrying amount 200.0, fair value 191.3 at 30 June 2026; coupon not stated in this report.
Document: S5, interim report, H1-2026, 2026-09-08, unaudited, katjes-h1-2026-interim-report.pdf
Page: 21
Quote: "the existing corporate bond was increased by EUR 15 million to a total of EUR 200 million."
Status: approved by a named reviewer
Approver: demo reviewer, date not recorded
Proof: https://vanillabonds.com/dossier.html?c=katjes&amp;viewer=1&amp;item=F1091</t>
      </text>
    </comment>
    <comment ref="H1093" authorId="0" shapeId="0">
      <text>
        <t>F1092 · Debt instrument
Document: S5, interim report, H1-2026, 2026-09-08, unaudited, katjes-h1-2026-interim-report.pdf
Page: 25
Quote: "Missoni as well as acquisition financing for part of the purchase price of Graze"
Status: approved by a named reviewer
Approver: demo reviewer, date not recorded
Proof: https://vanillabonds.com/dossier.html?c=katjes&amp;viewer=1&amp;item=F1092</t>
      </text>
    </comment>
    <comment ref="F1094" authorId="0" shapeId="0">
      <text>
        <t>F1093 · Debt instrument
Non-current interest-bearing loans EUR 51.0m at 30 June 2026 (amortised cost, fair value 51.0); includes acquisition financing for part of the Graze purchase price.
Document: S5, interim report, H1-2026, 2026-09-08, unaudited, katjes-h1-2026-interim-report.pdf
Page: 42
Quote: "Interest-bearing loans2 51.0 51.0** Amortised cost"
Status: approved by a named reviewer
Approver: demo reviewer, date not recorded
Proof: https://vanillabonds.com/dossier.html?c=katjes&amp;viewer=1&amp;item=F1093</t>
      </text>
    </comment>
    <comment ref="F1095" authorId="0" shapeId="0">
      <text>
        <t>F1094 · Debt instrument
Current interest-bearing loans EUR 68.1m at 30 June 2026, increased by new short-term credit lines drawn during the period.
Document: S5, interim report, H1-2026, 2026-09-08, unaudited, katjes-h1-2026-interim-report.pdf
Page: 42
Quote: "Interest-bearing loans2 68.1 68.1** Amortised cost"
Status: approved by a named reviewer
Approver: demo reviewer, date not recorded
Proof: https://vanillabonds.com/dossier.html?c=katjes&amp;viewer=1&amp;item=F1094</t>
      </text>
    </comment>
    <comment ref="H1096" authorId="0" shapeId="0">
      <text>
        <t>F1095 · Risk fact
Document: S5, interim report, H1-2026, 2026-09-08, unaudited, katjes-h1-2026-interim-report.pdf
Page: 22
Quote: "The second half of the year remains the period with significantly higher revenue and is decisive for full-year performance."
Status: approved by a named reviewer
Approver: demo reviewer, date not recorded
Proof: https://vanillabonds.com/dossier.html?c=katjes&amp;viewer=1&amp;item=F1095</t>
      </text>
    </comment>
    <comment ref="H1097" authorId="0" shapeId="0">
      <text>
        <t>F1096 · Risk fact
Document: S5, interim report, H1-2026, 2026-09-08, unaudited, katjes-h1-2026-interim-report.pdf
Page: 23
Quote: "In both cases, insurance coverage or a right of recourse generally exists."
Status: approved by a named reviewer
Approver: demo reviewer, date not recorded
Proof: https://vanillabonds.com/dossier.html?c=katjes&amp;viewer=1&amp;item=F1096</t>
      </text>
    </comment>
    <comment ref="H1098" authorId="0" shapeId="0">
      <text>
        <t>F1097 · Risk fact
Document: S5, interim report, H1-2026, 2026-09-08, unaudited, katjes-h1-2026-interim-report.pdf
Page: 23
Quote: "increase in the Katjes International bond and acquisition finan- cing (in connection with the acquisition of Bogner, the invest- ment in Missoni and the acquisition of Graze)"
Status: approved by a named reviewer
Approver: demo reviewer, date not recorded
Proof: https://vanillabonds.com/dossier.html?c=katjes&amp;viewer=1&amp;item=F1097</t>
      </text>
    </comment>
    <comment ref="H1099" authorId="0" shapeId="0">
      <text>
        <t>F1098 · Risk fact
Document: S5, interim report, H1-2026, 2026-09-08, unaudited, katjes-h1-2026-interim-report.pdf
Page: 26
Quote: "From the perspective of management, no risks threatening the Company's continued existence are identifiable at present or in the foreseeable future."
Status: approved by a named reviewer
Approver: demo reviewer, date not recorded
Proof: https://vanillabonds.com/dossier.html?c=katjes&amp;viewer=1&amp;item=F1098</t>
      </text>
    </comment>
    <comment ref="H1100" authorId="0" shapeId="0">
      <text>
        <t>F1099 · Risk fact
Document: S5, interim report, H1-2026, 2026-09-08, unaudited, katjes-h1-2026-interim-report.pdf
Page: 26
Quote: "In the first half of the year, no significant changes occurred in the opportunities and risks compared with the 2025 consolidated fi-"
Status: approved by a named reviewer
Approver: demo reviewer, date not recorded
Proof: https://vanillabonds.com/dossier.html?c=katjes&amp;viewer=1&amp;item=F1099</t>
      </text>
    </comment>
    <comment ref="H1101" authorId="0" shapeId="0">
      <text>
        <t>F1100 · Risk fact
Document: S5, interim report, H1-2026, 2026-09-08, unaudited, katjes-h1-2026-interim-report.pdf
Page: 41
Quote: "other foreign currencies (mainly RUB, CHF, USD) are reported at an equivalent value of EUR 8.6 million"
Status: approved by a named reviewer
Approver: demo reviewer, date not recorded
Proof: https://vanillabonds.com/dossier.html?c=katjes&amp;viewer=1&amp;item=F1100</t>
      </text>
    </comment>
    <comment ref="H1102" authorId="0" shapeId="0">
      <text>
        <t>F1101 · Executive
Document: S5, interim report, H1-2026, 2026-09-08, unaudited, katjes-h1-2026-interim-report.pdf
Page: 6
Quote: "since 2012 – CFO of Katjes International"
Status: approved by a named reviewer
Approver: demo reviewer, date not recorded
Proof: https://vanillabonds.com/dossier.html?c=katjes&amp;viewer=1&amp;item=F1101</t>
      </text>
    </comment>
    <comment ref="H1103" authorId="0" shapeId="0">
      <text>
        <t>F1102 · Executive
Document: S5, interim report, H1-2026, 2026-09-08, unaudited, katjes-h1-2026-interim-report.pdf
Page: 6
Quote: "since 2004 – Managing Partner of Katjes International"
Status: approved by a named reviewer
Approver: demo reviewer, date not recorded
Proof: https://vanillabonds.com/dossier.html?c=katjes&amp;viewer=1&amp;item=F1102</t>
      </text>
    </comment>
    <comment ref="H1104" authorId="0" shapeId="0">
      <text>
        <t>F1103 · Executive
Document: S5, interim report, H1-2026, 2026-09-08, unaudited, katjes-h1-2026-interim-report.pdf
Page: 6
Quote: "since 1996 – Managing Partner of Katjes International"
Status: approved by a named reviewer
Approver: demo reviewer, date not recorded
Proof: https://vanillabonds.com/dossier.html?c=katjes&amp;viewer=1&amp;item=F1103</t>
      </text>
    </comment>
    <comment ref="F1105" authorId="0" shapeId="0">
      <text>
        <t>F1104 · Revenue as budgeted for that year (management plan at the time) · FY2026
Company guidance for FY2026: Group revenue of 'at least EUR 650 million', which management expects 'to meet or exceed'.
Document: S5, interim report, H1-2026, 2026-09-08, unaudited, katjes-h1-2026-interim-report.pdf
Page: 5
Quote: "to meet or exceed our guidance of expected Group revenue of at least EUR 650 million and an expected EBITDA margin of 10% – 12%."
Status: approved by a named reviewer
Approver: demo reviewer, date not recorded
Proof: https://vanillabonds.com/dossier.html?c=katjes&amp;viewer=1&amp;item=F1104</t>
      </text>
    </comment>
    <comment ref="H1106" authorId="0" shapeId="0">
      <text>
        <t>F1105 · Acquisition / disposal
Document: S5, interim report, H1-2026, 2026-09-08, unaudited, katjes-h1-2026-interim-report.pdf
Page: 17
Quote: "Significant examples include the acquisition of Bübchen from Nestlé/Galderma in 2020"
Status: approved by a named reviewer
Approver: demo reviewer, date not recorded
Proof: https://vanillabonds.com/dossier.html?c=katjes&amp;viewer=1&amp;item=F1105</t>
      </text>
    </comment>
    <comment ref="H1107" authorId="0" shapeId="0">
      <text>
        <t>F1106 · Acquisition / disposal
Document: S5, interim report, H1-2026, 2026-09-08, unaudited, katjes-h1-2026-interim-report.pdf
Page: 18
Quote: "On September 1, 2025, a 60% interest in the Bogner Group was acquired."
Status: approved by a named reviewer
Approver: demo reviewer, date not recorded
Proof: https://vanillabonds.com/dossier.html?c=katjes&amp;viewer=1&amp;item=F1106</t>
      </text>
    </comment>
    <comment ref="H1108" authorId="0" shapeId="0">
      <text>
        <t>F1107 · Acquisition / disposal
Document: S5, interim report, H1-2026, 2026-09-08, unaudited, katjes-h1-2026-interim-report.pdf
Page: 18
Quote: "The oral care business acquired from Henkel, which includes the trademarks for Theramed, Vademecum, Licor del Polo, An- tica Erboristeria and Denivit"
Status: approved by a named reviewer
Approver: demo reviewer, date not recorded
Proof: https://vanillabonds.com/dossier.html?c=katjes&amp;viewer=1&amp;item=F1107</t>
      </text>
    </comment>
    <comment ref="H1109" authorId="0" shapeId="0">
      <text>
        <t>F1108 · Acquisition / disposal
Document: S5, interim report, H1-2026, 2026-09-08, unaudited, katjes-h1-2026-interim-report.pdf
Page: 18
Quote: "The company acquired the cosmetics brand Barnängen for the focus markets Germany, Austria, the Czech Republic, Switzer- land and Hungary in April 2024."
Status: approved by a named reviewer
Approver: demo reviewer, date not recorded
Proof: https://vanillabonds.com/dossier.html?c=katjes&amp;viewer=1&amp;item=F1108</t>
      </text>
    </comment>
    <comment ref="H1110" authorId="0" shapeId="0">
      <text>
        <t>F1109 · Acquisition / disposal
Document: S5, interim report, H1-2026, 2026-09-08, unaudited, katjes-h1-2026-interim-report.pdf
Page: 18
Quote: "Paluani, a well-known producer of panettone in Italy, has been part of Katjes International since August 2022."
Status: approved by a named reviewer
Approver: demo reviewer, date not recorded
Proof: https://vanillabonds.com/dossier.html?c=katjes&amp;viewer=1&amp;item=F1109</t>
      </text>
    </comment>
    <comment ref="H1111" authorId="0" shapeId="0">
      <text>
        <t>F1110 · Acquisition / disposal
Document: S5, interim report, H1-2026, 2026-09-08, unaudited, katjes-h1-2026-interim-report.pdf
Page: 18
Quote: "ce June 2021, is one of the leading producers of ’Cuneesi’ pra- lines, a speciality chocolate product from Piedmont."
Status: approved by a named reviewer
Approver: demo reviewer, date not recorded
Proof: https://vanillabonds.com/dossier.html?c=katjes&amp;viewer=1&amp;item=F1110</t>
      </text>
    </comment>
    <comment ref="H1112" authorId="0" shapeId="0">
      <text>
        <t>F1111 · Acquisition / disposal
Document: S5, interim report, H1-2026, 2026-09-08, unaudited, katjes-h1-2026-interim-report.pdf
Page: 18
Quote: "In Italy, Sperlari has been part of Katjes International since 2017."
Status: approved by a named reviewer
Approver: demo reviewer, date not recorded
Proof: https://vanillabonds.com/dossier.html?c=katjes&amp;viewer=1&amp;item=F1111</t>
      </text>
    </comment>
    <comment ref="H1113" authorId="0" shapeId="0">
      <text>
        <t>F1112 · Acquisition / disposal
Document: S5, interim report, H1-2026, 2026-09-08, unaudited, katjes-h1-2026-interim-report.pdf
Page: 21
Quote: "wholly owned subsidiary Katjes Quiet Luxury, of approximately 27% of the shares in Missoni S.p.A."
Status: approved by a named reviewer
Approver: demo reviewer, date not recorded
Proof: https://vanillabonds.com/dossier.html?c=katjes&amp;viewer=1&amp;item=F1112</t>
      </text>
    </comment>
    <comment ref="F1114" authorId="0" shapeId="0">
      <text>
        <t>F1113 · Acquisition / disposal
target: Nature Delivered Ltd. (Graze), London, from Unilever, via Future Snacks Ltd.; year: 2026 (2 Feb); price: EUR 31.8m; badwill 11.2 in other operating income; Graze revenue about GBP 35m in 2025 and profitable.
Document: S5, interim report, H1-2026, 2026-09-08, unaudited, katjes-h1-2026-interim-report.pdf
Page: 38
Quote: "Purchase price 31.8 Badwill 11.2"
Status: approved by a named reviewer
Approver: demo reviewer, date not recorded
Proof: https://vanillabonds.com/dossier.html?c=katjes&amp;viewer=1&amp;item=F1113</t>
      </text>
    </comment>
    <comment ref="F1115" authorId="0" shapeId="0">
      <text>
        <t>F1114 · Acquisition / disposal
target: Pastificio Plin S.r.l., Villanova d'Albenga; year: 2026 (27 Feb); price: EUR 0.4m; badwill 2.6; revenue about EUR 4m in 2025 and profitable.
Document: S5, interim report, H1-2026, 2026-09-08, unaudited, katjes-h1-2026-interim-report.pdf
Page: 39
Quote: "Purchase price 0.4 Badwill 2.6"
Status: approved by a named reviewer
Approver: demo reviewer, date not recorded
Proof: https://vanillabonds.com/dossier.html?c=katjes&amp;viewer=1&amp;item=F1114</t>
      </text>
    </comment>
    <comment ref="H1116" authorId="0" shapeId="0">
      <text>
        <t>F1115 · Succession
Document: S5, interim report, H1-2026, 2026-09-08, unaudited, katjes-h1-2026-interim-report.pdf
Page: 6
Quote: "since 2012 – CFO of Katjes International"
Status: approved by a named reviewer
Approver: demo reviewer, date not recorded
Proof: https://vanillabonds.com/dossier.html?c=katjes&amp;viewer=1&amp;item=F1115</t>
      </text>
    </comment>
    <comment ref="H1117" authorId="0" shapeId="0">
      <text>
        <t>F1116 · Board, independent members, group structure, related-party flows, dividends
Document: S5, interim report, H1-2026, 2026-09-08, unaudited, katjes-h1-2026-interim-report.pdf
Page: 17
Quote: "All three companies are le- gally independent entities."
Status: approved by a named reviewer
Approver: demo reviewer, date not recorded
Proof: https://vanillabonds.com/dossier.html?c=katjes&amp;viewer=1&amp;item=F1116</t>
      </text>
    </comment>
    <comment ref="H1118" authorId="0" shapeId="0">
      <text>
        <t>F1117 · Board, independent members, group structure, related-party flows, dividends
Document: S5, interim report, H1-2026, 2026-09-08, unaudited, katjes-h1-2026-interim-report.pdf
Page: 18
Quote: "rectly holds approximately 88% of the British company Candy Kittens and 75% of the Italian company Dulcioliva, in each case with the option to acquire the remaining outstanding shares."
Status: approved by a named reviewer
Approver: demo reviewer, date not recorded
Proof: https://vanillabonds.com/dossier.html?c=katjes&amp;viewer=1&amp;item=F1117</t>
      </text>
    </comment>
    <comment ref="H1119" authorId="0" shapeId="0">
      <text>
        <t>F1118 · Board, independent members, group structure, related-party flows, dividends
Document: S5, interim report, H1-2026, 2026-09-08, unaudited, katjes-h1-2026-interim-report.pdf
Page: 48
Quote: "These individuals are also the limited partners of the parent company."
Status: approved by a named reviewer
Approver: demo reviewer, date not recorded
Proof: https://vanillabonds.com/dossier.html?c=katjes&amp;viewer=1&amp;item=F1118</t>
      </text>
    </comment>
    <comment ref="H1120" authorId="0" shapeId="0">
      <text>
        <t>F1119 · Board, independent members, group structure, related-party flows, dividends
Document: S5, interim report, H1-2026, 2026-09-08, unaudited, katjes-h1-2026-interim-report.pdf
Page: 48
Quote: "Disclosure of the remuneration of governing bodies beyond the remuneration paid to the general partner is waived"
Status: approved by a named reviewer
Approver: demo reviewer, date not recorded
Proof: https://vanillabonds.com/dossier.html?c=katjes&amp;viewer=1&amp;item=F1119</t>
      </text>
    </comment>
    <comment ref="H1121" authorId="0" shapeId="0">
      <text>
        <t>F1120 · Board, independent members, group structure, related-party flows, dividends
Document: S5, interim report, H1-2026, 2026-09-08, unaudited, katjes-h1-2026-interim-report.pdf
Page: 48
Quote: "All business relationships are conducted on arm's length terms and are unsecured."
Status: approved by a named reviewer
Approver: demo reviewer, date not recorded
Proof: https://vanillabonds.com/dossier.html?c=katjes&amp;viewer=1&amp;item=F1120</t>
      </text>
    </comment>
    <comment ref="H1122" authorId="0" shapeId="0">
      <text>
        <t>F1121 · Monitoring
Document: S5, interim report, H1-2026, 2026-09-08, unaudited, katjes-h1-2026-interim-report.pdf
Page: 18
Quote: "Internal management and reporting within the Katjes International Group is conducted exclusively at Group level."
Status: approved by a named reviewer
Approver: demo reviewer, date not recorded
Proof: https://vanillabonds.com/dossier.html?c=katjes&amp;viewer=1&amp;item=F1121</t>
      </text>
    </comment>
    <comment ref="H1123" authorId="0" shapeId="0">
      <text>
        <t>F1122 · Monitoring
Document: S5, interim report, H1-2026, 2026-09-08, unaudited, katjes-h1-2026-interim-report.pdf
Page: 45
Quote: "There is no regular internal reporting or performance assessment by individual business divisions or operating segments."
Status: approved by a named reviewer
Approver: demo reviewer, date not recorded
Proof: https://vanillabonds.com/dossier.html?c=katjes&amp;viewer=1&amp;item=F1122</t>
      </text>
    </comment>
    <comment ref="H1124" authorId="0" shapeId="0">
      <text>
        <t>F1123 · Market
Document: S5, interim report, H1-2026, 2026-09-08, unaudited, katjes-h1-2026-interim-report.pdf
Page: 15
Quote: "driving structural growth in the premium and luxury ski apparel segment."
Status: approved by a named reviewer
Approver: demo reviewer, date not recorded
Proof: https://vanillabonds.com/dossier.html?c=katjes&amp;viewer=1&amp;item=F1123</t>
      </text>
    </comment>
    <comment ref="H1125" authorId="0" shapeId="0">
      <text>
        <t>F1124 · Market
Document: S5, interim report, H1-2026, 2026-09-08, unaudited, katjes-h1-2026-interim-report.pdf
Page: 19
Quote: "while sales volumes stagnate or decline slightly in the largely saturated markets, price increases, premi- umisation, and innovative product concepts are driving modera-"
Status: approved by a named reviewer
Approver: demo reviewer, date not recorded
Proof: https://vanillabonds.com/dossier.html?c=katjes&amp;viewer=1&amp;item=F1124</t>
      </text>
    </comment>
    <comment ref="H1126" authorId="0" shapeId="0">
      <text>
        <t>F1125 · Market
Document: S5, interim report, H1-2026, 2026-09-08, unaudited, katjes-h1-2026-interim-report.pdf
Page: 19
Quote: "an increasing shift towards private labels and discounters, gro- wing regulatory pressure on sugar content, and consumers' limi- ted willingness to accept further price increases."
Status: approved by a named reviewer
Approver: demo reviewer, date not recorded
Proof: https://vanillabonds.com/dossier.html?c=katjes&amp;viewer=1&amp;item=F1125</t>
      </text>
    </comment>
    <comment ref="H1127" authorId="0" shapeId="0">
      <text>
        <t>F1126 · Market
Document: S5, interim report, H1-2026, 2026-09-08, unaudited, katjes-h1-2026-interim-report.pdf
Page: 19
Quote: "characterised by low cyclicality and high resilience to economic fluctuations. This was also observed in the first half of 2026."
Status: approved by a named reviewer
Approver: demo reviewer, date not recorded
Proof: https://vanillabonds.com/dossier.html?c=katjes&amp;viewer=1&amp;item=F1126</t>
      </text>
    </comment>
    <comment ref="H1128" authorId="0" shapeId="0">
      <text>
        <t>F1127 · Concentration
Document: S5, interim report, H1-2026, 2026-09-08, unaudited, katjes-h1-2026-interim-report.pdf
Page: 22
Quote: "35.3% of revenue (6M 2025: 34.7%) in Germany. The second most important individual market was the United Kingdom with 14.8% (6M 2025: 6.5%), followed by Italy with 13.5%"
Status: approved by a named reviewer
Approver: demo reviewer, date not recorded
Proof: https://vanillabonds.com/dossier.html?c=katjes&amp;viewer=1&amp;item=F1127</t>
      </text>
    </comment>
    <comment ref="H1129" authorId="0" shapeId="0">
      <text>
        <t>F1128 · Concentration
Document: S5, interim report, H1-2026, 2026-09-08, unaudited, katjes-h1-2026-interim-report.pdf
Page: 25
Quote: "The majority worked in Ger- many (63%), followed by Italy (21%) and the United Kingdom (11%)."
Status: approved by a named reviewer
Approver: demo reviewer, date not recorded
Proof: https://vanillabonds.com/dossier.html?c=katjes&amp;viewer=1&amp;item=F1128</t>
      </text>
    </comment>
    <comment ref="H1130" authorId="0" shapeId="0">
      <text>
        <t>F1129 · Bank facility
Document: S5, interim report, H1-2026, 2026-09-08, unaudited, katjes-h1-2026-interim-report.pdf
Page: 25
Quote: "financial liabilities increased, primarily due to the drawing of new short-term credit lines"
Status: approved by a named reviewer
Approver: demo reviewer, date not recorded
Proof: https://vanillabonds.com/dossier.html?c=katjes&amp;viewer=1&amp;item=F1129</t>
      </text>
    </comment>
    <comment ref="H1131" authorId="0" shapeId="0">
      <text>
        <t>F1130 · Group entity
Document: S5, interim report, H1-2026, 2026-09-08, unaudited, katjes-h1-2026-interim-report.pdf
Page: 38
Quote: "Property, plant, equipment 10.4 Right-of-use assets 8.0 Intangible assets 40.5 Inventories 2.5 Trade receivables and other assets 0.8"
Status: approved by a named reviewer
Approver: demo reviewer, date not recorded
Proof: https://vanillabonds.com/dossier.html?c=katjes&amp;viewer=1&amp;item=F1130</t>
      </text>
    </comment>
    <comment ref="H1132" authorId="0" shapeId="0">
      <text>
        <t>F1131 · Group entity
Document: S5, interim report, H1-2026, 2026-09-08, unaudited, katjes-h1-2026-interim-report.pdf
Page: 38
Quote: "In the past financial year, the company generated revenue of approximately EUR 4 million and was profitable."
Status: approved by a named reviewer
Approver: demo reviewer, date not recorded
Proof: https://vanillabonds.com/dossier.html?c=katjes&amp;viewer=1&amp;item=F1131</t>
      </text>
    </comment>
    <comment ref="H1133" authorId="0" shapeId="0">
      <text>
        <t>F1132 · Group entity
Document: S5, interim report, H1-2026, 2026-09-08, unaudited, katjes-h1-2026-interim-report.pdf
Page: 50
Quote: "Willy Bogner GmbH, München 60 A 60 A"
Status: approved by a named reviewer
Approver: demo reviewer, date not recorded
Proof: https://vanillabonds.com/dossier.html?c=katjes&amp;viewer=1&amp;item=F1132</t>
      </text>
    </comment>
    <comment ref="H1134" authorId="0" shapeId="0">
      <text>
        <t>F1133 · Group entity
Document: S5, interim report, H1-2026, 2026-09-08, unaudited, katjes-h1-2026-interim-report.pdf
Page: 50
Quote: "Katjes Quiet Luxury GmbH, Düsseldorf 100 A 100 A"
Status: approved by a named reviewer
Approver: demo reviewer, date not recorded
Proof: https://vanillabonds.com/dossier.html?c=katjes&amp;viewer=1&amp;item=F1133</t>
      </text>
    </comment>
    <comment ref="H1135" authorId="0" shapeId="0">
      <text>
        <t>F1134 · Group entity
Document: S5, interim report, H1-2026, 2026-09-08, unaudited, katjes-h1-2026-interim-report.pdf
Page: 50
Quote: "Piasten GmbH, Forchheim 100 A 100 A"
Status: approved by a named reviewer
Approver: demo reviewer, date not recorded
Proof: https://vanillabonds.com/dossier.html?c=katjes&amp;viewer=1&amp;item=F1134</t>
      </text>
    </comment>
    <comment ref="H1136" authorId="0" shapeId="0">
      <text>
        <t>F1135 · Group entity
Document: S5, interim report, H1-2026, 2026-09-08, unaudited, katjes-h1-2026-interim-report.pdf
Page: 50
Quote: "Bübchen Bodycare GmbH, Düsseldorf 100 A 100 A"
Status: approved by a named reviewer
Approver: demo reviewer, date not recorded
Proof: https://vanillabonds.com/dossier.html?c=katjes&amp;viewer=1&amp;item=F1135</t>
      </text>
    </comment>
    <comment ref="H1137" authorId="0" shapeId="0">
      <text>
        <t>F1136 · Group entity
Document: S5, interim report, H1-2026, 2026-09-08, unaudited, katjes-h1-2026-interim-report.pdf
Page: 50
Quote: "Dallmann’s Pharma Candy GmbH, Hofheim am Taunus 100 A 100 A"
Status: approved by a named reviewer
Approver: demo reviewer, date not recorded
Proof: https://vanillabonds.com/dossier.html?c=katjes&amp;viewer=1&amp;item=F1136</t>
      </text>
    </comment>
    <comment ref="H1138" authorId="0" shapeId="0">
      <text>
        <t>F1137 · Group entity
Document: S5, interim report, H1-2026, 2026-09-08, unaudited, katjes-h1-2026-interim-report.pdf
Page: 50
Quote: "Bogner Commerce International GmbH, München 100 (60)¹ A - -"
Status: approved by a named reviewer
Approver: demo reviewer, date not recorded
Proof: https://vanillabonds.com/dossier.html?c=katjes&amp;viewer=1&amp;item=F1137</t>
      </text>
    </comment>
    <comment ref="H1139" authorId="0" shapeId="0">
      <text>
        <t>F1138 · Group entity
Document: S5, interim report, H1-2026, 2026-09-08, unaudited, katjes-h1-2026-interim-report.pdf
Page: 50
Quote: "Shirin Beauty GmbH, Düsseldorf 50 C 50 C"
Status: approved by a named reviewer
Approver: demo reviewer, date not recorded
Proof: https://vanillabonds.com/dossier.html?c=katjes&amp;viewer=1&amp;item=F1138</t>
      </text>
    </comment>
    <comment ref="H1140" authorId="0" shapeId="0">
      <text>
        <t>F1139 · Group entity
Document: S5, interim report, H1-2026, 2026-09-08, unaudited, katjes-h1-2026-interim-report.pdf
Page: 51
Quote: "Harlekĳntjes B.V., Nĳkerk, Netherlands 100 A 100 A"
Status: approved by a named reviewer
Approver: demo reviewer, date not recorded
Proof: https://vanillabonds.com/dossier.html?c=katjes&amp;viewer=1&amp;item=F1139</t>
      </text>
    </comment>
    <comment ref="H1141" authorId="0" shapeId="0">
      <text>
        <t>F1140 · Group entity
Document: S5, interim report, H1-2026, 2026-09-08, unaudited, katjes-h1-2026-interim-report.pdf
Page: 51
Quote: "Sperlari S.r.l., Cremona, Italy 100 A 100 A"
Status: approved by a named reviewer
Approver: demo reviewer, date not recorded
Proof: https://vanillabonds.com/dossier.html?c=katjes&amp;viewer=1&amp;item=F1140</t>
      </text>
    </comment>
    <comment ref="H1142" authorId="0" shapeId="0">
      <text>
        <t>F1141 · Group entity
Document: S5, interim report, H1-2026, 2026-09-08, unaudited, katjes-h1-2026-interim-report.pdf
Page: 51
Quote: "Dulcioliva S.r.l., Borgo San Dalmazzo, Italy 75 A 75 A"
Status: approved by a named reviewer
Approver: demo reviewer, date not recorded
Proof: https://vanillabonds.com/dossier.html?c=katjes&amp;viewer=1&amp;item=F1141</t>
      </text>
    </comment>
    <comment ref="H1143" authorId="0" shapeId="0">
      <text>
        <t>F1142 · Group entity
Document: S5, interim report, H1-2026, 2026-09-08, unaudited, katjes-h1-2026-interim-report.pdf
Page: 51
Quote: "Paluani 1921 S.r.l., Verona, Italy 100 A 100 A"
Status: approved by a named reviewer
Approver: demo reviewer, date not recorded
Proof: https://vanillabonds.com/dossier.html?c=katjes&amp;viewer=1&amp;item=F1142</t>
      </text>
    </comment>
    <comment ref="H1144" authorId="0" shapeId="0">
      <text>
        <t>F1143 · Group entity
Document: S5, interim report, H1-2026, 2026-09-08, unaudited, katjes-h1-2026-interim-report.pdf
Page: 51
Quote: "Candy Kittens Ltd., London, UK 88 A 88 A"
Status: approved by a named reviewer
Approver: demo reviewer, date not recorded
Proof: https://vanillabonds.com/dossier.html?c=katjes&amp;viewer=1&amp;item=F1143</t>
      </text>
    </comment>
    <comment ref="H1145" authorId="0" shapeId="0">
      <text>
        <t>F1144 · Group entity
Document: S5, interim report, H1-2026, 2026-09-08, unaudited, katjes-h1-2026-interim-report.pdf
Page: 51
Quote: "Tuckshop Ltd, London, UK 75 A 75 A"
Status: approved by a named reviewer
Approver: demo reviewer, date not recorded
Proof: https://vanillabonds.com/dossier.html?c=katjes&amp;viewer=1&amp;item=F1144</t>
      </text>
    </comment>
    <comment ref="H1146" authorId="0" shapeId="0">
      <text>
        <t>F1145 · Group entity
Document: S5, interim report, H1-2026, 2026-09-08, unaudited, katjes-h1-2026-interim-report.pdf
Page: 51
Quote: "Future Snacks Ltd., London, UK 100 (88)¹ A 100 (88)¹ A"
Status: approved by a named reviewer
Approver: demo reviewer, date not recorded
Proof: https://vanillabonds.com/dossier.html?c=katjes&amp;viewer=1&amp;item=F1145</t>
      </text>
    </comment>
    <comment ref="H1147" authorId="0" shapeId="0">
      <text>
        <t>F1146 · Group entity
Document: S5, interim report, H1-2026, 2026-09-08, unaudited, katjes-h1-2026-interim-report.pdf
Page: 51
Quote: "Bogner Eastern Europe LLC, Moscow, Russia 100 (60)¹ A 100 (60)¹ A"
Status: approved by a named reviewer
Approver: demo reviewer, date not recorded
Proof: https://vanillabonds.com/dossier.html?c=katjes&amp;viewer=1&amp;item=F1146</t>
      </text>
    </comment>
    <comment ref="H1148" authorId="0" shapeId="0">
      <text>
        <t>F1147 · Group entity
Document: S5, interim report, H1-2026, 2026-09-08, unaudited, katjes-h1-2026-interim-report.pdf
Page: 51
Quote: "Bogner Sport AG, Zürich, Switzerland 100 (60)¹ A 100 (60)¹ A"
Status: approved by a named reviewer
Approver: demo reviewer, date not recorded
Proof: https://vanillabonds.com/dossier.html?c=katjes&amp;viewer=1&amp;item=F1147</t>
      </text>
    </comment>
    <comment ref="H1149" authorId="0" shapeId="0">
      <text>
        <t>F1148 · Group entity
Document: S5, interim report, H1-2026, 2026-09-08, unaudited, katjes-h1-2026-interim-report.pdf
Page: 51
Quote: "Bogner of America Inc., New York City, USA 100 (60)¹ A 100 (60)¹ A"
Status: approved by a named reviewer
Approver: demo reviewer, date not recorded
Proof: https://vanillabonds.com/dossier.html?c=katjes&amp;viewer=1&amp;item=F1148</t>
      </text>
    </comment>
    <comment ref="H1150" authorId="0" shapeId="0">
      <text>
        <t>F1149 · Group entity
Document: S5, interim report, H1-2026, 2026-09-08, unaudited, katjes-h1-2026-interim-report.pdf
Page: 51
Quote: "Bogner Asia Ltd., Hong Kong/China 100 (60)¹ A 100 (60)¹ A"
Status: approved by a named reviewer
Approver: demo reviewer, date not recorded
Proof: https://vanillabonds.com/dossier.html?c=katjes&amp;viewer=1&amp;item=F1149</t>
      </text>
    </comment>
    <comment ref="H1151" authorId="0" shapeId="0">
      <text>
        <t>F1150 · Group entity
Document: S5, interim report, H1-2026, 2026-09-08, unaudited, katjes-h1-2026-interim-report.pdf
Page: 51
Quote: "Shades Snacks Ltd., London, UK 49 C 49 C"
Status: approved by a named reviewer
Approver: demo reviewer, date not recorded
Proof: https://vanillabonds.com/dossier.html?c=katjes&amp;viewer=1&amp;item=F1150</t>
      </text>
    </comment>
    <comment ref="H1152" authorId="0" shapeId="0">
      <text>
        <t>F1151 · Group entity
Document: S5, interim report, H1-2026, 2026-09-08, unaudited, katjes-h1-2026-interim-report.pdf
Page: 51
Quote: "Bogner GCA Holding PTE. Ltd., Singapore 45 B 45 B"
Status: approved by a named reviewer
Approver: demo reviewer, date not recorded
Proof: https://vanillabonds.com/dossier.html?c=katjes&amp;viewer=1&amp;item=F1151</t>
      </text>
    </comment>
    <comment ref="H1153" authorId="0" shapeId="0">
      <text>
        <t>F1152 · Group entity
Document: S5, interim report, H1-2026, 2026-09-08, unaudited, katjes-h1-2026-interim-report.pdf
Page: 51
Quote: "Missoni S.p.A., Sumirago, Italy 27 B - -"
Status: approved by a named reviewer
Approver: demo reviewer, date not recorded
Proof: https://vanillabonds.com/dossier.html?c=katjes&amp;viewer=1&amp;item=F1152</t>
      </text>
    </comment>
    <comment ref="H1154" authorId="0" shapeId="0">
      <text>
        <t>F1153 · Group entity
Document: S5, interim report, H1-2026, 2026-09-08, unaudited, katjes-h1-2026-interim-report.pdf
Page: 51
Quote: "Nuud Snacks Ltd., London, UK 8 - 8 -"
Status: approved by a named reviewer
Approver: demo reviewer, date not recorded
Proof: https://vanillabonds.com/dossier.html?c=katjes&amp;viewer=1&amp;item=F1153</t>
      </text>
    </comment>
    <comment ref="H1155" authorId="0" shapeId="0">
      <text>
        <t>F1154 · Board member
Document: S5, interim report, H1-2026, 2026-09-08, unaudited, katjes-h1-2026-interim-report.pdf
Page: 6
Quote: "Managing Director (CFO) of Katjes International"
Status: approved by a named reviewer
Approver: demo reviewer, date not recorded
Proof: https://vanillabonds.com/dossier.html?c=katjes&amp;viewer=1&amp;item=F1154</t>
      </text>
    </comment>
    <comment ref="H1156" authorId="0" shapeId="0">
      <text>
        <t>F1155 · Board member
Document: S5, interim report, H1-2026, 2026-09-08, unaudited, katjes-h1-2026-interim-report.pdf
Page: 6
Quote: "since 2004 – Managing Partner of Katjes International"
Status: approved by a named reviewer
Approver: demo reviewer, date not recorded
Proof: https://vanillabonds.com/dossier.html?c=katjes&amp;viewer=1&amp;item=F1155</t>
      </text>
    </comment>
    <comment ref="H1157" authorId="0" shapeId="0">
      <text>
        <t>F1156 · Board member
Document: S5, interim report, H1-2026, 2026-09-08, unaudited, katjes-h1-2026-interim-report.pdf
Page: 6
Quote: "since 1996 – Managing Partner of Katjes International"
Status: approved by a named reviewer
Approver: demo reviewer, date not recorded
Proof: https://vanillabonds.com/dossier.html?c=katjes&amp;viewer=1&amp;item=F1156</t>
      </text>
    </comment>
    <comment ref="F1158" authorId="0" shapeId="0">
      <text>
        <t>F1157 · Related-party flow
counterparty: related parties (IAS 24, not named); kind: purchase of goods and services; amount: 20.1 (H1-2025: 9.4); year: H1-2026; terms: arm's length, unsecured
Document: S5, interim report, H1-2026, 2026-09-08, unaudited, katjes-h1-2026-interim-report.pdf
Page: 48
Quote: "Purchase of goods and services from re- lated parties 20.1 9.4"
Status: approved by a named reviewer
Approver: demo reviewer, date not recorded
Proof: https://vanillabonds.com/dossier.html?c=katjes&amp;viewer=1&amp;item=F1157</t>
      </text>
    </comment>
    <comment ref="F1159" authorId="0" shapeId="0">
      <text>
        <t>F1158 · Related-party flow
counterparty: related parties; kind: sale of goods and services; amount: 4.1 (H1-2025: 3.2); year: H1-2026; terms: arm's length, unsecured
Document: S5, interim report, H1-2026, 2026-09-08, unaudited, katjes-h1-2026-interim-report.pdf
Page: 48
Quote: "Sale of goods and services to related parties 4.1 3.2"
Status: approved by a named reviewer
Approver: demo reviewer, date not recorded
Proof: https://vanillabonds.com/dossier.html?c=katjes&amp;viewer=1&amp;item=F1158</t>
      </text>
    </comment>
    <comment ref="F1160" authorId="0" shapeId="0">
      <text>
        <t>F1159 · Related-party flow
counterparty: related parties; kind: trade payables; amount: 5.9 (31 Dec 2025: 3.2); year: H1-2026
Document: S5, interim report, H1-2026, 2026-09-08, unaudited, katjes-h1-2026-interim-report.pdf
Page: 48
Quote: "Trade payables to related parties 5.9 3.2"
Status: approved by a named reviewer
Approver: demo reviewer, date not recorded
Proof: https://vanillabonds.com/dossier.html?c=katjes&amp;viewer=1&amp;item=F1159</t>
      </text>
    </comment>
    <comment ref="F1161" authorId="0" shapeId="0">
      <text>
        <t>F1160 · Related-party flow
counterparty: related parties; kind: trade receivables; amount: 6.3 (31 Dec 2025: 3.2); year: H1-2026
Document: S5, interim report, H1-2026, 2026-09-08, unaudited, katjes-h1-2026-interim-report.pdf
Page: 48
Quote: "Trade receivables from related par- ties 6.3 3.2"
Status: approved by a named reviewer
Approver: demo reviewer, date not recorded
Proof: https://vanillabonds.com/dossier.html?c=katjes&amp;viewer=1&amp;item=F1160</t>
      </text>
    </comment>
    <comment ref="F1162" authorId="0" shapeId="0">
      <text>
        <t>F1161 · Related-party flow
counterparty: related parties; kind: loan (net loans to/from related parties); amount: -3.0 (31 Dec 2025: 4.8); year: H1-2026; terms: unsecured
Document: S5, interim report, H1-2026, 2026-09-08, unaudited, katjes-h1-2026-interim-report.pdf
Page: 48
Quote: "Loans to/from related parties -3.0 4.8"
Status: approved by a named reviewer
Approver: demo reviewer, date not recorded
Proof: https://vanillabonds.com/dossier.html?c=katjes&amp;viewer=1&amp;item=F1161</t>
      </text>
    </comment>
    <comment ref="F1163" authorId="0" shapeId="0">
      <text>
        <t>F1162 · Related-party flow
counterparty: related parties; kind: interest income from loans; amount: 0.2 (H1-2025: 0.1); other income 0.1 (H1-2025: 5.0); year: H1-2026
Document: S5, interim report, H1-2026, 2026-09-08, unaudited, katjes-h1-2026-interim-report.pdf
Page: 48
Quote: "Interest income from loans 0.2 0.1 Other income 0.1 5.0"
Status: approved by a named reviewer
Approver: demo reviewer, date not recorded
Proof: https://vanillabonds.com/dossier.html?c=katjes&amp;viewer=1&amp;item=F1162</t>
      </text>
    </comment>
    <comment ref="H1164" authorId="0" shapeId="0">
      <text>
        <t>F1163 · Shareholder loan
Document: S5, interim report, H1-2026, 2026-09-08, unaudited, katjes-h1-2026-interim-report.pdf
Page: 48
Quote: "The interest-bearing current accounts of the limited partners bear interest at 5.0% (previous year: 5.0%)."
Status: approved by a named reviewer
Approver: demo reviewer, date not recorded
Proof: https://vanillabonds.com/dossier.html?c=katjes&amp;viewer=1&amp;item=F1163</t>
      </text>
    </comment>
    <comment ref="F1165" authorId="0" shapeId="0">
      <text>
        <t>F1164 · Market variable
variable: eurozone GDP growth forecast; year: 2026; value: 0.8; unit: %; source: OECD Economic Outlook June 2026 (2025: 1.4%)
Document: S5, interim report, H1-2026, 2026-09-08, unaudited, katjes-h1-2026-interim-report.pdf
Page: 19
Quote: "(GDP) is expected to increase overall by 0.8% (2025: 1.4%)."
Status: approved by a named reviewer
Approver: demo reviewer, date not recorded
Proof: https://vanillabonds.com/dossier.html?c=katjes&amp;viewer=1&amp;item=F1164</t>
      </text>
    </comment>
    <comment ref="F1166" authorId="0" shapeId="0">
      <text>
        <t>F1165 · Market variable
variable: Germany GDP growth forecast; year: 2026; value: 0.7; unit: %; source: OECD June 2026 (2025: 0.3%)
Document: S5, interim report, H1-2026, 2026-09-08, unaudited, katjes-h1-2026-interim-report.pdf
Page: 19
Quote: "the German economy, positive development is expected, with growth of 0.7% (2025: 0.3%)."
Status: approved by a named reviewer
Approver: demo reviewer, date not recorded
Proof: https://vanillabonds.com/dossier.html?c=katjes&amp;viewer=1&amp;item=F1165</t>
      </text>
    </comment>
    <comment ref="F1167" authorId="0" shapeId="0">
      <text>
        <t>F1166 · Market variable
variable: United Kingdom GDP growth forecast; year: 2026; value: 0.9; unit: %; source: OECD June 2026 (2025: 1.4%)
Document: S5, interim report, H1-2026, 2026-09-08, unaudited, katjes-h1-2026-interim-report.pdf
Page: 19
Quote: "with an increase of 0.9% (2025: 1.4%) and the Italian economy remains stable at 0.5% (2025: 0.5%)."
Status: approved by a named reviewer
Approver: demo reviewer, date not recorded
Proof: https://vanillabonds.com/dossier.html?c=katjes&amp;viewer=1&amp;item=F1166</t>
      </text>
    </comment>
    <comment ref="F1168" authorId="0" shapeId="0">
      <text>
        <t>F1167 · Market variable
variable: Italy GDP growth forecast; year: 2026; value: 0.5; unit: %; source: OECD June 2026 (2025: 0.5%)
Document: S5, interim report, H1-2026, 2026-09-08, unaudited, katjes-h1-2026-interim-report.pdf
Page: 19
Quote: "the Italian economy remains stable at 0.5% (2025: 0.5%)."
Status: approved by a named reviewer
Approver: demo reviewer, date not recorded
Proof: https://vanillabonds.com/dossier.html?c=katjes&amp;viewer=1&amp;item=F1167</t>
      </text>
    </comment>
    <comment ref="F1169" authorId="0" shapeId="0">
      <text>
        <t>F1168 · Market variable
variable: Switzerland GDP growth forecast; year: 2026; value: 1.1; unit: %; source: OECD June 2026 (2025: 1.3%)
Document: S5, interim report, H1-2026, 2026-09-08, unaudited, katjes-h1-2026-interim-report.pdf
Page: 19
Quote: "also slightly declining, with growth of 1.1% compared to the pre- vious year (2025: 1.3%)."
Status: approved by a named reviewer
Approver: demo reviewer, date not recorded
Proof: https://vanillabonds.com/dossier.html?c=katjes&amp;viewer=1&amp;item=F1168</t>
      </text>
    </comment>
    <comment ref="F1170" authorId="0" shapeId="0">
      <text>
        <t>F1169 · Market variable
variable: Netherlands GDP growth forecast; year: 2026; value: 1.0; unit: %; source: OECD June 2026 (2025: 1.8%)
Document: S5, interim report, H1-2026, 2026-09-08, unaudited, katjes-h1-2026-interim-report.pdf
Page: 19
Quote: "is expected to be 1.0% (2025: 1.8%). The United States shows"
Status: approved by a named reviewer
Approver: demo reviewer, date not recorded
Proof: https://vanillabonds.com/dossier.html?c=katjes&amp;viewer=1&amp;item=F1169</t>
      </text>
    </comment>
    <comment ref="F1171" authorId="0" shapeId="0">
      <text>
        <t>F1170 · Market variable
variable: United States GDP growth forecast; year: 2026; value: 2.0; unit: %; source: OECD June 2026 (2025: 2.1%)
Document: S5, interim report, H1-2026, 2026-09-08, unaudited, katjes-h1-2026-interim-report.pdf
Page: 19
Quote: "good growth with a GDP increase of 2.0%, although slightly be- low the previous year's growth (2025: 2.1%)."
Status: approved by a named reviewer
Approver: demo reviewer, date not recorded
Proof: https://vanillabonds.com/dossier.html?c=katjes&amp;viewer=1&amp;item=F1170</t>
      </text>
    </comment>
    <comment ref="F1172" authorId="0" shapeId="0">
      <text>
        <t>F1171 · Market variable
variable: Spain GDP growth forecast; year: 2026; value: 2.2; unit: %; source: OECD June 2026 (2025: 2.8%); Austria 0.7% (0.6%), France 0.7% (0.9%)
Document: S5, interim report, H1-2026, 2026-09-08, unaudited, katjes-h1-2026-interim-report.pdf
Page: 19
Quote: "Spain is recording a solid, albeit slower GDP growth of 2.2% (2025: 2.8%)."
Status: approved by a named reviewer
Approver: demo reviewer, date not recorded
Proof: https://vanillabonds.com/dossier.html?c=katjes&amp;viewer=1&amp;item=F1171</t>
      </text>
    </comment>
    <comment ref="F1173" authorId="0" shapeId="0">
      <text>
        <t>F1172 · Market variable
variable: confectionery market growth Western Europe; year: 2026; value: 7.4; unit: %; source: Euromonitor International as cited (Eastern Europe 5.4%)
Document: S5, interim report, H1-2026, 2026-09-08, unaudited, katjes-h1-2026-interim-report.pdf
Page: 19
Quote: "7.4% is forecasted for Western Europe and 5.4% for Eastern Europe in 2026."
Status: approved by a named reviewer
Approver: demo reviewer, date not recorded
Proof: https://vanillabonds.com/dossier.html?c=katjes&amp;viewer=1&amp;item=F1172</t>
      </text>
    </comment>
    <comment ref="F1174" authorId="0" shapeId="0">
      <text>
        <t>F1173 · Market variable
variable: European confectionery market volume (sugar confectionery and chocolate); year: 2030; value: over 115; unit: EUR bn; source: Euromonitor International
Document: S5, interim report, H1-2026, 2026-09-08, unaudited, katjes-h1-2026-interim-report.pdf
Page: 19
Quote: "products) to continue growing to a volume of over EUR 115 bil- lion by 2030."
Status: approved by a named reviewer
Approver: demo reviewer, date not recorded
Proof: https://vanillabonds.com/dossier.html?c=katjes&amp;viewer=1&amp;item=F1173</t>
      </text>
    </comment>
    <comment ref="F1175" authorId="0" shapeId="0">
      <text>
        <t>F1174 · Market variable
variable: German baby and kids care market volume; year: H1-2026; value: 295; unit: EUR m; source: Nielsen (comparable to prior-year period)
Document: S5, interim report, H1-2026, 2026-09-08, unaudited, katjes-h1-2026-interim-report.pdf
Page: 20
Quote: "amounted to EUR 295 million in the first half of 2026, compara- ble to the level of the prior-year period."
Status: approved by a named reviewer
Approver: demo reviewer, date not recorded
Proof: https://vanillabonds.com/dossier.html?c=katjes&amp;viewer=1&amp;item=F1174</t>
      </text>
    </comment>
    <comment ref="F1176" authorId="0" shapeId="0">
      <text>
        <t>F1175 · Market variable
variable: German dental and oral care revenue; year: 2026; value: 2360; unit: EUR m; source: Euromonitor (+4.2% vs 2025)
Document: S5, interim report, H1-2026, 2026-09-08, unaudited, katjes-h1-2026-interim-report.pdf
Page: 20
Quote: "to amount to approximately EUR 2.36 billion for 2026 and, according to Euromonitor data, thus show an increase of 4.2%"
Status: approved by a named reviewer
Approver: demo reviewer, date not recorded
Proof: https://vanillabonds.com/dossier.html?c=katjes&amp;viewer=1&amp;item=F1175</t>
      </text>
    </comment>
    <comment ref="F1177" authorId="0" shapeId="0">
      <text>
        <t>F1176 · Market variable
variable: German designer apparel market growth; year: 2026; value: 3.8; unit: %; source: Euromonitor
Document: S5, interim report, H1-2026, 2026-09-08, unaudited, katjes-h1-2026-interim-report.pdf
Page: 20
Quote: "According to Euromonitor data, the designer apparel market in Germany shows growth of 3.8% for 2026."
Status: approved by a named reviewer
Approver: demo reviewer, date not recorded
Proof: https://vanillabonds.com/dossier.html?c=katjes&amp;viewer=1&amp;item=F1176</t>
      </text>
    </comment>
    <comment ref="H1178" authorId="0" shapeId="0">
      <text>
        <t>F1177 · Regulation
Document: S5, interim report, H1-2026, 2026-09-08, unaudited, katjes-h1-2026-interim-report.pdf
Page: 37
Quote: "IFRS 18 and IFRS 19 (applicable for financial years beginning on or after January 1, 2027)."
Status: approved by a named reviewer
Approver: demo reviewer, date not recorded
Proof: https://vanillabonds.com/dossier.html?c=katjes&amp;viewer=1&amp;item=F1177</t>
      </text>
    </comment>
    <comment ref="H1179" authorId="0" shapeId="0">
      <text>
        <t>F1178 · Certification, licence, permit or patent
Document: S5, interim report, H1-2026, 2026-09-08, unaudited, katjes-h1-2026-interim-report.pdf
Page: 9
Quote: "Minions license, created in cooperation with Universal Products &amp; Experiences (UP&amp;E), are colorful lentils"
Status: approved by a named reviewer
Approver: demo reviewer, date not recorded
Proof: https://vanillabonds.com/dossier.html?c=katjes&amp;viewer=1&amp;item=F1178</t>
      </text>
    </comment>
    <comment ref="H1180" authorId="0" shapeId="0">
      <text>
        <t>F1179 · Certification, licence, permit or patent
Document: S5, interim report, H1-2026, 2026-09-08, unaudited, katjes-h1-2026-interim-report.pdf
Page: 12
Quote: "by ÖKO-TEST awards for the Blueberry Body Oil and the Blueberry Body Scrub."
Status: approved by a named reviewer
Approver: demo reviewer, date not recorded
Proof: https://vanillabonds.com/dossier.html?c=katjes&amp;viewer=1&amp;item=F1179</t>
      </text>
    </comment>
    <comment ref="F1181" authorId="0" shapeId="0">
      <text>
        <t>F1180 · One-off item · H1-2026
item: positive results from purchase price allocations in other operating result; amount: 13.8; recurrence: none in H1-2025
Document: S5, interim report, H1-2026, 2026-09-08, unaudited, katjes-h1-2026-interim-report.pdf
Page: 23
Quote: "this item includes the positive results from the purchase price allocations carried out during the first half of 2026 (EUR 13.8 million)"
Status: approved by a named reviewer
Approver: demo reviewer, date not recorded
Proof: https://vanillabonds.com/dossier.html?c=katjes&amp;viewer=1&amp;item=F1180</t>
      </text>
    </comment>
    <comment ref="H1182" authorId="0" shapeId="0">
      <text>
        <t>F1181 · One-off item · H1-2026
Document: S5, interim report, H1-2026, 2026-09-08, unaudited, katjes-h1-2026-interim-report.pdf
Page: 23
Quote: "damage caused by third parties occurred in two instances during the reporting peri-"
Status: approved by a named reviewer
Approver: demo reviewer, date not recorded
Proof: https://vanillabonds.com/dossier.html?c=katjes&amp;viewer=1&amp;item=F1181</t>
      </text>
    </comment>
    <comment ref="F1183" authorId="0" shapeId="0">
      <text>
        <t>F1182 · One-off item · H1-2026
item: income from the two joint ventures and the equity-accounted Missoni investment in other operating result; amount: 1.9 (H1-2025: 0.7); recurrence: 2025
Document: S5, interim report, H1-2026, 2026-09-08, unaudited, katjes-h1-2026-interim-report.pdf
Page: 23
Quote: "income from the two joint ventures as well as from the equity-accounted investment in Missoni (EUR 1.9 million; 6M 2025: EUR 0.7 million)"
Status: approved by a named reviewer
Approver: demo reviewer, date not recorded
Proof: https://vanillabonds.com/dossier.html?c=katjes&amp;viewer=1&amp;item=F1182</t>
      </text>
    </comment>
    <comment ref="F1184" authorId="0" shapeId="0">
      <text>
        <t>F1183 · One-off item · H1-2026
item: badwill on the Graze acquisition, recognised in other operating income (preliminary PPA); amount: 11.2; recurrence: none stated
Document: S5, interim report, H1-2026, 2026-09-08, unaudited, katjes-h1-2026-interim-report.pdf
Page: 38
Quote: "Purchase price 31.8 Badwill 11.2"
Status: approved by a named reviewer
Approver: demo reviewer, date not recorded
Proof: https://vanillabonds.com/dossier.html?c=katjes&amp;viewer=1&amp;item=F1183</t>
      </text>
    </comment>
    <comment ref="F1185" authorId="0" shapeId="0">
      <text>
        <t>F1184 · One-off item · H1-2026
item: badwill on the Pastificio Plin acquisition, recognised in other operating income; amount: 2.6; recurrence: none stated
Document: S5, interim report, H1-2026, 2026-09-08, unaudited, katjes-h1-2026-interim-report.pdf
Page: 39
Quote: "Purchase price 0.4 Badwill 2.6"
Status: approved by a named reviewer
Approver: demo reviewer, date not recorded
Proof: https://vanillabonds.com/dossier.html?c=katjes&amp;viewer=1&amp;item=F1184</t>
      </text>
    </comment>
    <comment ref="F1186" authorId="0" shapeId="0">
      <text>
        <t>F1185 · One-off item · H1-2026
item: reversal of value adjustments on inventories; amount: 1.0 (H1-2025: -0.4); recurrence: 2025
Document: S5, interim report, H1-2026, 2026-09-08, unaudited, katjes-h1-2026-interim-report.pdf
Page: 41
Quote: "Value adjustments (reversals) on inventories were recognised in the amount of EUR 1.0 million (6M 2025: EUR -0.4 million)."
Status: approved by a named reviewer
Approver: demo reviewer, date not recorded
Proof: https://vanillabonds.com/dossier.html?c=katjes&amp;viewer=1&amp;item=F1185</t>
      </text>
    </comment>
    <comment ref="F1187" authorId="0" shapeId="0">
      <text>
        <t>F1186 · Off-balance item · H1-2026
kind: pension provisions (defined benefit, on balance sheet); amount: 16.4 (31 Dec 2025: 16.1)
Document: S5, interim report, H1-2026, 2026-09-08, unaudited, katjes-h1-2026-interim-report.pdf
Page: 25
Quote: "Provisions for pensions and similar obligations also remained constant at EUR 16.4 million as at June 30, 2026 (December 31, 2025: EUR 16.1 million)."
Status: approved by a named reviewer
Approver: demo reviewer, date not recorded
Proof: https://vanillabonds.com/dossier.html?c=katjes&amp;viewer=1&amp;item=F1186</t>
      </text>
    </comment>
    <comment ref="H1188" authorId="0" shapeId="0">
      <text>
        <t>F1187 · Off-balance item · H1-2026
Document: S5, interim report, H1-2026, 2026-09-08, unaudited, katjes-h1-2026-interim-report.pdf
Page: 25
Quote: "In addition, the purchase option resulting from the future acquisition of the minority interests in Dulcioliva is reported here as a liability."
Status: approved by a named reviewer
Approver: demo reviewer, date not recorded
Proof: https://vanillabonds.com/dossier.html?c=katjes&amp;viewer=1&amp;item=F1187</t>
      </text>
    </comment>
    <comment ref="H1189" authorId="0" shapeId="0">
      <text>
        <t>F1188 · Off-balance item · H1-2026
Document: S5, interim report, H1-2026, 2026-09-08, unaudited, katjes-h1-2026-interim-report.pdf
Page: 25
Quote: "tion held by the minority shareholders, granting them the right to sell part of their shares to the Group."
Status: approved by a named reviewer
Approver: demo reviewer, date not recorded
Proof: https://vanillabonds.com/dossier.html?c=katjes&amp;viewer=1&amp;item=F1188</t>
      </text>
    </comment>
    <comment ref="F1190" authorId="0" shapeId="0">
      <text>
        <t>F1189 · Off-balance item · H1-2026
kind: purchase commitments for property, plant and equipment; amount: 1.2 at 30 June 2026
Document: S5, interim report, H1-2026, 2026-09-08, unaudited, katjes-h1-2026-interim-report.pdf
Page: 47
Quote: "property, plant and equipment amounted to EUR 1.2 million."
Status: approved by a named reviewer
Approver: demo reviewer, date not recorded
Proof: https://vanillabonds.com/dossier.html?c=katjes&amp;viewer=1&amp;item=F1189</t>
      </text>
    </comment>
    <comment ref="F1191" authorId="0" shapeId="0">
      <text>
        <t>F1190 · Days from year end to filing of the accounts · H1-2026
70 days from the 30 June 2026 period end to management's approval and release on 8 September 2026 (unaudited interim).
Document: S5, interim report, H1-2026, 2026-09-08, unaudited, katjes-h1-2026-interim-report.pdf
Page: 49
Quote: "These interim consolidated financial statements were approved and released for publication by management on September 8, 2026."
Status: approved by a named reviewer
Approver: demo reviewer, date not recorded
Proof: https://vanillabonds.com/dossier.html?c=katjes&amp;viewer=1&amp;item=F1190</t>
      </text>
    </comment>
    <comment ref="H1192" authorId="0" shapeId="0">
      <text>
        <t>F1191 · Tax item
Document: S5, interim report, H1-2026, 2026-09-08, unaudited, katjes-h1-2026-interim-report.pdf
Page: 25
Quote: "se price allocations carried out in the first half of the year, to EUR 59.8 million (December 31, 2025: EUR 52.4 million)."
Status: approved by a named reviewer
Approver: demo reviewer, date not recorded
Proof: https://vanillabonds.com/dossier.html?c=katjes&amp;viewer=1&amp;item=F1191</t>
      </text>
    </comment>
    <comment ref="H1193" authorId="0" shapeId="0">
      <text>
        <t>F1192 · Tax item
Document: S5, interim report, H1-2026, 2026-09-08, unaudited, katjes-h1-2026-interim-report.pdf
Page: 40
Quote: "Deferred tax expense/income: Germany 0.8 0.2 Other countries 2.5 1.4 Total 2.1 -0.6"
Status: approved by a named reviewer
Approver: demo reviewer, date not recorded
Proof: https://vanillabonds.com/dossier.html?c=katjes&amp;viewer=1&amp;item=F1192</t>
      </text>
    </comment>
    <comment ref="H1194" authorId="0" shapeId="0">
      <text>
        <t>F1193 · Segment · FY2025
Document: S5, interim report, H1-2026, 2026-09-08, unaudited, katjes-h1-2026-interim-report.pdf
Page: 46
Quote: "Germany 367.4 305.4"
Status: approved by a named reviewer
Approver: demo reviewer, date not recorded
Proof: https://vanillabonds.com/dossier.html?c=katjes&amp;viewer=1&amp;item=F1193</t>
      </text>
    </comment>
    <comment ref="H1195" authorId="0" shapeId="0">
      <text>
        <t>F1194 · Segment · FY2025
Document: S5, interim report, H1-2026, 2026-09-08, unaudited, katjes-h1-2026-interim-report.pdf
Page: 46
Quote: "Italy 95.6 93.9"
Status: approved by a named reviewer
Approver: demo reviewer, date not recorded
Proof: https://vanillabonds.com/dossier.html?c=katjes&amp;viewer=1&amp;item=F1194</t>
      </text>
    </comment>
    <comment ref="H1196" authorId="0" shapeId="0">
      <text>
        <t>F1195 · Segment · FY2025
Document: S5, interim report, H1-2026, 2026-09-08, unaudited, katjes-h1-2026-interim-report.pdf
Page: 46
Quote: "UK 71.1 10.9"
Status: approved by a named reviewer
Approver: demo reviewer, date not recorded
Proof: https://vanillabonds.com/dossier.html?c=katjes&amp;viewer=1&amp;item=F1195</t>
      </text>
    </comment>
    <comment ref="H1197" authorId="0" shapeId="0">
      <text>
        <t>F1196 · Segment · FY2025
Document: S5, interim report, H1-2026, 2026-09-08, unaudited, katjes-h1-2026-interim-report.pdf
Page: 46
Quote: "Switzerland 16.6 17.5"
Status: approved by a named reviewer
Approver: demo reviewer, date not recorded
Proof: https://vanillabonds.com/dossier.html?c=katjes&amp;viewer=1&amp;item=F1196</t>
      </text>
    </comment>
    <comment ref="H1198" authorId="0" shapeId="0">
      <text>
        <t>F1197 · Segment · FY2025
Document: S5, interim report, H1-2026, 2026-09-08, unaudited, katjes-h1-2026-interim-report.pdf
Page: 46
Quote: "Netherlands 14.3 12.3"
Status: approved by a named reviewer
Approver: demo reviewer, date not recorded
Proof: https://vanillabonds.com/dossier.html?c=katjes&amp;viewer=1&amp;item=F1197</t>
      </text>
    </comment>
    <comment ref="H1199" authorId="0" shapeId="0">
      <text>
        <t>F1198 · Segment · FY2025
Document: S5, interim report, H1-2026, 2026-09-08, unaudited, katjes-h1-2026-interim-report.pdf
Page: 46
Quote: "North America 8.9 9.7"
Status: approved by a named reviewer
Approver: demo reviewer, date not recorded
Proof: https://vanillabonds.com/dossier.html?c=katjes&amp;viewer=1&amp;item=F1198</t>
      </text>
    </comment>
    <comment ref="H1200" authorId="0" shapeId="0">
      <text>
        <t>F1199 · Segment · FY2025
Document: S5, interim report, H1-2026, 2026-09-08, unaudited, katjes-h1-2026-interim-report.pdf
Page: 46
Quote: "Austria 1.1 1.2"
Status: approved by a named reviewer
Approver: demo reviewer, date not recorded
Proof: https://vanillabonds.com/dossier.html?c=katjes&amp;viewer=1&amp;item=F1199</t>
      </text>
    </comment>
    <comment ref="H1201" authorId="0" shapeId="0">
      <text>
        <t>F1200 · Segment · FY2025
Document: S5, interim report, H1-2026, 2026-09-08, unaudited, katjes-h1-2026-interim-report.pdf
Page: 46
Quote: "Other 0.4 0.5"
Status: approved by a named reviewer
Approver: demo reviewer, date not recorded
Proof: https://vanillabonds.com/dossier.html?c=katjes&amp;viewer=1&amp;item=F1200</t>
      </text>
    </comment>
    <comment ref="F1202" authorId="0" shapeId="0">
      <text>
        <t>F1201 · Segment · H1-2025
segment: Germany (revenue by region); revenue: 57.2
Document: S5, interim report, H1-2026, 2026-09-08, unaudited, katjes-h1-2026-interim-report.pdf
Page: 45
Quote: "Germany 90.4 57.2"
Status: approved by a named reviewer
Approver: demo reviewer, date not recorded
Proof: https://vanillabonds.com/dossier.html?c=katjes&amp;viewer=1&amp;item=F1201</t>
      </text>
    </comment>
    <comment ref="F1203" authorId="0" shapeId="0">
      <text>
        <t>F1202 · Segment · H1-2025
segment: UK (revenue by region); revenue: 10.7
Document: S5, interim report, H1-2026, 2026-09-08, unaudited, katjes-h1-2026-interim-report.pdf
Page: 45
Quote: "UK 37.8 10.7"
Status: approved by a named reviewer
Approver: demo reviewer, date not recorded
Proof: https://vanillabonds.com/dossier.html?c=katjes&amp;viewer=1&amp;item=F1202</t>
      </text>
    </comment>
    <comment ref="F1204" authorId="0" shapeId="0">
      <text>
        <t>F1203 · Segment · H1-2025
segment: Italy (revenue by region); revenue: 35.7
Document: S5, interim report, H1-2026, 2026-09-08, unaudited, katjes-h1-2026-interim-report.pdf
Page: 45
Quote: "Italy 34.5 35.7"
Status: approved by a named reviewer
Approver: demo reviewer, date not recorded
Proof: https://vanillabonds.com/dossier.html?c=katjes&amp;viewer=1&amp;item=F1203</t>
      </text>
    </comment>
    <comment ref="F1205" authorId="0" shapeId="0">
      <text>
        <t>F1204 · Segment · H1-2025
segment: Switzerland (revenue by region); revenue: 15.1
Document: S5, interim report, H1-2026, 2026-09-08, unaudited, katjes-h1-2026-interim-report.pdf
Page: 45
Quote: "Switzerland 24.6 15.1"
Status: approved by a named reviewer
Approver: demo reviewer, date not recorded
Proof: https://vanillabonds.com/dossier.html?c=katjes&amp;viewer=1&amp;item=F1204</t>
      </text>
    </comment>
    <comment ref="F1206" authorId="0" shapeId="0">
      <text>
        <t>F1205 · Segment · H1-2025
segment: Netherlands (revenue by region); revenue: 8.5
Document: S5, interim report, H1-2026, 2026-09-08, unaudited, katjes-h1-2026-interim-report.pdf
Page: 45
Quote: "Netherlands 8.8 8.5"
Status: approved by a named reviewer
Approver: demo reviewer, date not recorded
Proof: https://vanillabonds.com/dossier.html?c=katjes&amp;viewer=1&amp;item=F1205</t>
      </text>
    </comment>
    <comment ref="F1207" authorId="0" shapeId="0">
      <text>
        <t>F1206 · Segment · H1-2025
segment: North America (revenue by region); revenue: 2.4
Document: S5, interim report, H1-2026, 2026-09-08, unaudited, katjes-h1-2026-interim-report.pdf
Page: 45
Quote: "North America 7.2 2.4"
Status: approved by a named reviewer
Approver: demo reviewer, date not recorded
Proof: https://vanillabonds.com/dossier.html?c=katjes&amp;viewer=1&amp;item=F1206</t>
      </text>
    </comment>
    <comment ref="F1208" authorId="0" shapeId="0">
      <text>
        <t>F1207 · Segment · H1-2025
segment: France (revenue by region); revenue: 6.8
Document: S5, interim report, H1-2026, 2026-09-08, unaudited, katjes-h1-2026-interim-report.pdf
Page: 45
Quote: "France 5.2 6.8"
Status: approved by a named reviewer
Approver: demo reviewer, date not recorded
Proof: https://vanillabonds.com/dossier.html?c=katjes&amp;viewer=1&amp;item=F1207</t>
      </text>
    </comment>
    <comment ref="F1209" authorId="0" shapeId="0">
      <text>
        <t>F1208 · Segment · H1-2025
segment: Other EU countries (revenue by region); revenue: 27.1
Document: S5, interim report, H1-2026, 2026-09-08, unaudited, katjes-h1-2026-interim-report.pdf
Page: 45
Quote: "Other EU countries 34.5 27.1"
Status: approved by a named reviewer
Approver: demo reviewer, date not recorded
Proof: https://vanillabonds.com/dossier.html?c=katjes&amp;viewer=1&amp;item=F1208</t>
      </text>
    </comment>
    <comment ref="F1210" authorId="0" shapeId="0">
      <text>
        <t>F1209 · Segment · H1-2025
segment: Countries outside the EU (revenue by region); revenue: 1.3
Document: S5, interim report, H1-2026, 2026-09-08, unaudited, katjes-h1-2026-interim-report.pdf
Page: 45
Quote: "Countries outside the EU 13.0 1.3"
Status: approved by a named reviewer
Approver: demo reviewer, date not recorded
Proof: https://vanillabonds.com/dossier.html?c=katjes&amp;viewer=1&amp;item=F1209</t>
      </text>
    </comment>
    <comment ref="H1211" authorId="0" shapeId="0">
      <text>
        <t>F1210 · Segment · H1-2026
Document: S5, interim report, H1-2026, 2026-09-08, unaudited, katjes-h1-2026-interim-report.pdf
Page: 22
Quote: "Katjes International generated 34.3% of revenue (6M 2025: 47.1%) from "sugar confectionery""
Status: approved by a named reviewer
Approver: demo reviewer, date not recorded
Proof: https://vanillabonds.com/dossier.html?c=katjes&amp;viewer=1&amp;item=F1210</t>
      </text>
    </comment>
    <comment ref="H1212" authorId="0" shapeId="0">
      <text>
        <t>F1211 · Segment · H1-2026
Document: S5, interim report, H1-2026, 2026-09-08, unaudited, katjes-h1-2026-interim-report.pdf
Page: 22
Quote: "and 19.5% (6M 2025: 28.8%) from care products."
Status: approved by a named reviewer
Approver: demo reviewer, date not recorded
Proof: https://vanillabonds.com/dossier.html?c=katjes&amp;viewer=1&amp;item=F1211</t>
      </text>
    </comment>
    <comment ref="H1213" authorId="0" shapeId="0">
      <text>
        <t>F1212 · Segment · H1-2026
Document: S5, interim report, H1-2026, 2026-09-08, unaudited, katjes-h1-2026-interim-report.pdf
Page: 22
Quote: "The "seasonal products" category contributed 12.5% (6M 2025: 2.5%) to Group revenue"
Status: approved by a named reviewer
Approver: demo reviewer, date not recorded
Proof: https://vanillabonds.com/dossier.html?c=katjes&amp;viewer=1&amp;item=F1212</t>
      </text>
    </comment>
    <comment ref="H1214" authorId="0" shapeId="0">
      <text>
        <t>F1213 · Segment · H1-2026
Document: S5, interim report, H1-2026, 2026-09-08, unaudited, katjes-h1-2026-interim-report.pdf
Page: 22
Quote: "and the "chocolate" category contributed 7.9% (6M 2025: 13.9%)."
Status: approved by a named reviewer
Approver: demo reviewer, date not recorded
Proof: https://vanillabonds.com/dossier.html?c=katjes&amp;viewer=1&amp;item=F1213</t>
      </text>
    </comment>
    <comment ref="F1215" authorId="0" shapeId="0">
      <text>
        <t>F1214 · Segment · H1-2026
segment: Germany (revenue by region); revenue: 90.4
Document: S5, interim report, H1-2026, 2026-09-08, unaudited, katjes-h1-2026-interim-report.pdf
Page: 45
Quote: "Germany 90.4 57.2"
Status: approved by a named reviewer
Approver: demo reviewer, date not recorded
Proof: https://vanillabonds.com/dossier.html?c=katjes&amp;viewer=1&amp;item=F1214</t>
      </text>
    </comment>
    <comment ref="F1216" authorId="0" shapeId="0">
      <text>
        <t>F1215 · Segment · H1-2026
segment: UK (revenue by region); revenue: 37.8
Document: S5, interim report, H1-2026, 2026-09-08, unaudited, katjes-h1-2026-interim-report.pdf
Page: 45
Quote: "UK 37.8 10.7"
Status: approved by a named reviewer
Approver: demo reviewer, date not recorded
Proof: https://vanillabonds.com/dossier.html?c=katjes&amp;viewer=1&amp;item=F1215</t>
      </text>
    </comment>
    <comment ref="F1217" authorId="0" shapeId="0">
      <text>
        <t>F1216 · Segment · H1-2026
segment: Italy (revenue by region); revenue: 34.5
Document: S5, interim report, H1-2026, 2026-09-08, unaudited, katjes-h1-2026-interim-report.pdf
Page: 45
Quote: "Italy 34.5 35.7"
Status: approved by a named reviewer
Approver: demo reviewer, date not recorded
Proof: https://vanillabonds.com/dossier.html?c=katjes&amp;viewer=1&amp;item=F1216</t>
      </text>
    </comment>
    <comment ref="F1218" authorId="0" shapeId="0">
      <text>
        <t>F1217 · Segment · H1-2026
segment: Switzerland (revenue by region); revenue: 24.6
Document: S5, interim report, H1-2026, 2026-09-08, unaudited, katjes-h1-2026-interim-report.pdf
Page: 45
Quote: "Switzerland 24.6 15.1"
Status: approved by a named reviewer
Approver: demo reviewer, date not recorded
Proof: https://vanillabonds.com/dossier.html?c=katjes&amp;viewer=1&amp;item=F1217</t>
      </text>
    </comment>
    <comment ref="F1219" authorId="0" shapeId="0">
      <text>
        <t>F1218 · Segment · H1-2026
segment: Netherlands (revenue by region); revenue: 8.8
Document: S5, interim report, H1-2026, 2026-09-08, unaudited, katjes-h1-2026-interim-report.pdf
Page: 45
Quote: "Netherlands 8.8 8.5"
Status: approved by a named reviewer
Approver: demo reviewer, date not recorded
Proof: https://vanillabonds.com/dossier.html?c=katjes&amp;viewer=1&amp;item=F1218</t>
      </text>
    </comment>
    <comment ref="F1220" authorId="0" shapeId="0">
      <text>
        <t>F1219 · Segment · H1-2026
segment: North America (revenue by region); revenue: 7.2
Document: S5, interim report, H1-2026, 2026-09-08, unaudited, katjes-h1-2026-interim-report.pdf
Page: 45
Quote: "North America 7.2 2.4"
Status: approved by a named reviewer
Approver: demo reviewer, date not recorded
Proof: https://vanillabonds.com/dossier.html?c=katjes&amp;viewer=1&amp;item=F1219</t>
      </text>
    </comment>
    <comment ref="F1221" authorId="0" shapeId="0">
      <text>
        <t>F1220 · Segment · H1-2026
segment: France (revenue by region); revenue: 5.2
Document: S5, interim report, H1-2026, 2026-09-08, unaudited, katjes-h1-2026-interim-report.pdf
Page: 45
Quote: "France 5.2 6.8"
Status: approved by a named reviewer
Approver: demo reviewer, date not recorded
Proof: https://vanillabonds.com/dossier.html?c=katjes&amp;viewer=1&amp;item=F1220</t>
      </text>
    </comment>
    <comment ref="F1222" authorId="0" shapeId="0">
      <text>
        <t>F1221 · Segment · H1-2026
segment: Other EU countries (revenue by region); revenue: 34.5
Document: S5, interim report, H1-2026, 2026-09-08, unaudited, katjes-h1-2026-interim-report.pdf
Page: 45
Quote: "Other EU countries 34.5 27.1"
Status: approved by a named reviewer
Approver: demo reviewer, date not recorded
Proof: https://vanillabonds.com/dossier.html?c=katjes&amp;viewer=1&amp;item=F1221</t>
      </text>
    </comment>
    <comment ref="F1223" authorId="0" shapeId="0">
      <text>
        <t>F1222 · Segment · H1-2026
segment: Countries outside the EU (revenue by region); revenue: 13.0
Document: S5, interim report, H1-2026, 2026-09-08, unaudited, katjes-h1-2026-interim-report.pdf
Page: 45
Quote: "Countries outside the EU 13.0 1.3"
Status: approved by a named reviewer
Approver: demo reviewer, date not recorded
Proof: https://vanillabonds.com/dossier.html?c=katjes&amp;viewer=1&amp;item=F1222</t>
      </text>
    </comment>
    <comment ref="H1224" authorId="0" shapeId="0">
      <text>
        <t>F1223 · Segment · H1-2026
Document: S5, interim report, H1-2026, 2026-09-08, unaudited, katjes-h1-2026-interim-report.pdf
Page: 45
Quote: "the Group represents a single opera- ting segment within the meaning of IFRS 8 from the perspective of internal management."
Status: approved by a named reviewer
Approver: demo reviewer, date not recorded
Proof: https://vanillabonds.com/dossier.html?c=katjes&amp;viewer=1&amp;item=F1223</t>
      </text>
    </comment>
    <comment ref="H1225" authorId="0" shapeId="0">
      <text>
        <t>F1224 · Segment · H1-2026
Document: S5, interim report, H1-2026, 2026-09-08, unaudited, katjes-h1-2026-interim-report.pdf
Page: 46
Quote: "Germany 367.4 305.4"
Status: approved by a named reviewer
Approver: demo reviewer, date not recorded
Proof: https://vanillabonds.com/dossier.html?c=katjes&amp;viewer=1&amp;item=F1224</t>
      </text>
    </comment>
    <comment ref="H1226" authorId="0" shapeId="0">
      <text>
        <t>F1225 · Segment · H1-2026
Document: S5, interim report, H1-2026, 2026-09-08, unaudited, katjes-h1-2026-interim-report.pdf
Page: 46
Quote: "Italy 95.6 93.9"
Status: approved by a named reviewer
Approver: demo reviewer, date not recorded
Proof: https://vanillabonds.com/dossier.html?c=katjes&amp;viewer=1&amp;item=F1225</t>
      </text>
    </comment>
    <comment ref="H1227" authorId="0" shapeId="0">
      <text>
        <t>F1226 · Segment · H1-2026
Document: S5, interim report, H1-2026, 2026-09-08, unaudited, katjes-h1-2026-interim-report.pdf
Page: 46
Quote: "UK 71.1 10.9"
Status: approved by a named reviewer
Approver: demo reviewer, date not recorded
Proof: https://vanillabonds.com/dossier.html?c=katjes&amp;viewer=1&amp;item=F1226</t>
      </text>
    </comment>
    <comment ref="H1228" authorId="0" shapeId="0">
      <text>
        <t>F1227 · Segment · H1-2026
Document: S5, interim report, H1-2026, 2026-09-08, unaudited, katjes-h1-2026-interim-report.pdf
Page: 46
Quote: "Switzerland 16.6 17.5"
Status: approved by a named reviewer
Approver: demo reviewer, date not recorded
Proof: https://vanillabonds.com/dossier.html?c=katjes&amp;viewer=1&amp;item=F1227</t>
      </text>
    </comment>
    <comment ref="H1229" authorId="0" shapeId="0">
      <text>
        <t>F1228 · Segment · H1-2026
Document: S5, interim report, H1-2026, 2026-09-08, unaudited, katjes-h1-2026-interim-report.pdf
Page: 46
Quote: "Netherlands 14.3 12.3"
Status: approved by a named reviewer
Approver: demo reviewer, date not recorded
Proof: https://vanillabonds.com/dossier.html?c=katjes&amp;viewer=1&amp;item=F1228</t>
      </text>
    </comment>
    <comment ref="H1230" authorId="0" shapeId="0">
      <text>
        <t>F1229 · Segment · H1-2026
Document: S5, interim report, H1-2026, 2026-09-08, unaudited, katjes-h1-2026-interim-report.pdf
Page: 46
Quote: "North America 8.9 9.7"
Status: approved by a named reviewer
Approver: demo reviewer, date not recorded
Proof: https://vanillabonds.com/dossier.html?c=katjes&amp;viewer=1&amp;item=F1229</t>
      </text>
    </comment>
    <comment ref="H1231" authorId="0" shapeId="0">
      <text>
        <t>F1230 · Segment · H1-2026
Document: S5, interim report, H1-2026, 2026-09-08, unaudited, katjes-h1-2026-interim-report.pdf
Page: 46
Quote: "Austria 1.1 1.2"
Status: approved by a named reviewer
Approver: demo reviewer, date not recorded
Proof: https://vanillabonds.com/dossier.html?c=katjes&amp;viewer=1&amp;item=F1230</t>
      </text>
    </comment>
    <comment ref="H1232" authorId="0" shapeId="0">
      <text>
        <t>F1231 · Segment · H1-2026
Document: S5, interim report, H1-2026, 2026-09-08, unaudited, katjes-h1-2026-interim-report.pdf
Page: 46
Quote: "Other 0.4 0.5"
Status: approved by a named reviewer
Approver: demo reviewer, date not recorded
Proof: https://vanillabonds.com/dossier.html?c=katjes&amp;viewer=1&amp;item=F1231</t>
      </text>
    </comment>
    <comment ref="F1233" authorId="0" shapeId="0">
      <text>
        <t>F1232 · Income taxes paid (cash flow statement) · H1-2025
Income taxes paid H1-2025 (cash flow statement).
Document: S5, interim report, H1-2026, 2026-09-08, unaudited, katjes-h1-2026-interim-report.pdf
Page: 34
Quote: "Income taxes paid -0.9 -0.3"
Status: approved by a named reviewer
Approver: demo reviewer, date not recorded
Proof: https://vanillabonds.com/dossier.html?c=katjes&amp;viewer=1&amp;item=F1232</t>
      </text>
    </comment>
    <comment ref="F1234" authorId="0" shapeId="0">
      <text>
        <t>F1233 · Income taxes paid (cash flow statement) · H1-2026
Income taxes paid H1-2026 (cash flow statement).
Document: S5, interim report, H1-2026, 2026-09-08, unaudited, katjes-h1-2026-interim-report.pdf
Page: 34
Quote: "Income taxes paid -0.9 -0.3"
Status: approved by a named reviewer
Approver: demo reviewer, date not recorded
Proof: https://vanillabonds.com/dossier.html?c=katjes&amp;viewer=1&amp;item=F1233</t>
      </text>
    </comment>
    <comment ref="F1235" authorId="0" shapeId="0">
      <text>
        <t>F1234 · Hedge
instrument: interest rate swap; notional: 2.3; hedged item: rate (hedges an increase in the variable interest rate); 31 Dec 2025: one swap of 3.6
Document: S5, interim report, H1-2026, 2026-09-08, unaudited, katjes-h1-2026-interim-report.pdf
Page: 43
Quote: "As at June 30, 2026, the Group held one interest rate swap with a notional principal amount of EUR 2.3 million"
Status: approved by a named reviewer
Approver: demo reviewer, date not recorded
Proof: https://vanillabonds.com/dossier.html?c=katjes&amp;viewer=1&amp;item=F1234</t>
      </text>
    </comment>
    <comment ref="H1236" authorId="0" shapeId="0">
      <text>
        <t>F1235 · Hedge
Document: S5, interim report, H1-2026, 2026-09-08, unaudited, katjes-h1-2026-interim-report.pdf
Page: 44
Quote: "The foreign currency forward contracts used within cash flow hedges have a notional volume of USD 36.5 million, the hedged items amount to USD 61.7 million, and they mature by early 2028."
Status: approved by a named reviewer
Approver: demo reviewer, date not recorded
Proof: https://vanillabonds.com/dossier.html?c=katjes&amp;viewer=1&amp;item=F1235</t>
      </text>
    </comment>
    <comment ref="H1237" authorId="0" shapeId="0">
      <text>
        <t>F1236 · Stated strategy
Document: S5, interim report, H1-2026, 2026-09-08, unaudited, katjes-h1-2026-interim-report.pdf
Page: 17
Quote: "Katjes International also sees itself as a carve-out investor that acquires divisions of large corporations"
Status: approved by a named reviewer
Approver: demo reviewer, date not recorded
Proof: https://vanillabonds.com/dossier.html?c=katjes&amp;viewer=1&amp;item=F1236</t>
      </text>
    </comment>
    <comment ref="H1238" authorId="0" shapeId="0">
      <text>
        <t>F1237 · Stated strategy
Document: S5, interim report, H1-2026, 2026-09-08, unaudited, katjes-h1-2026-interim-report.pdf
Page: 27
Quote: "Katjes International will continue to pursue its proven strategy for the remainder of 2026: this includes promoting the organic growth of the Group's subsidiaries as well as further invest-"
Status: approved by a named reviewer
Approver: demo reviewer, date not recorded
Note on file: text: company wording put in quotation marks (reviewer, 20 Oct 2026)
Proof: https://vanillabonds.com/dossier.html?c=katjes&amp;viewer=1&amp;item=F1237</t>
      </text>
    </comment>
    <comment ref="H1239" authorId="0" shapeId="0">
      <text>
        <t>F1238 · Stated strategy
Document: S5, interim report, H1-2026, 2026-09-08, unaudited, katjes-h1-2026-interim-report.pdf
Page: 27
Quote: "The Company sees various business opportunities arising in particular from succession situations, corporate carve-outs as part of portfolio streamlining"
Status: approved by a named reviewer
Approver: demo reviewer, date not recorded
Proof: https://vanillabonds.com/dossier.html?c=katjes&amp;viewer=1&amp;item=F1238</t>
      </text>
    </comment>
    <comment ref="F1240" authorId="0" shapeId="0">
      <text>
        <t>F1239 · Financial policy, stated and revealed
item: cash held; stated: management calls EUR 74.1m a 'comfortable liquidity position' after the acquisitions; realised: cash 74.1 at 30 June 2026 vs 146.8 at year end; year: 2026
Document: S5, interim report, H1-2026, 2026-09-08, unaudited, katjes-h1-2026-interim-report.pdf
Page: 5
Quote: "we continued to hold a comfortable liquidity position of EUR 74.1 million."
Status: approved by a named reviewer
Approver: demo reviewer, date not recorded
Proof: https://vanillabonds.com/dossier.html?c=katjes&amp;viewer=1&amp;item=F1239</t>
      </text>
    </comment>
    <comment ref="H1241" authorId="0" shapeId="0">
      <text>
        <t>F1240 · Financial policy, stated and revealed
Document: S5, interim report, H1-2026, 2026-09-08, unaudited, katjes-h1-2026-interim-report.pdf
Page: 23
Quote: "Cash flow from financing activities totalled EUR 22.6 million in the first half of 2026 (6M 2025: EUR 1.2 million)."
Status: approved by a named reviewer
Approver: demo reviewer, date not recorded
Proof: https://vanillabonds.com/dossier.html?c=katjes&amp;viewer=1&amp;item=F1240</t>
      </text>
    </comment>
    <comment ref="H1242" authorId="0" shapeId="0">
      <text>
        <t>F1241 · Insurance
Document: S5, interim report, H1-2026, 2026-09-08, unaudited, katjes-h1-2026-interim-report.pdf
Page: 23
Quote: "cases, insurance coverage or a right of recourse generally exists."
Status: approved by a named reviewer
Approver: demo reviewer, date not recorded
Proof: https://vanillabonds.com/dossier.html?c=katjes&amp;viewer=1&amp;item=F1241</t>
      </text>
    </comment>
    <comment ref="H1243" authorId="0" shapeId="0">
      <text>
        <t>F1242 · Top-team change
Document: S5, interim report, H1-2026, 2026-09-08, unaudited, katjes-h1-2026-interim-report.pdf
Page: 15
Quote: "Since June 1, 2026, Arne Freundt has been responsible for BOGNER's future direction as CEO."
Status: approved by a named reviewer
Approver: demo reviewer, date not recorded
Proof: https://vanillabonds.com/dossier.html?c=katjes&amp;viewer=1&amp;item=F1242</t>
      </text>
    </comment>
    <comment ref="F1244" authorId="0" shapeId="0">
      <text>
        <t>F1243 · Remuneration as disclosed in the filed accounts
person or body: general partner Xaver Fassin International GmbH (total remuneration of management); amount: 0.3 (H1-2025: 0.1); year: H1-2026
Document: S5, interim report, H1-2026, 2026-09-08, unaudited, katjes-h1-2026-interim-report.pdf
Page: 48
Quote: "Total remuneration of management* 0.3 0.1"
Status: approved by a named reviewer
Approver: demo reviewer, date not recorded
Proof: https://vanillabonds.com/dossier.html?c=katjes&amp;viewer=1&amp;item=F1243</t>
      </text>
    </comment>
    <comment ref="H1245" authorId="0" shapeId="0">
      <text>
        <t>F1244 · Plan claim as a variable
Document: S5, interim report, H1-2026, 2026-09-08, unaudited, katjes-h1-2026-interim-report.pdf
Page: 5
Quote: "a significant increase in earnings over the remainder of the year."
Status: approved by a named reviewer
Approver: demo reviewer, date not recorded
Proof: https://vanillabonds.com/dossier.html?c=katjes&amp;viewer=1&amp;item=F1244</t>
      </text>
    </comment>
    <comment ref="H1246" authorId="0" shapeId="0">
      <text>
        <t>F1245 · Plan claim as a variable
Document: S5, interim report, H1-2026, 2026-09-08, unaudited, katjes-h1-2026-interim-report.pdf
Page: 27
Quote: "on and an EBITDA margin of 10% – 12%."
Status: approved by a named reviewer
Approver: demo reviewer, date not recorded
Proof: https://vanillabonds.com/dossier.html?c=katjes&amp;viewer=1&amp;item=F1245</t>
      </text>
    </comment>
    <comment ref="H1247" authorId="0" shapeId="0">
      <text>
        <t>F1246 · ESG fact
Document: S5, interim report, H1-2026, 2026-09-08, unaudited, katjes-h1-2026-interim-report.pdf
Page: 9
Quote: "all dragees have been free of animal-derived ingredients."
Status: approved by a named reviewer
Approver: demo reviewer, date not recorded
Proof: https://vanillabonds.com/dossier.html?c=katjes&amp;viewer=1&amp;item=F1246</t>
      </text>
    </comment>
    <comment ref="H1248" authorId="0" shapeId="0">
      <text>
        <t>F1247 · ESG fact
Document: S5, interim report, H1-2026, 2026-09-08, unaudited, katjes-h1-2026-interim-report.pdf
Page: 40
Quote: "In addition, the Group employed an average of 140 temporary workers (6M 2025: 154)."
Status: approved by a named reviewer
Approver: demo reviewer, date not recorded
Proof: https://vanillabonds.com/dossier.html?c=katjes&amp;viewer=1&amp;item=F1247</t>
      </text>
    </comment>
    <comment ref="H1249" authorId="0" shapeId="0">
      <text>
        <t>F1248 · ESG fact
Document: S5, interim report, H1-2026, 2026-09-08, unaudited, katjes-h1-2026-interim-report.pdf
Page: 40
Quote: "Blue-collar workers 803 710 Salaried employees 946 388 Other 38 20"
Status: approved by a named reviewer
Approver: demo reviewer, date not recorded
Proof: https://vanillabonds.com/dossier.html?c=katjes&amp;viewer=1&amp;item=F1248</t>
      </text>
    </comment>
    <comment ref="H1250" authorId="0" shapeId="0">
      <text>
        <t>F1249 · Instrument term
Document: S5, interim report, H1-2026, 2026-09-08, unaudited, katjes-h1-2026-interim-report.pdf
Page: 23
Quote: "attributable to the increase in the 2023/2028 bond in connection with the acquisition of Missoni"
Status: approved by a named reviewer
Approver: demo reviewer, date not recorded
Proof: https://vanillabonds.com/dossier.html?c=katjes&amp;viewer=1&amp;item=F1249</t>
      </text>
    </comment>
    <comment ref="F1251" authorId="0" shapeId="0">
      <text>
        <t>F1250 · Instrument term
term: tap; value: increase of the 2023/2028 bond, EUR 14.8m net of transaction costs received in H1-2026
Document: S5, interim report, H1-2026, 2026-09-08, unaudited, katjes-h1-2026-interim-report.pdf
Page: 34
Quote: "Increase in the 2023/2028 bond, net of transaction costs relating to the increase 14.8 0.0"
Status: approved by a named reviewer
Approver: demo reviewer, date not recorded
Proof: https://vanillabonds.com/dossier.html?c=katjes&amp;viewer=1&amp;item=F1250</t>
      </text>
    </comment>
    <comment ref="F1252" authorId="0" shapeId="0">
      <text>
        <t>F1251 · Instrument term
term: fair value; value: EUR 191.3m fair value (level II) vs 200.0 carrying amount at 30 June 2026, amortised cost
Document: S5, interim report, H1-2026, 2026-09-08, unaudited, katjes-h1-2026-interim-report.pdf
Page: 42
Quote: "Liabilities from the issuance of a bond2 200.0 191.3** Amortised cost"
Status: approved by a named reviewer
Approver: demo reviewer, date not recorded
Proof: https://vanillabonds.com/dossier.html?c=katjes&amp;viewer=1&amp;item=F1251</t>
      </text>
    </comment>
    <comment ref="H1253" authorId="0" shapeId="0">
      <text>
        <t>F1252 · Gross financial debt (bonds + loans, excl. leases) · FY2025
Document: S3, annual report, FY2025, 2026-04-02, audited, katjes-2025-annual-report.pdf
Page: 68
Quote: "Liabilities from the issuance of a bond 185.0 115.0 Liabilities to banks and other financial liabilities 35.5 27.5"
Status: approved by a named reviewer
Approver: demo reviewer, date not recorded
Proof: https://vanillabonds.com/dossier.html?c=katjes&amp;viewer=1&amp;item=F1252</t>
      </text>
    </comment>
    <comment ref="H1254" authorId="0" shapeId="0">
      <text>
        <t>F1253 · Audit facts · FY2024
Document: S3, annual report, FY2025, 2026-04-02, audited, katjes-2025-annual-report.pdf
Page: 77
Quote: "To reflect the inclusion of the Bogner entities, prior year figures have been adjusted in certain areas."
Status: approved by a named reviewer
Approver: demo reviewer, date not recorded
Proof: https://vanillabonds.com/dossier.html?c=katjes&amp;viewer=1&amp;item=F1253</t>
      </text>
    </comment>
    <comment ref="H1255" authorId="0" shapeId="0">
      <text>
        <t>F1254 · EBITDA as budgeted for that year (management plan at the time) · FY2025
Document: S2, annual report, FY2024, 2025-04-09, audited, katjes-2024-annual-report.pdf
Page: 38
Quote: "Katjes International is targeting an EBITDA margin between 9% and 10% in 2025."
Status: approved by a named reviewer
Approver: demo reviewer, date not recorded
Proof: https://vanillabonds.com/dossier.html?c=katjes&amp;viewer=1&amp;item=F1254</t>
      </text>
    </comment>
    <comment ref="H1256" authorId="0" shapeId="0">
      <text>
        <t>F1255 · EBITDA as budgeted for that year (management plan at the time) · FY2026
Document: S3, annual report, FY2025, 2026-04-02, audited, katjes-2025-annual-report.pdf
Page: 35
Quote: "With regard to earnings, Katjes International plans to achieve an EBITDA margin between 10% and 12% in the financial year 2026."
Status: approved by a named reviewer
Approver: demo reviewer, date not recorded
Proof: https://vanillabonds.com/dossier.html?c=katjes&amp;viewer=1&amp;item=F1255</t>
      </text>
    </comment>
    <comment ref="H1257" authorId="0" shapeId="0">
      <text>
        <t>F1256 · LEI
Document: S6, web page, GLEIF, retrieved 2026-10-20
Quote: "LEI: 529900UHZK3SEUYFH322 ... Registration status: ISSUED ... Next renewal date: 2027-11-17"
Status: extracted, pending review
Approver: none yet
Note on file: web quote, verify at URL
Proof: https://api.gleif.org/api/v1/lei-records?filter[entity.legalName]=Katjes International</t>
      </text>
    </comment>
    <comment ref="H1258" authorId="0" shapeId="0">
      <text>
        <t>F1257 · Commercial register / registration no.
Document: S6, web page, GLEIF, retrieved 2026-10-20
Quote: "Registration authority entity ID: RA000278 (registered as HRA 1076)"
Status: extracted, pending review
Approver: none yet
Note on file: web quote, verify at URL
Proof: https://api.gleif.org/api/v1/lei-records?filter[entity.legalName]=Katjes International</t>
      </text>
    </comment>
    <comment ref="F1259" authorId="0" shapeId="0">
      <text>
        <t>F1258 · Instrument term
term: last price; value: 102.45 (price date shown in the yield section: 2026-10-19; venue: Munich; page shows 'heute' for the quote time)
Document: S7, web page, onvista, retrieved 2026-10-20
Quote: "Kurs 102,450 % München 10:16:27; Kurs-Datum 19.10.2026"
Status: extracted, pending review
Approver: none yet
Note on file: web quote, verify at URL
Proof: https://www.onvista.de/anleihen/KATJES-INT-IHS-23-28-Anleihe-NO0012888769</t>
      </text>
    </comment>
    <comment ref="F1260" authorId="0" shapeId="0">
      <text>
        <t>F1259 · Instrument term
term: coupon; value: 6.75 % fixed, annual; maturity: 2028-09-21; ISIN: NO0012888769; denomination: 1,000
Document: S7, web page, onvista, retrieved 2026-10-20
Quote: "Fälligkeit 21.09.2028"
Status: extracted, pending review
Approver: none yet
Note on file: web quote, verify at URL
Proof: https://www.onvista.de/anleihen/KATJES-INT-IHS-23-28-Anleihe-NO0012888769</t>
      </text>
    </comment>
    <comment ref="F1261" authorId="0" shapeId="0">
      <text>
        <t>F1260 · Key event (M&amp;A, financing, strategy)
event: tap of the 2023/2028 corporate bond by EUR 70m via private placement; date: 2025-08-05; use of proceeds as stated by the company: acquisition of a 60% stake in Willy Bogner GmbH
Document: S8, web page, EQS-News via Placera, retrieved 2026-10-20
Quote: "Tap of EUR 70 million based on significant oversubscription"
Status: extracted, pending review
Approver: none yet
Note on file: web quote, verify at URL
Proof: https://www.placera.se/pressmeddelanden/katjes-international-successfully-taps-its-corporate-bond-by-eur-70-million-20250805</t>
      </text>
    </comment>
    <comment ref="F1262" authorId="0" shapeId="0">
      <text>
        <t>F1261 · Key event (M&amp;A, financing, strategy)
event: outstanding volume of the bond after the tap; amount: EUR 185m; date: 2025-08-05
Document: S8, web page, EQS-News via Placera, retrieved 2026-10-20
Quote: "...bringing the total outstanding volume to EUR 185 million."
Status: extracted, pending review
Approver: none yet
Note on file: web quote, verify at URL
Proof: https://www.placera.se/pressmeddelanden/katjes-international-successfully-taps-its-corporate-bond-by-eur-70-million-20250805</t>
      </text>
    </comment>
    <comment ref="H1263" authorId="0" shapeId="0">
      <text>
        <t>F1262 · Key event (M&amp;A, financing, strategy)
Document: S9, web page, Hogan Lovells, retrieved 2026-10-20
Quote: "Insgesamt beträgt das ausstehende Anleihevolumen damit EUR 185 Mio."
Status: extracted, pending review
Approver: none yet
Note on file: web quote, verify at URL
Proof: https://www.hlc.com/de/news/hogan-lovells-beraet-katjes-bei-aufstockung-ihrer-nordic-bonds</t>
      </text>
    </comment>
    <comment ref="H1264" authorId="0" shapeId="0">
      <text>
        <t>F1263 · Key event (M&amp;A, financing, strategy) · FY2025
Document: S10, web page, yumda (article dated 2026-04-09, reproducing the company release), retrieved 2026-10-20
Quote: "Der Konzernumsatz stieg auf EUR 503,0 Mio. (Vorjahr: EUR 392,6 Mio.; +28,1%)."
Status: extracted, pending review
Approver: none yet
Note on file: web quote, verify at URL
Proof: https://www.yumda.com/de/news/1188448/katjes-mit-rekord-bei-umsatz-und-ergebnis.html</t>
      </text>
    </comment>
    <comment ref="F1265" authorId="0" shapeId="0">
      <text>
        <t>F1264 · Litigation, insolvency, fine or tax dispute
register: press report (court register not queried); case: Katjes as claimant against Südzucker, Nordzucker, Pfeifer &amp; Langen (Diamant-Zucker), Mannheim; date: 2016-02-01 (article date); amount: about EUR 37m claimed; status: trial begun at date of article, current status not checked
Document: S11, web page, yumda, retrieved 2026-10-20
Quote: "verlangt insgesamt rund 37 Millionen Euro Entschädigung"
Status: extracted, pending review
Approver: none yet
Note on file: web quote, verify at URL
Proof: https://www.yumda.com/de/news/1147058/katjes-und-zuckerproduzenten-streiten-vor-gericht-um-schadensersatz.html</t>
      </text>
    </comment>
    <comment ref="H1266" authorId="0" shapeId="0">
      <text>
        <t>F1265 · Executive
Document: S12, web page, Wikipedia, retrieved 2026-10-20
Quote: "Key people: Tobias Bachmüller, Bastian Fassin (managing shareholders) Stephan Milde (managing director, CFO)"
Status: extracted, pending review
Approver: none yet
Note on file: web quote, verify at URL
Proof: https://en.wikipedia.org/wiki/Katjes_International</t>
      </text>
    </comment>
    <comment ref="H1267" authorId="0" shapeId="0">
      <text>
        <t>F1266 · Legal name
Document: S13, bond terms, 2023/2028 (issue 2023-09-21 to maturity 2028-09-21), 2023-09-17, unaudited, katjes-bond-2023-2028-bond-terms-signed.pdf
Page: 3
Quote: "Katjes International GmbH &amp; Co. KG, a company existing under the laws of Germany with registration number HRA 1076"
Status: extracted, pending review
Approver: none yet
Proof: https://vanillabonds.com/dossier.html?c=katjes&amp;viewer=1&amp;item=F1266</t>
      </text>
    </comment>
    <comment ref="H1268" authorId="0" shapeId="0">
      <text>
        <t>F1267 · Legal form
Document: S13, bond terms, 2023/2028 (issue 2023-09-21 to maturity 2028-09-21), 2023-09-17, unaudited, katjes-bond-2023-2028-bond-terms-signed.pdf
Page: 3
Quote: "Katjes International GmbH &amp; Co. KG, a company existing under the laws of Germany with registration number HRA 1076"
Status: extracted, pending review
Approver: none yet
Proof: https://vanillabonds.com/dossier.html?c=katjes&amp;viewer=1&amp;item=F1267</t>
      </text>
    </comment>
    <comment ref="H1269" authorId="0" shapeId="0">
      <text>
        <t>F1268 · Commercial register / registration no.
Document: S13, bond terms, 2023/2028 (issue 2023-09-21 to maturity 2028-09-21), 2023-09-17, unaudited, katjes-bond-2023-2028-bond-terms-signed.pdf
Page: 3
Quote: "a company existing under the laws of Germany with registration number HRA 1076"
Status: extracted, pending review
Approver: none yet
Proof: https://vanillabonds.com/dossier.html?c=katjes&amp;viewer=1&amp;item=F1268</t>
      </text>
    </comment>
    <comment ref="H1270" authorId="0" shapeId="0">
      <text>
        <t>F1269 · LEI
Document: S13, bond terms, 2023/2028 (issue 2023-09-21 to maturity 2028-09-21), 2023-09-17, unaudited, katjes-bond-2023-2028-bond-terms-signed.pdf
Page: 3
Quote: "LEI-code 529900UHZK3SEUYFH322"
Status: extracted, pending review
Approver: none yet
Proof: https://vanillabonds.com/dossier.html?c=katjes&amp;viewer=1&amp;item=F1269</t>
      </text>
    </comment>
    <comment ref="H1271" authorId="0" shapeId="0">
      <text>
        <t>F1270 · Country of incorporation (ISO-2)
Document: S13, bond terms, 2023/2028 (issue 2023-09-21 to maturity 2028-09-21), 2023-09-17, unaudited, katjes-bond-2023-2028-bond-terms-signed.pdf
Page: 3
Quote: "a company existing under the laws of Germany with registration number HRA 1076"
Status: extracted, pending review
Approver: none yet
Proof: https://vanillabonds.com/dossier.html?c=katjes&amp;viewer=1&amp;item=F1270</t>
      </text>
    </comment>
    <comment ref="H1272" authorId="0" shapeId="0">
      <text>
        <t>F1271 · Accounting standard
Document: S13, bond terms, 2023/2028 (issue 2023-09-21 to maturity 2028-09-21), 2023-09-17, unaudited, katjes-bond-2023-2028-bond-terms-signed.pdf
Page: 3
Quote: "“Accounting Standard” means IFRS."
Status: extracted, pending review
Approver: none yet
Proof: https://vanillabonds.com/dossier.html?c=katjes&amp;viewer=1&amp;item=F1271</t>
      </text>
    </comment>
    <comment ref="H1273" authorId="0" shapeId="0">
      <text>
        <t>F1272 · Fiscal year end
Document: S13, bond terms, 2023/2028 (issue 2023-09-21 to maturity 2028-09-21), 2023-09-17, unaudited, katjes-bond-2023-2028-bond-terms-signed.pdf
Page: 8
Quote: "“Financial Year” means the annual accounting period of the Group ending on 31 December in each year."
Status: extracted, pending review
Approver: none yet
Proof: https://vanillabonds.com/dossier.html?c=katjes&amp;viewer=1&amp;item=F1272</t>
      </text>
    </comment>
    <comment ref="H1274" authorId="0" shapeId="0">
      <text>
        <t>F1273 · Ownership / UBO
Document: S13, bond terms, 2023/2028 (issue 2023-09-21 to maturity 2028-09-21), 2023-09-17, unaudited, katjes-bond-2023-2028-bond-terms-signed.pdf
Page: 9
Quote: "“Investors” means Mr. Bastian Fassin and Mr. Tobias Bachmüller."
Status: extracted, pending review
Approver: none yet
Proof: https://vanillabonds.com/dossier.html?c=katjes&amp;viewer=1&amp;item=F1273</t>
      </text>
    </comment>
    <comment ref="H1275" authorId="0" shapeId="0">
      <text>
        <t>F1274 · Listings (equity, bonds)
Document: S13, bond terms, 2023/2028 (issue 2023-09-21 to maturity 2028-09-21), 2023-09-17, unaudited, katjes-bond-2023-2028-bond-terms-signed.pdf
Page: 19
Quote: "ensure that the Bonds are listed on Nordic ABM within 6 months of the Issue Date."
Status: extracted, pending review
Approver: none yet
Proof: https://vanillabonds.com/dossier.html?c=katjes&amp;viewer=1&amp;item=F1274</t>
      </text>
    </comment>
    <comment ref="H1276" authorId="0" shapeId="0">
      <text>
        <t>F1275 · Business fact
Document: S13, bond terms, 2023/2028 (issue 2023-09-21 to maturity 2028-09-21), 2023-09-17, unaudited, katjes-bond-2023-2028-bond-terms-signed.pdf
Page: 13
Quote: "any loan or credit granted by the Issuer to its sister company, Katjes Fassin GmbH &amp; Co. KG for cash management purposes of the Issuer"
Status: extracted, pending review
Approver: none yet
Proof: https://vanillabonds.com/dossier.html?c=katjes&amp;viewer=1&amp;item=F1275</t>
      </text>
    </comment>
    <comment ref="H1277" authorId="0" shapeId="0">
      <text>
        <t>F1276 · Debt instrument
Document: S13, bond terms, 2023/2028 (issue 2023-09-21 to maturity 2028-09-21), 2023-09-17, unaudited, katjes-bond-2023-2028-bond-terms-signed.pdf
Page: 17
Quote: "the Initial Bond Issue will be in the amount of EUR 115,000,000."
Status: extracted, pending review
Approver: none yet
Proof: https://vanillabonds.com/dossier.html?c=katjes&amp;viewer=1&amp;item=F1276</t>
      </text>
    </comment>
    <comment ref="H1278" authorId="0" shapeId="0">
      <text>
        <t>F1277 · Debt instrument
Document: S13, bond terms, 2023/2028 (issue 2023-09-21 to maturity 2028-09-21), 2023-09-17, unaudited, katjes-bond-2023-2028-bond-terms-signed.pdf
Page: 6
Quote: "the EUR 110,000,000 Katjes International 4.25% senior unsecured bond issue 2019/2024 with ISIN DE000A2TST99."
Status: extracted, pending review
Approver: none yet
Proof: https://vanillabonds.com/dossier.html?c=katjes&amp;viewer=1&amp;item=F1277</t>
      </text>
    </comment>
    <comment ref="F1279" authorId="0" shapeId="0">
      <text>
        <t>F1278 · Proposed bond
Initial Bond Issue EUR 115.0m under a Maximum Issue Amount of EUR 200.0m.
Document: S13, bond terms, 2023/2028 (issue 2023-09-21 to maturity 2028-09-21), 2023-09-17, unaudited, katjes-bond-2023-2028-bond-terms-signed.pdf
Page: 17
Quote: "The Issuer has resolved to issue a series of Bonds up to EUR 200,000,000 (the “Maximum Issue Amount”)."
Status: extracted, pending review
Approver: none yet
Note on file: conflict: S4·p1 110.0 vs S13·p17 115.0
Proof: https://vanillabonds.com/dossier.html?c=katjes&amp;viewer=1&amp;item=F1278</t>
      </text>
    </comment>
    <comment ref="H1280" authorId="0" shapeId="0">
      <text>
        <t>F1279 · Instrument term
Document: S13, bond terms, 2023/2028 (issue 2023-09-21 to maturity 2028-09-21), 2023-09-17, unaudited, katjes-bond-2023-2028-bond-terms-signed.pdf
Page: 1
Quote: "ISIN NO0012888769"
Status: extracted, pending review
Approver: none yet
Proof: https://vanillabonds.com/dossier.html?c=katjes&amp;viewer=1&amp;item=F1279</t>
      </text>
    </comment>
    <comment ref="F1281" authorId="0" shapeId="0">
      <text>
        <t>F1280 · Instrument term
term: rate type; value: fixed 6.75 per cent per annum
Document: S13, bond terms, 2023/2028 (issue 2023-09-21 to maturity 2028-09-21), 2023-09-17, unaudited, katjes-bond-2023-2028-bond-terms-signed.pdf
Page: 9
Quote: "“Interest Rate” means 6.75 per cent. per annum."
Status: extracted, pending review
Approver: none yet
Proof: https://vanillabonds.com/dossier.html?c=katjes&amp;viewer=1&amp;item=F1280</t>
      </text>
    </comment>
    <comment ref="H1282" authorId="0" shapeId="0">
      <text>
        <t>F1281 · Instrument term
Document: S13, bond terms, 2023/2028 (issue 2023-09-21 to maturity 2028-09-21), 2023-09-17, unaudited, katjes-bond-2023-2028-bond-terms-signed.pdf
Page: 9
Quote: "“Issue Date” means 21 September 2023."
Status: extracted, pending review
Approver: none yet
Proof: https://vanillabonds.com/dossier.html?c=katjes&amp;viewer=1&amp;item=F1281</t>
      </text>
    </comment>
    <comment ref="H1283" authorId="0" shapeId="0">
      <text>
        <t>F1282 · Instrument term
Document: S13, bond terms, 2023/2028 (issue 2023-09-21 to maturity 2028-09-21), 2023-09-17, unaudited, katjes-bond-2023-2028-bond-terms-signed.pdf
Page: 10
Quote: "“Maturity Date” means 21 September 2028, adjusted according to the Business Day Convention."
Status: extracted, pending review
Approver: none yet
Proof: https://vanillabonds.com/dossier.html?c=katjes&amp;viewer=1&amp;item=F1282</t>
      </text>
    </comment>
    <comment ref="H1284" authorId="0" shapeId="0">
      <text>
        <t>F1283 · Instrument term
Document: S13, bond terms, 2023/2028 (issue 2023-09-21 to maturity 2028-09-21), 2023-09-17, unaudited, katjes-bond-2023-2028-bond-terms-signed.pdf
Page: 9
Quote: "the first Interest Payment Date being 21 March 2024 (being 6 months after the Issue Date) and the last Interest Payment Date being the Maturity Date."
Status: extracted, pending review
Approver: none yet
Proof: https://vanillabonds.com/dossier.html?c=katjes&amp;viewer=1&amp;item=F1283</t>
      </text>
    </comment>
    <comment ref="F1285" authorId="0" shapeId="0">
      <text>
        <t>F1284 · Instrument term
term: denomination; value: EUR 1,000 per Bond
Document: S13, bond terms, 2023/2028 (issue 2023-09-21 to maturity 2028-09-21), 2023-09-17, unaudited, katjes-bond-2023-2028-bond-terms-signed.pdf
Page: 18
Quote: "The Initial Nominal Amount of each Bond is EUR 1,000."
Status: extracted, pending review
Approver: none yet
Proof: https://vanillabonds.com/dossier.html?c=katjes&amp;viewer=1&amp;item=F1284</t>
      </text>
    </comment>
    <comment ref="H1286" authorId="0" shapeId="0">
      <text>
        <t>F1285 · Instrument term
Document: S13, bond terms, 2023/2028 (issue 2023-09-21 to maturity 2028-09-21), 2023-09-17, unaudited, katjes-bond-2023-2028-bond-terms-signed.pdf
Page: 27
Quote: "the First Call Date to, but not including, the Interest Payment Date falling 36 months after the Issue Date at a price equal to 103.375 per cent. of the Nominal Amount of the redeemed Bonds"
Status: extracted, pending review
Approver: none yet
Proof: https://vanillabonds.com/dossier.html?c=katjes&amp;viewer=1&amp;item=F1285</t>
      </text>
    </comment>
    <comment ref="H1287" authorId="0" shapeId="0">
      <text>
        <t>F1286 · Instrument term
Document: S13, bond terms, 2023/2028 (issue 2023-09-21 to maturity 2028-09-21), 2023-09-17, unaudited, katjes-bond-2023-2028-bond-terms-signed.pdf
Page: 9
Quote: "where the present value shall be calculated by using a discount rate of 100 basis points per annum."
Status: extracted, pending review
Approver: none yet
Proof: https://vanillabonds.com/dossier.html?c=katjes&amp;viewer=1&amp;item=F1286</t>
      </text>
    </comment>
    <comment ref="F1288" authorId="0" shapeId="0">
      <text>
        <t>F1287 · Instrument term
term: put option; value: 101.00% of Nominal Amount upon a Change of Control (Put Option Event)
Document: S13, bond terms, 2023/2028 (issue 2023-09-21 to maturity 2028-09-21), 2023-09-17, unaudited, katjes-bond-2023-2028-bond-terms-signed.pdf
Page: 28
Quote: "require that the Issuer purchases all or some of the Bonds held by that Bondholder at a price equal to 101.00 per cent. of the Nominal Amount."
Status: extracted, pending review
Approver: none yet
Proof: https://vanillabonds.com/dossier.html?c=katjes&amp;viewer=1&amp;item=F1287</t>
      </text>
    </comment>
    <comment ref="H1289" authorId="0" shapeId="0">
      <text>
        <t>F1288 · Instrument term
Document: S13, bond terms, 2023/2028 (issue 2023-09-21 to maturity 2028-09-21), 2023-09-17, unaudited, katjes-bond-2023-2028-bond-terms-signed.pdf
Page: 28
Quote: "the Issuer will have the right to redeem all, but not only some, of the Outstanding Bonds at a price equal to 100 per cent. of the Nominal Amount."
Status: extracted, pending review
Approver: none yet
Proof: https://vanillabonds.com/dossier.html?c=katjes&amp;viewer=1&amp;item=F1288</t>
      </text>
    </comment>
    <comment ref="H1290" authorId="0" shapeId="0">
      <text>
        <t>F1289 · Instrument term
Document: S13, bond terms, 2023/2028 (issue 2023-09-21 to maturity 2028-09-21), 2023-09-17, unaudited, katjes-bond-2023-2028-bond-terms-signed.pdf
Page: 10
Quote: "becomes less than an amount equal to 40.00 per cent. of the Initial Bond Issue."
Status: extracted, pending review
Approver: none yet
Proof: https://vanillabonds.com/dossier.html?c=katjes&amp;viewer=1&amp;item=F1289</t>
      </text>
    </comment>
    <comment ref="H1291" authorId="0" shapeId="0">
      <text>
        <t>F1290 · Instrument term
Document: S13, bond terms, 2023/2028 (issue 2023-09-21 to maturity 2028-09-21), 2023-09-17, unaudited, katjes-bond-2023-2028-bond-terms-signed.pdf
Page: 19
Quote: "use reasonable endeavours to ensure that the Bonds are listed on the Frankfurt Open Market as soon as practically possible and in any event within 30 days of the Issue Date"
Status: extracted, pending review
Approver: none yet
Proof: https://vanillabonds.com/dossier.html?c=katjes&amp;viewer=1&amp;item=F1290</t>
      </text>
    </comment>
    <comment ref="H1292" authorId="0" shapeId="0">
      <text>
        <t>F1291 · Instrument term
Document: S13, bond terms, 2023/2028 (issue 2023-09-21 to maturity 2028-09-21), 2023-09-17, unaudited, katjes-bond-2023-2028-bond-terms-signed.pdf
Page: 5
Quote: "“CSD” means the central securities depository in which the Bonds are registered, being Verdipapirsentralen ASA (VPS)."
Status: extracted, pending review
Approver: none yet
Proof: https://vanillabonds.com/dossier.html?c=katjes&amp;viewer=1&amp;item=F1291</t>
      </text>
    </comment>
    <comment ref="H1293" authorId="0" shapeId="0">
      <text>
        <t>F1292 · Instrument term
Document: S13, bond terms, 2023/2028 (issue 2023-09-21 to maturity 2028-09-21), 2023-09-17, unaudited, katjes-bond-2023-2028-bond-terms-signed.pdf
Page: 24
Quote: "at the Interest Rate plus 2.00 percentage points per annum."
Status: extracted, pending review
Approver: none yet
Proof: https://vanillabonds.com/dossier.html?c=katjes&amp;viewer=1&amp;item=F1292</t>
      </text>
    </comment>
    <comment ref="H1294" authorId="0" shapeId="0">
      <text>
        <t>F1293 · Instrument term
Document: S13, bond terms, 2023/2028 (issue 2023-09-21 to maturity 2028-09-21), 2023-09-17, unaudited, katjes-bond-2023-2028-bond-terms-signed.pdf
Page: 3
Quote: "Nordic Trustee AS, a company existing under the laws of Norway with registration number 963 342 624"
Status: extracted, pending review
Approver: none yet
Proof: https://vanillabonds.com/dossier.html?c=katjes&amp;viewer=1&amp;item=F1293</t>
      </text>
    </comment>
    <comment ref="H1295" authorId="0" shapeId="0">
      <text>
        <t>F1294 · Instrument term
Document: S13, bond terms, 2023/2028 (issue 2023-09-21 to maturity 2028-09-21), 2023-09-17, unaudited, katjes-bond-2023-2028-bond-terms-signed.pdf
Page: 10
Quote: "“Managers” means IKB Deutsche Industriebank AG, Wilhelm-Bötzkes-Straße 1, 40474 Düsseldorf, Germany, and Pareto Securities AS, Frankfurt Branch"
Status: extracted, pending review
Approver: none yet
Proof: https://vanillabonds.com/dossier.html?c=katjes&amp;viewer=1&amp;item=F1294</t>
      </text>
    </comment>
    <comment ref="H1296" authorId="0" shapeId="0">
      <text>
        <t>F1295 · Instrument term
Document: S13, bond terms, 2023/2028 (issue 2023-09-21 to maturity 2028-09-21), 2023-09-17, unaudited, katjes-bond-2023-2028-bond-terms-signed.pdf
Page: 15
Quote: "“Relevant Jurisdiction” means the country in which the Bonds are issued, being Norway."
Status: extracted, pending review
Approver: none yet
Proof: https://vanillabonds.com/dossier.html?c=katjes&amp;viewer=1&amp;item=F1295</t>
      </text>
    </comment>
    <comment ref="H1297" authorId="0" shapeId="0">
      <text>
        <t>F1296 · Instrument term
Document: S13, bond terms, 2023/2028 (issue 2023-09-21 to maturity 2028-09-21), 2023-09-17, unaudited, katjes-bond-2023-2028-bond-terms-signed.pdf
Page: 21
Quote: "the Issuer meets the Incurrence Test tested pro forma including the new Financial Indebtedness incurred as a result of issuing such Additional Bonds."
Status: extracted, pending review
Approver: none yet
Proof: https://vanillabonds.com/dossier.html?c=katjes&amp;viewer=1&amp;item=F1296</t>
      </text>
    </comment>
    <comment ref="H1298" authorId="0" shapeId="0">
      <text>
        <t>F1297 · Instrument term
Document: S13, bond terms, 2023/2028 (issue 2023-09-21 to maturity 2028-09-21), 2023-09-17, unaudited, katjes-bond-2023-2028-bond-terms-signed.pdf
Page: 18
Quote: "The Bonds shall constitute senior debt obligations of the Issuer and rank: (a) pari passu between themselves;"
Status: extracted, pending review
Approver: none yet
Note on file: 22 Oct 2026: filed as instrument_term, not intercreditor_term: the bond's own ranking clause; intercreditor_term holds the agreement with the house bank
Proof: https://vanillabonds.com/dossier.html?c=katjes&amp;viewer=1&amp;item=F1297</t>
      </text>
    </comment>
    <comment ref="H1299" authorId="0" shapeId="0">
      <text>
        <t>F1298 · Instrument term
Document: S13, bond terms, 2023/2028 (issue 2023-09-21 to maturity 2028-09-21), 2023-09-17, unaudited, katjes-bond-2023-2028-bond-terms-signed.pdf
Page: 15
Quote: "“Shareholder Loan” means any loan or credit made to the Issuer by any Investor, provided that it is unsecured and subordinated to the obligations of the Issuer under the Finance Documents"
Status: extracted, pending review
Approver: none yet
Note on file: 22 Oct 2026: filed as instrument_term, not intercreditor_term: the bond's own ranking clause; intercreditor_term holds the agreement with the house bank
Proof: https://vanillabonds.com/dossier.html?c=katjes&amp;viewer=1&amp;item=F1298</t>
      </text>
    </comment>
    <comment ref="F1300" authorId="0" shapeId="0">
      <text>
        <t>F1299 · Covenant
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
Document: S13, bond terms, 2023/2028 (issue 2023-09-21 to maturity 2028-09-21), 2023-09-17, unaudited, katjes-bond-2023-2028-bond-terms-signed.pdf
Page: 34
Quote: "The “Incurrence Test” is met if Leverage is less than: (a) with respect to any Financial Indebtedness in respect of which the Incurrence Test shall be made, 3.75:1 at any such time"
Status: extracted, pending review
Approver: none yet
Proof: https://vanillabonds.com/dossier.html?c=katjes&amp;viewer=1&amp;item=F1299</t>
      </text>
    </comment>
    <comment ref="H1301" authorId="0" shapeId="0">
      <text>
        <t>F1300 · Covenant
Document: S13, bond terms, 2023/2028 (issue 2023-09-21 to maturity 2028-09-21), 2023-09-17, unaudited, katjes-bond-2023-2028-bond-terms-signed.pdf
Page: 9
Quote: "“Leverage” means, in respect of any Relevant Period, the ratio of Total Net Debt on the last day of that Relevant Period to EBITDA in respect of such Relevant Period"
Status: extracted, pending review
Approver: none yet
Proof: https://vanillabonds.com/dossier.html?c=katjes&amp;viewer=1&amp;item=F1300</t>
      </text>
    </comment>
    <comment ref="H1302" authorId="0" shapeId="0">
      <text>
        <t>F1301 · Covenant
Document: S13, bond terms, 2023/2028 (issue 2023-09-21 to maturity 2028-09-21), 2023-09-17, unaudited, katjes-bond-2023-2028-bond-terms-signed.pdf
Page: 16
Quote: "deducting the aggregate amount of any cash (which is unencumbered and freely and immediately available to any Group Company to be applied in redemption or repayment of the Bonds)"
Status: extracted, pending review
Approver: none yet
Proof: https://vanillabonds.com/dossier.html?c=katjes&amp;viewer=1&amp;item=F1301</t>
      </text>
    </comment>
    <comment ref="H1303" authorId="0" shapeId="0">
      <text>
        <t>F1302 · Covenant
Document: S13, bond terms, 2023/2028 (issue 2023-09-21 to maturity 2028-09-21), 2023-09-17, unaudited, katjes-bond-2023-2028-bond-terms-signed.pdf
Page: 6
Quote: "up to an aggregate amount for the Group not exceeding 10.00 per cent. of EBITDA (prior to making any adjustments for any such items) in respect of that Relevant Period"
Status: extracted, pending review
Approver: none yet
Proof: https://vanillabonds.com/dossier.html?c=katjes&amp;viewer=1&amp;item=F1302</t>
      </text>
    </comment>
    <comment ref="H1304" authorId="0" shapeId="0">
      <text>
        <t>F1303 · Financial covenant / restriction
Document: S13, bond terms, 2023/2028 (issue 2023-09-21 to maturity 2028-09-21), 2023-09-17, unaudited, katjes-bond-2023-2028-bond-terms-signed.pdf
Page: 12
Quote: "incurred by the Issuer after the Issue Date, provided that (i) it complies with the Incurrence Test if tested pro forma immediately after the incurrence of such new Financial Indebtedness"
Status: extracted, pending review
Approver: none yet
Proof: https://vanillabonds.com/dossier.html?c=katjes&amp;viewer=1&amp;item=F1303</t>
      </text>
    </comment>
    <comment ref="H1305" authorId="0" shapeId="0">
      <text>
        <t>F1304 · Financial covenant / restriction
Document: S13, bond terms, 2023/2028 (issue 2023-09-21 to maturity 2028-09-21), 2023-09-17, unaudited, katjes-bond-2023-2028-bond-terms-signed.pdf
Page: 11
Quote: "does not exceed an amount equal to 50.00 per cent. of the Group's consolidated net income after tax for the previous Financial Year"
Status: extracted, pending review
Approver: none yet
Proof: https://vanillabonds.com/dossier.html?c=katjes&amp;viewer=1&amp;item=F1304</t>
      </text>
    </comment>
    <comment ref="H1306" authorId="0" shapeId="0">
      <text>
        <t>F1305 · Financial covenant / restriction
Document: S13, bond terms, 2023/2028 (issue 2023-09-21 to maturity 2028-09-21), 2023-09-17, unaudited, katjes-bond-2023-2028-bond-terms-signed.pdf
Page: 11
Quote: "does not exceed the amount of any tax payable by such Investor during such Financial Year which is attributable to such Investor being a (direct or indirect) shareholder of the Issuer"
Status: extracted, pending review
Approver: none yet
Proof: https://vanillabonds.com/dossier.html?c=katjes&amp;viewer=1&amp;item=F1305</t>
      </text>
    </comment>
    <comment ref="F1307" authorId="0" shapeId="0">
      <text>
        <t>F1306 · Financial covenant / restriction
Secured Subsidiary Indebtedness (debt of Group Companies other than the Issuer, guaranteed or secured) is capped at the higher of EUR 25.0m and 15.00% of Total Assets.
Document: S13, bond terms, 2023/2028 (issue 2023-09-21 to maturity 2028-09-21), 2023-09-17, unaudited, katjes-bond-2023-2028-bond-terms-signed.pdf
Page: 12
Quote: "does not exceed the higher of (i) EUR 25,000,000 (or its equivalent in other currencies) and (ii) an amount equal to 15.00 per cent. of Total Assets"
Status: extracted, pending review
Approver: none yet
Proof: https://vanillabonds.com/dossier.html?c=katjes&amp;viewer=1&amp;item=F1306</t>
      </text>
    </comment>
    <comment ref="F1308" authorId="0" shapeId="0">
      <text>
        <t>F1307 · Financial covenant / restriction
Finance leases or hire purchase contracts of the Issuer are capped at the higher of EUR 1.0m and 5.00% of EBITDA.
Document: S13, bond terms, 2023/2028 (issue 2023-09-21 to maturity 2028-09-21), 2023-09-17, unaudited, katjes-bond-2023-2028-bond-terms-signed.pdf
Page: 12
Quote: "does not exceed the higher of (i) EUR 1,000,000 (or its equivalent in other currencies) and (ii) an amount equal to 5.00 per cent. of EBITDA"
Status: extracted, pending review
Approver: none yet
Proof: https://vanillabonds.com/dossier.html?c=katjes&amp;viewer=1&amp;item=F1307</t>
      </text>
    </comment>
    <comment ref="F1309" authorId="0" shapeId="0">
      <text>
        <t>F1308 · Financial covenant / restriction
General basket for other Financial Indebtedness, financial support and security is each capped at the higher of EUR 1.0m and 5.00% of EBITDA.
Document: S13, bond terms, 2023/2028 (issue 2023-09-21 to maturity 2028-09-21), 2023-09-17, unaudited, katjes-bond-2023-2028-bond-terms-signed.pdf
Page: 13
Quote: "not permitted by the preceding paragraphs and the outstanding amount of which does not exceed the higher of (i) EUR 1,000,000 (or its equivalent in other currencies) and (ii) an amount equal to 5.00 per cent. of EBITDA"
Status: extracted, pending review
Approver: none yet
Proof: https://vanillabonds.com/dossier.html?c=katjes&amp;viewer=1&amp;item=F1308</t>
      </text>
    </comment>
    <comment ref="H1310" authorId="0" shapeId="0">
      <text>
        <t>F1309 · Financial covenant / restriction
Document: S13, bond terms, 2023/2028 (issue 2023-09-21 to maturity 2028-09-21), 2023-09-17, unaudited, katjes-bond-2023-2028-bond-terms-signed.pdf
Page: 32
Quote: "The Issuer shall not, and it shall ensure that no other Group Company will, create or allow to subsist any security over any of its assets other than any Permitted Security."
Status: extracted, pending review
Approver: none yet
Proof: https://vanillabonds.com/dossier.html?c=katjes&amp;viewer=1&amp;item=F1309</t>
      </text>
    </comment>
    <comment ref="H1311" authorId="0" shapeId="0">
      <text>
        <t>F1310 · Financial covenant / restriction
Document: S13, bond terms, 2023/2028 (issue 2023-09-21 to maturity 2028-09-21), 2023-09-17, unaudited, katjes-bond-2023-2028-bond-terms-signed.pdf
Page: 32
Quote: "grant or allow to subsist (i) any loans or credits to any other person or (ii) any guarantees or indemnities in respect of any obligation of any other person, in each case other than any Permitted Financial Support."
Status: extracted, pending review
Approver: none yet
Proof: https://vanillabonds.com/dossier.html?c=katjes&amp;viewer=1&amp;item=F1310</t>
      </text>
    </comment>
    <comment ref="F1312" authorId="0" shapeId="0">
      <text>
        <t>F1311 · Financial covenant / restriction
Disposal proceeds of EUR 15.0m or more must be applied within 18-24 months to non-current assets or to redemption of Bonds at the applicable Call Price.
Document: S13, bond terms, 2023/2028 (issue 2023-09-21 to maturity 2028-09-21), 2023-09-17, unaudited, katjes-bond-2023-2028-bond-terms-signed.pdf
Page: 32
Quote: "equal or exceed EUR 15,000,000 (or its equivalent in other currencies)."
Status: extracted, pending review
Approver: none yet
Proof: https://vanillabonds.com/dossier.html?c=katjes&amp;viewer=1&amp;item=F1311</t>
      </text>
    </comment>
    <comment ref="F1313" authorId="0" shapeId="0">
      <text>
        <t>F1312 · Financial covenant / restriction
Within three Business Days after the Issue Date the Issuer must call the Existing Bonds for at least EUR 80.0m, with the remainder (max EUR 30.0m) repaid at the 12 April 2024 maturity.
Document: S13, bond terms, 2023/2028 (issue 2023-09-21 to maturity 2028-09-21), 2023-09-17, unaudited, katjes-bond-2023-2028-bond-terms-signed.pdf
Page: 34
Quote: "early redemption and prepayment of the Existing Bonds in whole or in part and, if in part, in an amount equal to not less than EUR 80,000,000"
Status: extracted, pending review
Approver: none yet
Proof: https://vanillabonds.com/dossier.html?c=katjes&amp;viewer=1&amp;item=F1312</t>
      </text>
    </comment>
    <comment ref="H1314" authorId="0" shapeId="0">
      <text>
        <t>F1313 · Financial covenant / restriction
Document: S13, bond terms, 2023/2028 (issue 2023-09-21 to maturity 2028-09-21), 2023-09-17, unaudited, katjes-bond-2023-2028-bond-terms-signed.pdf
Page: 33
Quote: "(a) repay or prepay any principal amount (or capitalised interest) outstanding under any Subordinated Loan, (b) pay any interest, fee or charge accrued or due under any Subordinated Loan"
Status: extracted, pending review
Approver: none yet
Proof: https://vanillabonds.com/dossier.html?c=katjes&amp;viewer=1&amp;item=F1313</t>
      </text>
    </comment>
    <comment ref="H1315" authorId="0" shapeId="0">
      <text>
        <t>F1314 · Financial covenant / restriction
Document: S13, bond terms, 2023/2028 (issue 2023-09-21 to maturity 2028-09-21), 2023-09-17, unaudited, katjes-bond-2023-2028-bond-terms-signed.pdf
Page: 33
Quote: "The Issuer shall not change its jurisdiction of incorporation or type of organisation."
Status: extracted, pending review
Approver: none yet
Proof: https://vanillabonds.com/dossier.html?c=katjes&amp;viewer=1&amp;item=F1314</t>
      </text>
    </comment>
    <comment ref="H1316" authorId="0" shapeId="0">
      <text>
        <t>F1315 · Financial covenant / restriction
Document: S13, bond terms, 2023/2028 (issue 2023-09-21 to maturity 2028-09-21), 2023-09-17, unaudited, katjes-bond-2023-2028-bond-terms-signed.pdf
Page: 33
Quote: "the Issuer shall not, and it shall ensure that no other Group Company will, enter into any transaction with any other person other than on arm's length terms."
Status: extracted, pending review
Approver: none yet
Proof: https://vanillabonds.com/dossier.html?c=katjes&amp;viewer=1&amp;item=F1315</t>
      </text>
    </comment>
    <comment ref="F1317" authorId="0" shapeId="0">
      <text>
        <t>F1316 · Financial covenant / restriction
Cross default and cross acceleration apply to Group Financial Indebtedness exceeding EUR 7.5m in aggregate.
Document: S13, bond terms, 2023/2028 (issue 2023-09-21 to maturity 2028-09-21), 2023-09-17, unaudited, katjes-bond-2023-2028-bond-terms-signed.pdf
Page: 36
Quote: "exceeds a total of EUR 7,500,000 (or its equivalent in other currencies) in aggregate for the Group."
Status: extracted, pending review
Approver: none yet
Proof: https://vanillabonds.com/dossier.html?c=katjes&amp;viewer=1&amp;item=F1316</t>
      </text>
    </comment>
    <comment ref="H1318" authorId="0" shapeId="0">
      <text>
        <t>F1317 · Financial covenant / restriction
Document: S13, bond terms, 2023/2028 (issue 2023-09-21 to maturity 2028-09-21), 2023-09-17, unaudited, katjes-bond-2023-2028-bond-terms-signed.pdf
Page: 12
Quote: "provided that at least 50.00 per cent. of the total consideration payable by the Group in respect of such acquisition is paid in cash (or cash equivalents) at the closing date of the acquisition"
Status: extracted, pending review
Approver: none yet
Proof: https://vanillabonds.com/dossier.html?c=katjes&amp;viewer=1&amp;item=F1317</t>
      </text>
    </comment>
    <comment ref="F1319" authorId="0" shapeId="0">
      <text>
        <t>F1318 · Related-party flow
counterparty: Katjes Fassin GmbH &amp; Co. KG (sister company); kind: loan; amount: 10.0 (permitted cap); terms: for cash management purposes of the Issuer, aggregate outstanding not to exceed EUR 10.0m at any time
Document: S13, bond terms, 2023/2028 (issue 2023-09-21 to maturity 2028-09-21), 2023-09-17, unaudited, katjes-bond-2023-2028-bond-terms-signed.pdf
Page: 13
Quote: "any loan or credit granted by the Issuer to its sister company, Katjes Fassin GmbH &amp; Co. KG for cash management purposes of the Issuer"
Status: extracted, pending review
Approver: none yet
Proof: https://vanillabonds.com/dossier.html?c=katjes&amp;viewer=1&amp;item=F1318</t>
      </text>
    </comment>
    <comment ref="H1320" authorId="0" shapeId="0">
      <text>
        <t>F1319 · Board, independent members, group structure, related-party flows, dividends
Document: S13, bond terms, 2023/2028 (issue 2023-09-21 to maturity 2028-09-21), 2023-09-17, unaudited, katjes-bond-2023-2028-bond-terms-signed.pdf
Page: 4
Quote: "that the Investors (in total) cease to (i) own and control (directly or indirectly) more than 50.00 per cent. of the shares and the voting rights in the Issuer"
Status: extracted, pending review
Approver: none yet
Proof: https://vanillabonds.com/dossier.html?c=katjes&amp;viewer=1&amp;item=F1319</t>
      </text>
    </comment>
    <comment ref="H1321" authorId="0" shapeId="0">
      <text>
        <t>F1320 · Monitoring
Document: S13, bond terms, 2023/2028 (issue 2023-09-21 to maturity 2028-09-21), 2023-09-17, unaudited, katjes-bond-2023-2028-bond-terms-signed.pdf
Page: 29
Quote: "not later than 75 days after the end of each Semi-Annual Period of each of its Financial Years, for the first time for the Semi-Annual Period ending on 30 June 2023"
Status: extracted, pending review
Approver: none yet
Proof: https://vanillabonds.com/dossier.html?c=katjes&amp;viewer=1&amp;item=F1320</t>
      </text>
    </comment>
    <comment ref="H1322" authorId="0" shapeId="0">
      <text>
        <t>F1321 · Monitoring
Document: S13, bond terms, 2023/2028 (issue 2023-09-21 to maturity 2028-09-21), 2023-09-17, unaudited, katjes-bond-2023-2028-bond-terms-signed.pdf
Page: 29
Quote: "The Issuer shall supply a Compliance Certificate signed by the chief executive officer or the chief financial officer of the Issuer to the Bond Trustee"
Status: extracted, pending review
Approver: none yet
Proof: https://vanillabonds.com/dossier.html?c=katjes&amp;viewer=1&amp;item=F1321</t>
      </text>
    </comment>
    <comment ref="H1323" authorId="0" shapeId="0">
      <text>
        <t>F1322 · Use of proceeds (one line per use)
Document: S13, bond terms, 2023/2028 (issue 2023-09-21 to maturity 2028-09-21), 2023-09-17, unaudited, katjes-bond-2023-2028-bond-terms-signed.pdf
Page: 18
Quote: "(i) refinancing the Existing Bonds in whole or in part as set out herein;"
Status: extracted, pending review
Approver: none yet
Proof: https://vanillabonds.com/dossier.html?c=katjes&amp;viewer=1&amp;item=F1322</t>
      </text>
    </comment>
    <comment ref="H1324" authorId="0" shapeId="0">
      <text>
        <t>F1323 · Use of proceeds (one line per use)
Document: S13, bond terms, 2023/2028 (issue 2023-09-21 to maturity 2028-09-21), 2023-09-17, unaudited, katjes-bond-2023-2028-bond-terms-signed.pdf
Page: 18
Quote: "(ii) financing or refinancing capital expenditure and acquisitions of companies, businesses or undertakings made by the Group;"
Status: extracted, pending review
Approver: none yet
Proof: https://vanillabonds.com/dossier.html?c=katjes&amp;viewer=1&amp;item=F1323</t>
      </text>
    </comment>
    <comment ref="H1325" authorId="0" shapeId="0">
      <text>
        <t>F1324 · Use of proceeds (one line per use)
Document: S13, bond terms, 2023/2028 (issue 2023-09-21 to maturity 2028-09-21), 2023-09-17, unaudited, katjes-bond-2023-2028-bond-terms-signed.pdf
Page: 18
Quote: "(iii) the general corporate and working capital purposes of the Group (other than any Distributions); and"
Status: extracted, pending review
Approver: none yet
Proof: https://vanillabonds.com/dossier.html?c=katjes&amp;viewer=1&amp;item=F1324</t>
      </text>
    </comment>
    <comment ref="H1326" authorId="0" shapeId="0">
      <text>
        <t>F1325 · Use of proceeds (one line per use)
Document: S13, bond terms, 2023/2028 (issue 2023-09-21 to maturity 2028-09-21), 2023-09-17, unaudited, katjes-bond-2023-2028-bond-terms-signed.pdf
Page: 18
Quote: "(iv) financing any fees, costs and expenses incurred by the Group in respect of any such transactions or that part of the Bonds."
Status: extracted, pending review
Approver: none yet
Proof: https://vanillabonds.com/dossier.html?c=katjes&amp;viewer=1&amp;item=F1325</t>
      </text>
    </comment>
    <comment ref="H1327" authorId="0" shapeId="0">
      <text>
        <t>F1326 · Key event (M&amp;A, financing, strategy)
Document: S13, bond terms, 2023/2028 (issue 2023-09-21 to maturity 2028-09-21), 2023-09-17, unaudited, katjes-bond-2023-2028-bond-terms-signed.pdf
Page: 3
Quote: "DATED: 17 September 2023"
Status: extracted, pending review
Approver: none yet
Proof: https://vanillabonds.com/dossier.html?c=katjes&amp;viewer=1&amp;item=F1326</t>
      </text>
    </comment>
    <comment ref="H1328" authorId="0" shapeId="0">
      <text>
        <t>F1327 · Key event (M&amp;A, financing, strategy)
Document: S13, bond terms, 2023/2028 (issue 2023-09-21 to maturity 2028-09-21), 2023-09-17, unaudited, katjes-bond-2023-2028-bond-terms-signed.pdf
Page: 21
Quote: "will be entitled to receive a roll-over fee in an amount equal to 0.50 per cent. of the nominal amount of such Existing Bonds"
Status: extracted, pending review
Approver: none yet
Proof: https://vanillabonds.com/dossier.html?c=katjes&amp;viewer=1&amp;item=F1327</t>
      </text>
    </comment>
    <comment ref="F1329" authorId="0" shapeId="0">
      <text>
        <t>F1328 · Past maturity
instrument: EUR 110.0m 4.25% senior unsecured bonds 2019/2024 (ISIN DE000A2TST99); amount: 110.0; due: 2024-04-12; outcome: refinanced by the 2023/2028 bonds, at least EUR 80.0m to be called within three Business Days of 2023-09-21 and up to EUR 30.0m repaid at maturity
Document: S13, bond terms, 2023/2028 (issue 2023-09-21 to maturity 2028-09-21), 2023-09-17, unaudited, katjes-bond-2023-2028-bond-terms-signed.pdf
Page: 7
Quote: "“Existing Bonds Maturity Date” means 12 April 2024, being the original maturity date for the Existing Bonds under the Existing Terms and Conditions."
Status: extracted, pending review
Approver: none yet
Proof: https://vanillabonds.com/dossier.html?c=katjes&amp;viewer=1&amp;item=F1328</t>
      </text>
    </comment>
    <comment ref="F1330" authorId="0" shapeId="0">
      <text>
        <t>F1329 · Debt principal falling due in the period · FY2028E
Initial Bond Issue of EUR 115.0m matures in full on 21 September 2028 at 100.00% (plus any Additional Bonds up to EUR 200.0m).
Document: S13, bond terms, 2023/2028 (issue 2023-09-21 to maturity 2028-09-21), 2023-09-17, unaudited, katjes-bond-2023-2028-bond-terms-signed.pdf
Page: 26
Quote: "The Outstanding Bonds will mature in full on the Maturity Date and shall be redeemed by the Issuer on the Maturity Date at a price equal to 100.00 per cent. of the Nominal Amount."
Status: extracted, pending review
Approver: none yet
Note on file: conflict: S3·p57 185.0 vs S13·p26 115.0
Proof: https://vanillabonds.com/dossier.html?c=katjes&amp;viewer=1&amp;item=F1329</t>
      </text>
    </comment>
    <comment ref="H1331" authorId="0" shapeId="0">
      <text>
        <t>F1330 · Issue cost item
Document: S13, bond terms, 2023/2028 (issue 2023-09-21 to maturity 2028-09-21), 2023-09-17, unaudited, katjes-bond-2023-2028-bond-terms-signed.pdf
Page: 21
Quote: "will be entitled to receive a roll-over fee in an amount equal to 0.50 per cent. of the nominal amount of such Existing Bonds"
Status: extracted, pending review
Approver: none yet
Proof: https://vanillabonds.com/dossier.html?c=katjes&amp;viewer=1&amp;item=F1330</t>
      </text>
    </comment>
    <comment ref="H1332" authorId="0" shapeId="0">
      <text>
        <t>F1331 · Risk fact
Document: S13, bond terms, 2023/2028 (issue 2023-09-21 to maturity 2028-09-21), 2023-09-17, unaudited, katjes-bond-2023-2028-bond-terms-signed.pdf
Page: 24
Quote: "the interest on any principal amount outstanding under these Bonds Terms will accrue at the Interest Rate plus 1.00 percentage point per annum."
Status: extracted, pending review
Approver: none yet
Proof: https://vanillabonds.com/dossier.html?c=katjes&amp;viewer=1&amp;item=F1331</t>
      </text>
    </comment>
    <comment ref="H1333" authorId="0" shapeId="0">
      <text>
        <t>F1332 · Risk fact
Document: S13, bond terms, 2023/2028 (issue 2023-09-21 to maturity 2028-09-21), 2023-09-17, unaudited, katjes-bond-2023-2028-bond-terms-signed.pdf
Page: 34
Quote: "redeem, repay and pay any portion of the Existing Bonds not redeemed, prepaid and paid as set out in paragraph (b) above (the amount of which may not exceed EUR 30,000,000)"
Status: extracted, pending review
Approver: none yet
Proof: https://vanillabonds.com/dossier.html?c=katjes&amp;viewer=1&amp;item=F1332</t>
      </text>
    </comment>
    <comment ref="H1334" authorId="0" shapeId="0">
      <text>
        <t>F1333 · Risk fact
Document: S13, bond terms, 2023/2028 (issue 2023-09-21 to maturity 2028-09-21), 2023-09-17, unaudited, katjes-bond-2023-2028-bond-terms-signed.pdf
Page: 4
Quote: "at any time, the sale, transfer or other disposal of all or substantially all of the assets of the Group whether in a single transaction or a series of related transactions."
Status: extracted, pending review
Approver: none yet
Proof: https://vanillabonds.com/dossier.html?c=katjes&amp;viewer=1&amp;item=F1333</t>
      </text>
    </comment>
    <comment ref="H1335" authorId="0" shapeId="0">
      <text>
        <t>F1334 · Executive
Document: S13, bond terms, 2023/2028 (issue 2023-09-21 to maturity 2028-09-21), 2023-09-17, unaudited, katjes-bond-2023-2028-bond-terms-signed.pdf
Page: 52
Quote: "CFO Stephan Milde"
Status: extracted, pending review
Approver: none yet
Proof: https://vanillabonds.com/dossier.html?c=katjes&amp;viewer=1&amp;item=F1334</t>
      </text>
    </comment>
    <comment ref="H1336" authorId="0" shapeId="0">
      <text>
        <t>F1335 · Covenant
Document: S13, bond terms, 2023/2028 (issue 2023-09-21 to maturity 2028-09-21), 2023-09-17, unaudited, katjes-bond-2023-2028-bond-terms-signed.pdf
Page: 6
Quote: "after adding the amount of any badwill stemming from a purchase made by any Group Company during that Relevant Period of any company (not being another Group Company)"
Status: extracted, pending review
Approver: none yet
Proof: https://vanillabonds.com/dossier.html?c=katjes&amp;viewer=1&amp;item=F1335</t>
      </text>
    </comment>
    <comment ref="H1337" authorId="0" shapeId="0">
      <text>
        <t>F1336 · Covenant
Document: S13, bond terms, 2023/2028 (issue 2023-09-21 to maturity 2028-09-21), 2023-09-17, unaudited, katjes-bond-2023-2028-bond-terms-signed.pdf
Page: 6
Quote: "after deducting the amount of any profit (or adding back the amount of any loss) of any Group Company which is attributable to minority interests"
Status: extracted, pending review
Approver: none yet
Proof: https://vanillabonds.com/dossier.html?c=katjes&amp;viewer=1&amp;item=F1336</t>
      </text>
    </comment>
    <comment ref="H1338" authorId="0" shapeId="0">
      <text>
        <t>F1337 · Covenant
Document: S13, bond terms, 2023/2028 (issue 2023-09-21 to maturity 2028-09-21), 2023-09-17, unaudited, katjes-bond-2023-2028-bond-terms-signed.pdf
Page: 6
Quote: "plus or minus the Group's share of the profits or losses (after finance costs and tax) of any investment or entity (which is not itself a Group Company (including associates and joint ventures))"
Status: extracted, pending review
Approver: none yet
Proof: https://vanillabonds.com/dossier.html?c=katjes&amp;viewer=1&amp;item=F1337</t>
      </text>
    </comment>
    <comment ref="H1339" authorId="0" shapeId="0">
      <text>
        <t>F1338 · Covenant
Document: S13, bond terms, 2023/2028 (issue 2023-09-21 to maturity 2028-09-21), 2023-09-17, unaudited, katjes-bond-2023-2028-bond-terms-signed.pdf
Page: 16
Quote: "including, in the case of any finance leases or hire purchase contracts, their capitalised value"
Status: extracted, pending review
Approver: none yet
Proof: https://vanillabonds.com/dossier.html?c=katjes&amp;viewer=1&amp;item=F1338</t>
      </text>
    </comment>
    <comment ref="H1340" authorId="0" shapeId="0">
      <text>
        <t>F1339 · Covenant
Document: S13, bond terms, 2023/2028 (issue 2023-09-21 to maturity 2028-09-21), 2023-09-17, unaudited, katjes-bond-2023-2028-bond-terms-signed.pdf
Page: 35
Quote: "the full (i.e. unutilised and utilised) commitment or facility of any new Financial Indebtedness in respect of which the Incurrence Test shall be made"
Status: extracted, pending review
Approver: none yet
Proof: https://vanillabonds.com/dossier.html?c=katjes&amp;viewer=1&amp;item=F1339</t>
      </text>
    </comment>
    <comment ref="H1341" authorId="0" shapeId="0">
      <text>
        <t>F1340 · Covenant
Document: S13, bond terms, 2023/2028 (issue 2023-09-21 to maturity 2028-09-21), 2023-09-17, unaudited, katjes-bond-2023-2028-bond-terms-signed.pdf
Page: 35
Quote: "any cash balance resulting from the incurrence of such new Financial Indebtedness shall not reduce the Total Net Debt"
Status: extracted, pending review
Approver: none yet
Proof: https://vanillabonds.com/dossier.html?c=katjes&amp;viewer=1&amp;item=F1340</t>
      </text>
    </comment>
    <comment ref="H1342" authorId="0" shapeId="0">
      <text>
        <t>F1341 · Covenant
Document: S13, bond terms, 2023/2028 (issue 2023-09-21 to maturity 2028-09-21), 2023-09-17, unaudited, katjes-bond-2023-2028-bond-terms-signed.pdf
Page: 35
Quote: "shall be included or excluded (as applicable) pro forma for the entire period"
Status: extracted, pending review
Approver: none yet
Proof: https://vanillabonds.com/dossier.html?c=katjes&amp;viewer=1&amp;item=F1341</t>
      </text>
    </comment>
    <comment ref="H1343" authorId="0" shapeId="0">
      <text>
        <t>F1342 · Financial covenant / restriction
Document: S13, bond terms, 2023/2028 (issue 2023-09-21 to maturity 2028-09-21), 2023-09-17, unaudited, katjes-bond-2023-2028-bond-terms-signed.pdf
Page: 32
Quote: "The Issuer shall not, and it shall ensure that no other Group Company will, incur or maintain any Financial Indebtedness other than any Permitted Financial Indebtedness."
Status: extracted, pending review
Approver: none yet
Proof: https://vanillabonds.com/dossier.html?c=katjes&amp;viewer=1&amp;item=F1342</t>
      </text>
    </comment>
    <comment ref="H1344" authorId="0" shapeId="0">
      <text>
        <t>F1343 · Financial covenant / restriction
Document: S13, bond terms, 2023/2028 (issue 2023-09-21 to maturity 2028-09-21), 2023-09-17, unaudited, katjes-bond-2023-2028-bond-terms-signed.pdf
Page: 12
Quote: "incurred at any time by any Group Company (other than the Issuer), provided that it is neither guaranteed nor secured by any Group Companies"
Status: extracted, pending review
Approver: none yet
Proof: https://vanillabonds.com/dossier.html?c=katjes&amp;viewer=1&amp;item=F1343</t>
      </text>
    </comment>
    <comment ref="H1345" authorId="0" shapeId="0">
      <text>
        <t>F1344 · Financial covenant / restriction
Document: S13, bond terms, 2023/2028 (issue 2023-09-21 to maturity 2028-09-21), 2023-09-17, unaudited, katjes-bond-2023-2028-bond-terms-signed.pdf
Page: 13
Quote: "the proceeds of which shall be applied towards a refinancing of the Bonds in part or in full, provided that such proceeds are held in a blocked escrow account"
Status: extracted, pending review
Approver: none yet
Proof: https://vanillabonds.com/dossier.html?c=katjes&amp;viewer=1&amp;item=F1344</t>
      </text>
    </comment>
    <comment ref="F1346" authorId="0" shapeId="0">
      <text>
        <t>F1345 · Financial covenant / restriction
Security beyond the listed Permitted Security may secure indebtedness of at most the higher of EUR 1.0m and 5.00% of EBITDA in aggregate for the Group (Permitted Security (j)).
Document: S13, bond terms, 2023/2028 (issue 2023-09-21 to maturity 2028-09-21), 2023-09-17, unaudited, katjes-bond-2023-2028-bond-terms-signed.pdf
Page: 14
Quote: "securing indebtedness the outstanding principal amount of which (when aggregated with the outstanding principal amount of any other indebtedness which has the benefit of security"
Status: extracted, pending review
Approver: none yet
Proof: https://vanillabonds.com/dossier.html?c=katjes&amp;viewer=1&amp;item=F1345</t>
      </text>
    </comment>
    <comment ref="H1347" authorId="0" shapeId="0">
      <text>
        <t>F1346 · Instrument term
Document: S13, bond terms, 2023/2028 (issue 2023-09-21 to maturity 2028-09-21), 2023-09-17, unaudited, katjes-bond-2023-2028-bond-terms-signed.pdf
Page: 36
Quote: "its failure to pay is caused by administrative or technical error in payment systems or the CSD and payment is made within five Business Days following the original due date"
Status: extracted, pending review
Approver: none yet
Proof: https://vanillabonds.com/dossier.html?c=katjes&amp;viewer=1&amp;item=F1346</t>
      </text>
    </comment>
    <comment ref="H1348" authorId="0" shapeId="0">
      <text>
        <t>F1347 · Instrument term
Document: S13, bond terms, 2023/2028 (issue 2023-09-21 to maturity 2028-09-21), 2023-09-17, unaudited, katjes-bond-2023-2028-bond-terms-signed.pdf
Page: 38
Quote: "the Bond Trustee receives a demand in writing from Bondholders representing a simple majority of the Voting Bonds, that an Event of Default shall be declared"
Status: extracted, pending review
Approver: none yet
Proof: https://vanillabonds.com/dossier.html?c=katjes&amp;viewer=1&amp;item=F1347</t>
      </text>
    </comment>
    <comment ref="F1349" authorId="0" shapeId="0">
      <text>
        <t>F1348 · Instrument term
term: quorum (cl. 15.1(e)); value: at least 50% of the Voting Bonds represented at a Bondholders' Meeting
Document: S13, bond terms, 2023/2028 (issue 2023-09-21 to maturity 2028-09-21), 2023-09-17, unaudited, katjes-bond-2023-2028-bond-terms-signed.pdf
Page: 39
Quote: "At least 50 per cent. of the Voting Bonds must be represented at a Bondholders’ Meeting for a quorum to be present."
Status: extracted, pending review
Approver: none yet
Proof: https://vanillabonds.com/dossier.html?c=katjes&amp;viewer=1&amp;item=F1348</t>
      </text>
    </comment>
    <comment ref="H1350" authorId="0" shapeId="0">
      <text>
        <t>F1349 · Instrument term
Document: S13, bond terms, 2023/2028 (issue 2023-09-21 to maturity 2028-09-21), 2023-09-17, unaudited, katjes-bond-2023-2028-bond-terms-signed.pdf
Page: 39
Quote: "Resolutions will be passed by simple majority of the Voting Bonds represented at the Bondholders’ Meeting"
Status: extracted, pending review
Approver: none yet
Proof: https://vanillabonds.com/dossier.html?c=katjes&amp;viewer=1&amp;item=F1349</t>
      </text>
    </comment>
    <comment ref="H1351" authorId="0" shapeId="0">
      <text>
        <t>F1350 · Instrument term
Document: S13, bond terms, 2023/2028 (issue 2023-09-21 to maturity 2028-09-21), 2023-09-17, unaudited, katjes-bond-2023-2028-bond-terms-signed.pdf
Page: 39
Quote: "a majority of at least 2/3 of the Voting Bonds represented at the Bondholders’ Meeting is required for approval of any waiver or amendment of these Bond Terms"
Status: extracted, pending review
Approver: none yet
Proof: https://vanillabonds.com/dossier.html?c=katjes&amp;viewer=1&amp;item=F1350</t>
      </text>
    </comment>
    <comment ref="H1352" authorId="0" shapeId="0">
      <text>
        <t>F1351 · Instrument term
Document: S13, bond terms, 2023/2028 (issue 2023-09-21 to maturity 2028-09-21), 2023-09-17, unaudited, katjes-bond-2023-2028-bond-terms-signed.pdf
Page: 41
Quote: "anything which may be resolved by the Bondholders in a Bondholders’ Meeting pursuant to Clause 15.1 (Authority of the Bondholders’ Meeting) may also be resolved by way of a Written Resolution"
Status: extracted, pending review
Approver: none yet
Proof: https://vanillabonds.com/dossier.html?c=katjes&amp;viewer=1&amp;item=F1351</t>
      </text>
    </comment>
    <comment ref="H1353" authorId="0" shapeId="0">
      <text>
        <t>F1352 · Instrument term
Document: S13, bond terms, 2023/2028 (issue 2023-09-21 to maturity 2028-09-21), 2023-09-17, unaudited, katjes-bond-2023-2028-bond-terms-signed.pdf
Page: 42
Quote: "which shall be at least 10 Business Days but not more than 15 Business Days from the date of the Summons"
Status: extracted, pending review
Approver: none yet
Proof: https://vanillabonds.com/dossier.html?c=katjes&amp;viewer=1&amp;item=F1352</t>
      </text>
    </comment>
    <comment ref="H1354" authorId="0" shapeId="0">
      <text>
        <t>F1353 · Instrument term
Document: S13, bond terms, 2023/2028 (issue 2023-09-21 to maturity 2028-09-21), 2023-09-17, unaudited, katjes-bond-2023-2028-bond-terms-signed.pdf
Page: 42
Quote: "A Written Resolution is passed when the requisite majority set out in paragraph (e) or (f) of Clause 15.1"
Status: extracted, pending review
Approver: none yet
Proof: https://vanillabonds.com/dossier.html?c=katjes&amp;viewer=1&amp;item=F1353</t>
      </text>
    </comment>
    <comment ref="H1355" authorId="0" shapeId="0">
      <text>
        <t>F1354 · Legal owner or partner
Document: S3, annual report, FY2025, 2026-04-02, audited, katjes-2025-annual-report.pdf
Page: 44
Quote: "The GmbH does not hold any capital interest in Katjes International GmbH &amp; Co. KG"
Status: extracted, pending review
Approver: none yet
Proof: https://vanillabonds.com/dossier.html?c=katjes&amp;viewer=1&amp;item=F1354</t>
      </text>
    </comment>
    <comment ref="H1356" authorId="0" shapeId="0">
      <text>
        <t>F1355 · Legal owner or partner
Document: S3, annual report, FY2025, 2026-04-02, audited, katjes-2025-annual-report.pdf
Page: 44
Quote: "The limited partners are Bastian Fassin with a registered liability contribution of EUR 900 thousand"
Status: extracted, pending review
Approver: none yet
Proof: https://vanillabonds.com/dossier.html?c=katjes&amp;viewer=1&amp;item=F1355</t>
      </text>
    </comment>
    <comment ref="H1357" authorId="0" shapeId="0">
      <text>
        <t>F1356 · Legal owner or partner
Document: S3, annual report, FY2025, 2026-04-02, audited, katjes-2025-annual-report.pdf
Page: 44
Quote: "Tobias Bachmüller with a registered liability contribution of EUR 100 thousand"
Status: extracted, pending review
Approver: none yet
Proof: https://vanillabonds.com/dossier.html?c=katjes&amp;viewer=1&amp;item=F1356</t>
      </text>
    </comment>
    <comment ref="H1358" authorId="0" shapeId="0">
      <text>
        <t>F1357 · Legal owner or partner
Document: S3, annual report, FY2025, 2026-04-02, audited, katjes-2025-annual-report.pdf
Page: 44
Quote: "is Xaver Fassin International GmbH, whose shareholders are Bastian Fassin and Tobias Bachmüller"
Status: extracted, pending review
Approver: none yet
Proof: https://vanillabonds.com/dossier.html?c=katjes&amp;viewer=1&amp;item=F1357</t>
      </text>
    </comment>
    <comment ref="H1359" authorId="0" shapeId="0">
      <text>
        <t>F1358 · Legal owner or partner
Document: S3, annual report, FY2025, 2026-04-02, audited, katjes-2025-annual-report.pdf
Page: 9
Quote: "with its two independent and legally separate sister companies, Katjes Fassin GmbH + Co. KG"
Status: extracted, pending review
Approver: none yet
Proof: https://vanillabonds.com/dossier.html?c=katjes&amp;viewer=1&amp;item=F1358</t>
      </text>
    </comment>
    <comment ref="H1360" authorId="0" shapeId="0">
      <text>
        <t>F1359 · Legal owner or partner
Document: S3, annual report, FY2025, 2026-04-02, audited, katjes-2025-annual-report.pdf
Page: 9
Quote: "Katjesgreenfood GmbH &amp; Co. KG (“Katjesgreenfood”), forms the Katjes Group"
Status: extracted, pending review
Approver: none yet
Proof: https://vanillabonds.com/dossier.html?c=katjes&amp;viewer=1&amp;item=F1359</t>
      </text>
    </comment>
    <comment ref="H1361" authorId="0" shapeId="0">
      <text>
        <t>F1360 · Legal owner or partner
Document: S13, bond terms, 2023/2028 (issue 2023-09-21 to maturity 2028-09-21), 2023-09-17, unaudited, katjes-bond-2023-2028-bond-terms-signed.pdf
Page: 9
Quote: "“Investors” means Mr. Bastian Fassin and Mr. Tobias Bachmüller."
Status: extracted, pending review
Approver: none yet
Proof: https://vanillabonds.com/dossier.html?c=katjes&amp;viewer=1&amp;item=F1360</t>
      </text>
    </comment>
    <comment ref="H1362" authorId="0" shapeId="0">
      <text>
        <t>F1361 · Legal owner or partner
Document: S13, bond terms, 2023/2028 (issue 2023-09-21 to maturity 2028-09-21), 2023-09-17, unaudited, katjes-bond-2023-2028-bond-terms-signed.pdf
Page: 4
Quote: "the Investors (in total) cease to (i) own and control (directly or indirectly) more than 50.00 per cent. of the shares and the voting rights in the Issuer"
Status: extracted, pending review
Approver: none yet
Proof: https://vanillabonds.com/dossier.html?c=katjes&amp;viewer=1&amp;item=F1361</t>
      </text>
    </comment>
    <comment ref="H1363" authorId="0" shapeId="0">
      <text>
        <t>F1362 · Legal owner or partner
Document: S13, bond terms, 2023/2028 (issue 2023-09-21 to maturity 2028-09-21), 2023-09-17, unaudited, katjes-bond-2023-2028-bond-terms-signed.pdf
Page: 13
Quote: "any loan or credit granted by the Issuer to its sister company, Katjes Fassin GmbH &amp; Co. KG for cash management purposes"
Status: extracted, pending review
Approver: none yet
Proof: https://vanillabonds.com/dossier.html?c=katjes&amp;viewer=1&amp;item=F1362</t>
      </text>
    </comment>
    <comment ref="H1364" authorId="0" shapeId="0">
      <text>
        <t>F1363 · Ownership or entity event
Document: S2, annual report, FY2024, 2025-04-09, audited, katjes-2024-annual-report.pdf
Page: 47
Quote: "Bastian Fassin and Tobias Bachmüller are the limited partners, with registered liability amounts of EUR 900 thousand and EUR 100 thousand"
Status: extracted, pending review
Approver: none yet
Proof: https://vanillabonds.com/dossier.html?c=katjes&amp;viewer=1&amp;item=F1363</t>
      </text>
    </comment>
    <comment ref="H1365" authorId="0" shapeId="0">
      <text>
        <t>F1364 · Ownership or entity event
Document: S3, annual report, FY2025, 2026-04-02, audited, katjes-2025-annual-report.pdf
Page: 44
Quote: "In accordance with Section 2 of the partnership agreement dated November 22, 2024"
Status: extracted, pending review
Approver: none yet
Proof: https://vanillabonds.com/dossier.html?c=katjes&amp;viewer=1&amp;item=F1364</t>
      </text>
    </comment>
    <comment ref="H1366" authorId="0" shapeId="0">
      <text>
        <t>F1365 · Ownership or entity event
Document: S3, annual report, FY2025, 2026-04-02, audited, katjes-2025-annual-report.pdf
Page: 68
Quote: "the existing 2023/2028 bond was increased by EUR 70 million in August 2025"
Status: extracted, pending review
Approver: none yet
Proof: https://vanillabonds.com/dossier.html?c=katjes&amp;viewer=1&amp;item=F1365</t>
      </text>
    </comment>
    <comment ref="H1367" authorId="0" shapeId="0">
      <text>
        <t>F1366 · Ownership or entity event
Document: S3, annual report, FY2025, 2026-04-02, audited, katjes-2025-annual-report.pdf
Page: 24
Quote: "On September 1, 2025, 60% of the shares in Willy Bogner GmbH and its subsidiaries were acquired through the wholly owned subsidiary Katjes Quiet Luxury"
Status: extracted, pending review
Approver: none yet
Proof: https://vanillabonds.com/dossier.html?c=katjes&amp;viewer=1&amp;item=F1366</t>
      </text>
    </comment>
    <comment ref="H1368" authorId="0" shapeId="0">
      <text>
        <t>F1367 · Ownership or entity event
Document: S3, annual report, FY2025, 2026-04-02, audited, katjes-2025-annual-report.pdf
Page: 24
Quote: "the 23% minority interest in the French company CPK (accounted for using the equity method) was also disposed of as part of tag-along rights and obligations"
Status: extracted, pending review
Approver: none yet
Proof: https://vanillabonds.com/dossier.html?c=katjes&amp;viewer=1&amp;item=F1367</t>
      </text>
    </comment>
    <comment ref="H1369" authorId="0" shapeId="0">
      <text>
        <t>F1368 · Ownership or entity event
Document: S3, annual report, FY2025, 2026-04-02, audited, katjes-2025-annual-report.pdf
Page: 81
Quote: "acquired 100% of the shares in Nature Delivered Ltd. (“Graze”) from Unilever"
Status: extracted, pending review
Approver: none yet
Proof: https://vanillabonds.com/dossier.html?c=katjes&amp;viewer=1&amp;item=F1368</t>
      </text>
    </comment>
    <comment ref="H1370" authorId="0" shapeId="0">
      <text>
        <t>F1369 · Ownership or entity event
Document: S3, annual report, FY2025, 2026-04-02, audited, katjes-2025-annual-report.pdf
Page: 81
Quote: "approximately 27% of Missoni S.p.A.; closing is expected in the second quarter of"
Status: extracted, pending review
Approver: none yet
Proof: https://vanillabonds.com/dossier.html?c=katjes&amp;viewer=1&amp;item=F1369</t>
      </text>
    </comment>
    <comment ref="H1371" authorId="0" shapeId="0">
      <text>
        <t>F1370 · Ownership or entity event
Document: S3, annual report, FY2025, 2026-04-02, audited, katjes-2025-annual-report.pdf
Page: 81
Quote: "the 2023/2028 bond was increased by EUR 15 million to EUR 200"
Status: extracted, pending review
Approver: none yet
Proof: https://vanillabonds.com/dossier.html?c=katjes&amp;viewer=1&amp;item=F1370</t>
      </text>
    </comment>
    <comment ref="H1372" authorId="0" shapeId="0">
      <text>
        <t>F1371 · Party or adviser
Document: S13, bond terms, 2023/2028 (issue 2023-09-21 to maturity 2028-09-21), 2023-09-17, unaudited, katjes-bond-2023-2028-bond-terms-signed.pdf
Page: 3
Quote: "ISSUER: Katjes International GmbH &amp; Co. KG, a company existing under the laws of Germany with registration number HRA 1076"
Status: extracted, pending review
Approver: none yet
Proof: https://vanillabonds.com/dossier.html?c=katjes&amp;viewer=1&amp;item=F1371</t>
      </text>
    </comment>
    <comment ref="H1373" authorId="0" shapeId="0">
      <text>
        <t>F1372 · Party or adviser
Document: S13, bond terms, 2023/2028 (issue 2023-09-21 to maturity 2028-09-21), 2023-09-17, unaudited, katjes-bond-2023-2028-bond-terms-signed.pdf
Page: 3
Quote: "BOND TRUSTEE: Nordic Trustee AS, a company existing under the laws of Norway with registration number 963 342 624"
Status: extracted, pending review
Approver: none yet
Proof: https://vanillabonds.com/dossier.html?c=katjes&amp;viewer=1&amp;item=F1372</t>
      </text>
    </comment>
    <comment ref="H1374" authorId="0" shapeId="0">
      <text>
        <t>F1373 · Party or adviser
Document: S13, bond terms, 2023/2028 (issue 2023-09-21 to maturity 2028-09-21), 2023-09-17, unaudited, katjes-bond-2023-2028-bond-terms-signed.pdf
Page: 52
Quote: "Lars Erik Lærum"
Status: extracted, pending review
Approver: none yet
Proof: https://vanillabonds.com/dossier.html?c=katjes&amp;viewer=1&amp;item=F1373</t>
      </text>
    </comment>
    <comment ref="H1375" authorId="0" shapeId="0">
      <text>
        <t>F1374 · Party or adviser
Document: S13, bond terms, 2023/2028 (issue 2023-09-21 to maturity 2028-09-21), 2023-09-17, unaudited, katjes-bond-2023-2028-bond-terms-signed.pdf
Page: 52
Quote: "Stephan Milde"
Status: extracted, pending review
Approver: none yet
Proof: https://vanillabonds.com/dossier.html?c=katjes&amp;viewer=1&amp;item=F1374</t>
      </text>
    </comment>
    <comment ref="H1376" authorId="0" shapeId="0">
      <text>
        <t>F1375 · Party or adviser
Document: S13, bond terms, 2023/2028 (issue 2023-09-21 to maturity 2028-09-21), 2023-09-17, unaudited, katjes-bond-2023-2028-bond-terms-signed.pdf
Page: 10
Quote: "“Managers” means IKB Deutsche Industriebank AG, Wilhelm-Bötzkes-Straße 1, 40474 Düsseldorf, Germany"
Status: extracted, pending review
Approver: none yet
Proof: https://vanillabonds.com/dossier.html?c=katjes&amp;viewer=1&amp;item=F1375</t>
      </text>
    </comment>
    <comment ref="H1377" authorId="0" shapeId="0">
      <text>
        <t>F1376 · Party or adviser
Document: S13, bond terms, 2023/2028 (issue 2023-09-21 to maturity 2028-09-21), 2023-09-17, unaudited, katjes-bond-2023-2028-bond-terms-signed.pdf
Page: 10
Quote: "Pareto Securities AS, Frankfurt Branch, Graefstrasse 97, 60487 Frankfurt am Main, Germany, and any co-managers appointed by the foregoing"
Status: extracted, pending review
Approver: none yet
Proof: https://vanillabonds.com/dossier.html?c=katjes&amp;viewer=1&amp;item=F1376</t>
      </text>
    </comment>
    <comment ref="H1378" authorId="0" shapeId="0">
      <text>
        <t>F1377 · Party or adviser
Document: S13, bond terms, 2023/2028 (issue 2023-09-21 to maturity 2028-09-21), 2023-09-17, unaudited, katjes-bond-2023-2028-bond-terms-signed.pdf
Page: 5
Quote: "the central securities depository in which the Bonds are registered, being Verdipapirsentralen ASA (VPS)"
Status: extracted, pending review
Approver: none yet
Proof: https://vanillabonds.com/dossier.html?c=katjes&amp;viewer=1&amp;item=F1377</t>
      </text>
    </comment>
    <comment ref="H1379" authorId="0" shapeId="0">
      <text>
        <t>F1378 · Party or adviser
Document: S13, bond terms, 2023/2028 (issue 2023-09-21 to maturity 2028-09-21), 2023-09-17, unaudited, katjes-bond-2023-2028-bond-terms-signed.pdf
Page: 10
Quote: "“Paying Agent” means the legal entity appointed by the Issuer to act as its paying agent with respect to the Bonds in the CSD"
Status: extracted, pending review
Approver: none yet
Proof: https://vanillabonds.com/dossier.html?c=katjes&amp;viewer=1&amp;item=F1378</t>
      </text>
    </comment>
    <comment ref="H1380" authorId="0" shapeId="0">
      <text>
        <t>F1379 · Party or adviser
Document: S13, bond terms, 2023/2028 (issue 2023-09-21 to maturity 2028-09-21), 2023-09-17, unaudited, katjes-bond-2023-2028-bond-terms-signed.pdf
Page: 6
Quote: "(a) Frankfurt Open Market; or (b) Nordic ABM"
Status: extracted, pending review
Approver: none yet
Proof: https://vanillabonds.com/dossier.html?c=katjes&amp;viewer=1&amp;item=F1379</t>
      </text>
    </comment>
    <comment ref="H1381" authorId="0" shapeId="0">
      <text>
        <t>F1380 · Party or adviser
Document: S13, bond terms, 2023/2028 (issue 2023-09-21 to maturity 2028-09-21), 2023-09-17, unaudited, katjes-bond-2023-2028-bond-terms-signed.pdf
Page: 19
Quote: "ensure that the Bonds are listed on Nordic ABM within 6 months of the Issue Date"
Status: extracted, pending review
Approver: none yet
Proof: https://vanillabonds.com/dossier.html?c=katjes&amp;viewer=1&amp;item=F1380</t>
      </text>
    </comment>
    <comment ref="H1382" authorId="0" shapeId="0">
      <text>
        <t>F1381 · Party or adviser
Document: S1, annual report, FY2023, 2024-03-27, audited, katjes-2023-annual-report.pdf
Page: 85
Quote: "the Nordic ABM of the Oslo Stock Exchange at the end of January 2024 as planned"
Status: extracted, pending review
Approver: none yet
Proof: https://vanillabonds.com/dossier.html?c=katjes&amp;viewer=1&amp;item=F1381</t>
      </text>
    </comment>
    <comment ref="H1383" authorId="0" shapeId="0">
      <text>
        <t>F1382 · Party or adviser
Document: S4, term sheet, 2023-09-21 to 2028-09-21 (bond 2023/2028), 2023-09-21, unaudited, katjes-bond-2023-2028-terms.pdf
Page: 2
Quote: "Der Treuhänder handelt als Stellvertreter aller Anleihegläubiger"
Status: extracted, pending review
Approver: none yet
Proof: https://vanillabonds.com/dossier.html?c=katjes&amp;viewer=1&amp;item=F1382</t>
      </text>
    </comment>
    <comment ref="H1384" authorId="0" shapeId="0">
      <text>
        <t>F1383 · Party or adviser
Document: S15, term sheet (exchange), Oslo Børs / Euronext (term sheet for the registration on Nordic ABM, 12 January 2024), retrieved 2026-10-26
Quote: "Arranger(s): Pareto Securities AS, Frankfurt Branch"
Status: extracted, pending review
Approver: none yet
Note on file: web quote, verify at URL
Proof: https://live.euronext.com/sites/default/files/contributions_live/2024-01/1706518108_25703_Katjes%20International%20GmbH%20%26amp%3B%20Co.%20KG-%20Loan%20description%2818671930.1%29.pdf</t>
      </text>
    </comment>
    <comment ref="H1385" authorId="0" shapeId="0">
      <text>
        <t>F1384 · Party or adviser
Document: S15, term sheet (exchange), Oslo Børs / Euronext (term sheet for the registration on Nordic ABM, 12 January 2024), retrieved 2026-10-26
Quote: "Paying Agent: Pareto Securities AS"
Status: extracted, pending review
Approver: none yet
Note on file: web quote, verify at URL
Proof: https://live.euronext.com/sites/default/files/contributions_live/2024-01/1706518108_25703_Katjes%20International%20GmbH%20%26amp%3B%20Co.%20KG-%20Loan%20description%2818671930.1%29.pdf</t>
      </text>
    </comment>
    <comment ref="H1386" authorId="0" shapeId="0">
      <text>
        <t>F1385 · Party or adviser
Document: S15, term sheet (exchange), Oslo Børs / Euronext (term sheet for the registration on Nordic ABM, 12 January 2024), retrieved 2026-10-26
Quote: "Securities Depository: Verdipapirsentralen ASA (VPS)"
Status: extracted, pending review
Approver: none yet
Note on file: web quote, verify at URL
Proof: https://live.euronext.com/sites/default/files/contributions_live/2024-01/1706518108_25703_Katjes%20International%20GmbH%20%26amp%3B%20Co.%20KG-%20Loan%20description%2818671930.1%29.pdf</t>
      </text>
    </comment>
    <comment ref="H1387" authorId="0" shapeId="0">
      <text>
        <t>F1386 · Party or adviser
Document: S15, term sheet (exchange), Oslo Børs / Euronext (term sheet for the registration on Nordic ABM, 12 January 2024), retrieved 2026-10-26
Quote: "No market-maker agreement has been entered into for the issuance of the Bonds."
Status: extracted, pending review
Approver: none yet
Note on file: web quote, verify at URL
Proof: https://live.euronext.com/sites/default/files/contributions_live/2024-01/1706518108_25703_Katjes%20International%20GmbH%20%26amp%3B%20Co.%20KG-%20Loan%20description%2818671930.1%29.pdf</t>
      </text>
    </comment>
    <comment ref="H1388" authorId="0" shapeId="0">
      <text>
        <t>F1387 · Party or adviser
Document: S15, term sheet (exchange), Oslo Børs / Euronext (term sheet for the registration on Nordic ABM, 12 January 2024), retrieved 2026-10-26
Quote: "The admission document has been inspected by Oslo Børs, cf. ABM-rules sec 2.7"
Status: extracted, pending review
Approver: none yet
Note on file: web quote, verify at URL
Proof: https://live.euronext.com/sites/default/files/contributions_live/2024-01/1706518108_25703_Katjes%20International%20GmbH%20%26amp%3B%20Co.%20KG-%20Loan%20description%2818671930.1%29.pdf</t>
      </text>
    </comment>
    <comment ref="H1389" authorId="0" shapeId="0">
      <text>
        <t>F1388 · Party or adviser
Document: S14, web page, Hogan Lovells (press release, 26 September 2023), retrieved 2026-10-26
Quote: "IKB Deutsche Industriebank AG and Pareto Securities AS, Frankfurt Branch, acted as Joint Lead Managers"
Status: extracted, pending review
Approver: none yet
Note on file: web quote, verify at URL
Proof: https://hlc.com/en/news/hogan-lovells-beraet-katjes-bei-anleiheumtausch-und--rueckkauf-sowie-oeffentlichem-angebot-und-platzierung-eines-115-mio-euro-nordic-bonds</t>
      </text>
    </comment>
    <comment ref="H1390" authorId="0" shapeId="0">
      <text>
        <t>F1389 · Party or adviser
Document: S14, web page, Hogan Lovells (press release, 26 September 2023), retrieved 2026-10-26
Quote: "and Bankhaus Metzler as Co-Lead Manager, on the private placement of the Nordic bond"
Status: extracted, pending review
Approver: none yet
Note on file: web quote, verify at URL
Proof: https://hlc.com/en/news/hogan-lovells-beraet-katjes-bei-anleiheumtausch-und--rueckkauf-sowie-oeffentlichem-angebot-und-platzierung-eines-115-mio-euro-nordic-bonds</t>
      </text>
    </comment>
    <comment ref="H1391" authorId="0" shapeId="0">
      <text>
        <t>F1390 · Party or adviser
Document: S14, web page, Hogan Lovells (press release, 26 September 2023), retrieved 2026-10-26
Quote: "Global law firm Hogan Lovells advised Katjes International GmbH &amp; Co. KG on the exchange offer"
Status: extracted, pending review
Approver: none yet
Note on file: web quote, verify at URL
Proof: https://hlc.com/en/news/hogan-lovells-beraet-katjes-bei-anleiheumtausch-und--rueckkauf-sowie-oeffentlichem-angebot-und-platzierung-eines-115-mio-euro-nordic-bonds</t>
      </text>
    </comment>
    <comment ref="H1392" authorId="0" shapeId="0">
      <text>
        <t>F1391 · Party or adviser
Document: S9, web page, Hogan Lovells, retrieved 2026-10-26
Quote: "Insgesamt beträgt das ausstehende Anleihevolumen damit EUR 185 Mio."
Status: extracted, pending review
Approver: none yet
Note on file: web quote, verify at URL
Proof: https://www.hlc.com/de/news/hogan-lovells-beraet-katjes-bei-aufstockung-ihrer-nordic-bonds</t>
      </text>
    </comment>
    <comment ref="H1393" authorId="0" shapeId="0">
      <text>
        <t>F1392 · Party or adviser
Document: S1, annual report, FY2023, 2024-03-27, audited, katjes-2023-annual-report.pdf
Page: 94
Quote: "Düsseldorf, 27th March 2024 EY GmbH &amp; Co. KG Wirtschaftsprüfungsgesellschaft"
Status: extracted, pending review
Approver: none yet
Proof: https://vanillabonds.com/dossier.html?c=katjes&amp;viewer=1&amp;item=F1392</t>
      </text>
    </comment>
    <comment ref="H1394" authorId="0" shapeId="0">
      <text>
        <t>F1393 · Party or adviser
Document: S2, annual report, FY2024, 2025-04-09, audited, katjes-2024-annual-report.pdf
Page: 90
Quote: "Dusseldorf, 9th April 2025 EY GmbH &amp; Co. KG Wirtschaftsprüfungsgesellschaft"
Status: extracted, pending review
Approver: none yet
Proof: https://vanillabonds.com/dossier.html?c=katjes&amp;viewer=1&amp;item=F1393</t>
      </text>
    </comment>
    <comment ref="H1395" authorId="0" shapeId="0">
      <text>
        <t>F1394 · Party or adviser
Document: S3, annual report, FY2025, 2026-04-02, audited, katjes-2025-annual-report.pdf
Page: 91
Quote: "Köln, April 2, 2026 EY GmbH &amp; Co. KG Wirtschaftsprüfungsgesellschaft"
Status: extracted, pending review
Approver: none yet
Proof: https://vanillabonds.com/dossier.html?c=katjes&amp;viewer=1&amp;item=F1394</t>
      </text>
    </comment>
    <comment ref="H1396" authorId="0" shapeId="0">
      <text>
        <t>F1395 · Party or adviser
Document: S5, interim report, H1-2026, 2026-09-08, unaudited, katjes-h1-2026-interim-report.pdf
Page: 37
Quote: "have neither been audited nor reviewed by the auditor"
Status: extracted, pending review
Approver: none yet
Proof: https://vanillabonds.com/dossier.html?c=katjes&amp;viewer=1&amp;item=F1395</t>
      </text>
    </comment>
    <comment ref="H1397" authorId="0" shapeId="0">
      <text>
        <t>F1396 · Party or adviser
Document: S3, annual report, FY2025, 2026-04-02, audited, katjes-2025-annual-report.pdf
Page: 63
Quote: "Revolving line up kEUR 40.000 6.65 16.3 0.0"
Status: extracted, pending review
Approver: none yet
Proof: https://vanillabonds.com/dossier.html?c=katjes&amp;viewer=1&amp;item=F1396</t>
      </text>
    </comment>
    <comment ref="H1398" authorId="0" shapeId="0">
      <text>
        <t>F1397 · Party or adviser
Document: S3, annual report, FY2025, 2026-04-02, audited, katjes-2025-annual-report.pdf
Page: 63
Quote: "Bank loan kEUR 24.000 5.6 16.8 20.9"
Status: extracted, pending review
Approver: none yet
Proof: https://vanillabonds.com/dossier.html?c=katjes&amp;viewer=1&amp;item=F1397</t>
      </text>
    </comment>
    <comment ref="H1399" authorId="0" shapeId="0">
      <text>
        <t>F1398 · Party or adviser
Document: S3, annual report, FY2025, 2026-04-02, audited, katjes-2025-annual-report.pdf
Page: 56
Quote: "credit insurance is obtained for certain receivables"
Status: extracted, pending review
Approver: none yet
Proof: https://vanillabonds.com/dossier.html?c=katjes&amp;viewer=1&amp;item=F1398</t>
      </text>
    </comment>
    <comment ref="H1400" authorId="0" shapeId="0">
      <text>
        <t>F1399 · Group tree link
Document: S3, annual report, FY2025, 2026-04-02, audited, katjes-2025-annual-report.pdf
Page: 83
Quote: "Katjes France GmbH, Emmerich am Rhein 100 A 100 A"
Status: extracted, pending review
Approver: none yet
Proof: https://vanillabonds.com/dossier.html?c=katjes&amp;viewer=1&amp;item=F1399</t>
      </text>
    </comment>
    <comment ref="H1401" authorId="0" shapeId="0">
      <text>
        <t>F1400 · Group tree link
Document: S3, annual report, FY2025, 2026-04-02, audited, katjes-2025-annual-report.pdf
Page: 83
Quote: "Katjes Nederland GmbH, Emmerich am Rhein 100 A 100 A"
Status: extracted, pending review
Approver: none yet
Proof: https://vanillabonds.com/dossier.html?c=katjes&amp;viewer=1&amp;item=F1400</t>
      </text>
    </comment>
    <comment ref="H1402" authorId="0" shapeId="0">
      <text>
        <t>F1401 · Group tree link
Document: S3, annual report, FY2025, 2026-04-02, audited, katjes-2025-annual-report.pdf
Page: 83
Quote: "Katjes 21 GmbH, Emmerich am Rhein 100 A 100 A"
Status: extracted, pending review
Approver: none yet
Proof: https://vanillabonds.com/dossier.html?c=katjes&amp;viewer=1&amp;item=F1401</t>
      </text>
    </comment>
    <comment ref="H1403" authorId="0" shapeId="0">
      <text>
        <t>F1402 · Group tree link
Document: S3, annual report, FY2025, 2026-04-02, audited, katjes-2025-annual-report.pdf
Page: 83
Quote: "Dallmann’s Pharma Candy GmbH, Hofheim am Taunus 100 A 100 A"
Status: extracted, pending review
Approver: none yet
Proof: https://vanillabonds.com/dossier.html?c=katjes&amp;viewer=1&amp;item=F1402</t>
      </text>
    </comment>
    <comment ref="H1404" authorId="0" shapeId="0">
      <text>
        <t>F1403 · Group tree link
Document: S3, annual report, FY2025, 2026-04-02, audited, katjes-2025-annual-report.pdf
Page: 83
Quote: "Candy Pharma GmbH, Hofheim am Taunus 100 A 100 A"
Status: extracted, pending review
Approver: none yet
Proof: https://vanillabonds.com/dossier.html?c=katjes&amp;viewer=1&amp;item=F1403</t>
      </text>
    </comment>
    <comment ref="H1405" authorId="0" shapeId="0">
      <text>
        <t>F1404 · Group tree link
Document: S3, annual report, FY2025, 2026-04-02, audited, katjes-2025-annual-report.pdf
Page: 83
Quote: "Piasten GmbH, Forchheim 100 A 100 A"
Status: extracted, pending review
Approver: none yet
Proof: https://vanillabonds.com/dossier.html?c=katjes&amp;viewer=1&amp;item=F1404</t>
      </text>
    </comment>
    <comment ref="H1406" authorId="0" shapeId="0">
      <text>
        <t>F1405 · Group tree link
Document: S3, annual report, FY2025, 2026-04-02, audited, katjes-2025-annual-report.pdf
Page: 83
Quote: "Treets GmbH, Forchheim 100 A 100 A"
Status: extracted, pending review
Approver: none yet
Proof: https://vanillabonds.com/dossier.html?c=katjes&amp;viewer=1&amp;item=F1405</t>
      </text>
    </comment>
    <comment ref="H1407" authorId="0" shapeId="0">
      <text>
        <t>F1406 · Group tree link
Document: S3, annual report, FY2025, 2026-04-02, audited, katjes-2025-annual-report.pdf
Page: 83
Quote: "CCV-Vertriebs-GmbH, Forchheim 100 A 100 A"
Status: extracted, pending review
Approver: none yet
Proof: https://vanillabonds.com/dossier.html?c=katjes&amp;viewer=1&amp;item=F1406</t>
      </text>
    </comment>
    <comment ref="H1408" authorId="0" shapeId="0">
      <text>
        <t>F1407 · Group tree link
Document: S3, annual report, FY2025, 2026-04-02, audited, katjes-2025-annual-report.pdf
Page: 83
Quote: "Katjes 24 GmbH, Emmerich am Rhein 100 A 100 A"
Status: extracted, pending review
Approver: none yet
Proof: https://vanillabonds.com/dossier.html?c=katjes&amp;viewer=1&amp;item=F1407</t>
      </text>
    </comment>
    <comment ref="H1409" authorId="0" shapeId="0">
      <text>
        <t>F1408 · Group tree link
Document: S3, annual report, FY2025, 2026-04-02, audited, katjes-2025-annual-report.pdf
Page: 83
Quote: "Katjes Italy GmbH, Emmerich am Rhein 100 A 100 A"
Status: extracted, pending review
Approver: none yet
Proof: https://vanillabonds.com/dossier.html?c=katjes&amp;viewer=1&amp;item=F1408</t>
      </text>
    </comment>
    <comment ref="H1410" authorId="0" shapeId="0">
      <text>
        <t>F1409 · Group tree link
Document: S3, annual report, FY2025, 2026-04-02, audited, katjes-2025-annual-report.pdf
Page: 83
Quote: "Bübchen Skincare GmbH (former: Dallmann’s Pharma GmbH), Hofheim am Taunus 100 A 100 A"
Status: extracted, pending review
Approver: none yet
Proof: https://vanillabonds.com/dossier.html?c=katjes&amp;viewer=1&amp;item=F1409</t>
      </text>
    </comment>
    <comment ref="H1411" authorId="0" shapeId="0">
      <text>
        <t>F1410 · Group tree link
Document: S3, annual report, FY2025, 2026-04-02, audited, katjes-2025-annual-report.pdf
Page: 83
Quote: "Bübchen-Werk Ewald Hermes Pharmazeutische Fabrik GmbH, Soest 100 A 100 A"
Status: extracted, pending review
Approver: none yet
Proof: https://vanillabonds.com/dossier.html?c=katjes&amp;viewer=1&amp;item=F1410</t>
      </text>
    </comment>
    <comment ref="H1412" authorId="0" shapeId="0">
      <text>
        <t>F1411 · Group tree link
Document: S3, annual report, FY2025, 2026-04-02, audited, katjes-2025-annual-report.pdf
Page: 83
Quote: "Bübchen Bodycare GmbH, Düsseldorf 100 A 100 A"
Status: extracted, pending review
Approver: none yet
Proof: https://vanillabonds.com/dossier.html?c=katjes&amp;viewer=1&amp;item=F1411</t>
      </text>
    </comment>
    <comment ref="H1413" authorId="0" shapeId="0">
      <text>
        <t>F1412 · Group tree link
Document: S3, annual report, FY2025, 2026-04-02, audited, katjes-2025-annual-report.pdf
Page: 83
Quote: "Candy Kittens EU GmbH, Emmerich am Rhein 100 A 100 A"
Status: extracted, pending review
Approver: none yet
Proof: https://vanillabonds.com/dossier.html?c=katjes&amp;viewer=1&amp;item=F1412</t>
      </text>
    </comment>
    <comment ref="H1414" authorId="0" shapeId="0">
      <text>
        <t>F1413 · Group tree link
Document: S3, annual report, FY2025, 2026-04-02, audited, katjes-2025-annual-report.pdf
Page: 83
Quote: "Pharma Candy Management GmbH, Emmerich am Rhein 100 A 100 A"
Status: extracted, pending review
Approver: none yet
Proof: https://vanillabonds.com/dossier.html?c=katjes&amp;viewer=1&amp;item=F1413</t>
      </text>
    </comment>
    <comment ref="H1415" authorId="0" shapeId="0">
      <text>
        <t>F1414 · Group tree link
Document: S3, annual report, FY2025, 2026-04-02, audited, katjes-2025-annual-report.pdf
Page: 83
Quote: "Theramed GmbH, Düsseldorf 100 A 100 A"
Status: extracted, pending review
Approver: none yet
Proof: https://vanillabonds.com/dossier.html?c=katjes&amp;viewer=1&amp;item=F1414</t>
      </text>
    </comment>
    <comment ref="H1416" authorId="0" shapeId="0">
      <text>
        <t>F1415 · Group tree link
Document: S3, annual report, FY2025, 2026-04-02, audited, katjes-2025-annual-report.pdf
Page: 83
Quote: "Smile Cosmetics GmbH, Düsseldorf 100 A 100 A"
Status: extracted, pending review
Approver: none yet
Proof: https://vanillabonds.com/dossier.html?c=katjes&amp;viewer=1&amp;item=F1415</t>
      </text>
    </comment>
    <comment ref="H1417" authorId="0" shapeId="0">
      <text>
        <t>F1416 · Group tree link
Document: S3, annual report, FY2025, 2026-04-02, audited, katjes-2025-annual-report.pdf
Page: 83
Quote: "Antica Erboristeria GmbH, Düsseldorf 100 A 100 A"
Status: extracted, pending review
Approver: none yet
Proof: https://vanillabonds.com/dossier.html?c=katjes&amp;viewer=1&amp;item=F1416</t>
      </text>
    </comment>
    <comment ref="H1418" authorId="0" shapeId="0">
      <text>
        <t>F1417 · Group tree link
Document: S3, annual report, FY2025, 2026-04-02, audited, katjes-2025-annual-report.pdf
Page: 83
Quote: "Laboratoires Vademecum GmbH, Düsseldorf 100 A 100 A"
Status: extracted, pending review
Approver: none yet
Proof: https://vanillabonds.com/dossier.html?c=katjes&amp;viewer=1&amp;item=F1417</t>
      </text>
    </comment>
    <comment ref="H1419" authorId="0" shapeId="0">
      <text>
        <t>F1418 · Group tree link
Document: S3, annual report, FY2025, 2026-04-02, audited, katjes-2025-annual-report.pdf
Page: 83
Quote: "Licor del Polo GmbH, Düsseldorf 100 A 100 A"
Status: extracted, pending review
Approver: none yet
Proof: https://vanillabonds.com/dossier.html?c=katjes&amp;viewer=1&amp;item=F1418</t>
      </text>
    </comment>
    <comment ref="H1420" authorId="0" shapeId="0">
      <text>
        <t>F1419 · Group tree link
Document: S3, annual report, FY2025, 2026-04-02, audited, katjes-2025-annual-report.pdf
Page: 83
Quote: "Barnängen GmbH, Düsseldorf 100 A 100 A"
Status: extracted, pending review
Approver: none yet
Proof: https://vanillabonds.com/dossier.html?c=katjes&amp;viewer=1&amp;item=F1419</t>
      </text>
    </comment>
    <comment ref="H1421" authorId="0" shapeId="0">
      <text>
        <t>F1420 · Group tree link
Document: S3, annual report, FY2025, 2026-04-02, audited, katjes-2025-annual-report.pdf
Page: 83
Quote: "ÖZW Österreichische Zuckerwaren GmbH, Düsseldorf 100 A 100 A"
Status: extracted, pending review
Approver: none yet
Proof: https://vanillabonds.com/dossier.html?c=katjes&amp;viewer=1&amp;item=F1420</t>
      </text>
    </comment>
    <comment ref="H1422" authorId="0" shapeId="0">
      <text>
        <t>F1421 · Group tree link
Document: S3, annual report, FY2025, 2026-04-02, audited, katjes-2025-annual-report.pdf
Page: 83
Quote: "Pharma Candy GmbH &amp; Co. KG, Emmerich am Rhein 99.9 A 99.9 A"
Status: extracted, pending review
Approver: none yet
Proof: https://vanillabonds.com/dossier.html?c=katjes&amp;viewer=1&amp;item=F1421</t>
      </text>
    </comment>
    <comment ref="H1423" authorId="0" shapeId="0">
      <text>
        <t>F1422 · Group tree link
Document: S3, annual report, FY2025, 2026-04-02, audited, katjes-2025-annual-report.pdf
Page: 83
Quote: "Katjes Quiet Luxury GmbH, Düsseldorf 100 A - -"
Status: extracted, pending review
Approver: none yet
Proof: https://vanillabonds.com/dossier.html?c=katjes&amp;viewer=1&amp;item=F1422</t>
      </text>
    </comment>
    <comment ref="H1424" authorId="0" shapeId="0">
      <text>
        <t>F1423 · Group tree link
Document: S3, annual report, FY2025, 2026-04-02, audited, katjes-2025-annual-report.pdf
Page: 83
Quote: "Petchen GmbH, Düsseldorf 100 A - -"
Status: extracted, pending review
Approver: none yet
Proof: https://vanillabonds.com/dossier.html?c=katjes&amp;viewer=1&amp;item=F1423</t>
      </text>
    </comment>
    <comment ref="H1425" authorId="0" shapeId="0">
      <text>
        <t>F1424 · Group tree link
Document: S3, annual report, FY2025, 2026-04-02, audited, katjes-2025-annual-report.pdf
Page: 83
Quote: "Shades EU GmbH, Emmerich 100 A - -"
Status: extracted, pending review
Approver: none yet
Proof: https://vanillabonds.com/dossier.html?c=katjes&amp;viewer=1&amp;item=F1424</t>
      </text>
    </comment>
    <comment ref="H1426" authorId="0" shapeId="0">
      <text>
        <t>F1425 · Group tree link
Document: S3, annual report, FY2025, 2026-04-02, audited, katjes-2025-annual-report.pdf
Page: 83
Quote: "Bogner Commerce GmbH, München 60 A - -"
Status: extracted, pending review
Approver: none yet
Proof: https://vanillabonds.com/dossier.html?c=katjes&amp;viewer=1&amp;item=F1425</t>
      </text>
    </comment>
    <comment ref="H1427" authorId="0" shapeId="0">
      <text>
        <t>F1426 · Group tree link
Document: S3, annual report, FY2025, 2026-04-02, audited, katjes-2025-annual-report.pdf
Page: 83
Quote: "Bogner Direkt Marketing GmbH, München 60 A - -"
Status: extracted, pending review
Approver: none yet
Proof: https://vanillabonds.com/dossier.html?c=katjes&amp;viewer=1&amp;item=F1426</t>
      </text>
    </comment>
    <comment ref="H1428" authorId="0" shapeId="0">
      <text>
        <t>F1427 · Group tree link
Document: S3, annual report, FY2025, 2026-04-02, audited, katjes-2025-annual-report.pdf
Page: 83
Quote: "Bogner GCA IP Management GmbH, Grünwald 60 A - -"
Status: extracted, pending review
Approver: none yet
Proof: https://vanillabonds.com/dossier.html?c=katjes&amp;viewer=1&amp;item=F1427</t>
      </text>
    </comment>
    <comment ref="H1429" authorId="0" shapeId="0">
      <text>
        <t>F1428 · Group tree link
Document: S3, annual report, FY2025, 2026-04-02, audited, katjes-2025-annual-report.pdf
Page: 83
Quote: "Bogner GCA IP GmbH &amp; Co. KG, Grünwald 60 A - -"
Status: extracted, pending review
Approver: none yet
Proof: https://vanillabonds.com/dossier.html?c=katjes&amp;viewer=1&amp;item=F1428</t>
      </text>
    </comment>
    <comment ref="H1430" authorId="0" shapeId="0">
      <text>
        <t>F1429 · Group tree link
Document: S3, annual report, FY2025, 2026-04-02, audited, katjes-2025-annual-report.pdf
Page: 83
Quote: "Willy Bogner GmbH, München 60 A - -"
Status: extracted, pending review
Approver: none yet
Proof: https://vanillabonds.com/dossier.html?c=katjes&amp;viewer=1&amp;item=F1429</t>
      </text>
    </comment>
    <comment ref="H1431" authorId="0" shapeId="0">
      <text>
        <t>F1430 · Group tree link
Document: S3, annual report, FY2025, 2026-04-02, audited, katjes-2025-annual-report.pdf
Page: 83
Quote: "Shirin Beauty GmbH, Düsseldorf 50 C 50 C"
Status: extracted, pending review
Approver: none yet
Proof: https://vanillabonds.com/dossier.html?c=katjes&amp;viewer=1&amp;item=F1430</t>
      </text>
    </comment>
    <comment ref="H1432" authorId="0" shapeId="0">
      <text>
        <t>F1431 · Group tree link
Document: S3, annual report, FY2025, 2026-04-02, audited, katjes-2025-annual-report.pdf
Page: 84
Quote: "Heel Veel Snoepjes B.V."
Status: extracted, pending review
Approver: none yet
Proof: https://vanillabonds.com/dossier.html?c=katjes&amp;viewer=1&amp;item=F1431</t>
      </text>
    </comment>
    <comment ref="H1433" authorId="0" shapeId="0">
      <text>
        <t>F1432 · Group tree link
Document: S3, annual report, FY2025, 2026-04-02, audited, katjes-2025-annual-report.pdf
Page: 84
Quote: "Harlekĳntjes B.V., Nĳkerk, Netherlands 100 A 100 A"
Status: extracted, pending review
Approver: none yet
Proof: https://vanillabonds.com/dossier.html?c=katjes&amp;viewer=1&amp;item=F1432</t>
      </text>
    </comment>
    <comment ref="H1434" authorId="0" shapeId="0">
      <text>
        <t>F1433 · Group tree link
Document: S3, annual report, FY2025, 2026-04-02, audited, katjes-2025-annual-report.pdf
Page: 84
Quote: "Sperlari S.r.l., Cremona, Italy 100 A 100 A"
Status: extracted, pending review
Approver: none yet
Proof: https://vanillabonds.com/dossier.html?c=katjes&amp;viewer=1&amp;item=F1433</t>
      </text>
    </comment>
    <comment ref="H1435" authorId="0" shapeId="0">
      <text>
        <t>F1434 · Group tree link
Document: S3, annual report, FY2025, 2026-04-02, audited, katjes-2025-annual-report.pdf
Page: 84
Quote: "Dulcioliva S.r.l., Borgo San Dalmazzo, Italy 75 A 75 A"
Status: extracted, pending review
Approver: none yet
Proof: https://vanillabonds.com/dossier.html?c=katjes&amp;viewer=1&amp;item=F1434</t>
      </text>
    </comment>
    <comment ref="H1436" authorId="0" shapeId="0">
      <text>
        <t>F1435 · Group tree link
Document: S3, annual report, FY2025, 2026-04-02, audited, katjes-2025-annual-report.pdf
Page: 84
Quote: "Paluani 1921 S.r.l., Verona, Italy 100 A 100 A"
Status: extracted, pending review
Approver: none yet
Proof: https://vanillabonds.com/dossier.html?c=katjes&amp;viewer=1&amp;item=F1435</t>
      </text>
    </comment>
    <comment ref="H1437" authorId="0" shapeId="0">
      <text>
        <t>F1436 · Group tree link
Document: S3, annual report, FY2025, 2026-04-02, audited, katjes-2025-annual-report.pdf
Page: 84
Quote: "Candy Kittens Ltd., London, UK 88.0 A 88.0 A"
Status: extracted, pending review
Approver: none yet
Proof: https://vanillabonds.com/dossier.html?c=katjes&amp;viewer=1&amp;item=F1436</t>
      </text>
    </comment>
    <comment ref="H1438" authorId="0" shapeId="0">
      <text>
        <t>F1437 · Group tree link
Document: S3, annual report, FY2025, 2026-04-02, audited, katjes-2025-annual-report.pdf
Page: 84
Quote: "Tuckshop Ltd, London, UK 75 A 75 A"
Status: extracted, pending review
Approver: none yet
Proof: https://vanillabonds.com/dossier.html?c=katjes&amp;viewer=1&amp;item=F1437</t>
      </text>
    </comment>
    <comment ref="H1439" authorId="0" shapeId="0">
      <text>
        <t>F1438 · Group tree link
Document: S3, annual report, FY2025, 2026-04-02, audited, katjes-2025-annual-report.pdf
Page: 84
Quote: "Bogner Vertriebsgesellschaft GmbH, Salzburg, Austria 60 A - -"
Status: extracted, pending review
Approver: none yet
Proof: https://vanillabonds.com/dossier.html?c=katjes&amp;viewer=1&amp;item=F1438</t>
      </text>
    </comment>
    <comment ref="H1440" authorId="0" shapeId="0">
      <text>
        <t>F1439 · Group tree link
Document: S3, annual report, FY2025, 2026-04-02, audited, katjes-2025-annual-report.pdf
Page: 84
Quote: "Bogner Eastern Europe LLC, Moscow, Russia 60 A - -"
Status: extracted, pending review
Approver: none yet
Proof: https://vanillabonds.com/dossier.html?c=katjes&amp;viewer=1&amp;item=F1439</t>
      </text>
    </comment>
    <comment ref="H1441" authorId="0" shapeId="0">
      <text>
        <t>F1440 · Group tree link
Document: S3, annual report, FY2025, 2026-04-02, audited, katjes-2025-annual-report.pdf
Page: 84
Quote: "Bogner Sport AG, Zürich, Switzerland 60 A - -"
Status: extracted, pending review
Approver: none yet
Proof: https://vanillabonds.com/dossier.html?c=katjes&amp;viewer=1&amp;item=F1440</t>
      </text>
    </comment>
    <comment ref="H1442" authorId="0" shapeId="0">
      <text>
        <t>F1441 · Group tree link
Document: S3, annual report, FY2025, 2026-04-02, audited, katjes-2025-annual-report.pdf
Page: 84
Quote: "Bogner France SARL, La Bâthie, France 60 A - -"
Status: extracted, pending review
Approver: none yet
Proof: https://vanillabonds.com/dossier.html?c=katjes&amp;viewer=1&amp;item=F1441</t>
      </text>
    </comment>
    <comment ref="H1443" authorId="0" shapeId="0">
      <text>
        <t>F1442 · Group tree link
Document: S3, annual report, FY2025, 2026-04-02, audited, katjes-2025-annual-report.pdf
Page: 84
Quote: "Bogner Asia, Ltd., Hong Kong/China 60 A - -"
Status: extracted, pending review
Approver: none yet
Proof: https://vanillabonds.com/dossier.html?c=katjes&amp;viewer=1&amp;item=F1442</t>
      </text>
    </comment>
    <comment ref="H1444" authorId="0" shapeId="0">
      <text>
        <t>F1443 · Group tree link
Document: S3, annual report, FY2025, 2026-04-02, audited, katjes-2025-annual-report.pdf
Page: 84
Quote: "Bogner of America Inc., New York City, USA 60 A - -"
Status: extracted, pending review
Approver: none yet
Proof: https://vanillabonds.com/dossier.html?c=katjes&amp;viewer=1&amp;item=F1443</t>
      </text>
    </comment>
    <comment ref="H1445" authorId="0" shapeId="0">
      <text>
        <t>F1444 · Group tree link
Document: S3, annual report, FY2025, 2026-04-02, audited, katjes-2025-annual-report.pdf
Page: 84
Quote: "Bogner du Canada LLC, Cowansville, Canada 60 A - -"
Status: extracted, pending review
Approver: none yet
Proof: https://vanillabonds.com/dossier.html?c=katjes&amp;viewer=1&amp;item=F1444</t>
      </text>
    </comment>
    <comment ref="H1446" authorId="0" shapeId="0">
      <text>
        <t>F1445 · Group tree link
Document: S3, annual report, FY2025, 2026-04-02, audited, katjes-2025-annual-report.pdf
Page: 84
Quote: "Future Snacks Ltd., London, UK 100 A - -"
Status: extracted, pending review
Approver: none yet
Proof: https://vanillabonds.com/dossier.html?c=katjes&amp;viewer=1&amp;item=F1445</t>
      </text>
    </comment>
    <comment ref="H1447" authorId="0" shapeId="0">
      <text>
        <t>F1446 · Group tree link
Document: S3, annual report, FY2025, 2026-04-02, audited, katjes-2025-annual-report.pdf
Page: 84
Quote: "Bogner GCA Holding PTE. Ltd., Singapore 45 B - -"
Status: extracted, pending review
Approver: none yet
Proof: https://vanillabonds.com/dossier.html?c=katjes&amp;viewer=1&amp;item=F1446</t>
      </text>
    </comment>
    <comment ref="H1448" authorId="0" shapeId="0">
      <text>
        <t>F1447 · Group tree link
Document: S3, annual report, FY2025, 2026-04-02, audited, katjes-2025-annual-report.pdf
Page: 84
Quote: "Shades Snacks Ltd., London, UK 49 C - -"
Status: extracted, pending review
Approver: none yet
Proof: https://vanillabonds.com/dossier.html?c=katjes&amp;viewer=1&amp;item=F1447</t>
      </text>
    </comment>
    <comment ref="H1449" authorId="0" shapeId="0">
      <text>
        <t>F1448 · Group tree link
Document: S3, annual report, FY2025, 2026-04-02, audited, katjes-2025-annual-report.pdf
Page: 84
Quote: "Longaim Ltd, London, UK 88.0 A 88.0 A"
Status: extracted, pending review
Approver: none yet
Proof: https://vanillabonds.com/dossier.html?c=katjes&amp;viewer=1&amp;item=F1448</t>
      </text>
    </comment>
    <comment ref="H1450" authorId="0" shapeId="0">
      <text>
        <t>F1449 · Group tree link
Document: S3, annual report, FY2025, 2026-04-02, audited, katjes-2025-annual-report.pdf
Page: 84
Quote: "CPK S.A.S., Paris, France"
Status: extracted, pending review
Approver: none yet
Proof: https://vanillabonds.com/dossier.html?c=katjes&amp;viewer=1&amp;item=F1449</t>
      </text>
    </comment>
    <comment ref="H1451" authorId="0" shapeId="0">
      <text>
        <t>F1450 · Group tree link
Document: S3, annual report, FY2025, 2026-04-02, audited, katjes-2025-annual-report.pdf
Page: 84
Quote: "Nuud Snacks Ltd., London, UK"
Status: extracted, pending review
Approver: none yet
Proof: https://vanillabonds.com/dossier.html?c=katjes&amp;viewer=1&amp;item=F1450</t>
      </text>
    </comment>
    <comment ref="H1452" authorId="0" shapeId="0">
      <text>
        <t>F1451 · Group tree link
Document: S3, annual report, FY2025, 2026-04-02, audited, katjes-2025-annual-report.pdf
Page: 81
Quote: "acquired 100% of the shares in Nature Delivered Ltd. (“Graze”) from Unilever"
Status: extracted, pending review
Approver: none yet
Proof: https://vanillabonds.com/dossier.html?c=katjes&amp;viewer=1&amp;item=F1451</t>
      </text>
    </comment>
    <comment ref="H1453" authorId="0" shapeId="0">
      <text>
        <t>F1452 · Group tree link
Document: S3, annual report, FY2025, 2026-04-02, audited, katjes-2025-annual-report.pdf
Page: 81
Quote: "approximately 27% of Missoni S.p.A."
Status: extracted, pending review
Approver: none yet
Proof: https://vanillabonds.com/dossier.html?c=katjes&amp;viewer=1&amp;item=F1452</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hyperlink" Target="https://vanillabonds.com/dossier-data/pdf/katjes/katjes-2023-annual-report.pdf#page=50" TargetMode="External" Id="rId1"/><Relationship Type="http://schemas.openxmlformats.org/officeDocument/2006/relationships/hyperlink" Target="https://vanillabonds.com/dossier.html?c=katjes&amp;viewer=1&amp;item=F001" TargetMode="External" Id="rId2"/><Relationship Type="http://schemas.openxmlformats.org/officeDocument/2006/relationships/hyperlink" Target="https://vanillabonds.com/dossier-data/pdf/katjes/katjes-2023-annual-report.pdf#page=50" TargetMode="External" Id="rId3"/><Relationship Type="http://schemas.openxmlformats.org/officeDocument/2006/relationships/hyperlink" Target="https://vanillabonds.com/dossier.html?c=katjes&amp;viewer=1&amp;item=F002" TargetMode="External" Id="rId4"/><Relationship Type="http://schemas.openxmlformats.org/officeDocument/2006/relationships/hyperlink" Target="https://vanillabonds.com/dossier-data/pdf/katjes/katjes-2023-annual-report.pdf#page=50" TargetMode="External" Id="rId5"/><Relationship Type="http://schemas.openxmlformats.org/officeDocument/2006/relationships/hyperlink" Target="https://vanillabonds.com/dossier.html?c=katjes&amp;viewer=1&amp;item=F003" TargetMode="External" Id="rId6"/><Relationship Type="http://schemas.openxmlformats.org/officeDocument/2006/relationships/hyperlink" Target="https://vanillabonds.com/dossier-data/pdf/katjes/katjes-2023-annual-report.pdf#page=9" TargetMode="External" Id="rId7"/><Relationship Type="http://schemas.openxmlformats.org/officeDocument/2006/relationships/hyperlink" Target="https://vanillabonds.com/dossier.html?c=katjes&amp;viewer=1&amp;item=F004" TargetMode="External" Id="rId8"/><Relationship Type="http://schemas.openxmlformats.org/officeDocument/2006/relationships/hyperlink" Target="https://vanillabonds.com/dossier-data/pdf/katjes/katjes-2023-annual-report.pdf#page=50" TargetMode="External" Id="rId9"/><Relationship Type="http://schemas.openxmlformats.org/officeDocument/2006/relationships/hyperlink" Target="https://vanillabonds.com/dossier.html?c=katjes&amp;viewer=1&amp;item=F005" TargetMode="External" Id="rId10"/><Relationship Type="http://schemas.openxmlformats.org/officeDocument/2006/relationships/hyperlink" Target="https://vanillabonds.com/dossier-data/pdf/katjes/katjes-2023-annual-report.pdf#page=50" TargetMode="External" Id="rId11"/><Relationship Type="http://schemas.openxmlformats.org/officeDocument/2006/relationships/hyperlink" Target="https://vanillabonds.com/dossier.html?c=katjes&amp;viewer=1&amp;item=F006" TargetMode="External" Id="rId12"/><Relationship Type="http://schemas.openxmlformats.org/officeDocument/2006/relationships/hyperlink" Target="https://vanillabonds.com/dossier-data/pdf/katjes/katjes-2023-annual-report.pdf#page=81" TargetMode="External" Id="rId13"/><Relationship Type="http://schemas.openxmlformats.org/officeDocument/2006/relationships/hyperlink" Target="https://vanillabonds.com/dossier.html?c=katjes&amp;viewer=1&amp;item=F007" TargetMode="External" Id="rId14"/><Relationship Type="http://schemas.openxmlformats.org/officeDocument/2006/relationships/hyperlink" Target="https://vanillabonds.com/dossier-data/pdf/katjes/katjes-2023-annual-report.pdf#page=50" TargetMode="External" Id="rId15"/><Relationship Type="http://schemas.openxmlformats.org/officeDocument/2006/relationships/hyperlink" Target="https://vanillabonds.com/dossier.html?c=katjes&amp;viewer=1&amp;item=F008" TargetMode="External" Id="rId16"/><Relationship Type="http://schemas.openxmlformats.org/officeDocument/2006/relationships/hyperlink" Target="https://vanillabonds.com/dossier-data/pdf/katjes/katjes-2023-annual-report.pdf#page=50" TargetMode="External" Id="rId17"/><Relationship Type="http://schemas.openxmlformats.org/officeDocument/2006/relationships/hyperlink" Target="https://vanillabonds.com/dossier.html?c=katjes&amp;viewer=1&amp;item=F009" TargetMode="External" Id="rId18"/><Relationship Type="http://schemas.openxmlformats.org/officeDocument/2006/relationships/hyperlink" Target="https://vanillabonds.com/dossier-data/pdf/katjes/katjes-2023-annual-report.pdf#page=50" TargetMode="External" Id="rId19"/><Relationship Type="http://schemas.openxmlformats.org/officeDocument/2006/relationships/hyperlink" Target="https://vanillabonds.com/dossier.html?c=katjes&amp;viewer=1&amp;item=F010" TargetMode="External" Id="rId20"/><Relationship Type="http://schemas.openxmlformats.org/officeDocument/2006/relationships/hyperlink" Target="https://vanillabonds.com/dossier-data/pdf/katjes/katjes-2023-annual-report.pdf#page=50" TargetMode="External" Id="rId21"/><Relationship Type="http://schemas.openxmlformats.org/officeDocument/2006/relationships/hyperlink" Target="https://vanillabonds.com/dossier.html?c=katjes&amp;viewer=1&amp;item=F011" TargetMode="External" Id="rId22"/><Relationship Type="http://schemas.openxmlformats.org/officeDocument/2006/relationships/hyperlink" Target="https://vanillabonds.com/dossier-data/pdf/katjes/katjes-2023-annual-report.pdf#page=85" TargetMode="External" Id="rId23"/><Relationship Type="http://schemas.openxmlformats.org/officeDocument/2006/relationships/hyperlink" Target="https://vanillabonds.com/dossier.html?c=katjes&amp;viewer=1&amp;item=F012" TargetMode="External" Id="rId24"/><Relationship Type="http://schemas.openxmlformats.org/officeDocument/2006/relationships/hyperlink" Target="https://vanillabonds.com/dossier-data/pdf/katjes/katjes-2023-annual-report.pdf#page=94" TargetMode="External" Id="rId25"/><Relationship Type="http://schemas.openxmlformats.org/officeDocument/2006/relationships/hyperlink" Target="https://vanillabonds.com/dossier.html?c=katjes&amp;viewer=1&amp;item=F013" TargetMode="External" Id="rId26"/><Relationship Type="http://schemas.openxmlformats.org/officeDocument/2006/relationships/hyperlink" Target="https://vanillabonds.com/dossier-data/pdf/katjes/katjes-2023-annual-report.pdf#page=91" TargetMode="External" Id="rId27"/><Relationship Type="http://schemas.openxmlformats.org/officeDocument/2006/relationships/hyperlink" Target="https://vanillabonds.com/dossier.html?c=katjes&amp;viewer=1&amp;item=F014" TargetMode="External" Id="rId28"/><Relationship Type="http://schemas.openxmlformats.org/officeDocument/2006/relationships/hyperlink" Target="https://vanillabonds.com/dossier-data/pdf/katjes/katjes-2023-annual-report.pdf#page=51" TargetMode="External" Id="rId29"/><Relationship Type="http://schemas.openxmlformats.org/officeDocument/2006/relationships/hyperlink" Target="https://vanillabonds.com/dossier.html?c=katjes&amp;viewer=1&amp;item=F015" TargetMode="External" Id="rId30"/><Relationship Type="http://schemas.openxmlformats.org/officeDocument/2006/relationships/hyperlink" Target="https://vanillabonds.com/dossier-data/pdf/katjes/katjes-2023-annual-report.pdf#page=50" TargetMode="External" Id="rId31"/><Relationship Type="http://schemas.openxmlformats.org/officeDocument/2006/relationships/hyperlink" Target="https://vanillabonds.com/dossier.html?c=katjes&amp;viewer=1&amp;item=F016" TargetMode="External" Id="rId32"/><Relationship Type="http://schemas.openxmlformats.org/officeDocument/2006/relationships/hyperlink" Target="https://vanillabonds.com/dossier-data/pdf/katjes/katjes-2023-annual-report.pdf#page=9" TargetMode="External" Id="rId33"/><Relationship Type="http://schemas.openxmlformats.org/officeDocument/2006/relationships/hyperlink" Target="https://vanillabonds.com/dossier.html?c=katjes&amp;viewer=1&amp;item=F017" TargetMode="External" Id="rId34"/><Relationship Type="http://schemas.openxmlformats.org/officeDocument/2006/relationships/hyperlink" Target="https://vanillabonds.com/dossier-data/pdf/katjes/katjes-2023-annual-report.pdf#page=17" TargetMode="External" Id="rId35"/><Relationship Type="http://schemas.openxmlformats.org/officeDocument/2006/relationships/hyperlink" Target="https://vanillabonds.com/dossier.html?c=katjes&amp;viewer=1&amp;item=F018" TargetMode="External" Id="rId36"/><Relationship Type="http://schemas.openxmlformats.org/officeDocument/2006/relationships/hyperlink" Target="https://vanillabonds.com/dossier-data/pdf/katjes/katjes-2023-annual-report.pdf#page=26" TargetMode="External" Id="rId37"/><Relationship Type="http://schemas.openxmlformats.org/officeDocument/2006/relationships/hyperlink" Target="https://vanillabonds.com/dossier.html?c=katjes&amp;viewer=1&amp;item=F019" TargetMode="External" Id="rId38"/><Relationship Type="http://schemas.openxmlformats.org/officeDocument/2006/relationships/hyperlink" Target="https://vanillabonds.com/dossier-data/pdf/katjes/katjes-2023-annual-report.pdf#page=26" TargetMode="External" Id="rId39"/><Relationship Type="http://schemas.openxmlformats.org/officeDocument/2006/relationships/hyperlink" Target="https://vanillabonds.com/dossier.html?c=katjes&amp;viewer=1&amp;item=F020" TargetMode="External" Id="rId40"/><Relationship Type="http://schemas.openxmlformats.org/officeDocument/2006/relationships/hyperlink" Target="https://vanillabonds.com/dossier-data/pdf/katjes/katjes-2023-annual-report.pdf#page=28" TargetMode="External" Id="rId41"/><Relationship Type="http://schemas.openxmlformats.org/officeDocument/2006/relationships/hyperlink" Target="https://vanillabonds.com/dossier.html?c=katjes&amp;viewer=1&amp;item=F021" TargetMode="External" Id="rId42"/><Relationship Type="http://schemas.openxmlformats.org/officeDocument/2006/relationships/hyperlink" Target="https://vanillabonds.com/dossier-data/pdf/katjes/katjes-2023-annual-report.pdf#page=32" TargetMode="External" Id="rId43"/><Relationship Type="http://schemas.openxmlformats.org/officeDocument/2006/relationships/hyperlink" Target="https://vanillabonds.com/dossier.html?c=katjes&amp;viewer=1&amp;item=F022" TargetMode="External" Id="rId44"/><Relationship Type="http://schemas.openxmlformats.org/officeDocument/2006/relationships/hyperlink" Target="https://vanillabonds.com/dossier-data/pdf/katjes/katjes-2023-annual-report.pdf#page=32" TargetMode="External" Id="rId45"/><Relationship Type="http://schemas.openxmlformats.org/officeDocument/2006/relationships/hyperlink" Target="https://vanillabonds.com/dossier.html?c=katjes&amp;viewer=1&amp;item=F023" TargetMode="External" Id="rId46"/><Relationship Type="http://schemas.openxmlformats.org/officeDocument/2006/relationships/hyperlink" Target="https://vanillabonds.com/dossier-data/pdf/katjes/katjes-2023-annual-report.pdf#page=34" TargetMode="External" Id="rId47"/><Relationship Type="http://schemas.openxmlformats.org/officeDocument/2006/relationships/hyperlink" Target="https://vanillabonds.com/dossier.html?c=katjes&amp;viewer=1&amp;item=F024" TargetMode="External" Id="rId48"/><Relationship Type="http://schemas.openxmlformats.org/officeDocument/2006/relationships/hyperlink" Target="https://vanillabonds.com/dossier-data/pdf/katjes/katjes-2023-annual-report.pdf#page=40" TargetMode="External" Id="rId49"/><Relationship Type="http://schemas.openxmlformats.org/officeDocument/2006/relationships/hyperlink" Target="https://vanillabonds.com/dossier.html?c=katjes&amp;viewer=1&amp;item=F025" TargetMode="External" Id="rId50"/><Relationship Type="http://schemas.openxmlformats.org/officeDocument/2006/relationships/hyperlink" Target="https://vanillabonds.com/dossier-data/pdf/katjes/katjes-2023-annual-report.pdf#page=48" TargetMode="External" Id="rId51"/><Relationship Type="http://schemas.openxmlformats.org/officeDocument/2006/relationships/hyperlink" Target="https://vanillabonds.com/dossier.html?c=katjes&amp;viewer=1&amp;item=F026" TargetMode="External" Id="rId52"/><Relationship Type="http://schemas.openxmlformats.org/officeDocument/2006/relationships/hyperlink" Target="https://vanillabonds.com/dossier-data/pdf/katjes/katjes-2023-annual-report.pdf#page=50" TargetMode="External" Id="rId53"/><Relationship Type="http://schemas.openxmlformats.org/officeDocument/2006/relationships/hyperlink" Target="https://vanillabonds.com/dossier.html?c=katjes&amp;viewer=1&amp;item=F027" TargetMode="External" Id="rId54"/><Relationship Type="http://schemas.openxmlformats.org/officeDocument/2006/relationships/hyperlink" Target="https://vanillabonds.com/dossier-data/pdf/katjes/katjes-2023-annual-report.pdf#page=52" TargetMode="External" Id="rId55"/><Relationship Type="http://schemas.openxmlformats.org/officeDocument/2006/relationships/hyperlink" Target="https://vanillabonds.com/dossier.html?c=katjes&amp;viewer=1&amp;item=F028" TargetMode="External" Id="rId56"/><Relationship Type="http://schemas.openxmlformats.org/officeDocument/2006/relationships/hyperlink" Target="https://vanillabonds.com/dossier-data/pdf/katjes/katjes-2023-annual-report.pdf#page=70" TargetMode="External" Id="rId57"/><Relationship Type="http://schemas.openxmlformats.org/officeDocument/2006/relationships/hyperlink" Target="https://vanillabonds.com/dossier.html?c=katjes&amp;viewer=1&amp;item=F029" TargetMode="External" Id="rId58"/><Relationship Type="http://schemas.openxmlformats.org/officeDocument/2006/relationships/hyperlink" Target="https://vanillabonds.com/dossier-data/pdf/katjes/katjes-2023-annual-report.pdf#page=70" TargetMode="External" Id="rId59"/><Relationship Type="http://schemas.openxmlformats.org/officeDocument/2006/relationships/hyperlink" Target="https://vanillabonds.com/dossier.html?c=katjes&amp;viewer=1&amp;item=F030" TargetMode="External" Id="rId60"/><Relationship Type="http://schemas.openxmlformats.org/officeDocument/2006/relationships/hyperlink" Target="https://vanillabonds.com/dossier-data/pdf/katjes/katjes-2023-annual-report.pdf#page=73" TargetMode="External" Id="rId61"/><Relationship Type="http://schemas.openxmlformats.org/officeDocument/2006/relationships/hyperlink" Target="https://vanillabonds.com/dossier.html?c=katjes&amp;viewer=1&amp;item=F031" TargetMode="External" Id="rId62"/><Relationship Type="http://schemas.openxmlformats.org/officeDocument/2006/relationships/hyperlink" Target="https://vanillabonds.com/dossier-data/pdf/katjes/katjes-2023-annual-report.pdf#page=78" TargetMode="External" Id="rId63"/><Relationship Type="http://schemas.openxmlformats.org/officeDocument/2006/relationships/hyperlink" Target="https://vanillabonds.com/dossier.html?c=katjes&amp;viewer=1&amp;item=F032" TargetMode="External" Id="rId64"/><Relationship Type="http://schemas.openxmlformats.org/officeDocument/2006/relationships/hyperlink" Target="https://vanillabonds.com/dossier-data/pdf/katjes/katjes-2023-annual-report.pdf#page=78" TargetMode="External" Id="rId65"/><Relationship Type="http://schemas.openxmlformats.org/officeDocument/2006/relationships/hyperlink" Target="https://vanillabonds.com/dossier.html?c=katjes&amp;viewer=1&amp;item=F033" TargetMode="External" Id="rId66"/><Relationship Type="http://schemas.openxmlformats.org/officeDocument/2006/relationships/hyperlink" Target="https://vanillabonds.com/dossier-data/pdf/katjes/katjes-2023-annual-report.pdf#page=78" TargetMode="External" Id="rId67"/><Relationship Type="http://schemas.openxmlformats.org/officeDocument/2006/relationships/hyperlink" Target="https://vanillabonds.com/dossier.html?c=katjes&amp;viewer=1&amp;item=F034" TargetMode="External" Id="rId68"/><Relationship Type="http://schemas.openxmlformats.org/officeDocument/2006/relationships/hyperlink" Target="https://vanillabonds.com/dossier-data/pdf/katjes/katjes-2023-annual-report.pdf#page=4" TargetMode="External" Id="rId69"/><Relationship Type="http://schemas.openxmlformats.org/officeDocument/2006/relationships/hyperlink" Target="https://vanillabonds.com/dossier.html?c=katjes&amp;viewer=1&amp;item=F035" TargetMode="External" Id="rId70"/><Relationship Type="http://schemas.openxmlformats.org/officeDocument/2006/relationships/hyperlink" Target="https://vanillabonds.com/dossier-data/pdf/katjes/katjes-2023-annual-report.pdf#page=31" TargetMode="External" Id="rId71"/><Relationship Type="http://schemas.openxmlformats.org/officeDocument/2006/relationships/hyperlink" Target="https://vanillabonds.com/dossier.html?c=katjes&amp;viewer=1&amp;item=F036" TargetMode="External" Id="rId72"/><Relationship Type="http://schemas.openxmlformats.org/officeDocument/2006/relationships/hyperlink" Target="https://vanillabonds.com/dossier-data/pdf/katjes/katjes-2023-annual-report.pdf#page=33" TargetMode="External" Id="rId73"/><Relationship Type="http://schemas.openxmlformats.org/officeDocument/2006/relationships/hyperlink" Target="https://vanillabonds.com/dossier.html?c=katjes&amp;viewer=1&amp;item=F037" TargetMode="External" Id="rId74"/><Relationship Type="http://schemas.openxmlformats.org/officeDocument/2006/relationships/hyperlink" Target="https://vanillabonds.com/dossier-data/pdf/katjes/katjes-2023-annual-report.pdf#page=85" TargetMode="External" Id="rId75"/><Relationship Type="http://schemas.openxmlformats.org/officeDocument/2006/relationships/hyperlink" Target="https://vanillabonds.com/dossier.html?c=katjes&amp;viewer=1&amp;item=F038" TargetMode="External" Id="rId76"/><Relationship Type="http://schemas.openxmlformats.org/officeDocument/2006/relationships/hyperlink" Target="https://vanillabonds.com/dossier-data/pdf/katjes/katjes-2023-annual-report.pdf#page=85" TargetMode="External" Id="rId77"/><Relationship Type="http://schemas.openxmlformats.org/officeDocument/2006/relationships/hyperlink" Target="https://vanillabonds.com/dossier.html?c=katjes&amp;viewer=1&amp;item=F039" TargetMode="External" Id="rId78"/><Relationship Type="http://schemas.openxmlformats.org/officeDocument/2006/relationships/hyperlink" Target="https://vanillabonds.com/dossier-data/pdf/katjes/katjes-2023-annual-report.pdf#page=7" TargetMode="External" Id="rId79"/><Relationship Type="http://schemas.openxmlformats.org/officeDocument/2006/relationships/hyperlink" Target="https://vanillabonds.com/dossier.html?c=katjes&amp;viewer=1&amp;item=F040" TargetMode="External" Id="rId80"/><Relationship Type="http://schemas.openxmlformats.org/officeDocument/2006/relationships/hyperlink" Target="https://vanillabonds.com/dossier-data/pdf/katjes/katjes-2023-annual-report.pdf#page=7" TargetMode="External" Id="rId81"/><Relationship Type="http://schemas.openxmlformats.org/officeDocument/2006/relationships/hyperlink" Target="https://vanillabonds.com/dossier.html?c=katjes&amp;viewer=1&amp;item=F041" TargetMode="External" Id="rId82"/><Relationship Type="http://schemas.openxmlformats.org/officeDocument/2006/relationships/hyperlink" Target="https://vanillabonds.com/dossier-data/pdf/katjes/katjes-2023-annual-report.pdf#page=7" TargetMode="External" Id="rId83"/><Relationship Type="http://schemas.openxmlformats.org/officeDocument/2006/relationships/hyperlink" Target="https://vanillabonds.com/dossier.html?c=katjes&amp;viewer=1&amp;item=F042" TargetMode="External" Id="rId84"/><Relationship Type="http://schemas.openxmlformats.org/officeDocument/2006/relationships/hyperlink" Target="https://vanillabonds.com/dossier-data/pdf/katjes/katjes-2023-annual-report.pdf#page=43" TargetMode="External" Id="rId85"/><Relationship Type="http://schemas.openxmlformats.org/officeDocument/2006/relationships/hyperlink" Target="https://vanillabonds.com/dossier.html?c=katjes&amp;viewer=1&amp;item=F043" TargetMode="External" Id="rId86"/><Relationship Type="http://schemas.openxmlformats.org/officeDocument/2006/relationships/hyperlink" Target="https://vanillabonds.com/dossier-data/pdf/katjes/katjes-2023-annual-report.pdf#page=43" TargetMode="External" Id="rId87"/><Relationship Type="http://schemas.openxmlformats.org/officeDocument/2006/relationships/hyperlink" Target="https://vanillabonds.com/dossier.html?c=katjes&amp;viewer=1&amp;item=F044" TargetMode="External" Id="rId88"/><Relationship Type="http://schemas.openxmlformats.org/officeDocument/2006/relationships/hyperlink" Target="https://vanillabonds.com/dossier-data/pdf/katjes/katjes-2023-annual-report.pdf#page=41" TargetMode="External" Id="rId89"/><Relationship Type="http://schemas.openxmlformats.org/officeDocument/2006/relationships/hyperlink" Target="https://vanillabonds.com/dossier.html?c=katjes&amp;viewer=1&amp;item=F045" TargetMode="External" Id="rId90"/><Relationship Type="http://schemas.openxmlformats.org/officeDocument/2006/relationships/hyperlink" Target="https://vanillabonds.com/dossier-data/pdf/katjes/katjes-2023-annual-report.pdf#page=7" TargetMode="External" Id="rId91"/><Relationship Type="http://schemas.openxmlformats.org/officeDocument/2006/relationships/hyperlink" Target="https://vanillabonds.com/dossier.html?c=katjes&amp;viewer=1&amp;item=F046" TargetMode="External" Id="rId92"/><Relationship Type="http://schemas.openxmlformats.org/officeDocument/2006/relationships/hyperlink" Target="https://vanillabonds.com/dossier-data/pdf/katjes/katjes-2023-annual-report.pdf#page=7" TargetMode="External" Id="rId93"/><Relationship Type="http://schemas.openxmlformats.org/officeDocument/2006/relationships/hyperlink" Target="https://vanillabonds.com/dossier.html?c=katjes&amp;viewer=1&amp;item=F047" TargetMode="External" Id="rId94"/><Relationship Type="http://schemas.openxmlformats.org/officeDocument/2006/relationships/hyperlink" Target="https://vanillabonds.com/dossier-data/pdf/katjes/katjes-2023-annual-report.pdf#page=7" TargetMode="External" Id="rId95"/><Relationship Type="http://schemas.openxmlformats.org/officeDocument/2006/relationships/hyperlink" Target="https://vanillabonds.com/dossier.html?c=katjes&amp;viewer=1&amp;item=F048" TargetMode="External" Id="rId96"/><Relationship Type="http://schemas.openxmlformats.org/officeDocument/2006/relationships/hyperlink" Target="https://vanillabonds.com/dossier-data/pdf/katjes/katjes-2023-annual-report.pdf#page=32" TargetMode="External" Id="rId97"/><Relationship Type="http://schemas.openxmlformats.org/officeDocument/2006/relationships/hyperlink" Target="https://vanillabonds.com/dossier.html?c=katjes&amp;viewer=1&amp;item=F049" TargetMode="External" Id="rId98"/><Relationship Type="http://schemas.openxmlformats.org/officeDocument/2006/relationships/hyperlink" Target="https://vanillabonds.com/dossier-data/pdf/katjes/katjes-2023-annual-report.pdf#page=32" TargetMode="External" Id="rId99"/><Relationship Type="http://schemas.openxmlformats.org/officeDocument/2006/relationships/hyperlink" Target="https://vanillabonds.com/dossier.html?c=katjes&amp;viewer=1&amp;item=F050" TargetMode="External" Id="rId100"/><Relationship Type="http://schemas.openxmlformats.org/officeDocument/2006/relationships/hyperlink" Target="https://vanillabonds.com/dossier-data/pdf/katjes/katjes-2023-annual-report.pdf#page=41" TargetMode="External" Id="rId101"/><Relationship Type="http://schemas.openxmlformats.org/officeDocument/2006/relationships/hyperlink" Target="https://vanillabonds.com/dossier.html?c=katjes&amp;viewer=1&amp;item=F051" TargetMode="External" Id="rId102"/><Relationship Type="http://schemas.openxmlformats.org/officeDocument/2006/relationships/hyperlink" Target="https://vanillabonds.com/dossier-data/pdf/katjes/katjes-2023-annual-report.pdf#page=43" TargetMode="External" Id="rId103"/><Relationship Type="http://schemas.openxmlformats.org/officeDocument/2006/relationships/hyperlink" Target="https://vanillabonds.com/dossier.html?c=katjes&amp;viewer=1&amp;item=F052" TargetMode="External" Id="rId104"/><Relationship Type="http://schemas.openxmlformats.org/officeDocument/2006/relationships/hyperlink" Target="https://vanillabonds.com/dossier-data/pdf/katjes/katjes-2023-annual-report.pdf#page=43" TargetMode="External" Id="rId105"/><Relationship Type="http://schemas.openxmlformats.org/officeDocument/2006/relationships/hyperlink" Target="https://vanillabonds.com/dossier.html?c=katjes&amp;viewer=1&amp;item=F053" TargetMode="External" Id="rId106"/><Relationship Type="http://schemas.openxmlformats.org/officeDocument/2006/relationships/hyperlink" Target="https://vanillabonds.com/dossier-data/pdf/katjes/katjes-2023-annual-report.pdf#page=43" TargetMode="External" Id="rId107"/><Relationship Type="http://schemas.openxmlformats.org/officeDocument/2006/relationships/hyperlink" Target="https://vanillabonds.com/dossier.html?c=katjes&amp;viewer=1&amp;item=F054" TargetMode="External" Id="rId108"/><Relationship Type="http://schemas.openxmlformats.org/officeDocument/2006/relationships/hyperlink" Target="https://vanillabonds.com/dossier-data/pdf/katjes/katjes-2023-annual-report.pdf#page=43" TargetMode="External" Id="rId109"/><Relationship Type="http://schemas.openxmlformats.org/officeDocument/2006/relationships/hyperlink" Target="https://vanillabonds.com/dossier.html?c=katjes&amp;viewer=1&amp;item=F055" TargetMode="External" Id="rId110"/><Relationship Type="http://schemas.openxmlformats.org/officeDocument/2006/relationships/hyperlink" Target="https://vanillabonds.com/dossier-data/pdf/katjes/katjes-2023-annual-report.pdf#page=78" TargetMode="External" Id="rId111"/><Relationship Type="http://schemas.openxmlformats.org/officeDocument/2006/relationships/hyperlink" Target="https://vanillabonds.com/dossier.html?c=katjes&amp;viewer=1&amp;item=F056" TargetMode="External" Id="rId112"/><Relationship Type="http://schemas.openxmlformats.org/officeDocument/2006/relationships/hyperlink" Target="https://vanillabonds.com/dossier-data/pdf/katjes/katjes-2023-annual-report.pdf#page=78" TargetMode="External" Id="rId113"/><Relationship Type="http://schemas.openxmlformats.org/officeDocument/2006/relationships/hyperlink" Target="https://vanillabonds.com/dossier.html?c=katjes&amp;viewer=1&amp;item=F057" TargetMode="External" Id="rId114"/><Relationship Type="http://schemas.openxmlformats.org/officeDocument/2006/relationships/hyperlink" Target="https://vanillabonds.com/dossier-data/pdf/katjes/katjes-2023-annual-report.pdf#page=43" TargetMode="External" Id="rId115"/><Relationship Type="http://schemas.openxmlformats.org/officeDocument/2006/relationships/hyperlink" Target="https://vanillabonds.com/dossier.html?c=katjes&amp;viewer=1&amp;item=F058" TargetMode="External" Id="rId116"/><Relationship Type="http://schemas.openxmlformats.org/officeDocument/2006/relationships/hyperlink" Target="https://vanillabonds.com/dossier-data/pdf/katjes/katjes-2023-annual-report.pdf#page=43" TargetMode="External" Id="rId117"/><Relationship Type="http://schemas.openxmlformats.org/officeDocument/2006/relationships/hyperlink" Target="https://vanillabonds.com/dossier.html?c=katjes&amp;viewer=1&amp;item=F059" TargetMode="External" Id="rId118"/><Relationship Type="http://schemas.openxmlformats.org/officeDocument/2006/relationships/hyperlink" Target="https://vanillabonds.com/dossier-data/pdf/katjes/katjes-2023-annual-report.pdf#page=48" TargetMode="External" Id="rId119"/><Relationship Type="http://schemas.openxmlformats.org/officeDocument/2006/relationships/hyperlink" Target="https://vanillabonds.com/dossier.html?c=katjes&amp;viewer=1&amp;item=F060" TargetMode="External" Id="rId120"/><Relationship Type="http://schemas.openxmlformats.org/officeDocument/2006/relationships/hyperlink" Target="https://vanillabonds.com/dossier-data/pdf/katjes/katjes-2023-annual-report.pdf#page=48" TargetMode="External" Id="rId121"/><Relationship Type="http://schemas.openxmlformats.org/officeDocument/2006/relationships/hyperlink" Target="https://vanillabonds.com/dossier.html?c=katjes&amp;viewer=1&amp;item=F061" TargetMode="External" Id="rId122"/><Relationship Type="http://schemas.openxmlformats.org/officeDocument/2006/relationships/hyperlink" Target="https://vanillabonds.com/dossier-data/pdf/katjes/katjes-2023-annual-report.pdf#page=89" TargetMode="External" Id="rId123"/><Relationship Type="http://schemas.openxmlformats.org/officeDocument/2006/relationships/hyperlink" Target="https://vanillabonds.com/dossier.html?c=katjes&amp;viewer=1&amp;item=F062" TargetMode="External" Id="rId124"/><Relationship Type="http://schemas.openxmlformats.org/officeDocument/2006/relationships/hyperlink" Target="https://vanillabonds.com/dossier-data/pdf/katjes/katjes-2023-annual-report.pdf#page=88" TargetMode="External" Id="rId125"/><Relationship Type="http://schemas.openxmlformats.org/officeDocument/2006/relationships/hyperlink" Target="https://vanillabonds.com/dossier.html?c=katjes&amp;viewer=1&amp;item=F063" TargetMode="External" Id="rId126"/><Relationship Type="http://schemas.openxmlformats.org/officeDocument/2006/relationships/hyperlink" Target="https://vanillabonds.com/dossier-data/pdf/katjes/katjes-2023-annual-report.pdf#page=45" TargetMode="External" Id="rId127"/><Relationship Type="http://schemas.openxmlformats.org/officeDocument/2006/relationships/hyperlink" Target="https://vanillabonds.com/dossier.html?c=katjes&amp;viewer=1&amp;item=F064" TargetMode="External" Id="rId128"/><Relationship Type="http://schemas.openxmlformats.org/officeDocument/2006/relationships/hyperlink" Target="https://vanillabonds.com/dossier-data/pdf/katjes/katjes-2023-annual-report.pdf#page=45" TargetMode="External" Id="rId129"/><Relationship Type="http://schemas.openxmlformats.org/officeDocument/2006/relationships/hyperlink" Target="https://vanillabonds.com/dossier.html?c=katjes&amp;viewer=1&amp;item=F065" TargetMode="External" Id="rId130"/><Relationship Type="http://schemas.openxmlformats.org/officeDocument/2006/relationships/hyperlink" Target="https://vanillabonds.com/dossier-data/pdf/katjes/katjes-2023-annual-report.pdf#page=72" TargetMode="External" Id="rId131"/><Relationship Type="http://schemas.openxmlformats.org/officeDocument/2006/relationships/hyperlink" Target="https://vanillabonds.com/dossier.html?c=katjes&amp;viewer=1&amp;item=F066" TargetMode="External" Id="rId132"/><Relationship Type="http://schemas.openxmlformats.org/officeDocument/2006/relationships/hyperlink" Target="https://vanillabonds.com/dossier-data/pdf/katjes/katjes-2023-annual-report.pdf#page=72" TargetMode="External" Id="rId133"/><Relationship Type="http://schemas.openxmlformats.org/officeDocument/2006/relationships/hyperlink" Target="https://vanillabonds.com/dossier.html?c=katjes&amp;viewer=1&amp;item=F067" TargetMode="External" Id="rId134"/><Relationship Type="http://schemas.openxmlformats.org/officeDocument/2006/relationships/hyperlink" Target="https://vanillabonds.com/dossier-data/pdf/katjes/katjes-2023-annual-report.pdf#page=83" TargetMode="External" Id="rId135"/><Relationship Type="http://schemas.openxmlformats.org/officeDocument/2006/relationships/hyperlink" Target="https://vanillabonds.com/dossier.html?c=katjes&amp;viewer=1&amp;item=F068" TargetMode="External" Id="rId136"/><Relationship Type="http://schemas.openxmlformats.org/officeDocument/2006/relationships/hyperlink" Target="https://vanillabonds.com/dossier-data/pdf/katjes/katjes-2023-annual-report.pdf#page=83" TargetMode="External" Id="rId137"/><Relationship Type="http://schemas.openxmlformats.org/officeDocument/2006/relationships/hyperlink" Target="https://vanillabonds.com/dossier.html?c=katjes&amp;viewer=1&amp;item=F069" TargetMode="External" Id="rId138"/><Relationship Type="http://schemas.openxmlformats.org/officeDocument/2006/relationships/hyperlink" Target="https://vanillabonds.com/dossier-data/pdf/katjes/katjes-2023-annual-report.pdf#page=64" TargetMode="External" Id="rId139"/><Relationship Type="http://schemas.openxmlformats.org/officeDocument/2006/relationships/hyperlink" Target="https://vanillabonds.com/dossier.html?c=katjes&amp;viewer=1&amp;item=F070" TargetMode="External" Id="rId140"/><Relationship Type="http://schemas.openxmlformats.org/officeDocument/2006/relationships/hyperlink" Target="https://vanillabonds.com/dossier-data/pdf/katjes/katjes-2023-annual-report.pdf#page=64" TargetMode="External" Id="rId141"/><Relationship Type="http://schemas.openxmlformats.org/officeDocument/2006/relationships/hyperlink" Target="https://vanillabonds.com/dossier.html?c=katjes&amp;viewer=1&amp;item=F071" TargetMode="External" Id="rId142"/><Relationship Type="http://schemas.openxmlformats.org/officeDocument/2006/relationships/hyperlink" Target="https://vanillabonds.com/dossier-data/pdf/katjes/katjes-2023-annual-report.pdf#page=8" TargetMode="External" Id="rId143"/><Relationship Type="http://schemas.openxmlformats.org/officeDocument/2006/relationships/hyperlink" Target="https://vanillabonds.com/dossier.html?c=katjes&amp;viewer=1&amp;item=F072" TargetMode="External" Id="rId144"/><Relationship Type="http://schemas.openxmlformats.org/officeDocument/2006/relationships/hyperlink" Target="https://vanillabonds.com/dossier-data/pdf/katjes/katjes-2023-annual-report.pdf#page=8" TargetMode="External" Id="rId145"/><Relationship Type="http://schemas.openxmlformats.org/officeDocument/2006/relationships/hyperlink" Target="https://vanillabonds.com/dossier.html?c=katjes&amp;viewer=1&amp;item=F073" TargetMode="External" Id="rId146"/><Relationship Type="http://schemas.openxmlformats.org/officeDocument/2006/relationships/hyperlink" Target="https://vanillabonds.com/dossier-data/pdf/katjes/katjes-2023-annual-report.pdf#page=47" TargetMode="External" Id="rId147"/><Relationship Type="http://schemas.openxmlformats.org/officeDocument/2006/relationships/hyperlink" Target="https://vanillabonds.com/dossier.html?c=katjes&amp;viewer=1&amp;item=F074" TargetMode="External" Id="rId148"/><Relationship Type="http://schemas.openxmlformats.org/officeDocument/2006/relationships/hyperlink" Target="https://vanillabonds.com/dossier-data/pdf/katjes/katjes-2023-annual-report.pdf#page=46" TargetMode="External" Id="rId149"/><Relationship Type="http://schemas.openxmlformats.org/officeDocument/2006/relationships/hyperlink" Target="https://vanillabonds.com/dossier.html?c=katjes&amp;viewer=1&amp;item=F075" TargetMode="External" Id="rId150"/><Relationship Type="http://schemas.openxmlformats.org/officeDocument/2006/relationships/hyperlink" Target="https://vanillabonds.com/dossier-data/pdf/katjes/katjes-2023-annual-report.pdf#page=46" TargetMode="External" Id="rId151"/><Relationship Type="http://schemas.openxmlformats.org/officeDocument/2006/relationships/hyperlink" Target="https://vanillabonds.com/dossier.html?c=katjes&amp;viewer=1&amp;item=F076" TargetMode="External" Id="rId152"/><Relationship Type="http://schemas.openxmlformats.org/officeDocument/2006/relationships/hyperlink" Target="https://vanillabonds.com/dossier-data/pdf/katjes/katjes-2023-annual-report.pdf#page=45" TargetMode="External" Id="rId153"/><Relationship Type="http://schemas.openxmlformats.org/officeDocument/2006/relationships/hyperlink" Target="https://vanillabonds.com/dossier.html?c=katjes&amp;viewer=1&amp;item=F077" TargetMode="External" Id="rId154"/><Relationship Type="http://schemas.openxmlformats.org/officeDocument/2006/relationships/hyperlink" Target="https://vanillabonds.com/dossier-data/pdf/katjes/katjes-2023-annual-report.pdf#page=45" TargetMode="External" Id="rId155"/><Relationship Type="http://schemas.openxmlformats.org/officeDocument/2006/relationships/hyperlink" Target="https://vanillabonds.com/dossier.html?c=katjes&amp;viewer=1&amp;item=F078" TargetMode="External" Id="rId156"/><Relationship Type="http://schemas.openxmlformats.org/officeDocument/2006/relationships/hyperlink" Target="https://vanillabonds.com/dossier-data/pdf/katjes/katjes-2023-annual-report.pdf#page=64" TargetMode="External" Id="rId157"/><Relationship Type="http://schemas.openxmlformats.org/officeDocument/2006/relationships/hyperlink" Target="https://vanillabonds.com/dossier.html?c=katjes&amp;viewer=1&amp;item=F079" TargetMode="External" Id="rId158"/><Relationship Type="http://schemas.openxmlformats.org/officeDocument/2006/relationships/hyperlink" Target="https://vanillabonds.com/dossier-data/pdf/katjes/katjes-2023-annual-report.pdf#page=64" TargetMode="External" Id="rId159"/><Relationship Type="http://schemas.openxmlformats.org/officeDocument/2006/relationships/hyperlink" Target="https://vanillabonds.com/dossier.html?c=katjes&amp;viewer=1&amp;item=F080" TargetMode="External" Id="rId160"/><Relationship Type="http://schemas.openxmlformats.org/officeDocument/2006/relationships/hyperlink" Target="https://vanillabonds.com/dossier-data/pdf/katjes/katjes-2023-annual-report.pdf#page=64" TargetMode="External" Id="rId161"/><Relationship Type="http://schemas.openxmlformats.org/officeDocument/2006/relationships/hyperlink" Target="https://vanillabonds.com/dossier.html?c=katjes&amp;viewer=1&amp;item=F081" TargetMode="External" Id="rId162"/><Relationship Type="http://schemas.openxmlformats.org/officeDocument/2006/relationships/hyperlink" Target="https://vanillabonds.com/dossier-data/pdf/katjes/katjes-2023-annual-report.pdf#page=69" TargetMode="External" Id="rId163"/><Relationship Type="http://schemas.openxmlformats.org/officeDocument/2006/relationships/hyperlink" Target="https://vanillabonds.com/dossier.html?c=katjes&amp;viewer=1&amp;item=F082" TargetMode="External" Id="rId164"/><Relationship Type="http://schemas.openxmlformats.org/officeDocument/2006/relationships/hyperlink" Target="https://vanillabonds.com/dossier-data/pdf/katjes/katjes-2023-annual-report.pdf#page=69" TargetMode="External" Id="rId165"/><Relationship Type="http://schemas.openxmlformats.org/officeDocument/2006/relationships/hyperlink" Target="https://vanillabonds.com/dossier.html?c=katjes&amp;viewer=1&amp;item=F083" TargetMode="External" Id="rId166"/><Relationship Type="http://schemas.openxmlformats.org/officeDocument/2006/relationships/hyperlink" Target="https://vanillabonds.com/dossier-data/pdf/katjes/katjes-2023-annual-report.pdf#page=69" TargetMode="External" Id="rId167"/><Relationship Type="http://schemas.openxmlformats.org/officeDocument/2006/relationships/hyperlink" Target="https://vanillabonds.com/dossier.html?c=katjes&amp;viewer=1&amp;item=F084" TargetMode="External" Id="rId168"/><Relationship Type="http://schemas.openxmlformats.org/officeDocument/2006/relationships/hyperlink" Target="https://vanillabonds.com/dossier-data/pdf/katjes/katjes-2023-annual-report.pdf#page=69" TargetMode="External" Id="rId169"/><Relationship Type="http://schemas.openxmlformats.org/officeDocument/2006/relationships/hyperlink" Target="https://vanillabonds.com/dossier.html?c=katjes&amp;viewer=1&amp;item=F085" TargetMode="External" Id="rId170"/><Relationship Type="http://schemas.openxmlformats.org/officeDocument/2006/relationships/hyperlink" Target="https://vanillabonds.com/dossier-data/pdf/katjes/katjes-2023-annual-report.pdf#page=69" TargetMode="External" Id="rId171"/><Relationship Type="http://schemas.openxmlformats.org/officeDocument/2006/relationships/hyperlink" Target="https://vanillabonds.com/dossier.html?c=katjes&amp;viewer=1&amp;item=F086" TargetMode="External" Id="rId172"/><Relationship Type="http://schemas.openxmlformats.org/officeDocument/2006/relationships/hyperlink" Target="https://vanillabonds.com/dossier-data/pdf/katjes/katjes-2023-annual-report.pdf#page=69" TargetMode="External" Id="rId173"/><Relationship Type="http://schemas.openxmlformats.org/officeDocument/2006/relationships/hyperlink" Target="https://vanillabonds.com/dossier.html?c=katjes&amp;viewer=1&amp;item=F087" TargetMode="External" Id="rId174"/><Relationship Type="http://schemas.openxmlformats.org/officeDocument/2006/relationships/hyperlink" Target="https://vanillabonds.com/dossier-data/pdf/katjes/katjes-2023-annual-report.pdf#page=69" TargetMode="External" Id="rId175"/><Relationship Type="http://schemas.openxmlformats.org/officeDocument/2006/relationships/hyperlink" Target="https://vanillabonds.com/dossier.html?c=katjes&amp;viewer=1&amp;item=F088" TargetMode="External" Id="rId176"/><Relationship Type="http://schemas.openxmlformats.org/officeDocument/2006/relationships/hyperlink" Target="https://vanillabonds.com/dossier-data/pdf/katjes/katjes-2023-annual-report.pdf#page=69" TargetMode="External" Id="rId177"/><Relationship Type="http://schemas.openxmlformats.org/officeDocument/2006/relationships/hyperlink" Target="https://vanillabonds.com/dossier.html?c=katjes&amp;viewer=1&amp;item=F089" TargetMode="External" Id="rId178"/><Relationship Type="http://schemas.openxmlformats.org/officeDocument/2006/relationships/hyperlink" Target="https://vanillabonds.com/dossier-data/pdf/katjes/katjes-2023-annual-report.pdf#page=69" TargetMode="External" Id="rId179"/><Relationship Type="http://schemas.openxmlformats.org/officeDocument/2006/relationships/hyperlink" Target="https://vanillabonds.com/dossier.html?c=katjes&amp;viewer=1&amp;item=F090" TargetMode="External" Id="rId180"/><Relationship Type="http://schemas.openxmlformats.org/officeDocument/2006/relationships/hyperlink" Target="https://vanillabonds.com/dossier-data/pdf/katjes/katjes-2023-annual-report.pdf#page=69" TargetMode="External" Id="rId181"/><Relationship Type="http://schemas.openxmlformats.org/officeDocument/2006/relationships/hyperlink" Target="https://vanillabonds.com/dossier.html?c=katjes&amp;viewer=1&amp;item=F091" TargetMode="External" Id="rId182"/><Relationship Type="http://schemas.openxmlformats.org/officeDocument/2006/relationships/hyperlink" Target="https://vanillabonds.com/dossier-data/pdf/katjes/katjes-2023-annual-report.pdf#page=69" TargetMode="External" Id="rId183"/><Relationship Type="http://schemas.openxmlformats.org/officeDocument/2006/relationships/hyperlink" Target="https://vanillabonds.com/dossier.html?c=katjes&amp;viewer=1&amp;item=F092" TargetMode="External" Id="rId184"/><Relationship Type="http://schemas.openxmlformats.org/officeDocument/2006/relationships/hyperlink" Target="https://vanillabonds.com/dossier-data/pdf/katjes/katjes-2023-annual-report.pdf#page=72" TargetMode="External" Id="rId185"/><Relationship Type="http://schemas.openxmlformats.org/officeDocument/2006/relationships/hyperlink" Target="https://vanillabonds.com/dossier.html?c=katjes&amp;viewer=1&amp;item=F093" TargetMode="External" Id="rId186"/><Relationship Type="http://schemas.openxmlformats.org/officeDocument/2006/relationships/hyperlink" Target="https://vanillabonds.com/dossier-data/pdf/katjes/katjes-2023-annual-report.pdf#page=38" TargetMode="External" Id="rId187"/><Relationship Type="http://schemas.openxmlformats.org/officeDocument/2006/relationships/hyperlink" Target="https://vanillabonds.com/dossier.html?c=katjes&amp;viewer=1&amp;item=F094" TargetMode="External" Id="rId188"/><Relationship Type="http://schemas.openxmlformats.org/officeDocument/2006/relationships/hyperlink" Target="https://vanillabonds.com/dossier-data/pdf/katjes/katjes-2023-annual-report.pdf#page=38" TargetMode="External" Id="rId189"/><Relationship Type="http://schemas.openxmlformats.org/officeDocument/2006/relationships/hyperlink" Target="https://vanillabonds.com/dossier.html?c=katjes&amp;viewer=1&amp;item=F095" TargetMode="External" Id="rId190"/><Relationship Type="http://schemas.openxmlformats.org/officeDocument/2006/relationships/hyperlink" Target="https://vanillabonds.com/dossier-data/pdf/katjes/katjes-2023-annual-report.pdf#page=38" TargetMode="External" Id="rId191"/><Relationship Type="http://schemas.openxmlformats.org/officeDocument/2006/relationships/hyperlink" Target="https://vanillabonds.com/dossier.html?c=katjes&amp;viewer=1&amp;item=F096" TargetMode="External" Id="rId192"/><Relationship Type="http://schemas.openxmlformats.org/officeDocument/2006/relationships/hyperlink" Target="https://vanillabonds.com/dossier-data/pdf/katjes/katjes-2023-annual-report.pdf#page=38" TargetMode="External" Id="rId193"/><Relationship Type="http://schemas.openxmlformats.org/officeDocument/2006/relationships/hyperlink" Target="https://vanillabonds.com/dossier.html?c=katjes&amp;viewer=1&amp;item=F097" TargetMode="External" Id="rId194"/><Relationship Type="http://schemas.openxmlformats.org/officeDocument/2006/relationships/hyperlink" Target="https://vanillabonds.com/dossier-data/pdf/katjes/katjes-2023-annual-report.pdf#page=38" TargetMode="External" Id="rId195"/><Relationship Type="http://schemas.openxmlformats.org/officeDocument/2006/relationships/hyperlink" Target="https://vanillabonds.com/dossier.html?c=katjes&amp;viewer=1&amp;item=F098" TargetMode="External" Id="rId196"/><Relationship Type="http://schemas.openxmlformats.org/officeDocument/2006/relationships/hyperlink" Target="https://vanillabonds.com/dossier-data/pdf/katjes/katjes-2023-annual-report.pdf#page=38" TargetMode="External" Id="rId197"/><Relationship Type="http://schemas.openxmlformats.org/officeDocument/2006/relationships/hyperlink" Target="https://vanillabonds.com/dossier.html?c=katjes&amp;viewer=1&amp;item=F099" TargetMode="External" Id="rId198"/><Relationship Type="http://schemas.openxmlformats.org/officeDocument/2006/relationships/hyperlink" Target="https://vanillabonds.com/dossier-data/pdf/katjes/katjes-2023-annual-report.pdf#page=38" TargetMode="External" Id="rId199"/><Relationship Type="http://schemas.openxmlformats.org/officeDocument/2006/relationships/hyperlink" Target="https://vanillabonds.com/dossier.html?c=katjes&amp;viewer=1&amp;item=F100" TargetMode="External" Id="rId200"/><Relationship Type="http://schemas.openxmlformats.org/officeDocument/2006/relationships/hyperlink" Target="https://vanillabonds.com/dossier-data/pdf/katjes/katjes-2023-annual-report.pdf#page=39" TargetMode="External" Id="rId201"/><Relationship Type="http://schemas.openxmlformats.org/officeDocument/2006/relationships/hyperlink" Target="https://vanillabonds.com/dossier.html?c=katjes&amp;viewer=1&amp;item=F101" TargetMode="External" Id="rId202"/><Relationship Type="http://schemas.openxmlformats.org/officeDocument/2006/relationships/hyperlink" Target="https://vanillabonds.com/dossier-data/pdf/katjes/katjes-2023-annual-report.pdf#page=39" TargetMode="External" Id="rId203"/><Relationship Type="http://schemas.openxmlformats.org/officeDocument/2006/relationships/hyperlink" Target="https://vanillabonds.com/dossier.html?c=katjes&amp;viewer=1&amp;item=F102" TargetMode="External" Id="rId204"/><Relationship Type="http://schemas.openxmlformats.org/officeDocument/2006/relationships/hyperlink" Target="https://vanillabonds.com/dossier-data/pdf/katjes/katjes-2023-annual-report.pdf#page=39" TargetMode="External" Id="rId205"/><Relationship Type="http://schemas.openxmlformats.org/officeDocument/2006/relationships/hyperlink" Target="https://vanillabonds.com/dossier.html?c=katjes&amp;viewer=1&amp;item=F103" TargetMode="External" Id="rId206"/><Relationship Type="http://schemas.openxmlformats.org/officeDocument/2006/relationships/hyperlink" Target="https://vanillabonds.com/dossier-data/pdf/katjes/katjes-2023-annual-report.pdf#page=48" TargetMode="External" Id="rId207"/><Relationship Type="http://schemas.openxmlformats.org/officeDocument/2006/relationships/hyperlink" Target="https://vanillabonds.com/dossier.html?c=katjes&amp;viewer=1&amp;item=F104" TargetMode="External" Id="rId208"/><Relationship Type="http://schemas.openxmlformats.org/officeDocument/2006/relationships/hyperlink" Target="https://vanillabonds.com/dossier-data/pdf/katjes/katjes-2023-annual-report.pdf#page=53" TargetMode="External" Id="rId209"/><Relationship Type="http://schemas.openxmlformats.org/officeDocument/2006/relationships/hyperlink" Target="https://vanillabonds.com/dossier.html?c=katjes&amp;viewer=1&amp;item=F105" TargetMode="External" Id="rId210"/><Relationship Type="http://schemas.openxmlformats.org/officeDocument/2006/relationships/hyperlink" Target="https://vanillabonds.com/dossier-data/pdf/katjes/katjes-2023-annual-report.pdf#page=61" TargetMode="External" Id="rId211"/><Relationship Type="http://schemas.openxmlformats.org/officeDocument/2006/relationships/hyperlink" Target="https://vanillabonds.com/dossier.html?c=katjes&amp;viewer=1&amp;item=F106" TargetMode="External" Id="rId212"/><Relationship Type="http://schemas.openxmlformats.org/officeDocument/2006/relationships/hyperlink" Target="https://vanillabonds.com/dossier-data/pdf/katjes/katjes-2023-annual-report.pdf#page=61" TargetMode="External" Id="rId213"/><Relationship Type="http://schemas.openxmlformats.org/officeDocument/2006/relationships/hyperlink" Target="https://vanillabonds.com/dossier.html?c=katjes&amp;viewer=1&amp;item=F107" TargetMode="External" Id="rId214"/><Relationship Type="http://schemas.openxmlformats.org/officeDocument/2006/relationships/hyperlink" Target="https://vanillabonds.com/dossier-data/pdf/katjes/katjes-2023-annual-report.pdf#page=61" TargetMode="External" Id="rId215"/><Relationship Type="http://schemas.openxmlformats.org/officeDocument/2006/relationships/hyperlink" Target="https://vanillabonds.com/dossier.html?c=katjes&amp;viewer=1&amp;item=F108" TargetMode="External" Id="rId216"/><Relationship Type="http://schemas.openxmlformats.org/officeDocument/2006/relationships/hyperlink" Target="https://vanillabonds.com/dossier-data/pdf/katjes/katjes-2023-annual-report.pdf#page=63" TargetMode="External" Id="rId217"/><Relationship Type="http://schemas.openxmlformats.org/officeDocument/2006/relationships/hyperlink" Target="https://vanillabonds.com/dossier.html?c=katjes&amp;viewer=1&amp;item=F109" TargetMode="External" Id="rId218"/><Relationship Type="http://schemas.openxmlformats.org/officeDocument/2006/relationships/hyperlink" Target="https://vanillabonds.com/dossier-data/pdf/katjes/katjes-2023-annual-report.pdf#page=70" TargetMode="External" Id="rId219"/><Relationship Type="http://schemas.openxmlformats.org/officeDocument/2006/relationships/hyperlink" Target="https://vanillabonds.com/dossier.html?c=katjes&amp;viewer=1&amp;item=F110" TargetMode="External" Id="rId220"/><Relationship Type="http://schemas.openxmlformats.org/officeDocument/2006/relationships/hyperlink" Target="https://vanillabonds.com/dossier-data/pdf/katjes/katjes-2023-annual-report.pdf#page=6" TargetMode="External" Id="rId221"/><Relationship Type="http://schemas.openxmlformats.org/officeDocument/2006/relationships/hyperlink" Target="https://vanillabonds.com/dossier.html?c=katjes&amp;viewer=1&amp;item=F111" TargetMode="External" Id="rId222"/><Relationship Type="http://schemas.openxmlformats.org/officeDocument/2006/relationships/hyperlink" Target="https://vanillabonds.com/dossier-data/pdf/katjes/katjes-2023-annual-report.pdf#page=6" TargetMode="External" Id="rId223"/><Relationship Type="http://schemas.openxmlformats.org/officeDocument/2006/relationships/hyperlink" Target="https://vanillabonds.com/dossier.html?c=katjes&amp;viewer=1&amp;item=F112" TargetMode="External" Id="rId224"/><Relationship Type="http://schemas.openxmlformats.org/officeDocument/2006/relationships/hyperlink" Target="https://vanillabonds.com/dossier-data/pdf/katjes/katjes-2023-annual-report.pdf#page=6" TargetMode="External" Id="rId225"/><Relationship Type="http://schemas.openxmlformats.org/officeDocument/2006/relationships/hyperlink" Target="https://vanillabonds.com/dossier.html?c=katjes&amp;viewer=1&amp;item=F113" TargetMode="External" Id="rId226"/><Relationship Type="http://schemas.openxmlformats.org/officeDocument/2006/relationships/hyperlink" Target="https://vanillabonds.com/dossier-data/pdf/katjes/katjes-2023-annual-report.pdf#page=41" TargetMode="External" Id="rId227"/><Relationship Type="http://schemas.openxmlformats.org/officeDocument/2006/relationships/hyperlink" Target="https://vanillabonds.com/dossier.html?c=katjes&amp;viewer=1&amp;item=F114" TargetMode="External" Id="rId228"/><Relationship Type="http://schemas.openxmlformats.org/officeDocument/2006/relationships/hyperlink" Target="https://vanillabonds.com/dossier-data/pdf/katjes/katjes-2023-annual-report.pdf#page=41" TargetMode="External" Id="rId229"/><Relationship Type="http://schemas.openxmlformats.org/officeDocument/2006/relationships/hyperlink" Target="https://vanillabonds.com/dossier.html?c=katjes&amp;viewer=1&amp;item=F115" TargetMode="External" Id="rId230"/><Relationship Type="http://schemas.openxmlformats.org/officeDocument/2006/relationships/hyperlink" Target="https://vanillabonds.com/dossier-data/pdf/katjes/katjes-2023-annual-report.pdf#page=16" TargetMode="External" Id="rId231"/><Relationship Type="http://schemas.openxmlformats.org/officeDocument/2006/relationships/hyperlink" Target="https://vanillabonds.com/dossier.html?c=katjes&amp;viewer=1&amp;item=F116" TargetMode="External" Id="rId232"/><Relationship Type="http://schemas.openxmlformats.org/officeDocument/2006/relationships/hyperlink" Target="https://vanillabonds.com/dossier-data/pdf/katjes/katjes-2023-annual-report.pdf#page=16" TargetMode="External" Id="rId233"/><Relationship Type="http://schemas.openxmlformats.org/officeDocument/2006/relationships/hyperlink" Target="https://vanillabonds.com/dossier.html?c=katjes&amp;viewer=1&amp;item=F117" TargetMode="External" Id="rId234"/><Relationship Type="http://schemas.openxmlformats.org/officeDocument/2006/relationships/hyperlink" Target="https://vanillabonds.com/dossier-data/pdf/katjes/katjes-2023-annual-report.pdf#page=20" TargetMode="External" Id="rId235"/><Relationship Type="http://schemas.openxmlformats.org/officeDocument/2006/relationships/hyperlink" Target="https://vanillabonds.com/dossier.html?c=katjes&amp;viewer=1&amp;item=F118" TargetMode="External" Id="rId236"/><Relationship Type="http://schemas.openxmlformats.org/officeDocument/2006/relationships/hyperlink" Target="https://vanillabonds.com/dossier-data/pdf/katjes/katjes-2023-annual-report.pdf#page=24" TargetMode="External" Id="rId237"/><Relationship Type="http://schemas.openxmlformats.org/officeDocument/2006/relationships/hyperlink" Target="https://vanillabonds.com/dossier.html?c=katjes&amp;viewer=1&amp;item=F119" TargetMode="External" Id="rId238"/><Relationship Type="http://schemas.openxmlformats.org/officeDocument/2006/relationships/hyperlink" Target="https://vanillabonds.com/dossier-data/pdf/katjes/katjes-2023-annual-report.pdf#page=27" TargetMode="External" Id="rId239"/><Relationship Type="http://schemas.openxmlformats.org/officeDocument/2006/relationships/hyperlink" Target="https://vanillabonds.com/dossier.html?c=katjes&amp;viewer=1&amp;item=F120" TargetMode="External" Id="rId240"/><Relationship Type="http://schemas.openxmlformats.org/officeDocument/2006/relationships/hyperlink" Target="https://vanillabonds.com/dossier-data/pdf/katjes/katjes-2023-annual-report.pdf#page=27" TargetMode="External" Id="rId241"/><Relationship Type="http://schemas.openxmlformats.org/officeDocument/2006/relationships/hyperlink" Target="https://vanillabonds.com/dossier.html?c=katjes&amp;viewer=1&amp;item=F121" TargetMode="External" Id="rId242"/><Relationship Type="http://schemas.openxmlformats.org/officeDocument/2006/relationships/hyperlink" Target="https://vanillabonds.com/dossier-data/pdf/katjes/katjes-2023-annual-report.pdf#page=27" TargetMode="External" Id="rId243"/><Relationship Type="http://schemas.openxmlformats.org/officeDocument/2006/relationships/hyperlink" Target="https://vanillabonds.com/dossier.html?c=katjes&amp;viewer=1&amp;item=F122" TargetMode="External" Id="rId244"/><Relationship Type="http://schemas.openxmlformats.org/officeDocument/2006/relationships/hyperlink" Target="https://vanillabonds.com/dossier-data/pdf/katjes/katjes-2023-annual-report.pdf#page=27" TargetMode="External" Id="rId245"/><Relationship Type="http://schemas.openxmlformats.org/officeDocument/2006/relationships/hyperlink" Target="https://vanillabonds.com/dossier.html?c=katjes&amp;viewer=1&amp;item=F123" TargetMode="External" Id="rId246"/><Relationship Type="http://schemas.openxmlformats.org/officeDocument/2006/relationships/hyperlink" Target="https://vanillabonds.com/dossier-data/pdf/katjes/katjes-2023-annual-report.pdf#page=27" TargetMode="External" Id="rId247"/><Relationship Type="http://schemas.openxmlformats.org/officeDocument/2006/relationships/hyperlink" Target="https://vanillabonds.com/dossier.html?c=katjes&amp;viewer=1&amp;item=F124" TargetMode="External" Id="rId248"/><Relationship Type="http://schemas.openxmlformats.org/officeDocument/2006/relationships/hyperlink" Target="https://vanillabonds.com/dossier-data/pdf/katjes/katjes-2023-annual-report.pdf#page=33" TargetMode="External" Id="rId249"/><Relationship Type="http://schemas.openxmlformats.org/officeDocument/2006/relationships/hyperlink" Target="https://vanillabonds.com/dossier.html?c=katjes&amp;viewer=1&amp;item=F125" TargetMode="External" Id="rId250"/><Relationship Type="http://schemas.openxmlformats.org/officeDocument/2006/relationships/hyperlink" Target="https://vanillabonds.com/dossier-data/pdf/katjes/katjes-2023-annual-report.pdf#page=59" TargetMode="External" Id="rId251"/><Relationship Type="http://schemas.openxmlformats.org/officeDocument/2006/relationships/hyperlink" Target="https://vanillabonds.com/dossier.html?c=katjes&amp;viewer=1&amp;item=F126" TargetMode="External" Id="rId252"/><Relationship Type="http://schemas.openxmlformats.org/officeDocument/2006/relationships/hyperlink" Target="https://vanillabonds.com/dossier-data/pdf/katjes/katjes-2023-annual-report.pdf#page=59" TargetMode="External" Id="rId253"/><Relationship Type="http://schemas.openxmlformats.org/officeDocument/2006/relationships/hyperlink" Target="https://vanillabonds.com/dossier.html?c=katjes&amp;viewer=1&amp;item=F127" TargetMode="External" Id="rId254"/><Relationship Type="http://schemas.openxmlformats.org/officeDocument/2006/relationships/hyperlink" Target="https://vanillabonds.com/dossier-data/pdf/katjes/katjes-2023-annual-report.pdf#page=59" TargetMode="External" Id="rId255"/><Relationship Type="http://schemas.openxmlformats.org/officeDocument/2006/relationships/hyperlink" Target="https://vanillabonds.com/dossier.html?c=katjes&amp;viewer=1&amp;item=F128" TargetMode="External" Id="rId256"/><Relationship Type="http://schemas.openxmlformats.org/officeDocument/2006/relationships/hyperlink" Target="https://vanillabonds.com/dossier-data/pdf/katjes/katjes-2023-annual-report.pdf#page=6" TargetMode="External" Id="rId257"/><Relationship Type="http://schemas.openxmlformats.org/officeDocument/2006/relationships/hyperlink" Target="https://vanillabonds.com/dossier.html?c=katjes&amp;viewer=1&amp;item=F129" TargetMode="External" Id="rId258"/><Relationship Type="http://schemas.openxmlformats.org/officeDocument/2006/relationships/hyperlink" Target="https://vanillabonds.com/dossier-data/pdf/katjes/katjes-2023-annual-report.pdf#page=34" TargetMode="External" Id="rId259"/><Relationship Type="http://schemas.openxmlformats.org/officeDocument/2006/relationships/hyperlink" Target="https://vanillabonds.com/dossier.html?c=katjes&amp;viewer=1&amp;item=F130" TargetMode="External" Id="rId260"/><Relationship Type="http://schemas.openxmlformats.org/officeDocument/2006/relationships/hyperlink" Target="https://vanillabonds.com/dossier-data/pdf/katjes/katjes-2023-annual-report.pdf#page=40" TargetMode="External" Id="rId261"/><Relationship Type="http://schemas.openxmlformats.org/officeDocument/2006/relationships/hyperlink" Target="https://vanillabonds.com/dossier.html?c=katjes&amp;viewer=1&amp;item=F131" TargetMode="External" Id="rId262"/><Relationship Type="http://schemas.openxmlformats.org/officeDocument/2006/relationships/hyperlink" Target="https://vanillabonds.com/dossier-data/pdf/katjes/katjes-2023-annual-report.pdf#page=47" TargetMode="External" Id="rId263"/><Relationship Type="http://schemas.openxmlformats.org/officeDocument/2006/relationships/hyperlink" Target="https://vanillabonds.com/dossier.html?c=katjes&amp;viewer=1&amp;item=F132" TargetMode="External" Id="rId264"/><Relationship Type="http://schemas.openxmlformats.org/officeDocument/2006/relationships/hyperlink" Target="https://vanillabonds.com/dossier-data/pdf/katjes/katjes-2023-annual-report.pdf#page=50" TargetMode="External" Id="rId265"/><Relationship Type="http://schemas.openxmlformats.org/officeDocument/2006/relationships/hyperlink" Target="https://vanillabonds.com/dossier.html?c=katjes&amp;viewer=1&amp;item=F133" TargetMode="External" Id="rId266"/><Relationship Type="http://schemas.openxmlformats.org/officeDocument/2006/relationships/hyperlink" Target="https://vanillabonds.com/dossier-data/pdf/katjes/katjes-2023-annual-report.pdf#page=79" TargetMode="External" Id="rId267"/><Relationship Type="http://schemas.openxmlformats.org/officeDocument/2006/relationships/hyperlink" Target="https://vanillabonds.com/dossier.html?c=katjes&amp;viewer=1&amp;item=F134" TargetMode="External" Id="rId268"/><Relationship Type="http://schemas.openxmlformats.org/officeDocument/2006/relationships/hyperlink" Target="https://vanillabonds.com/dossier-data/pdf/katjes/katjes-2023-annual-report.pdf#page=81" TargetMode="External" Id="rId269"/><Relationship Type="http://schemas.openxmlformats.org/officeDocument/2006/relationships/hyperlink" Target="https://vanillabonds.com/dossier.html?c=katjes&amp;viewer=1&amp;item=F135" TargetMode="External" Id="rId270"/><Relationship Type="http://schemas.openxmlformats.org/officeDocument/2006/relationships/hyperlink" Target="https://vanillabonds.com/dossier-data/pdf/katjes/katjes-2023-annual-report.pdf#page=84" TargetMode="External" Id="rId271"/><Relationship Type="http://schemas.openxmlformats.org/officeDocument/2006/relationships/hyperlink" Target="https://vanillabonds.com/dossier.html?c=katjes&amp;viewer=1&amp;item=F136" TargetMode="External" Id="rId272"/><Relationship Type="http://schemas.openxmlformats.org/officeDocument/2006/relationships/hyperlink" Target="https://vanillabonds.com/dossier-data/pdf/katjes/katjes-2023-annual-report.pdf#page=85" TargetMode="External" Id="rId273"/><Relationship Type="http://schemas.openxmlformats.org/officeDocument/2006/relationships/hyperlink" Target="https://vanillabonds.com/dossier.html?c=katjes&amp;viewer=1&amp;item=F137" TargetMode="External" Id="rId274"/><Relationship Type="http://schemas.openxmlformats.org/officeDocument/2006/relationships/hyperlink" Target="https://vanillabonds.com/dossier-data/pdf/katjes/katjes-2023-annual-report.pdf#page=27" TargetMode="External" Id="rId275"/><Relationship Type="http://schemas.openxmlformats.org/officeDocument/2006/relationships/hyperlink" Target="https://vanillabonds.com/dossier.html?c=katjes&amp;viewer=1&amp;item=F138" TargetMode="External" Id="rId276"/><Relationship Type="http://schemas.openxmlformats.org/officeDocument/2006/relationships/hyperlink" Target="https://vanillabonds.com/dossier-data/pdf/katjes/katjes-2023-annual-report.pdf#page=28" TargetMode="External" Id="rId277"/><Relationship Type="http://schemas.openxmlformats.org/officeDocument/2006/relationships/hyperlink" Target="https://vanillabonds.com/dossier.html?c=katjes&amp;viewer=1&amp;item=F139" TargetMode="External" Id="rId278"/><Relationship Type="http://schemas.openxmlformats.org/officeDocument/2006/relationships/hyperlink" Target="https://vanillabonds.com/dossier-data/pdf/katjes/katjes-2023-annual-report.pdf#page=35" TargetMode="External" Id="rId279"/><Relationship Type="http://schemas.openxmlformats.org/officeDocument/2006/relationships/hyperlink" Target="https://vanillabonds.com/dossier.html?c=katjes&amp;viewer=1&amp;item=F140" TargetMode="External" Id="rId280"/><Relationship Type="http://schemas.openxmlformats.org/officeDocument/2006/relationships/hyperlink" Target="https://vanillabonds.com/dossier-data/pdf/katjes/katjes-2023-annual-report.pdf#page=40" TargetMode="External" Id="rId281"/><Relationship Type="http://schemas.openxmlformats.org/officeDocument/2006/relationships/hyperlink" Target="https://vanillabonds.com/dossier.html?c=katjes&amp;viewer=1&amp;item=F141" TargetMode="External" Id="rId282"/><Relationship Type="http://schemas.openxmlformats.org/officeDocument/2006/relationships/hyperlink" Target="https://vanillabonds.com/dossier-data/pdf/katjes/katjes-2023-annual-report.pdf#page=62" TargetMode="External" Id="rId283"/><Relationship Type="http://schemas.openxmlformats.org/officeDocument/2006/relationships/hyperlink" Target="https://vanillabonds.com/dossier.html?c=katjes&amp;viewer=1&amp;item=F142" TargetMode="External" Id="rId284"/><Relationship Type="http://schemas.openxmlformats.org/officeDocument/2006/relationships/hyperlink" Target="https://vanillabonds.com/dossier-data/pdf/katjes/katjes-2023-annual-report.pdf#page=27" TargetMode="External" Id="rId285"/><Relationship Type="http://schemas.openxmlformats.org/officeDocument/2006/relationships/hyperlink" Target="https://vanillabonds.com/dossier.html?c=katjes&amp;viewer=1&amp;item=F143" TargetMode="External" Id="rId286"/><Relationship Type="http://schemas.openxmlformats.org/officeDocument/2006/relationships/hyperlink" Target="https://vanillabonds.com/dossier-data/pdf/katjes/katjes-2023-annual-report.pdf#page=27" TargetMode="External" Id="rId287"/><Relationship Type="http://schemas.openxmlformats.org/officeDocument/2006/relationships/hyperlink" Target="https://vanillabonds.com/dossier.html?c=katjes&amp;viewer=1&amp;item=F144" TargetMode="External" Id="rId288"/><Relationship Type="http://schemas.openxmlformats.org/officeDocument/2006/relationships/hyperlink" Target="https://vanillabonds.com/dossier-data/pdf/katjes/katjes-2023-annual-report.pdf#page=27" TargetMode="External" Id="rId289"/><Relationship Type="http://schemas.openxmlformats.org/officeDocument/2006/relationships/hyperlink" Target="https://vanillabonds.com/dossier.html?c=katjes&amp;viewer=1&amp;item=F145" TargetMode="External" Id="rId290"/><Relationship Type="http://schemas.openxmlformats.org/officeDocument/2006/relationships/hyperlink" Target="https://vanillabonds.com/dossier-data/pdf/katjes/katjes-2023-annual-report.pdf#page=27" TargetMode="External" Id="rId291"/><Relationship Type="http://schemas.openxmlformats.org/officeDocument/2006/relationships/hyperlink" Target="https://vanillabonds.com/dossier.html?c=katjes&amp;viewer=1&amp;item=F146" TargetMode="External" Id="rId292"/><Relationship Type="http://schemas.openxmlformats.org/officeDocument/2006/relationships/hyperlink" Target="https://vanillabonds.com/dossier-data/pdf/katjes/katjes-2023-annual-report.pdf#page=27" TargetMode="External" Id="rId293"/><Relationship Type="http://schemas.openxmlformats.org/officeDocument/2006/relationships/hyperlink" Target="https://vanillabonds.com/dossier.html?c=katjes&amp;viewer=1&amp;item=F147" TargetMode="External" Id="rId294"/><Relationship Type="http://schemas.openxmlformats.org/officeDocument/2006/relationships/hyperlink" Target="https://vanillabonds.com/dossier-data/pdf/katjes/katjes-2023-annual-report.pdf#page=29" TargetMode="External" Id="rId295"/><Relationship Type="http://schemas.openxmlformats.org/officeDocument/2006/relationships/hyperlink" Target="https://vanillabonds.com/dossier.html?c=katjes&amp;viewer=1&amp;item=F148" TargetMode="External" Id="rId296"/><Relationship Type="http://schemas.openxmlformats.org/officeDocument/2006/relationships/hyperlink" Target="https://vanillabonds.com/dossier-data/pdf/katjes/katjes-2023-annual-report.pdf#page=29" TargetMode="External" Id="rId297"/><Relationship Type="http://schemas.openxmlformats.org/officeDocument/2006/relationships/hyperlink" Target="https://vanillabonds.com/dossier.html?c=katjes&amp;viewer=1&amp;item=F149" TargetMode="External" Id="rId298"/><Relationship Type="http://schemas.openxmlformats.org/officeDocument/2006/relationships/hyperlink" Target="https://vanillabonds.com/dossier-data/pdf/katjes/katjes-2023-annual-report.pdf#page=32" TargetMode="External" Id="rId299"/><Relationship Type="http://schemas.openxmlformats.org/officeDocument/2006/relationships/hyperlink" Target="https://vanillabonds.com/dossier.html?c=katjes&amp;viewer=1&amp;item=F150" TargetMode="External" Id="rId300"/><Relationship Type="http://schemas.openxmlformats.org/officeDocument/2006/relationships/hyperlink" Target="https://vanillabonds.com/dossier-data/pdf/katjes/katjes-2023-annual-report.pdf#page=32" TargetMode="External" Id="rId301"/><Relationship Type="http://schemas.openxmlformats.org/officeDocument/2006/relationships/hyperlink" Target="https://vanillabonds.com/dossier.html?c=katjes&amp;viewer=1&amp;item=F151" TargetMode="External" Id="rId302"/><Relationship Type="http://schemas.openxmlformats.org/officeDocument/2006/relationships/hyperlink" Target="https://vanillabonds.com/dossier-data/pdf/katjes/katjes-2023-annual-report.pdf#page=61" TargetMode="External" Id="rId303"/><Relationship Type="http://schemas.openxmlformats.org/officeDocument/2006/relationships/hyperlink" Target="https://vanillabonds.com/dossier.html?c=katjes&amp;viewer=1&amp;item=F152" TargetMode="External" Id="rId304"/><Relationship Type="http://schemas.openxmlformats.org/officeDocument/2006/relationships/hyperlink" Target="https://vanillabonds.com/dossier-data/pdf/katjes/katjes-2023-annual-report.pdf#page=81" TargetMode="External" Id="rId305"/><Relationship Type="http://schemas.openxmlformats.org/officeDocument/2006/relationships/hyperlink" Target="https://vanillabonds.com/dossier.html?c=katjes&amp;viewer=1&amp;item=F153" TargetMode="External" Id="rId306"/><Relationship Type="http://schemas.openxmlformats.org/officeDocument/2006/relationships/hyperlink" Target="https://vanillabonds.com/dossier-data/pdf/katjes/katjes-2023-annual-report.pdf#page=21" TargetMode="External" Id="rId307"/><Relationship Type="http://schemas.openxmlformats.org/officeDocument/2006/relationships/hyperlink" Target="https://vanillabonds.com/dossier.html?c=katjes&amp;viewer=1&amp;item=F154" TargetMode="External" Id="rId308"/><Relationship Type="http://schemas.openxmlformats.org/officeDocument/2006/relationships/hyperlink" Target="https://vanillabonds.com/dossier-data/pdf/katjes/katjes-2023-annual-report.pdf#page=63" TargetMode="External" Id="rId309"/><Relationship Type="http://schemas.openxmlformats.org/officeDocument/2006/relationships/hyperlink" Target="https://vanillabonds.com/dossier.html?c=katjes&amp;viewer=1&amp;item=F155" TargetMode="External" Id="rId310"/><Relationship Type="http://schemas.openxmlformats.org/officeDocument/2006/relationships/hyperlink" Target="https://vanillabonds.com/dossier-data/pdf/katjes/katjes-2023-annual-report.pdf#page=63" TargetMode="External" Id="rId311"/><Relationship Type="http://schemas.openxmlformats.org/officeDocument/2006/relationships/hyperlink" Target="https://vanillabonds.com/dossier.html?c=katjes&amp;viewer=1&amp;item=F156" TargetMode="External" Id="rId312"/><Relationship Type="http://schemas.openxmlformats.org/officeDocument/2006/relationships/hyperlink" Target="https://vanillabonds.com/dossier-data/pdf/katjes/katjes-2023-annual-report.pdf#page=48" TargetMode="External" Id="rId313"/><Relationship Type="http://schemas.openxmlformats.org/officeDocument/2006/relationships/hyperlink" Target="https://vanillabonds.com/dossier.html?c=katjes&amp;viewer=1&amp;item=F157" TargetMode="External" Id="rId314"/><Relationship Type="http://schemas.openxmlformats.org/officeDocument/2006/relationships/hyperlink" Target="https://vanillabonds.com/dossier-data/pdf/katjes/katjes-2023-annual-report.pdf#page=60" TargetMode="External" Id="rId315"/><Relationship Type="http://schemas.openxmlformats.org/officeDocument/2006/relationships/hyperlink" Target="https://vanillabonds.com/dossier.html?c=katjes&amp;viewer=1&amp;item=F158" TargetMode="External" Id="rId316"/><Relationship Type="http://schemas.openxmlformats.org/officeDocument/2006/relationships/hyperlink" Target="https://vanillabonds.com/dossier-data/pdf/katjes/katjes-2023-annual-report.pdf#page=87" TargetMode="External" Id="rId317"/><Relationship Type="http://schemas.openxmlformats.org/officeDocument/2006/relationships/hyperlink" Target="https://vanillabonds.com/dossier.html?c=katjes&amp;viewer=1&amp;item=F159" TargetMode="External" Id="rId318"/><Relationship Type="http://schemas.openxmlformats.org/officeDocument/2006/relationships/hyperlink" Target="https://vanillabonds.com/dossier-data/pdf/katjes/katjes-2023-annual-report.pdf#page=87" TargetMode="External" Id="rId319"/><Relationship Type="http://schemas.openxmlformats.org/officeDocument/2006/relationships/hyperlink" Target="https://vanillabonds.com/dossier.html?c=katjes&amp;viewer=1&amp;item=F160" TargetMode="External" Id="rId320"/><Relationship Type="http://schemas.openxmlformats.org/officeDocument/2006/relationships/hyperlink" Target="https://vanillabonds.com/dossier-data/pdf/katjes/katjes-2023-annual-report.pdf#page=87" TargetMode="External" Id="rId321"/><Relationship Type="http://schemas.openxmlformats.org/officeDocument/2006/relationships/hyperlink" Target="https://vanillabonds.com/dossier.html?c=katjes&amp;viewer=1&amp;item=F161" TargetMode="External" Id="rId322"/><Relationship Type="http://schemas.openxmlformats.org/officeDocument/2006/relationships/hyperlink" Target="https://vanillabonds.com/dossier-data/pdf/katjes/katjes-2023-annual-report.pdf#page=87" TargetMode="External" Id="rId323"/><Relationship Type="http://schemas.openxmlformats.org/officeDocument/2006/relationships/hyperlink" Target="https://vanillabonds.com/dossier.html?c=katjes&amp;viewer=1&amp;item=F162" TargetMode="External" Id="rId324"/><Relationship Type="http://schemas.openxmlformats.org/officeDocument/2006/relationships/hyperlink" Target="https://vanillabonds.com/dossier-data/pdf/katjes/katjes-2023-annual-report.pdf#page=87" TargetMode="External" Id="rId325"/><Relationship Type="http://schemas.openxmlformats.org/officeDocument/2006/relationships/hyperlink" Target="https://vanillabonds.com/dossier.html?c=katjes&amp;viewer=1&amp;item=F163" TargetMode="External" Id="rId326"/><Relationship Type="http://schemas.openxmlformats.org/officeDocument/2006/relationships/hyperlink" Target="https://vanillabonds.com/dossier-data/pdf/katjes/katjes-2023-annual-report.pdf#page=87" TargetMode="External" Id="rId327"/><Relationship Type="http://schemas.openxmlformats.org/officeDocument/2006/relationships/hyperlink" Target="https://vanillabonds.com/dossier.html?c=katjes&amp;viewer=1&amp;item=F164" TargetMode="External" Id="rId328"/><Relationship Type="http://schemas.openxmlformats.org/officeDocument/2006/relationships/hyperlink" Target="https://vanillabonds.com/dossier-data/pdf/katjes/katjes-2023-annual-report.pdf#page=87" TargetMode="External" Id="rId329"/><Relationship Type="http://schemas.openxmlformats.org/officeDocument/2006/relationships/hyperlink" Target="https://vanillabonds.com/dossier.html?c=katjes&amp;viewer=1&amp;item=F165" TargetMode="External" Id="rId330"/><Relationship Type="http://schemas.openxmlformats.org/officeDocument/2006/relationships/hyperlink" Target="https://vanillabonds.com/dossier-data/pdf/katjes/katjes-2023-annual-report.pdf#page=87" TargetMode="External" Id="rId331"/><Relationship Type="http://schemas.openxmlformats.org/officeDocument/2006/relationships/hyperlink" Target="https://vanillabonds.com/dossier.html?c=katjes&amp;viewer=1&amp;item=F166" TargetMode="External" Id="rId332"/><Relationship Type="http://schemas.openxmlformats.org/officeDocument/2006/relationships/hyperlink" Target="https://vanillabonds.com/dossier-data/pdf/katjes/katjes-2023-annual-report.pdf#page=87" TargetMode="External" Id="rId333"/><Relationship Type="http://schemas.openxmlformats.org/officeDocument/2006/relationships/hyperlink" Target="https://vanillabonds.com/dossier.html?c=katjes&amp;viewer=1&amp;item=F167" TargetMode="External" Id="rId334"/><Relationship Type="http://schemas.openxmlformats.org/officeDocument/2006/relationships/hyperlink" Target="https://vanillabonds.com/dossier-data/pdf/katjes/katjes-2023-annual-report.pdf#page=87" TargetMode="External" Id="rId335"/><Relationship Type="http://schemas.openxmlformats.org/officeDocument/2006/relationships/hyperlink" Target="https://vanillabonds.com/dossier.html?c=katjes&amp;viewer=1&amp;item=F168" TargetMode="External" Id="rId336"/><Relationship Type="http://schemas.openxmlformats.org/officeDocument/2006/relationships/hyperlink" Target="https://vanillabonds.com/dossier-data/pdf/katjes/katjes-2023-annual-report.pdf#page=87" TargetMode="External" Id="rId337"/><Relationship Type="http://schemas.openxmlformats.org/officeDocument/2006/relationships/hyperlink" Target="https://vanillabonds.com/dossier.html?c=katjes&amp;viewer=1&amp;item=F169" TargetMode="External" Id="rId338"/><Relationship Type="http://schemas.openxmlformats.org/officeDocument/2006/relationships/hyperlink" Target="https://vanillabonds.com/dossier-data/pdf/katjes/katjes-2023-annual-report.pdf#page=87" TargetMode="External" Id="rId339"/><Relationship Type="http://schemas.openxmlformats.org/officeDocument/2006/relationships/hyperlink" Target="https://vanillabonds.com/dossier.html?c=katjes&amp;viewer=1&amp;item=F170" TargetMode="External" Id="rId340"/><Relationship Type="http://schemas.openxmlformats.org/officeDocument/2006/relationships/hyperlink" Target="https://vanillabonds.com/dossier-data/pdf/katjes/katjes-2023-annual-report.pdf#page=87" TargetMode="External" Id="rId341"/><Relationship Type="http://schemas.openxmlformats.org/officeDocument/2006/relationships/hyperlink" Target="https://vanillabonds.com/dossier.html?c=katjes&amp;viewer=1&amp;item=F171" TargetMode="External" Id="rId342"/><Relationship Type="http://schemas.openxmlformats.org/officeDocument/2006/relationships/hyperlink" Target="https://vanillabonds.com/dossier-data/pdf/katjes/katjes-2023-annual-report.pdf#page=87" TargetMode="External" Id="rId343"/><Relationship Type="http://schemas.openxmlformats.org/officeDocument/2006/relationships/hyperlink" Target="https://vanillabonds.com/dossier.html?c=katjes&amp;viewer=1&amp;item=F172" TargetMode="External" Id="rId344"/><Relationship Type="http://schemas.openxmlformats.org/officeDocument/2006/relationships/hyperlink" Target="https://vanillabonds.com/dossier-data/pdf/katjes/katjes-2023-annual-report.pdf#page=87" TargetMode="External" Id="rId345"/><Relationship Type="http://schemas.openxmlformats.org/officeDocument/2006/relationships/hyperlink" Target="https://vanillabonds.com/dossier.html?c=katjes&amp;viewer=1&amp;item=F173" TargetMode="External" Id="rId346"/><Relationship Type="http://schemas.openxmlformats.org/officeDocument/2006/relationships/hyperlink" Target="https://vanillabonds.com/dossier-data/pdf/katjes/katjes-2023-annual-report.pdf#page=87" TargetMode="External" Id="rId347"/><Relationship Type="http://schemas.openxmlformats.org/officeDocument/2006/relationships/hyperlink" Target="https://vanillabonds.com/dossier.html?c=katjes&amp;viewer=1&amp;item=F174" TargetMode="External" Id="rId348"/><Relationship Type="http://schemas.openxmlformats.org/officeDocument/2006/relationships/hyperlink" Target="https://vanillabonds.com/dossier-data/pdf/katjes/katjes-2023-annual-report.pdf#page=87" TargetMode="External" Id="rId349"/><Relationship Type="http://schemas.openxmlformats.org/officeDocument/2006/relationships/hyperlink" Target="https://vanillabonds.com/dossier.html?c=katjes&amp;viewer=1&amp;item=F175" TargetMode="External" Id="rId350"/><Relationship Type="http://schemas.openxmlformats.org/officeDocument/2006/relationships/hyperlink" Target="https://vanillabonds.com/dossier-data/pdf/katjes/katjes-2023-annual-report.pdf#page=87" TargetMode="External" Id="rId351"/><Relationship Type="http://schemas.openxmlformats.org/officeDocument/2006/relationships/hyperlink" Target="https://vanillabonds.com/dossier.html?c=katjes&amp;viewer=1&amp;item=F176" TargetMode="External" Id="rId352"/><Relationship Type="http://schemas.openxmlformats.org/officeDocument/2006/relationships/hyperlink" Target="https://vanillabonds.com/dossier-data/pdf/katjes/katjes-2023-annual-report.pdf#page=87" TargetMode="External" Id="rId353"/><Relationship Type="http://schemas.openxmlformats.org/officeDocument/2006/relationships/hyperlink" Target="https://vanillabonds.com/dossier.html?c=katjes&amp;viewer=1&amp;item=F177" TargetMode="External" Id="rId354"/><Relationship Type="http://schemas.openxmlformats.org/officeDocument/2006/relationships/hyperlink" Target="https://vanillabonds.com/dossier-data/pdf/katjes/katjes-2023-annual-report.pdf#page=87" TargetMode="External" Id="rId355"/><Relationship Type="http://schemas.openxmlformats.org/officeDocument/2006/relationships/hyperlink" Target="https://vanillabonds.com/dossier.html?c=katjes&amp;viewer=1&amp;item=F178" TargetMode="External" Id="rId356"/><Relationship Type="http://schemas.openxmlformats.org/officeDocument/2006/relationships/hyperlink" Target="https://vanillabonds.com/dossier-data/pdf/katjes/katjes-2023-annual-report.pdf#page=87" TargetMode="External" Id="rId357"/><Relationship Type="http://schemas.openxmlformats.org/officeDocument/2006/relationships/hyperlink" Target="https://vanillabonds.com/dossier.html?c=katjes&amp;viewer=1&amp;item=F179" TargetMode="External" Id="rId358"/><Relationship Type="http://schemas.openxmlformats.org/officeDocument/2006/relationships/hyperlink" Target="https://vanillabonds.com/dossier-data/pdf/katjes/katjes-2023-annual-report.pdf#page=87" TargetMode="External" Id="rId359"/><Relationship Type="http://schemas.openxmlformats.org/officeDocument/2006/relationships/hyperlink" Target="https://vanillabonds.com/dossier.html?c=katjes&amp;viewer=1&amp;item=F180" TargetMode="External" Id="rId360"/><Relationship Type="http://schemas.openxmlformats.org/officeDocument/2006/relationships/hyperlink" Target="https://vanillabonds.com/dossier-data/pdf/katjes/katjes-2023-annual-report.pdf#page=87" TargetMode="External" Id="rId361"/><Relationship Type="http://schemas.openxmlformats.org/officeDocument/2006/relationships/hyperlink" Target="https://vanillabonds.com/dossier.html?c=katjes&amp;viewer=1&amp;item=F181" TargetMode="External" Id="rId362"/><Relationship Type="http://schemas.openxmlformats.org/officeDocument/2006/relationships/hyperlink" Target="https://vanillabonds.com/dossier-data/pdf/katjes/katjes-2023-annual-report.pdf#page=87" TargetMode="External" Id="rId363"/><Relationship Type="http://schemas.openxmlformats.org/officeDocument/2006/relationships/hyperlink" Target="https://vanillabonds.com/dossier.html?c=katjes&amp;viewer=1&amp;item=F182" TargetMode="External" Id="rId364"/><Relationship Type="http://schemas.openxmlformats.org/officeDocument/2006/relationships/hyperlink" Target="https://vanillabonds.com/dossier-data/pdf/katjes/katjes-2023-annual-report.pdf#page=87" TargetMode="External" Id="rId365"/><Relationship Type="http://schemas.openxmlformats.org/officeDocument/2006/relationships/hyperlink" Target="https://vanillabonds.com/dossier.html?c=katjes&amp;viewer=1&amp;item=F183" TargetMode="External" Id="rId366"/><Relationship Type="http://schemas.openxmlformats.org/officeDocument/2006/relationships/hyperlink" Target="https://vanillabonds.com/dossier-data/pdf/katjes/katjes-2023-annual-report.pdf#page=87" TargetMode="External" Id="rId367"/><Relationship Type="http://schemas.openxmlformats.org/officeDocument/2006/relationships/hyperlink" Target="https://vanillabonds.com/dossier.html?c=katjes&amp;viewer=1&amp;item=F184" TargetMode="External" Id="rId368"/><Relationship Type="http://schemas.openxmlformats.org/officeDocument/2006/relationships/hyperlink" Target="https://vanillabonds.com/dossier-data/pdf/katjes/katjes-2023-annual-report.pdf#page=87" TargetMode="External" Id="rId369"/><Relationship Type="http://schemas.openxmlformats.org/officeDocument/2006/relationships/hyperlink" Target="https://vanillabonds.com/dossier.html?c=katjes&amp;viewer=1&amp;item=F185" TargetMode="External" Id="rId370"/><Relationship Type="http://schemas.openxmlformats.org/officeDocument/2006/relationships/hyperlink" Target="https://vanillabonds.com/dossier-data/pdf/katjes/katjes-2023-annual-report.pdf#page=87" TargetMode="External" Id="rId371"/><Relationship Type="http://schemas.openxmlformats.org/officeDocument/2006/relationships/hyperlink" Target="https://vanillabonds.com/dossier.html?c=katjes&amp;viewer=1&amp;item=F186" TargetMode="External" Id="rId372"/><Relationship Type="http://schemas.openxmlformats.org/officeDocument/2006/relationships/hyperlink" Target="https://vanillabonds.com/dossier-data/pdf/katjes/katjes-2023-annual-report.pdf#page=6" TargetMode="External" Id="rId373"/><Relationship Type="http://schemas.openxmlformats.org/officeDocument/2006/relationships/hyperlink" Target="https://vanillabonds.com/dossier.html?c=katjes&amp;viewer=1&amp;item=F187" TargetMode="External" Id="rId374"/><Relationship Type="http://schemas.openxmlformats.org/officeDocument/2006/relationships/hyperlink" Target="https://vanillabonds.com/dossier-data/pdf/katjes/katjes-2023-annual-report.pdf#page=6" TargetMode="External" Id="rId375"/><Relationship Type="http://schemas.openxmlformats.org/officeDocument/2006/relationships/hyperlink" Target="https://vanillabonds.com/dossier.html?c=katjes&amp;viewer=1&amp;item=F188" TargetMode="External" Id="rId376"/><Relationship Type="http://schemas.openxmlformats.org/officeDocument/2006/relationships/hyperlink" Target="https://vanillabonds.com/dossier-data/pdf/katjes/katjes-2023-annual-report.pdf#page=6" TargetMode="External" Id="rId377"/><Relationship Type="http://schemas.openxmlformats.org/officeDocument/2006/relationships/hyperlink" Target="https://vanillabonds.com/dossier.html?c=katjes&amp;viewer=1&amp;item=F189" TargetMode="External" Id="rId378"/><Relationship Type="http://schemas.openxmlformats.org/officeDocument/2006/relationships/hyperlink" Target="https://vanillabonds.com/dossier-data/pdf/katjes/katjes-2023-annual-report.pdf#page=79" TargetMode="External" Id="rId379"/><Relationship Type="http://schemas.openxmlformats.org/officeDocument/2006/relationships/hyperlink" Target="https://vanillabonds.com/dossier.html?c=katjes&amp;viewer=1&amp;item=F190" TargetMode="External" Id="rId380"/><Relationship Type="http://schemas.openxmlformats.org/officeDocument/2006/relationships/hyperlink" Target="https://vanillabonds.com/dossier-data/pdf/katjes/katjes-2023-annual-report.pdf#page=84" TargetMode="External" Id="rId381"/><Relationship Type="http://schemas.openxmlformats.org/officeDocument/2006/relationships/hyperlink" Target="https://vanillabonds.com/dossier.html?c=katjes&amp;viewer=1&amp;item=F191" TargetMode="External" Id="rId382"/><Relationship Type="http://schemas.openxmlformats.org/officeDocument/2006/relationships/hyperlink" Target="https://vanillabonds.com/dossier-data/pdf/katjes/katjes-2023-annual-report.pdf#page=84" TargetMode="External" Id="rId383"/><Relationship Type="http://schemas.openxmlformats.org/officeDocument/2006/relationships/hyperlink" Target="https://vanillabonds.com/dossier.html?c=katjes&amp;viewer=1&amp;item=F192" TargetMode="External" Id="rId384"/><Relationship Type="http://schemas.openxmlformats.org/officeDocument/2006/relationships/hyperlink" Target="https://vanillabonds.com/dossier-data/pdf/katjes/katjes-2023-annual-report.pdf#page=84" TargetMode="External" Id="rId385"/><Relationship Type="http://schemas.openxmlformats.org/officeDocument/2006/relationships/hyperlink" Target="https://vanillabonds.com/dossier.html?c=katjes&amp;viewer=1&amp;item=F193" TargetMode="External" Id="rId386"/><Relationship Type="http://schemas.openxmlformats.org/officeDocument/2006/relationships/hyperlink" Target="https://vanillabonds.com/dossier-data/pdf/katjes/katjes-2023-annual-report.pdf#page=84" TargetMode="External" Id="rId387"/><Relationship Type="http://schemas.openxmlformats.org/officeDocument/2006/relationships/hyperlink" Target="https://vanillabonds.com/dossier.html?c=katjes&amp;viewer=1&amp;item=F194" TargetMode="External" Id="rId388"/><Relationship Type="http://schemas.openxmlformats.org/officeDocument/2006/relationships/hyperlink" Target="https://vanillabonds.com/dossier-data/pdf/katjes/katjes-2023-annual-report.pdf#page=84" TargetMode="External" Id="rId389"/><Relationship Type="http://schemas.openxmlformats.org/officeDocument/2006/relationships/hyperlink" Target="https://vanillabonds.com/dossier.html?c=katjes&amp;viewer=1&amp;item=F195" TargetMode="External" Id="rId390"/><Relationship Type="http://schemas.openxmlformats.org/officeDocument/2006/relationships/hyperlink" Target="https://vanillabonds.com/dossier-data/pdf/katjes/katjes-2023-annual-report.pdf#page=84" TargetMode="External" Id="rId391"/><Relationship Type="http://schemas.openxmlformats.org/officeDocument/2006/relationships/hyperlink" Target="https://vanillabonds.com/dossier.html?c=katjes&amp;viewer=1&amp;item=F196" TargetMode="External" Id="rId392"/><Relationship Type="http://schemas.openxmlformats.org/officeDocument/2006/relationships/hyperlink" Target="https://vanillabonds.com/dossier-data/pdf/katjes/katjes-2023-annual-report.pdf#page=84" TargetMode="External" Id="rId393"/><Relationship Type="http://schemas.openxmlformats.org/officeDocument/2006/relationships/hyperlink" Target="https://vanillabonds.com/dossier.html?c=katjes&amp;viewer=1&amp;item=F197" TargetMode="External" Id="rId394"/><Relationship Type="http://schemas.openxmlformats.org/officeDocument/2006/relationships/hyperlink" Target="https://vanillabonds.com/dossier-data/pdf/katjes/katjes-2023-annual-report.pdf#page=71" TargetMode="External" Id="rId395"/><Relationship Type="http://schemas.openxmlformats.org/officeDocument/2006/relationships/hyperlink" Target="https://vanillabonds.com/dossier.html?c=katjes&amp;viewer=1&amp;item=F198" TargetMode="External" Id="rId396"/><Relationship Type="http://schemas.openxmlformats.org/officeDocument/2006/relationships/hyperlink" Target="https://vanillabonds.com/dossier-data/pdf/katjes/katjes-2023-annual-report.pdf#page=29" TargetMode="External" Id="rId397"/><Relationship Type="http://schemas.openxmlformats.org/officeDocument/2006/relationships/hyperlink" Target="https://vanillabonds.com/dossier.html?c=katjes&amp;viewer=1&amp;item=F199" TargetMode="External" Id="rId398"/><Relationship Type="http://schemas.openxmlformats.org/officeDocument/2006/relationships/hyperlink" Target="https://vanillabonds.com/dossier-data/pdf/katjes/katjes-2023-annual-report.pdf#page=29" TargetMode="External" Id="rId399"/><Relationship Type="http://schemas.openxmlformats.org/officeDocument/2006/relationships/hyperlink" Target="https://vanillabonds.com/dossier.html?c=katjes&amp;viewer=1&amp;item=F200" TargetMode="External" Id="rId400"/><Relationship Type="http://schemas.openxmlformats.org/officeDocument/2006/relationships/hyperlink" Target="https://vanillabonds.com/dossier-data/pdf/katjes/katjes-2023-annual-report.pdf#page=29" TargetMode="External" Id="rId401"/><Relationship Type="http://schemas.openxmlformats.org/officeDocument/2006/relationships/hyperlink" Target="https://vanillabonds.com/dossier.html?c=katjes&amp;viewer=1&amp;item=F201" TargetMode="External" Id="rId402"/><Relationship Type="http://schemas.openxmlformats.org/officeDocument/2006/relationships/hyperlink" Target="https://vanillabonds.com/dossier-data/pdf/katjes/katjes-2023-annual-report.pdf#page=29" TargetMode="External" Id="rId403"/><Relationship Type="http://schemas.openxmlformats.org/officeDocument/2006/relationships/hyperlink" Target="https://vanillabonds.com/dossier.html?c=katjes&amp;viewer=1&amp;item=F202" TargetMode="External" Id="rId404"/><Relationship Type="http://schemas.openxmlformats.org/officeDocument/2006/relationships/hyperlink" Target="https://vanillabonds.com/dossier-data/pdf/katjes/katjes-2023-annual-report.pdf#page=29" TargetMode="External" Id="rId405"/><Relationship Type="http://schemas.openxmlformats.org/officeDocument/2006/relationships/hyperlink" Target="https://vanillabonds.com/dossier.html?c=katjes&amp;viewer=1&amp;item=F203" TargetMode="External" Id="rId406"/><Relationship Type="http://schemas.openxmlformats.org/officeDocument/2006/relationships/hyperlink" Target="https://vanillabonds.com/dossier-data/pdf/katjes/katjes-2023-annual-report.pdf#page=29" TargetMode="External" Id="rId407"/><Relationship Type="http://schemas.openxmlformats.org/officeDocument/2006/relationships/hyperlink" Target="https://vanillabonds.com/dossier.html?c=katjes&amp;viewer=1&amp;item=F204" TargetMode="External" Id="rId408"/><Relationship Type="http://schemas.openxmlformats.org/officeDocument/2006/relationships/hyperlink" Target="https://vanillabonds.com/dossier-data/pdf/katjes/katjes-2023-annual-report.pdf#page=29" TargetMode="External" Id="rId409"/><Relationship Type="http://schemas.openxmlformats.org/officeDocument/2006/relationships/hyperlink" Target="https://vanillabonds.com/dossier.html?c=katjes&amp;viewer=1&amp;item=F205" TargetMode="External" Id="rId410"/><Relationship Type="http://schemas.openxmlformats.org/officeDocument/2006/relationships/hyperlink" Target="https://vanillabonds.com/dossier-data/pdf/katjes/katjes-2023-annual-report.pdf#page=29" TargetMode="External" Id="rId411"/><Relationship Type="http://schemas.openxmlformats.org/officeDocument/2006/relationships/hyperlink" Target="https://vanillabonds.com/dossier.html?c=katjes&amp;viewer=1&amp;item=F206" TargetMode="External" Id="rId412"/><Relationship Type="http://schemas.openxmlformats.org/officeDocument/2006/relationships/hyperlink" Target="https://vanillabonds.com/dossier-data/pdf/katjes/katjes-2023-annual-report.pdf#page=29" TargetMode="External" Id="rId413"/><Relationship Type="http://schemas.openxmlformats.org/officeDocument/2006/relationships/hyperlink" Target="https://vanillabonds.com/dossier.html?c=katjes&amp;viewer=1&amp;item=F207" TargetMode="External" Id="rId414"/><Relationship Type="http://schemas.openxmlformats.org/officeDocument/2006/relationships/hyperlink" Target="https://vanillabonds.com/dossier-data/pdf/katjes/katjes-2023-annual-report.pdf#page=30" TargetMode="External" Id="rId415"/><Relationship Type="http://schemas.openxmlformats.org/officeDocument/2006/relationships/hyperlink" Target="https://vanillabonds.com/dossier.html?c=katjes&amp;viewer=1&amp;item=F208" TargetMode="External" Id="rId416"/><Relationship Type="http://schemas.openxmlformats.org/officeDocument/2006/relationships/hyperlink" Target="https://vanillabonds.com/dossier-data/pdf/katjes/katjes-2023-annual-report.pdf#page=30" TargetMode="External" Id="rId417"/><Relationship Type="http://schemas.openxmlformats.org/officeDocument/2006/relationships/hyperlink" Target="https://vanillabonds.com/dossier.html?c=katjes&amp;viewer=1&amp;item=F209" TargetMode="External" Id="rId418"/><Relationship Type="http://schemas.openxmlformats.org/officeDocument/2006/relationships/hyperlink" Target="https://vanillabonds.com/dossier-data/pdf/katjes/katjes-2023-annual-report.pdf#page=30" TargetMode="External" Id="rId419"/><Relationship Type="http://schemas.openxmlformats.org/officeDocument/2006/relationships/hyperlink" Target="https://vanillabonds.com/dossier.html?c=katjes&amp;viewer=1&amp;item=F210" TargetMode="External" Id="rId420"/><Relationship Type="http://schemas.openxmlformats.org/officeDocument/2006/relationships/hyperlink" Target="https://vanillabonds.com/dossier-data/pdf/katjes/katjes-2023-annual-report.pdf#page=30" TargetMode="External" Id="rId421"/><Relationship Type="http://schemas.openxmlformats.org/officeDocument/2006/relationships/hyperlink" Target="https://vanillabonds.com/dossier.html?c=katjes&amp;viewer=1&amp;item=F211" TargetMode="External" Id="rId422"/><Relationship Type="http://schemas.openxmlformats.org/officeDocument/2006/relationships/hyperlink" Target="https://vanillabonds.com/dossier-data/pdf/katjes/katjes-2023-annual-report.pdf#page=30" TargetMode="External" Id="rId423"/><Relationship Type="http://schemas.openxmlformats.org/officeDocument/2006/relationships/hyperlink" Target="https://vanillabonds.com/dossier.html?c=katjes&amp;viewer=1&amp;item=F212" TargetMode="External" Id="rId424"/><Relationship Type="http://schemas.openxmlformats.org/officeDocument/2006/relationships/hyperlink" Target="https://vanillabonds.com/dossier-data/pdf/katjes/katjes-2023-annual-report.pdf#page=30" TargetMode="External" Id="rId425"/><Relationship Type="http://schemas.openxmlformats.org/officeDocument/2006/relationships/hyperlink" Target="https://vanillabonds.com/dossier.html?c=katjes&amp;viewer=1&amp;item=F213" TargetMode="External" Id="rId426"/><Relationship Type="http://schemas.openxmlformats.org/officeDocument/2006/relationships/hyperlink" Target="https://vanillabonds.com/dossier-data/pdf/katjes/katjes-2023-annual-report.pdf#page=30" TargetMode="External" Id="rId427"/><Relationship Type="http://schemas.openxmlformats.org/officeDocument/2006/relationships/hyperlink" Target="https://vanillabonds.com/dossier.html?c=katjes&amp;viewer=1&amp;item=F214" TargetMode="External" Id="rId428"/><Relationship Type="http://schemas.openxmlformats.org/officeDocument/2006/relationships/hyperlink" Target="https://vanillabonds.com/dossier-data/pdf/katjes/katjes-2023-annual-report.pdf#page=41" TargetMode="External" Id="rId429"/><Relationship Type="http://schemas.openxmlformats.org/officeDocument/2006/relationships/hyperlink" Target="https://vanillabonds.com/dossier.html?c=katjes&amp;viewer=1&amp;item=F215" TargetMode="External" Id="rId430"/><Relationship Type="http://schemas.openxmlformats.org/officeDocument/2006/relationships/hyperlink" Target="https://vanillabonds.com/dossier-data/pdf/katjes/katjes-2023-annual-report.pdf#page=41" TargetMode="External" Id="rId431"/><Relationship Type="http://schemas.openxmlformats.org/officeDocument/2006/relationships/hyperlink" Target="https://vanillabonds.com/dossier.html?c=katjes&amp;viewer=1&amp;item=F216" TargetMode="External" Id="rId432"/><Relationship Type="http://schemas.openxmlformats.org/officeDocument/2006/relationships/hyperlink" Target="https://vanillabonds.com/dossier-data/pdf/katjes/katjes-2023-annual-report.pdf#page=41" TargetMode="External" Id="rId433"/><Relationship Type="http://schemas.openxmlformats.org/officeDocument/2006/relationships/hyperlink" Target="https://vanillabonds.com/dossier.html?c=katjes&amp;viewer=1&amp;item=F217" TargetMode="External" Id="rId434"/><Relationship Type="http://schemas.openxmlformats.org/officeDocument/2006/relationships/hyperlink" Target="https://vanillabonds.com/dossier-data/pdf/katjes/katjes-2023-annual-report.pdf#page=52" TargetMode="External" Id="rId435"/><Relationship Type="http://schemas.openxmlformats.org/officeDocument/2006/relationships/hyperlink" Target="https://vanillabonds.com/dossier.html?c=katjes&amp;viewer=1&amp;item=F218" TargetMode="External" Id="rId436"/><Relationship Type="http://schemas.openxmlformats.org/officeDocument/2006/relationships/hyperlink" Target="https://vanillabonds.com/dossier-data/pdf/katjes/katjes-2023-annual-report.pdf#page=54" TargetMode="External" Id="rId437"/><Relationship Type="http://schemas.openxmlformats.org/officeDocument/2006/relationships/hyperlink" Target="https://vanillabonds.com/dossier.html?c=katjes&amp;viewer=1&amp;item=F219" TargetMode="External" Id="rId438"/><Relationship Type="http://schemas.openxmlformats.org/officeDocument/2006/relationships/hyperlink" Target="https://vanillabonds.com/dossier-data/pdf/katjes/katjes-2023-annual-report.pdf#page=29" TargetMode="External" Id="rId439"/><Relationship Type="http://schemas.openxmlformats.org/officeDocument/2006/relationships/hyperlink" Target="https://vanillabonds.com/dossier.html?c=katjes&amp;viewer=1&amp;item=F220" TargetMode="External" Id="rId440"/><Relationship Type="http://schemas.openxmlformats.org/officeDocument/2006/relationships/hyperlink" Target="https://vanillabonds.com/dossier-data/pdf/katjes/katjes-2023-annual-report.pdf#page=29" TargetMode="External" Id="rId441"/><Relationship Type="http://schemas.openxmlformats.org/officeDocument/2006/relationships/hyperlink" Target="https://vanillabonds.com/dossier.html?c=katjes&amp;viewer=1&amp;item=F221" TargetMode="External" Id="rId442"/><Relationship Type="http://schemas.openxmlformats.org/officeDocument/2006/relationships/hyperlink" Target="https://vanillabonds.com/dossier-data/pdf/katjes/katjes-2023-annual-report.pdf#page=59" TargetMode="External" Id="rId443"/><Relationship Type="http://schemas.openxmlformats.org/officeDocument/2006/relationships/hyperlink" Target="https://vanillabonds.com/dossier.html?c=katjes&amp;viewer=1&amp;item=F222" TargetMode="External" Id="rId444"/><Relationship Type="http://schemas.openxmlformats.org/officeDocument/2006/relationships/hyperlink" Target="https://vanillabonds.com/dossier-data/pdf/katjes/katjes-2023-annual-report.pdf#page=20" TargetMode="External" Id="rId445"/><Relationship Type="http://schemas.openxmlformats.org/officeDocument/2006/relationships/hyperlink" Target="https://vanillabonds.com/dossier.html?c=katjes&amp;viewer=1&amp;item=F223" TargetMode="External" Id="rId446"/><Relationship Type="http://schemas.openxmlformats.org/officeDocument/2006/relationships/hyperlink" Target="https://vanillabonds.com/dossier-data/pdf/katjes/katjes-2023-annual-report.pdf#page=35" TargetMode="External" Id="rId447"/><Relationship Type="http://schemas.openxmlformats.org/officeDocument/2006/relationships/hyperlink" Target="https://vanillabonds.com/dossier.html?c=katjes&amp;viewer=1&amp;item=F224" TargetMode="External" Id="rId448"/><Relationship Type="http://schemas.openxmlformats.org/officeDocument/2006/relationships/hyperlink" Target="https://vanillabonds.com/dossier-data/pdf/katjes/katjes-2023-annual-report.pdf#page=59" TargetMode="External" Id="rId449"/><Relationship Type="http://schemas.openxmlformats.org/officeDocument/2006/relationships/hyperlink" Target="https://vanillabonds.com/dossier.html?c=katjes&amp;viewer=1&amp;item=F225" TargetMode="External" Id="rId450"/><Relationship Type="http://schemas.openxmlformats.org/officeDocument/2006/relationships/hyperlink" Target="https://vanillabonds.com/dossier-data/pdf/katjes/katjes-2023-annual-report.pdf#page=32" TargetMode="External" Id="rId451"/><Relationship Type="http://schemas.openxmlformats.org/officeDocument/2006/relationships/hyperlink" Target="https://vanillabonds.com/dossier.html?c=katjes&amp;viewer=1&amp;item=F226" TargetMode="External" Id="rId452"/><Relationship Type="http://schemas.openxmlformats.org/officeDocument/2006/relationships/hyperlink" Target="https://vanillabonds.com/dossier-data/pdf/katjes/katjes-2023-annual-report.pdf#page=59" TargetMode="External" Id="rId453"/><Relationship Type="http://schemas.openxmlformats.org/officeDocument/2006/relationships/hyperlink" Target="https://vanillabonds.com/dossier.html?c=katjes&amp;viewer=1&amp;item=F227" TargetMode="External" Id="rId454"/><Relationship Type="http://schemas.openxmlformats.org/officeDocument/2006/relationships/hyperlink" Target="https://vanillabonds.com/dossier-data/pdf/katjes/katjes-2023-annual-report.pdf#page=79" TargetMode="External" Id="rId455"/><Relationship Type="http://schemas.openxmlformats.org/officeDocument/2006/relationships/hyperlink" Target="https://vanillabonds.com/dossier.html?c=katjes&amp;viewer=1&amp;item=F228" TargetMode="External" Id="rId456"/><Relationship Type="http://schemas.openxmlformats.org/officeDocument/2006/relationships/hyperlink" Target="https://vanillabonds.com/dossier-data/pdf/katjes/katjes-2023-annual-report.pdf#page=79" TargetMode="External" Id="rId457"/><Relationship Type="http://schemas.openxmlformats.org/officeDocument/2006/relationships/hyperlink" Target="https://vanillabonds.com/dossier.html?c=katjes&amp;viewer=1&amp;item=F229" TargetMode="External" Id="rId458"/><Relationship Type="http://schemas.openxmlformats.org/officeDocument/2006/relationships/hyperlink" Target="https://vanillabonds.com/dossier-data/pdf/katjes/katjes-2023-annual-report.pdf#page=54" TargetMode="External" Id="rId459"/><Relationship Type="http://schemas.openxmlformats.org/officeDocument/2006/relationships/hyperlink" Target="https://vanillabonds.com/dossier.html?c=katjes&amp;viewer=1&amp;item=F230" TargetMode="External" Id="rId460"/><Relationship Type="http://schemas.openxmlformats.org/officeDocument/2006/relationships/hyperlink" Target="https://vanillabonds.com/dossier-data/pdf/katjes/katjes-2023-annual-report.pdf#page=79" TargetMode="External" Id="rId461"/><Relationship Type="http://schemas.openxmlformats.org/officeDocument/2006/relationships/hyperlink" Target="https://vanillabonds.com/dossier.html?c=katjes&amp;viewer=1&amp;item=F231" TargetMode="External" Id="rId462"/><Relationship Type="http://schemas.openxmlformats.org/officeDocument/2006/relationships/hyperlink" Target="https://vanillabonds.com/dossier-data/pdf/katjes/katjes-2023-annual-report.pdf#page=79" TargetMode="External" Id="rId463"/><Relationship Type="http://schemas.openxmlformats.org/officeDocument/2006/relationships/hyperlink" Target="https://vanillabonds.com/dossier.html?c=katjes&amp;viewer=1&amp;item=F232" TargetMode="External" Id="rId464"/><Relationship Type="http://schemas.openxmlformats.org/officeDocument/2006/relationships/hyperlink" Target="https://vanillabonds.com/dossier-data/pdf/katjes/katjes-2023-annual-report.pdf#page=80" TargetMode="External" Id="rId465"/><Relationship Type="http://schemas.openxmlformats.org/officeDocument/2006/relationships/hyperlink" Target="https://vanillabonds.com/dossier.html?c=katjes&amp;viewer=1&amp;item=F233" TargetMode="External" Id="rId466"/><Relationship Type="http://schemas.openxmlformats.org/officeDocument/2006/relationships/hyperlink" Target="https://vanillabonds.com/dossier-data/pdf/katjes/katjes-2023-annual-report.pdf#page=46" TargetMode="External" Id="rId467"/><Relationship Type="http://schemas.openxmlformats.org/officeDocument/2006/relationships/hyperlink" Target="https://vanillabonds.com/dossier.html?c=katjes&amp;viewer=1&amp;item=F234" TargetMode="External" Id="rId468"/><Relationship Type="http://schemas.openxmlformats.org/officeDocument/2006/relationships/hyperlink" Target="https://vanillabonds.com/dossier-data/pdf/katjes/katjes-2023-annual-report.pdf#page=46" TargetMode="External" Id="rId469"/><Relationship Type="http://schemas.openxmlformats.org/officeDocument/2006/relationships/hyperlink" Target="https://vanillabonds.com/dossier.html?c=katjes&amp;viewer=1&amp;item=F235" TargetMode="External" Id="rId470"/><Relationship Type="http://schemas.openxmlformats.org/officeDocument/2006/relationships/hyperlink" Target="https://vanillabonds.com/dossier-data/pdf/katjes/katjes-2023-annual-report.pdf#page=64" TargetMode="External" Id="rId471"/><Relationship Type="http://schemas.openxmlformats.org/officeDocument/2006/relationships/hyperlink" Target="https://vanillabonds.com/dossier.html?c=katjes&amp;viewer=1&amp;item=F236" TargetMode="External" Id="rId472"/><Relationship Type="http://schemas.openxmlformats.org/officeDocument/2006/relationships/hyperlink" Target="https://vanillabonds.com/dossier-data/pdf/katjes/katjes-2023-annual-report.pdf#page=70" TargetMode="External" Id="rId473"/><Relationship Type="http://schemas.openxmlformats.org/officeDocument/2006/relationships/hyperlink" Target="https://vanillabonds.com/dossier.html?c=katjes&amp;viewer=1&amp;item=F237" TargetMode="External" Id="rId474"/><Relationship Type="http://schemas.openxmlformats.org/officeDocument/2006/relationships/hyperlink" Target="https://vanillabonds.com/dossier-data/pdf/katjes/katjes-2023-annual-report.pdf#page=75" TargetMode="External" Id="rId475"/><Relationship Type="http://schemas.openxmlformats.org/officeDocument/2006/relationships/hyperlink" Target="https://vanillabonds.com/dossier.html?c=katjes&amp;viewer=1&amp;item=F238" TargetMode="External" Id="rId476"/><Relationship Type="http://schemas.openxmlformats.org/officeDocument/2006/relationships/hyperlink" Target="https://vanillabonds.com/dossier-data/pdf/katjes/katjes-2023-annual-report.pdf#page=47" TargetMode="External" Id="rId477"/><Relationship Type="http://schemas.openxmlformats.org/officeDocument/2006/relationships/hyperlink" Target="https://vanillabonds.com/dossier.html?c=katjes&amp;viewer=1&amp;item=F239" TargetMode="External" Id="rId478"/><Relationship Type="http://schemas.openxmlformats.org/officeDocument/2006/relationships/hyperlink" Target="https://vanillabonds.com/dossier-data/pdf/katjes/katjes-2023-annual-report.pdf#page=33" TargetMode="External" Id="rId479"/><Relationship Type="http://schemas.openxmlformats.org/officeDocument/2006/relationships/hyperlink" Target="https://vanillabonds.com/dossier.html?c=katjes&amp;viewer=1&amp;item=F240" TargetMode="External" Id="rId480"/><Relationship Type="http://schemas.openxmlformats.org/officeDocument/2006/relationships/hyperlink" Target="https://vanillabonds.com/dossier-data/pdf/katjes/katjes-2023-annual-report.pdf#page=85" TargetMode="External" Id="rId481"/><Relationship Type="http://schemas.openxmlformats.org/officeDocument/2006/relationships/hyperlink" Target="https://vanillabonds.com/dossier.html?c=katjes&amp;viewer=1&amp;item=F241" TargetMode="External" Id="rId482"/><Relationship Type="http://schemas.openxmlformats.org/officeDocument/2006/relationships/hyperlink" Target="https://vanillabonds.com/dossier-data/pdf/katjes/katjes-2023-annual-report.pdf#page=39" TargetMode="External" Id="rId483"/><Relationship Type="http://schemas.openxmlformats.org/officeDocument/2006/relationships/hyperlink" Target="https://vanillabonds.com/dossier.html?c=katjes&amp;viewer=1&amp;item=F242" TargetMode="External" Id="rId484"/><Relationship Type="http://schemas.openxmlformats.org/officeDocument/2006/relationships/hyperlink" Target="https://vanillabonds.com/dossier-data/pdf/katjes/katjes-2023-annual-report.pdf#page=74" TargetMode="External" Id="rId485"/><Relationship Type="http://schemas.openxmlformats.org/officeDocument/2006/relationships/hyperlink" Target="https://vanillabonds.com/dossier.html?c=katjes&amp;viewer=1&amp;item=F243" TargetMode="External" Id="rId486"/><Relationship Type="http://schemas.openxmlformats.org/officeDocument/2006/relationships/hyperlink" Target="https://vanillabonds.com/dossier-data/pdf/katjes/katjes-2023-annual-report.pdf#page=74" TargetMode="External" Id="rId487"/><Relationship Type="http://schemas.openxmlformats.org/officeDocument/2006/relationships/hyperlink" Target="https://vanillabonds.com/dossier.html?c=katjes&amp;viewer=1&amp;item=F244" TargetMode="External" Id="rId488"/><Relationship Type="http://schemas.openxmlformats.org/officeDocument/2006/relationships/hyperlink" Target="https://vanillabonds.com/dossier-data/pdf/katjes/katjes-2023-annual-report.pdf#page=80" TargetMode="External" Id="rId489"/><Relationship Type="http://schemas.openxmlformats.org/officeDocument/2006/relationships/hyperlink" Target="https://vanillabonds.com/dossier.html?c=katjes&amp;viewer=1&amp;item=F245" TargetMode="External" Id="rId490"/><Relationship Type="http://schemas.openxmlformats.org/officeDocument/2006/relationships/hyperlink" Target="https://vanillabonds.com/dossier-data/pdf/katjes/katjes-2023-annual-report.pdf#page=80" TargetMode="External" Id="rId491"/><Relationship Type="http://schemas.openxmlformats.org/officeDocument/2006/relationships/hyperlink" Target="https://vanillabonds.com/dossier.html?c=katjes&amp;viewer=1&amp;item=F246" TargetMode="External" Id="rId492"/><Relationship Type="http://schemas.openxmlformats.org/officeDocument/2006/relationships/hyperlink" Target="https://vanillabonds.com/dossier-data/pdf/katjes/katjes-2023-annual-report.pdf#page=78" TargetMode="External" Id="rId493"/><Relationship Type="http://schemas.openxmlformats.org/officeDocument/2006/relationships/hyperlink" Target="https://vanillabonds.com/dossier.html?c=katjes&amp;viewer=1&amp;item=F247" TargetMode="External" Id="rId494"/><Relationship Type="http://schemas.openxmlformats.org/officeDocument/2006/relationships/hyperlink" Target="https://vanillabonds.com/dossier-data/pdf/katjes/katjes-2023-annual-report.pdf#page=78" TargetMode="External" Id="rId495"/><Relationship Type="http://schemas.openxmlformats.org/officeDocument/2006/relationships/hyperlink" Target="https://vanillabonds.com/dossier.html?c=katjes&amp;viewer=1&amp;item=F248" TargetMode="External" Id="rId496"/><Relationship Type="http://schemas.openxmlformats.org/officeDocument/2006/relationships/hyperlink" Target="https://vanillabonds.com/dossier-data/pdf/katjes/katjes-2023-annual-report.pdf#page=78" TargetMode="External" Id="rId497"/><Relationship Type="http://schemas.openxmlformats.org/officeDocument/2006/relationships/hyperlink" Target="https://vanillabonds.com/dossier.html?c=katjes&amp;viewer=1&amp;item=F249" TargetMode="External" Id="rId498"/><Relationship Type="http://schemas.openxmlformats.org/officeDocument/2006/relationships/hyperlink" Target="https://vanillabonds.com/dossier-data/pdf/katjes/katjes-2023-annual-report.pdf#page=78" TargetMode="External" Id="rId499"/><Relationship Type="http://schemas.openxmlformats.org/officeDocument/2006/relationships/hyperlink" Target="https://vanillabonds.com/dossier.html?c=katjes&amp;viewer=1&amp;item=F250" TargetMode="External" Id="rId500"/><Relationship Type="http://schemas.openxmlformats.org/officeDocument/2006/relationships/hyperlink" Target="https://vanillabonds.com/dossier-data/pdf/katjes/katjes-2023-annual-report.pdf#page=78" TargetMode="External" Id="rId501"/><Relationship Type="http://schemas.openxmlformats.org/officeDocument/2006/relationships/hyperlink" Target="https://vanillabonds.com/dossier.html?c=katjes&amp;viewer=1&amp;item=F251" TargetMode="External" Id="rId502"/><Relationship Type="http://schemas.openxmlformats.org/officeDocument/2006/relationships/hyperlink" Target="https://vanillabonds.com/dossier-data/pdf/katjes/katjes-2023-annual-report.pdf#page=81" TargetMode="External" Id="rId503"/><Relationship Type="http://schemas.openxmlformats.org/officeDocument/2006/relationships/hyperlink" Target="https://vanillabonds.com/dossier.html?c=katjes&amp;viewer=1&amp;item=F252" TargetMode="External" Id="rId504"/><Relationship Type="http://schemas.openxmlformats.org/officeDocument/2006/relationships/hyperlink" Target="https://vanillabonds.com/dossier-data/pdf/katjes/katjes-2023-annual-report.pdf#page=81" TargetMode="External" Id="rId505"/><Relationship Type="http://schemas.openxmlformats.org/officeDocument/2006/relationships/hyperlink" Target="https://vanillabonds.com/dossier.html?c=katjes&amp;viewer=1&amp;item=F253" TargetMode="External" Id="rId506"/><Relationship Type="http://schemas.openxmlformats.org/officeDocument/2006/relationships/hyperlink" Target="https://vanillabonds.com/dossier-data/pdf/katjes/katjes-2023-annual-report.pdf#page=81" TargetMode="External" Id="rId507"/><Relationship Type="http://schemas.openxmlformats.org/officeDocument/2006/relationships/hyperlink" Target="https://vanillabonds.com/dossier.html?c=katjes&amp;viewer=1&amp;item=F254" TargetMode="External" Id="rId508"/><Relationship Type="http://schemas.openxmlformats.org/officeDocument/2006/relationships/hyperlink" Target="https://vanillabonds.com/dossier-data/pdf/katjes/katjes-2023-annual-report.pdf#page=81" TargetMode="External" Id="rId509"/><Relationship Type="http://schemas.openxmlformats.org/officeDocument/2006/relationships/hyperlink" Target="https://vanillabonds.com/dossier.html?c=katjes&amp;viewer=1&amp;item=F255" TargetMode="External" Id="rId510"/><Relationship Type="http://schemas.openxmlformats.org/officeDocument/2006/relationships/hyperlink" Target="https://vanillabonds.com/dossier-data/pdf/katjes/katjes-2023-annual-report.pdf#page=81" TargetMode="External" Id="rId511"/><Relationship Type="http://schemas.openxmlformats.org/officeDocument/2006/relationships/hyperlink" Target="https://vanillabonds.com/dossier.html?c=katjes&amp;viewer=1&amp;item=F256" TargetMode="External" Id="rId512"/><Relationship Type="http://schemas.openxmlformats.org/officeDocument/2006/relationships/hyperlink" Target="https://vanillabonds.com/dossier-data/pdf/katjes/katjes-2023-annual-report.pdf#page=81" TargetMode="External" Id="rId513"/><Relationship Type="http://schemas.openxmlformats.org/officeDocument/2006/relationships/hyperlink" Target="https://vanillabonds.com/dossier.html?c=katjes&amp;viewer=1&amp;item=F257" TargetMode="External" Id="rId514"/><Relationship Type="http://schemas.openxmlformats.org/officeDocument/2006/relationships/hyperlink" Target="https://vanillabonds.com/dossier-data/pdf/katjes/katjes-2023-annual-report.pdf#page=82" TargetMode="External" Id="rId515"/><Relationship Type="http://schemas.openxmlformats.org/officeDocument/2006/relationships/hyperlink" Target="https://vanillabonds.com/dossier.html?c=katjes&amp;viewer=1&amp;item=F258" TargetMode="External" Id="rId516"/><Relationship Type="http://schemas.openxmlformats.org/officeDocument/2006/relationships/hyperlink" Target="https://vanillabonds.com/dossier-data/pdf/katjes/katjes-2023-annual-report.pdf#page=82" TargetMode="External" Id="rId517"/><Relationship Type="http://schemas.openxmlformats.org/officeDocument/2006/relationships/hyperlink" Target="https://vanillabonds.com/dossier.html?c=katjes&amp;viewer=1&amp;item=F259" TargetMode="External" Id="rId518"/><Relationship Type="http://schemas.openxmlformats.org/officeDocument/2006/relationships/hyperlink" Target="https://vanillabonds.com/dossier-data/pdf/katjes/katjes-2023-annual-report.pdf#page=82" TargetMode="External" Id="rId519"/><Relationship Type="http://schemas.openxmlformats.org/officeDocument/2006/relationships/hyperlink" Target="https://vanillabonds.com/dossier.html?c=katjes&amp;viewer=1&amp;item=F260" TargetMode="External" Id="rId520"/><Relationship Type="http://schemas.openxmlformats.org/officeDocument/2006/relationships/hyperlink" Target="https://vanillabonds.com/dossier-data/pdf/katjes/katjes-2023-annual-report.pdf#page=82" TargetMode="External" Id="rId521"/><Relationship Type="http://schemas.openxmlformats.org/officeDocument/2006/relationships/hyperlink" Target="https://vanillabonds.com/dossier.html?c=katjes&amp;viewer=1&amp;item=F261" TargetMode="External" Id="rId522"/><Relationship Type="http://schemas.openxmlformats.org/officeDocument/2006/relationships/hyperlink" Target="https://vanillabonds.com/dossier-data/pdf/katjes/katjes-2023-annual-report.pdf#page=78" TargetMode="External" Id="rId523"/><Relationship Type="http://schemas.openxmlformats.org/officeDocument/2006/relationships/hyperlink" Target="https://vanillabonds.com/dossier.html?c=katjes&amp;viewer=1&amp;item=F262" TargetMode="External" Id="rId524"/><Relationship Type="http://schemas.openxmlformats.org/officeDocument/2006/relationships/hyperlink" Target="https://vanillabonds.com/dossier-data/pdf/katjes/katjes-2023-annual-report.pdf#page=78" TargetMode="External" Id="rId525"/><Relationship Type="http://schemas.openxmlformats.org/officeDocument/2006/relationships/hyperlink" Target="https://vanillabonds.com/dossier.html?c=katjes&amp;viewer=1&amp;item=F263" TargetMode="External" Id="rId526"/><Relationship Type="http://schemas.openxmlformats.org/officeDocument/2006/relationships/hyperlink" Target="https://vanillabonds.com/dossier-data/pdf/katjes/katjes-2023-annual-report.pdf#page=78" TargetMode="External" Id="rId527"/><Relationship Type="http://schemas.openxmlformats.org/officeDocument/2006/relationships/hyperlink" Target="https://vanillabonds.com/dossier.html?c=katjes&amp;viewer=1&amp;item=F264" TargetMode="External" Id="rId528"/><Relationship Type="http://schemas.openxmlformats.org/officeDocument/2006/relationships/hyperlink" Target="https://vanillabonds.com/dossier-data/pdf/katjes/katjes-2023-annual-report.pdf#page=78" TargetMode="External" Id="rId529"/><Relationship Type="http://schemas.openxmlformats.org/officeDocument/2006/relationships/hyperlink" Target="https://vanillabonds.com/dossier.html?c=katjes&amp;viewer=1&amp;item=F265" TargetMode="External" Id="rId530"/><Relationship Type="http://schemas.openxmlformats.org/officeDocument/2006/relationships/hyperlink" Target="https://vanillabonds.com/dossier-data/pdf/katjes/katjes-2023-annual-report.pdf#page=78" TargetMode="External" Id="rId531"/><Relationship Type="http://schemas.openxmlformats.org/officeDocument/2006/relationships/hyperlink" Target="https://vanillabonds.com/dossier.html?c=katjes&amp;viewer=1&amp;item=F266" TargetMode="External" Id="rId532"/><Relationship Type="http://schemas.openxmlformats.org/officeDocument/2006/relationships/hyperlink" Target="https://vanillabonds.com/dossier-data/pdf/katjes/katjes-2023-annual-report.pdf#page=81" TargetMode="External" Id="rId533"/><Relationship Type="http://schemas.openxmlformats.org/officeDocument/2006/relationships/hyperlink" Target="https://vanillabonds.com/dossier.html?c=katjes&amp;viewer=1&amp;item=F267" TargetMode="External" Id="rId534"/><Relationship Type="http://schemas.openxmlformats.org/officeDocument/2006/relationships/hyperlink" Target="https://vanillabonds.com/dossier-data/pdf/katjes/katjes-2023-annual-report.pdf#page=81" TargetMode="External" Id="rId535"/><Relationship Type="http://schemas.openxmlformats.org/officeDocument/2006/relationships/hyperlink" Target="https://vanillabonds.com/dossier.html?c=katjes&amp;viewer=1&amp;item=F268" TargetMode="External" Id="rId536"/><Relationship Type="http://schemas.openxmlformats.org/officeDocument/2006/relationships/hyperlink" Target="https://vanillabonds.com/dossier-data/pdf/katjes/katjes-2023-annual-report.pdf#page=81" TargetMode="External" Id="rId537"/><Relationship Type="http://schemas.openxmlformats.org/officeDocument/2006/relationships/hyperlink" Target="https://vanillabonds.com/dossier.html?c=katjes&amp;viewer=1&amp;item=F269" TargetMode="External" Id="rId538"/><Relationship Type="http://schemas.openxmlformats.org/officeDocument/2006/relationships/hyperlink" Target="https://vanillabonds.com/dossier-data/pdf/katjes/katjes-2023-annual-report.pdf#page=81" TargetMode="External" Id="rId539"/><Relationship Type="http://schemas.openxmlformats.org/officeDocument/2006/relationships/hyperlink" Target="https://vanillabonds.com/dossier.html?c=katjes&amp;viewer=1&amp;item=F270" TargetMode="External" Id="rId540"/><Relationship Type="http://schemas.openxmlformats.org/officeDocument/2006/relationships/hyperlink" Target="https://vanillabonds.com/dossier-data/pdf/katjes/katjes-2023-annual-report.pdf#page=81" TargetMode="External" Id="rId541"/><Relationship Type="http://schemas.openxmlformats.org/officeDocument/2006/relationships/hyperlink" Target="https://vanillabonds.com/dossier.html?c=katjes&amp;viewer=1&amp;item=F271" TargetMode="External" Id="rId542"/><Relationship Type="http://schemas.openxmlformats.org/officeDocument/2006/relationships/hyperlink" Target="https://vanillabonds.com/dossier-data/pdf/katjes/katjes-2023-annual-report.pdf#page=81" TargetMode="External" Id="rId543"/><Relationship Type="http://schemas.openxmlformats.org/officeDocument/2006/relationships/hyperlink" Target="https://vanillabonds.com/dossier.html?c=katjes&amp;viewer=1&amp;item=F272" TargetMode="External" Id="rId544"/><Relationship Type="http://schemas.openxmlformats.org/officeDocument/2006/relationships/hyperlink" Target="https://vanillabonds.com/dossier-data/pdf/katjes/katjes-2023-annual-report.pdf#page=82" TargetMode="External" Id="rId545"/><Relationship Type="http://schemas.openxmlformats.org/officeDocument/2006/relationships/hyperlink" Target="https://vanillabonds.com/dossier.html?c=katjes&amp;viewer=1&amp;item=F273" TargetMode="External" Id="rId546"/><Relationship Type="http://schemas.openxmlformats.org/officeDocument/2006/relationships/hyperlink" Target="https://vanillabonds.com/dossier-data/pdf/katjes/katjes-2023-annual-report.pdf#page=82" TargetMode="External" Id="rId547"/><Relationship Type="http://schemas.openxmlformats.org/officeDocument/2006/relationships/hyperlink" Target="https://vanillabonds.com/dossier.html?c=katjes&amp;viewer=1&amp;item=F274" TargetMode="External" Id="rId548"/><Relationship Type="http://schemas.openxmlformats.org/officeDocument/2006/relationships/hyperlink" Target="https://vanillabonds.com/dossier-data/pdf/katjes/katjes-2023-annual-report.pdf#page=82" TargetMode="External" Id="rId549"/><Relationship Type="http://schemas.openxmlformats.org/officeDocument/2006/relationships/hyperlink" Target="https://vanillabonds.com/dossier.html?c=katjes&amp;viewer=1&amp;item=F275" TargetMode="External" Id="rId550"/><Relationship Type="http://schemas.openxmlformats.org/officeDocument/2006/relationships/hyperlink" Target="https://vanillabonds.com/dossier-data/pdf/katjes/katjes-2023-annual-report.pdf#page=82" TargetMode="External" Id="rId551"/><Relationship Type="http://schemas.openxmlformats.org/officeDocument/2006/relationships/hyperlink" Target="https://vanillabonds.com/dossier.html?c=katjes&amp;viewer=1&amp;item=F276" TargetMode="External" Id="rId552"/><Relationship Type="http://schemas.openxmlformats.org/officeDocument/2006/relationships/hyperlink" Target="https://vanillabonds.com/dossier-data/pdf/katjes/katjes-2023-annual-report.pdf#page=48" TargetMode="External" Id="rId553"/><Relationship Type="http://schemas.openxmlformats.org/officeDocument/2006/relationships/hyperlink" Target="https://vanillabonds.com/dossier.html?c=katjes&amp;viewer=1&amp;item=F277" TargetMode="External" Id="rId554"/><Relationship Type="http://schemas.openxmlformats.org/officeDocument/2006/relationships/hyperlink" Target="https://vanillabonds.com/dossier-data/pdf/katjes/katjes-2023-annual-report.pdf#page=48" TargetMode="External" Id="rId555"/><Relationship Type="http://schemas.openxmlformats.org/officeDocument/2006/relationships/hyperlink" Target="https://vanillabonds.com/dossier.html?c=katjes&amp;viewer=1&amp;item=F278" TargetMode="External" Id="rId556"/><Relationship Type="http://schemas.openxmlformats.org/officeDocument/2006/relationships/hyperlink" Target="https://vanillabonds.com/dossier-data/pdf/katjes/katjes-2023-annual-report.pdf#page=69" TargetMode="External" Id="rId557"/><Relationship Type="http://schemas.openxmlformats.org/officeDocument/2006/relationships/hyperlink" Target="https://vanillabonds.com/dossier.html?c=katjes&amp;viewer=1&amp;item=F279" TargetMode="External" Id="rId558"/><Relationship Type="http://schemas.openxmlformats.org/officeDocument/2006/relationships/hyperlink" Target="https://vanillabonds.com/dossier-data/pdf/katjes/katjes-2023-annual-report.pdf#page=69" TargetMode="External" Id="rId559"/><Relationship Type="http://schemas.openxmlformats.org/officeDocument/2006/relationships/hyperlink" Target="https://vanillabonds.com/dossier.html?c=katjes&amp;viewer=1&amp;item=F280" TargetMode="External" Id="rId560"/><Relationship Type="http://schemas.openxmlformats.org/officeDocument/2006/relationships/hyperlink" Target="https://vanillabonds.com/dossier-data/pdf/katjes/katjes-2023-annual-report.pdf#page=69" TargetMode="External" Id="rId561"/><Relationship Type="http://schemas.openxmlformats.org/officeDocument/2006/relationships/hyperlink" Target="https://vanillabonds.com/dossier.html?c=katjes&amp;viewer=1&amp;item=F281" TargetMode="External" Id="rId562"/><Relationship Type="http://schemas.openxmlformats.org/officeDocument/2006/relationships/hyperlink" Target="https://vanillabonds.com/dossier-data/pdf/katjes/katjes-2023-annual-report.pdf#page=61" TargetMode="External" Id="rId563"/><Relationship Type="http://schemas.openxmlformats.org/officeDocument/2006/relationships/hyperlink" Target="https://vanillabonds.com/dossier.html?c=katjes&amp;viewer=1&amp;item=F282" TargetMode="External" Id="rId564"/><Relationship Type="http://schemas.openxmlformats.org/officeDocument/2006/relationships/hyperlink" Target="https://vanillabonds.com/dossier-data/pdf/katjes/katjes-2023-annual-report.pdf#page=33" TargetMode="External" Id="rId565"/><Relationship Type="http://schemas.openxmlformats.org/officeDocument/2006/relationships/hyperlink" Target="https://vanillabonds.com/dossier.html?c=katjes&amp;viewer=1&amp;item=F283" TargetMode="External" Id="rId566"/><Relationship Type="http://schemas.openxmlformats.org/officeDocument/2006/relationships/hyperlink" Target="https://vanillabonds.com/dossier-data/pdf/katjes/katjes-2023-annual-report.pdf#page=72" TargetMode="External" Id="rId567"/><Relationship Type="http://schemas.openxmlformats.org/officeDocument/2006/relationships/hyperlink" Target="https://vanillabonds.com/dossier.html?c=katjes&amp;viewer=1&amp;item=F284" TargetMode="External" Id="rId568"/><Relationship Type="http://schemas.openxmlformats.org/officeDocument/2006/relationships/hyperlink" Target="https://vanillabonds.com/dossier-data/pdf/katjes/katjes-2023-annual-report.pdf#page=5" TargetMode="External" Id="rId569"/><Relationship Type="http://schemas.openxmlformats.org/officeDocument/2006/relationships/hyperlink" Target="https://vanillabonds.com/dossier.html?c=katjes&amp;viewer=1&amp;item=F285" TargetMode="External" Id="rId570"/><Relationship Type="http://schemas.openxmlformats.org/officeDocument/2006/relationships/hyperlink" Target="https://vanillabonds.com/dossier-data/pdf/katjes/katjes-2023-annual-report.pdf#page=26" TargetMode="External" Id="rId571"/><Relationship Type="http://schemas.openxmlformats.org/officeDocument/2006/relationships/hyperlink" Target="https://vanillabonds.com/dossier.html?c=katjes&amp;viewer=1&amp;item=F286" TargetMode="External" Id="rId572"/><Relationship Type="http://schemas.openxmlformats.org/officeDocument/2006/relationships/hyperlink" Target="https://vanillabonds.com/dossier-data/pdf/katjes/katjes-2023-annual-report.pdf#page=41" TargetMode="External" Id="rId573"/><Relationship Type="http://schemas.openxmlformats.org/officeDocument/2006/relationships/hyperlink" Target="https://vanillabonds.com/dossier.html?c=katjes&amp;viewer=1&amp;item=F287" TargetMode="External" Id="rId574"/><Relationship Type="http://schemas.openxmlformats.org/officeDocument/2006/relationships/hyperlink" Target="https://vanillabonds.com/dossier-data/pdf/katjes/katjes-2023-annual-report.pdf#page=41" TargetMode="External" Id="rId575"/><Relationship Type="http://schemas.openxmlformats.org/officeDocument/2006/relationships/hyperlink" Target="https://vanillabonds.com/dossier.html?c=katjes&amp;viewer=1&amp;item=F288" TargetMode="External" Id="rId576"/><Relationship Type="http://schemas.openxmlformats.org/officeDocument/2006/relationships/hyperlink" Target="https://vanillabonds.com/dossier-data/pdf/katjes/katjes-2023-annual-report.pdf#page=33" TargetMode="External" Id="rId577"/><Relationship Type="http://schemas.openxmlformats.org/officeDocument/2006/relationships/hyperlink" Target="https://vanillabonds.com/dossier.html?c=katjes&amp;viewer=1&amp;item=F289" TargetMode="External" Id="rId578"/><Relationship Type="http://schemas.openxmlformats.org/officeDocument/2006/relationships/hyperlink" Target="https://vanillabonds.com/dossier-data/pdf/katjes/katjes-2023-annual-report.pdf#page=33" TargetMode="External" Id="rId579"/><Relationship Type="http://schemas.openxmlformats.org/officeDocument/2006/relationships/hyperlink" Target="https://vanillabonds.com/dossier.html?c=katjes&amp;viewer=1&amp;item=F290" TargetMode="External" Id="rId580"/><Relationship Type="http://schemas.openxmlformats.org/officeDocument/2006/relationships/hyperlink" Target="https://vanillabonds.com/dossier-data/pdf/katjes/katjes-2023-annual-report.pdf#page=61" TargetMode="External" Id="rId581"/><Relationship Type="http://schemas.openxmlformats.org/officeDocument/2006/relationships/hyperlink" Target="https://vanillabonds.com/dossier.html?c=katjes&amp;viewer=1&amp;item=F291" TargetMode="External" Id="rId582"/><Relationship Type="http://schemas.openxmlformats.org/officeDocument/2006/relationships/hyperlink" Target="https://vanillabonds.com/dossier-data/pdf/katjes/katjes-2023-annual-report.pdf#page=61" TargetMode="External" Id="rId583"/><Relationship Type="http://schemas.openxmlformats.org/officeDocument/2006/relationships/hyperlink" Target="https://vanillabonds.com/dossier.html?c=katjes&amp;viewer=1&amp;item=F292" TargetMode="External" Id="rId584"/><Relationship Type="http://schemas.openxmlformats.org/officeDocument/2006/relationships/hyperlink" Target="https://vanillabonds.com/dossier-data/pdf/katjes/katjes-2023-annual-report.pdf#page=62" TargetMode="External" Id="rId585"/><Relationship Type="http://schemas.openxmlformats.org/officeDocument/2006/relationships/hyperlink" Target="https://vanillabonds.com/dossier.html?c=katjes&amp;viewer=1&amp;item=F293" TargetMode="External" Id="rId586"/><Relationship Type="http://schemas.openxmlformats.org/officeDocument/2006/relationships/hyperlink" Target="https://vanillabonds.com/dossier-data/pdf/katjes/katjes-2023-annual-report.pdf#page=64" TargetMode="External" Id="rId587"/><Relationship Type="http://schemas.openxmlformats.org/officeDocument/2006/relationships/hyperlink" Target="https://vanillabonds.com/dossier.html?c=katjes&amp;viewer=1&amp;item=F294" TargetMode="External" Id="rId588"/><Relationship Type="http://schemas.openxmlformats.org/officeDocument/2006/relationships/hyperlink" Target="https://vanillabonds.com/dossier-data/pdf/katjes/katjes-2023-annual-report.pdf#page=40" TargetMode="External" Id="rId589"/><Relationship Type="http://schemas.openxmlformats.org/officeDocument/2006/relationships/hyperlink" Target="https://vanillabonds.com/dossier.html?c=katjes&amp;viewer=1&amp;item=F295" TargetMode="External" Id="rId590"/><Relationship Type="http://schemas.openxmlformats.org/officeDocument/2006/relationships/hyperlink" Target="https://vanillabonds.com/dossier-data/pdf/katjes/katjes-2023-annual-report.pdf#page=62" TargetMode="External" Id="rId591"/><Relationship Type="http://schemas.openxmlformats.org/officeDocument/2006/relationships/hyperlink" Target="https://vanillabonds.com/dossier.html?c=katjes&amp;viewer=1&amp;item=F296" TargetMode="External" Id="rId592"/><Relationship Type="http://schemas.openxmlformats.org/officeDocument/2006/relationships/hyperlink" Target="https://vanillabonds.com/dossier-data/pdf/katjes/katjes-2023-annual-report.pdf#page=78" TargetMode="External" Id="rId593"/><Relationship Type="http://schemas.openxmlformats.org/officeDocument/2006/relationships/hyperlink" Target="https://vanillabonds.com/dossier.html?c=katjes&amp;viewer=1&amp;item=F297" TargetMode="External" Id="rId594"/><Relationship Type="http://schemas.openxmlformats.org/officeDocument/2006/relationships/hyperlink" Target="https://vanillabonds.com/dossier-data/pdf/katjes/katjes-2023-annual-report.pdf#page=84" TargetMode="External" Id="rId595"/><Relationship Type="http://schemas.openxmlformats.org/officeDocument/2006/relationships/hyperlink" Target="https://vanillabonds.com/dossier.html?c=katjes&amp;viewer=1&amp;item=F298" TargetMode="External" Id="rId596"/><Relationship Type="http://schemas.openxmlformats.org/officeDocument/2006/relationships/hyperlink" Target="https://vanillabonds.com/dossier-data/pdf/katjes/katjes-2023-annual-report.pdf#page=84" TargetMode="External" Id="rId597"/><Relationship Type="http://schemas.openxmlformats.org/officeDocument/2006/relationships/hyperlink" Target="https://vanillabonds.com/dossier.html?c=katjes&amp;viewer=1&amp;item=F299" TargetMode="External" Id="rId598"/><Relationship Type="http://schemas.openxmlformats.org/officeDocument/2006/relationships/hyperlink" Target="https://vanillabonds.com/dossier-data/pdf/katjes/katjes-2023-annual-report.pdf#page=35" TargetMode="External" Id="rId599"/><Relationship Type="http://schemas.openxmlformats.org/officeDocument/2006/relationships/hyperlink" Target="https://vanillabonds.com/dossier.html?c=katjes&amp;viewer=1&amp;item=F300" TargetMode="External" Id="rId600"/><Relationship Type="http://schemas.openxmlformats.org/officeDocument/2006/relationships/hyperlink" Target="https://vanillabonds.com/dossier-data/pdf/katjes/katjes-2023-annual-report.pdf#page=70" TargetMode="External" Id="rId601"/><Relationship Type="http://schemas.openxmlformats.org/officeDocument/2006/relationships/hyperlink" Target="https://vanillabonds.com/dossier.html?c=katjes&amp;viewer=1&amp;item=F301" TargetMode="External" Id="rId602"/><Relationship Type="http://schemas.openxmlformats.org/officeDocument/2006/relationships/hyperlink" Target="https://vanillabonds.com/dossier-data/pdf/katjes/katjes-2023-annual-report.pdf#page=59" TargetMode="External" Id="rId603"/><Relationship Type="http://schemas.openxmlformats.org/officeDocument/2006/relationships/hyperlink" Target="https://vanillabonds.com/dossier.html?c=katjes&amp;viewer=1&amp;item=F302" TargetMode="External" Id="rId604"/><Relationship Type="http://schemas.openxmlformats.org/officeDocument/2006/relationships/hyperlink" Target="https://vanillabonds.com/dossier-data/pdf/katjes/katjes-2023-annual-report.pdf#page=66" TargetMode="External" Id="rId605"/><Relationship Type="http://schemas.openxmlformats.org/officeDocument/2006/relationships/hyperlink" Target="https://vanillabonds.com/dossier.html?c=katjes&amp;viewer=1&amp;item=F303" TargetMode="External" Id="rId606"/><Relationship Type="http://schemas.openxmlformats.org/officeDocument/2006/relationships/hyperlink" Target="https://vanillabonds.com/dossier-data/pdf/katjes/katjes-2023-annual-report.pdf#page=66" TargetMode="External" Id="rId607"/><Relationship Type="http://schemas.openxmlformats.org/officeDocument/2006/relationships/hyperlink" Target="https://vanillabonds.com/dossier.html?c=katjes&amp;viewer=1&amp;item=F304" TargetMode="External" Id="rId608"/><Relationship Type="http://schemas.openxmlformats.org/officeDocument/2006/relationships/hyperlink" Target="https://vanillabonds.com/dossier-data/pdf/katjes/katjes-2023-annual-report.pdf#page=67" TargetMode="External" Id="rId609"/><Relationship Type="http://schemas.openxmlformats.org/officeDocument/2006/relationships/hyperlink" Target="https://vanillabonds.com/dossier.html?c=katjes&amp;viewer=1&amp;item=F305" TargetMode="External" Id="rId610"/><Relationship Type="http://schemas.openxmlformats.org/officeDocument/2006/relationships/hyperlink" Target="https://vanillabonds.com/dossier-data/pdf/katjes/katjes-2023-annual-report.pdf#page=67" TargetMode="External" Id="rId611"/><Relationship Type="http://schemas.openxmlformats.org/officeDocument/2006/relationships/hyperlink" Target="https://vanillabonds.com/dossier.html?c=katjes&amp;viewer=1&amp;item=F306" TargetMode="External" Id="rId612"/><Relationship Type="http://schemas.openxmlformats.org/officeDocument/2006/relationships/hyperlink" Target="https://vanillabonds.com/dossier-data/pdf/katjes/katjes-2023-annual-report.pdf#page=67" TargetMode="External" Id="rId613"/><Relationship Type="http://schemas.openxmlformats.org/officeDocument/2006/relationships/hyperlink" Target="https://vanillabonds.com/dossier.html?c=katjes&amp;viewer=1&amp;item=F307" TargetMode="External" Id="rId614"/><Relationship Type="http://schemas.openxmlformats.org/officeDocument/2006/relationships/hyperlink" Target="https://vanillabonds.com/dossier-data/pdf/katjes/katjes-2023-annual-report.pdf#page=67" TargetMode="External" Id="rId615"/><Relationship Type="http://schemas.openxmlformats.org/officeDocument/2006/relationships/hyperlink" Target="https://vanillabonds.com/dossier.html?c=katjes&amp;viewer=1&amp;item=F308" TargetMode="External" Id="rId616"/><Relationship Type="http://schemas.openxmlformats.org/officeDocument/2006/relationships/hyperlink" Target="https://vanillabonds.com/dossier-data/pdf/katjes/katjes-2023-annual-report.pdf#page=67" TargetMode="External" Id="rId617"/><Relationship Type="http://schemas.openxmlformats.org/officeDocument/2006/relationships/hyperlink" Target="https://vanillabonds.com/dossier.html?c=katjes&amp;viewer=1&amp;item=F309" TargetMode="External" Id="rId618"/><Relationship Type="http://schemas.openxmlformats.org/officeDocument/2006/relationships/hyperlink" Target="https://vanillabonds.com/dossier-data/pdf/katjes/katjes-2023-annual-report.pdf#page=67" TargetMode="External" Id="rId619"/><Relationship Type="http://schemas.openxmlformats.org/officeDocument/2006/relationships/hyperlink" Target="https://vanillabonds.com/dossier.html?c=katjes&amp;viewer=1&amp;item=F310" TargetMode="External" Id="rId620"/><Relationship Type="http://schemas.openxmlformats.org/officeDocument/2006/relationships/hyperlink" Target="https://vanillabonds.com/dossier-data/pdf/katjes/katjes-2023-annual-report.pdf#page=67" TargetMode="External" Id="rId621"/><Relationship Type="http://schemas.openxmlformats.org/officeDocument/2006/relationships/hyperlink" Target="https://vanillabonds.com/dossier.html?c=katjes&amp;viewer=1&amp;item=F311" TargetMode="External" Id="rId622"/><Relationship Type="http://schemas.openxmlformats.org/officeDocument/2006/relationships/hyperlink" Target="https://vanillabonds.com/dossier-data/pdf/katjes/katjes-2023-annual-report.pdf#page=83" TargetMode="External" Id="rId623"/><Relationship Type="http://schemas.openxmlformats.org/officeDocument/2006/relationships/hyperlink" Target="https://vanillabonds.com/dossier.html?c=katjes&amp;viewer=1&amp;item=F312" TargetMode="External" Id="rId624"/><Relationship Type="http://schemas.openxmlformats.org/officeDocument/2006/relationships/hyperlink" Target="https://vanillabonds.com/dossier-data/pdf/katjes/katjes-2023-annual-report.pdf#page=23" TargetMode="External" Id="rId625"/><Relationship Type="http://schemas.openxmlformats.org/officeDocument/2006/relationships/hyperlink" Target="https://vanillabonds.com/dossier.html?c=katjes&amp;viewer=1&amp;item=F313" TargetMode="External" Id="rId626"/><Relationship Type="http://schemas.openxmlformats.org/officeDocument/2006/relationships/hyperlink" Target="https://vanillabonds.com/dossier-data/pdf/katjes/katjes-2023-annual-report.pdf#page=30" TargetMode="External" Id="rId627"/><Relationship Type="http://schemas.openxmlformats.org/officeDocument/2006/relationships/hyperlink" Target="https://vanillabonds.com/dossier.html?c=katjes&amp;viewer=1&amp;item=F314" TargetMode="External" Id="rId628"/><Relationship Type="http://schemas.openxmlformats.org/officeDocument/2006/relationships/hyperlink" Target="https://vanillabonds.com/dossier-data/pdf/katjes/katjes-2023-annual-report.pdf#page=35" TargetMode="External" Id="rId629"/><Relationship Type="http://schemas.openxmlformats.org/officeDocument/2006/relationships/hyperlink" Target="https://vanillabonds.com/dossier.html?c=katjes&amp;viewer=1&amp;item=F315" TargetMode="External" Id="rId630"/><Relationship Type="http://schemas.openxmlformats.org/officeDocument/2006/relationships/hyperlink" Target="https://vanillabonds.com/dossier-data/pdf/katjes/katjes-2023-annual-report.pdf#page=35" TargetMode="External" Id="rId631"/><Relationship Type="http://schemas.openxmlformats.org/officeDocument/2006/relationships/hyperlink" Target="https://vanillabonds.com/dossier.html?c=katjes&amp;viewer=1&amp;item=F316" TargetMode="External" Id="rId632"/><Relationship Type="http://schemas.openxmlformats.org/officeDocument/2006/relationships/hyperlink" Target="https://vanillabonds.com/dossier-data/pdf/katjes/katjes-2023-annual-report.pdf#page=4" TargetMode="External" Id="rId633"/><Relationship Type="http://schemas.openxmlformats.org/officeDocument/2006/relationships/hyperlink" Target="https://vanillabonds.com/dossier.html?c=katjes&amp;viewer=1&amp;item=F317" TargetMode="External" Id="rId634"/><Relationship Type="http://schemas.openxmlformats.org/officeDocument/2006/relationships/hyperlink" Target="https://vanillabonds.com/dossier-data/pdf/katjes/katjes-2023-annual-report.pdf#page=4" TargetMode="External" Id="rId635"/><Relationship Type="http://schemas.openxmlformats.org/officeDocument/2006/relationships/hyperlink" Target="https://vanillabonds.com/dossier.html?c=katjes&amp;viewer=1&amp;item=F318" TargetMode="External" Id="rId636"/><Relationship Type="http://schemas.openxmlformats.org/officeDocument/2006/relationships/hyperlink" Target="https://vanillabonds.com/dossier-data/pdf/katjes/katjes-2023-annual-report.pdf#page=48" TargetMode="External" Id="rId637"/><Relationship Type="http://schemas.openxmlformats.org/officeDocument/2006/relationships/hyperlink" Target="https://vanillabonds.com/dossier.html?c=katjes&amp;viewer=1&amp;item=F319" TargetMode="External" Id="rId638"/><Relationship Type="http://schemas.openxmlformats.org/officeDocument/2006/relationships/hyperlink" Target="https://vanillabonds.com/dossier-data/pdf/katjes/katjes-2023-annual-report.pdf#page=68" TargetMode="External" Id="rId639"/><Relationship Type="http://schemas.openxmlformats.org/officeDocument/2006/relationships/hyperlink" Target="https://vanillabonds.com/dossier.html?c=katjes&amp;viewer=1&amp;item=F320" TargetMode="External" Id="rId640"/><Relationship Type="http://schemas.openxmlformats.org/officeDocument/2006/relationships/hyperlink" Target="https://vanillabonds.com/dossier-data/pdf/katjes/katjes-2023-annual-report.pdf#page=72" TargetMode="External" Id="rId641"/><Relationship Type="http://schemas.openxmlformats.org/officeDocument/2006/relationships/hyperlink" Target="https://vanillabonds.com/dossier.html?c=katjes&amp;viewer=1&amp;item=F321" TargetMode="External" Id="rId642"/><Relationship Type="http://schemas.openxmlformats.org/officeDocument/2006/relationships/hyperlink" Target="https://vanillabonds.com/dossier-data/pdf/katjes/katjes-2023-annual-report.pdf#page=85" TargetMode="External" Id="rId643"/><Relationship Type="http://schemas.openxmlformats.org/officeDocument/2006/relationships/hyperlink" Target="https://vanillabonds.com/dossier.html?c=katjes&amp;viewer=1&amp;item=F322" TargetMode="External" Id="rId644"/><Relationship Type="http://schemas.openxmlformats.org/officeDocument/2006/relationships/hyperlink" Target="https://vanillabonds.com/dossier-data/pdf/katjes/katjes-2024-annual-report.pdf#page=47" TargetMode="External" Id="rId645"/><Relationship Type="http://schemas.openxmlformats.org/officeDocument/2006/relationships/hyperlink" Target="https://vanillabonds.com/dossier.html?c=katjes&amp;viewer=1&amp;item=F323" TargetMode="External" Id="rId646"/><Relationship Type="http://schemas.openxmlformats.org/officeDocument/2006/relationships/hyperlink" Target="https://vanillabonds.com/dossier-data/pdf/katjes/katjes-2024-annual-report.pdf#page=47" TargetMode="External" Id="rId647"/><Relationship Type="http://schemas.openxmlformats.org/officeDocument/2006/relationships/hyperlink" Target="https://vanillabonds.com/dossier.html?c=katjes&amp;viewer=1&amp;item=F324" TargetMode="External" Id="rId648"/><Relationship Type="http://schemas.openxmlformats.org/officeDocument/2006/relationships/hyperlink" Target="https://vanillabonds.com/dossier-data/pdf/katjes/katjes-2024-annual-report.pdf#page=47" TargetMode="External" Id="rId649"/><Relationship Type="http://schemas.openxmlformats.org/officeDocument/2006/relationships/hyperlink" Target="https://vanillabonds.com/dossier.html?c=katjes&amp;viewer=1&amp;item=F325" TargetMode="External" Id="rId650"/><Relationship Type="http://schemas.openxmlformats.org/officeDocument/2006/relationships/hyperlink" Target="https://vanillabonds.com/dossier-data/pdf/katjes/katjes-2024-annual-report.pdf#page=9" TargetMode="External" Id="rId651"/><Relationship Type="http://schemas.openxmlformats.org/officeDocument/2006/relationships/hyperlink" Target="https://vanillabonds.com/dossier.html?c=katjes&amp;viewer=1&amp;item=F326" TargetMode="External" Id="rId652"/><Relationship Type="http://schemas.openxmlformats.org/officeDocument/2006/relationships/hyperlink" Target="https://vanillabonds.com/dossier-data/pdf/katjes/katjes-2024-annual-report.pdf#page=47" TargetMode="External" Id="rId653"/><Relationship Type="http://schemas.openxmlformats.org/officeDocument/2006/relationships/hyperlink" Target="https://vanillabonds.com/dossier.html?c=katjes&amp;viewer=1&amp;item=F327" TargetMode="External" Id="rId654"/><Relationship Type="http://schemas.openxmlformats.org/officeDocument/2006/relationships/hyperlink" Target="https://vanillabonds.com/dossier-data/pdf/katjes/katjes-2024-annual-report.pdf#page=47" TargetMode="External" Id="rId655"/><Relationship Type="http://schemas.openxmlformats.org/officeDocument/2006/relationships/hyperlink" Target="https://vanillabonds.com/dossier.html?c=katjes&amp;viewer=1&amp;item=F328" TargetMode="External" Id="rId656"/><Relationship Type="http://schemas.openxmlformats.org/officeDocument/2006/relationships/hyperlink" Target="https://vanillabonds.com/dossier-data/pdf/katjes/katjes-2024-annual-report.pdf#page=77" TargetMode="External" Id="rId657"/><Relationship Type="http://schemas.openxmlformats.org/officeDocument/2006/relationships/hyperlink" Target="https://vanillabonds.com/dossier.html?c=katjes&amp;viewer=1&amp;item=F329" TargetMode="External" Id="rId658"/><Relationship Type="http://schemas.openxmlformats.org/officeDocument/2006/relationships/hyperlink" Target="https://vanillabonds.com/dossier-data/pdf/katjes/katjes-2024-annual-report.pdf#page=26" TargetMode="External" Id="rId659"/><Relationship Type="http://schemas.openxmlformats.org/officeDocument/2006/relationships/hyperlink" Target="https://vanillabonds.com/dossier.html?c=katjes&amp;viewer=1&amp;item=F330" TargetMode="External" Id="rId660"/><Relationship Type="http://schemas.openxmlformats.org/officeDocument/2006/relationships/hyperlink" Target="https://vanillabonds.com/dossier-data/pdf/katjes/katjes-2024-annual-report.pdf#page=47" TargetMode="External" Id="rId661"/><Relationship Type="http://schemas.openxmlformats.org/officeDocument/2006/relationships/hyperlink" Target="https://vanillabonds.com/dossier.html?c=katjes&amp;viewer=1&amp;item=F331" TargetMode="External" Id="rId662"/><Relationship Type="http://schemas.openxmlformats.org/officeDocument/2006/relationships/hyperlink" Target="https://vanillabonds.com/dossier-data/pdf/katjes/katjes-2024-annual-report.pdf#page=47" TargetMode="External" Id="rId663"/><Relationship Type="http://schemas.openxmlformats.org/officeDocument/2006/relationships/hyperlink" Target="https://vanillabonds.com/dossier.html?c=katjes&amp;viewer=1&amp;item=F332" TargetMode="External" Id="rId664"/><Relationship Type="http://schemas.openxmlformats.org/officeDocument/2006/relationships/hyperlink" Target="https://vanillabonds.com/dossier-data/pdf/katjes/katjes-2024-annual-report.pdf#page=47" TargetMode="External" Id="rId665"/><Relationship Type="http://schemas.openxmlformats.org/officeDocument/2006/relationships/hyperlink" Target="https://vanillabonds.com/dossier.html?c=katjes&amp;viewer=1&amp;item=F333" TargetMode="External" Id="rId666"/><Relationship Type="http://schemas.openxmlformats.org/officeDocument/2006/relationships/hyperlink" Target="https://vanillabonds.com/dossier-data/pdf/katjes/katjes-2024-annual-report.pdf#page=47" TargetMode="External" Id="rId667"/><Relationship Type="http://schemas.openxmlformats.org/officeDocument/2006/relationships/hyperlink" Target="https://vanillabonds.com/dossier.html?c=katjes&amp;viewer=1&amp;item=F334" TargetMode="External" Id="rId668"/><Relationship Type="http://schemas.openxmlformats.org/officeDocument/2006/relationships/hyperlink" Target="https://vanillabonds.com/dossier-data/pdf/katjes/katjes-2024-annual-report.pdf#page=90" TargetMode="External" Id="rId669"/><Relationship Type="http://schemas.openxmlformats.org/officeDocument/2006/relationships/hyperlink" Target="https://vanillabonds.com/dossier.html?c=katjes&amp;viewer=1&amp;item=F335" TargetMode="External" Id="rId670"/><Relationship Type="http://schemas.openxmlformats.org/officeDocument/2006/relationships/hyperlink" Target="https://vanillabonds.com/dossier-data/pdf/katjes/katjes-2024-annual-report.pdf#page=87" TargetMode="External" Id="rId671"/><Relationship Type="http://schemas.openxmlformats.org/officeDocument/2006/relationships/hyperlink" Target="https://vanillabonds.com/dossier.html?c=katjes&amp;viewer=1&amp;item=F336" TargetMode="External" Id="rId672"/><Relationship Type="http://schemas.openxmlformats.org/officeDocument/2006/relationships/hyperlink" Target="https://vanillabonds.com/dossier-data/pdf/katjes/katjes-2024-annual-report.pdf#page=48" TargetMode="External" Id="rId673"/><Relationship Type="http://schemas.openxmlformats.org/officeDocument/2006/relationships/hyperlink" Target="https://vanillabonds.com/dossier.html?c=katjes&amp;viewer=1&amp;item=F337" TargetMode="External" Id="rId674"/><Relationship Type="http://schemas.openxmlformats.org/officeDocument/2006/relationships/hyperlink" Target="https://vanillabonds.com/dossier-data/pdf/katjes/katjes-2024-annual-report.pdf#page=40" TargetMode="External" Id="rId675"/><Relationship Type="http://schemas.openxmlformats.org/officeDocument/2006/relationships/hyperlink" Target="https://vanillabonds.com/dossier.html?c=katjes&amp;viewer=1&amp;item=F338" TargetMode="External" Id="rId676"/><Relationship Type="http://schemas.openxmlformats.org/officeDocument/2006/relationships/hyperlink" Target="https://vanillabonds.com/dossier-data/pdf/katjes/katjes-2024-annual-report.pdf#page=9" TargetMode="External" Id="rId677"/><Relationship Type="http://schemas.openxmlformats.org/officeDocument/2006/relationships/hyperlink" Target="https://vanillabonds.com/dossier.html?c=katjes&amp;viewer=1&amp;item=F339" TargetMode="External" Id="rId678"/><Relationship Type="http://schemas.openxmlformats.org/officeDocument/2006/relationships/hyperlink" Target="https://vanillabonds.com/dossier-data/pdf/katjes/katjes-2024-annual-report.pdf#page=12" TargetMode="External" Id="rId679"/><Relationship Type="http://schemas.openxmlformats.org/officeDocument/2006/relationships/hyperlink" Target="https://vanillabonds.com/dossier.html?c=katjes&amp;viewer=1&amp;item=F340" TargetMode="External" Id="rId680"/><Relationship Type="http://schemas.openxmlformats.org/officeDocument/2006/relationships/hyperlink" Target="https://vanillabonds.com/dossier-data/pdf/katjes/katjes-2024-annual-report.pdf#page=29" TargetMode="External" Id="rId681"/><Relationship Type="http://schemas.openxmlformats.org/officeDocument/2006/relationships/hyperlink" Target="https://vanillabonds.com/dossier.html?c=katjes&amp;viewer=1&amp;item=F341" TargetMode="External" Id="rId682"/><Relationship Type="http://schemas.openxmlformats.org/officeDocument/2006/relationships/hyperlink" Target="https://vanillabonds.com/dossier-data/pdf/katjes/katjes-2024-annual-report.pdf#page=31" TargetMode="External" Id="rId683"/><Relationship Type="http://schemas.openxmlformats.org/officeDocument/2006/relationships/hyperlink" Target="https://vanillabonds.com/dossier.html?c=katjes&amp;viewer=1&amp;item=F342" TargetMode="External" Id="rId684"/><Relationship Type="http://schemas.openxmlformats.org/officeDocument/2006/relationships/hyperlink" Target="https://vanillabonds.com/dossier-data/pdf/katjes/katjes-2024-annual-report.pdf#page=32" TargetMode="External" Id="rId685"/><Relationship Type="http://schemas.openxmlformats.org/officeDocument/2006/relationships/hyperlink" Target="https://vanillabonds.com/dossier.html?c=katjes&amp;viewer=1&amp;item=F343" TargetMode="External" Id="rId686"/><Relationship Type="http://schemas.openxmlformats.org/officeDocument/2006/relationships/hyperlink" Target="https://vanillabonds.com/dossier-data/pdf/katjes/katjes-2024-annual-report.pdf#page=40" TargetMode="External" Id="rId687"/><Relationship Type="http://schemas.openxmlformats.org/officeDocument/2006/relationships/hyperlink" Target="https://vanillabonds.com/dossier.html?c=katjes&amp;viewer=1&amp;item=F344" TargetMode="External" Id="rId688"/><Relationship Type="http://schemas.openxmlformats.org/officeDocument/2006/relationships/hyperlink" Target="https://vanillabonds.com/dossier-data/pdf/katjes/katjes-2024-annual-report.pdf#page=42" TargetMode="External" Id="rId689"/><Relationship Type="http://schemas.openxmlformats.org/officeDocument/2006/relationships/hyperlink" Target="https://vanillabonds.com/dossier.html?c=katjes&amp;viewer=1&amp;item=F345" TargetMode="External" Id="rId690"/><Relationship Type="http://schemas.openxmlformats.org/officeDocument/2006/relationships/hyperlink" Target="https://vanillabonds.com/dossier-data/pdf/katjes/katjes-2024-annual-report.pdf#page=42" TargetMode="External" Id="rId691"/><Relationship Type="http://schemas.openxmlformats.org/officeDocument/2006/relationships/hyperlink" Target="https://vanillabonds.com/dossier.html?c=katjes&amp;viewer=1&amp;item=F346" TargetMode="External" Id="rId692"/><Relationship Type="http://schemas.openxmlformats.org/officeDocument/2006/relationships/hyperlink" Target="https://vanillabonds.com/dossier-data/pdf/katjes/katjes-2024-annual-report.pdf#page=45" TargetMode="External" Id="rId693"/><Relationship Type="http://schemas.openxmlformats.org/officeDocument/2006/relationships/hyperlink" Target="https://vanillabonds.com/dossier.html?c=katjes&amp;viewer=1&amp;item=F347" TargetMode="External" Id="rId694"/><Relationship Type="http://schemas.openxmlformats.org/officeDocument/2006/relationships/hyperlink" Target="https://vanillabonds.com/dossier-data/pdf/katjes/katjes-2024-annual-report.pdf#page=45" TargetMode="External" Id="rId695"/><Relationship Type="http://schemas.openxmlformats.org/officeDocument/2006/relationships/hyperlink" Target="https://vanillabonds.com/dossier.html?c=katjes&amp;viewer=1&amp;item=F348" TargetMode="External" Id="rId696"/><Relationship Type="http://schemas.openxmlformats.org/officeDocument/2006/relationships/hyperlink" Target="https://vanillabonds.com/dossier-data/pdf/katjes/katjes-2024-annual-report.pdf#page=47" TargetMode="External" Id="rId697"/><Relationship Type="http://schemas.openxmlformats.org/officeDocument/2006/relationships/hyperlink" Target="https://vanillabonds.com/dossier.html?c=katjes&amp;viewer=1&amp;item=F349" TargetMode="External" Id="rId698"/><Relationship Type="http://schemas.openxmlformats.org/officeDocument/2006/relationships/hyperlink" Target="https://vanillabonds.com/dossier-data/pdf/katjes/katjes-2024-annual-report.pdf#page=49" TargetMode="External" Id="rId699"/><Relationship Type="http://schemas.openxmlformats.org/officeDocument/2006/relationships/hyperlink" Target="https://vanillabonds.com/dossier.html?c=katjes&amp;viewer=1&amp;item=F350" TargetMode="External" Id="rId700"/><Relationship Type="http://schemas.openxmlformats.org/officeDocument/2006/relationships/hyperlink" Target="https://vanillabonds.com/dossier-data/pdf/katjes/katjes-2024-annual-report.pdf#page=60" TargetMode="External" Id="rId701"/><Relationship Type="http://schemas.openxmlformats.org/officeDocument/2006/relationships/hyperlink" Target="https://vanillabonds.com/dossier.html?c=katjes&amp;viewer=1&amp;item=F351" TargetMode="External" Id="rId702"/><Relationship Type="http://schemas.openxmlformats.org/officeDocument/2006/relationships/hyperlink" Target="https://vanillabonds.com/dossier-data/pdf/katjes/katjes-2024-annual-report.pdf#page=63" TargetMode="External" Id="rId703"/><Relationship Type="http://schemas.openxmlformats.org/officeDocument/2006/relationships/hyperlink" Target="https://vanillabonds.com/dossier.html?c=katjes&amp;viewer=1&amp;item=F352" TargetMode="External" Id="rId704"/><Relationship Type="http://schemas.openxmlformats.org/officeDocument/2006/relationships/hyperlink" Target="https://vanillabonds.com/dossier-data/pdf/katjes/katjes-2024-annual-report.pdf#page=69" TargetMode="External" Id="rId705"/><Relationship Type="http://schemas.openxmlformats.org/officeDocument/2006/relationships/hyperlink" Target="https://vanillabonds.com/dossier.html?c=katjes&amp;viewer=1&amp;item=F353" TargetMode="External" Id="rId706"/><Relationship Type="http://schemas.openxmlformats.org/officeDocument/2006/relationships/hyperlink" Target="https://vanillabonds.com/dossier-data/pdf/katjes/katjes-2024-annual-report.pdf#page=71" TargetMode="External" Id="rId707"/><Relationship Type="http://schemas.openxmlformats.org/officeDocument/2006/relationships/hyperlink" Target="https://vanillabonds.com/dossier.html?c=katjes&amp;viewer=1&amp;item=F354" TargetMode="External" Id="rId708"/><Relationship Type="http://schemas.openxmlformats.org/officeDocument/2006/relationships/hyperlink" Target="https://vanillabonds.com/dossier-data/pdf/katjes/katjes-2024-annual-report.pdf#page=73" TargetMode="External" Id="rId709"/><Relationship Type="http://schemas.openxmlformats.org/officeDocument/2006/relationships/hyperlink" Target="https://vanillabonds.com/dossier.html?c=katjes&amp;viewer=1&amp;item=F355" TargetMode="External" Id="rId710"/><Relationship Type="http://schemas.openxmlformats.org/officeDocument/2006/relationships/hyperlink" Target="https://vanillabonds.com/dossier-data/pdf/katjes/katjes-2024-annual-report.pdf#page=74" TargetMode="External" Id="rId711"/><Relationship Type="http://schemas.openxmlformats.org/officeDocument/2006/relationships/hyperlink" Target="https://vanillabonds.com/dossier.html?c=katjes&amp;viewer=1&amp;item=F356" TargetMode="External" Id="rId712"/><Relationship Type="http://schemas.openxmlformats.org/officeDocument/2006/relationships/hyperlink" Target="https://vanillabonds.com/dossier-data/pdf/katjes/katjes-2024-annual-report.pdf#page=74" TargetMode="External" Id="rId713"/><Relationship Type="http://schemas.openxmlformats.org/officeDocument/2006/relationships/hyperlink" Target="https://vanillabonds.com/dossier.html?c=katjes&amp;viewer=1&amp;item=F357" TargetMode="External" Id="rId714"/><Relationship Type="http://schemas.openxmlformats.org/officeDocument/2006/relationships/hyperlink" Target="https://vanillabonds.com/dossier-data/pdf/katjes/katjes-2024-annual-report.pdf#page=75" TargetMode="External" Id="rId715"/><Relationship Type="http://schemas.openxmlformats.org/officeDocument/2006/relationships/hyperlink" Target="https://vanillabonds.com/dossier.html?c=katjes&amp;viewer=1&amp;item=F358" TargetMode="External" Id="rId716"/><Relationship Type="http://schemas.openxmlformats.org/officeDocument/2006/relationships/hyperlink" Target="https://vanillabonds.com/dossier-data/pdf/katjes/katjes-2024-annual-report.pdf#page=75" TargetMode="External" Id="rId717"/><Relationship Type="http://schemas.openxmlformats.org/officeDocument/2006/relationships/hyperlink" Target="https://vanillabonds.com/dossier.html?c=katjes&amp;viewer=1&amp;item=F359" TargetMode="External" Id="rId718"/><Relationship Type="http://schemas.openxmlformats.org/officeDocument/2006/relationships/hyperlink" Target="https://vanillabonds.com/dossier-data/pdf/katjes/katjes-2024-annual-report.pdf#page=77" TargetMode="External" Id="rId719"/><Relationship Type="http://schemas.openxmlformats.org/officeDocument/2006/relationships/hyperlink" Target="https://vanillabonds.com/dossier.html?c=katjes&amp;viewer=1&amp;item=F360" TargetMode="External" Id="rId720"/><Relationship Type="http://schemas.openxmlformats.org/officeDocument/2006/relationships/hyperlink" Target="https://vanillabonds.com/dossier-data/pdf/katjes/katjes-2024-annual-report.pdf#page=88" TargetMode="External" Id="rId721"/><Relationship Type="http://schemas.openxmlformats.org/officeDocument/2006/relationships/hyperlink" Target="https://vanillabonds.com/dossier.html?c=katjes&amp;viewer=1&amp;item=F361" TargetMode="External" Id="rId722"/><Relationship Type="http://schemas.openxmlformats.org/officeDocument/2006/relationships/hyperlink" Target="https://vanillabonds.com/dossier-data/pdf/katjes/katjes-2024-annual-report.pdf#page=28" TargetMode="External" Id="rId723"/><Relationship Type="http://schemas.openxmlformats.org/officeDocument/2006/relationships/hyperlink" Target="https://vanillabonds.com/dossier.html?c=katjes&amp;viewer=1&amp;item=F362" TargetMode="External" Id="rId724"/><Relationship Type="http://schemas.openxmlformats.org/officeDocument/2006/relationships/hyperlink" Target="https://vanillabonds.com/dossier-data/pdf/katjes/katjes-2024-annual-report.pdf#page=55" TargetMode="External" Id="rId725"/><Relationship Type="http://schemas.openxmlformats.org/officeDocument/2006/relationships/hyperlink" Target="https://vanillabonds.com/dossier.html?c=katjes&amp;viewer=1&amp;item=F363" TargetMode="External" Id="rId726"/><Relationship Type="http://schemas.openxmlformats.org/officeDocument/2006/relationships/hyperlink" Target="https://vanillabonds.com/dossier-data/pdf/katjes/katjes-2024-annual-report.pdf#page=81" TargetMode="External" Id="rId727"/><Relationship Type="http://schemas.openxmlformats.org/officeDocument/2006/relationships/hyperlink" Target="https://vanillabonds.com/dossier.html?c=katjes&amp;viewer=1&amp;item=F364" TargetMode="External" Id="rId728"/><Relationship Type="http://schemas.openxmlformats.org/officeDocument/2006/relationships/hyperlink" Target="https://vanillabonds.com/dossier-data/pdf/katjes/katjes-2024-annual-report.pdf#page=40" TargetMode="External" Id="rId729"/><Relationship Type="http://schemas.openxmlformats.org/officeDocument/2006/relationships/hyperlink" Target="https://vanillabonds.com/dossier.html?c=katjes&amp;viewer=1&amp;item=F365" TargetMode="External" Id="rId730"/><Relationship Type="http://schemas.openxmlformats.org/officeDocument/2006/relationships/hyperlink" Target="https://vanillabonds.com/dossier-data/pdf/katjes/katjes-2024-annual-report.pdf#page=40" TargetMode="External" Id="rId731"/><Relationship Type="http://schemas.openxmlformats.org/officeDocument/2006/relationships/hyperlink" Target="https://vanillabonds.com/dossier.html?c=katjes&amp;viewer=1&amp;item=F366" TargetMode="External" Id="rId732"/><Relationship Type="http://schemas.openxmlformats.org/officeDocument/2006/relationships/hyperlink" Target="https://vanillabonds.com/dossier-data/pdf/katjes/katjes-2024-annual-report.pdf#page=38" TargetMode="External" Id="rId733"/><Relationship Type="http://schemas.openxmlformats.org/officeDocument/2006/relationships/hyperlink" Target="https://vanillabonds.com/dossier.html?c=katjes&amp;viewer=1&amp;item=F367" TargetMode="External" Id="rId734"/><Relationship Type="http://schemas.openxmlformats.org/officeDocument/2006/relationships/hyperlink" Target="https://vanillabonds.com/dossier-data/pdf/katjes/katjes-2024-annual-report.pdf#page=29" TargetMode="External" Id="rId735"/><Relationship Type="http://schemas.openxmlformats.org/officeDocument/2006/relationships/hyperlink" Target="https://vanillabonds.com/dossier.html?c=katjes&amp;viewer=1&amp;item=F368" TargetMode="External" Id="rId736"/><Relationship Type="http://schemas.openxmlformats.org/officeDocument/2006/relationships/hyperlink" Target="https://vanillabonds.com/dossier-data/pdf/katjes/katjes-2024-annual-report.pdf#page=29" TargetMode="External" Id="rId737"/><Relationship Type="http://schemas.openxmlformats.org/officeDocument/2006/relationships/hyperlink" Target="https://vanillabonds.com/dossier.html?c=katjes&amp;viewer=1&amp;item=F369" TargetMode="External" Id="rId738"/><Relationship Type="http://schemas.openxmlformats.org/officeDocument/2006/relationships/hyperlink" Target="https://vanillabonds.com/dossier-data/pdf/katjes/katjes-2024-annual-report.pdf#page=40" TargetMode="External" Id="rId739"/><Relationship Type="http://schemas.openxmlformats.org/officeDocument/2006/relationships/hyperlink" Target="https://vanillabonds.com/dossier.html?c=katjes&amp;viewer=1&amp;item=F370" TargetMode="External" Id="rId740"/><Relationship Type="http://schemas.openxmlformats.org/officeDocument/2006/relationships/hyperlink" Target="https://vanillabonds.com/dossier-data/pdf/katjes/katjes-2024-annual-report.pdf#page=40" TargetMode="External" Id="rId741"/><Relationship Type="http://schemas.openxmlformats.org/officeDocument/2006/relationships/hyperlink" Target="https://vanillabonds.com/dossier.html?c=katjes&amp;viewer=1&amp;item=F371" TargetMode="External" Id="rId742"/><Relationship Type="http://schemas.openxmlformats.org/officeDocument/2006/relationships/hyperlink" Target="https://vanillabonds.com/dossier-data/pdf/katjes/katjes-2024-annual-report.pdf#page=40" TargetMode="External" Id="rId743"/><Relationship Type="http://schemas.openxmlformats.org/officeDocument/2006/relationships/hyperlink" Target="https://vanillabonds.com/dossier.html?c=katjes&amp;viewer=1&amp;item=F372" TargetMode="External" Id="rId744"/><Relationship Type="http://schemas.openxmlformats.org/officeDocument/2006/relationships/hyperlink" Target="https://vanillabonds.com/dossier-data/pdf/katjes/katjes-2024-annual-report.pdf#page=40" TargetMode="External" Id="rId745"/><Relationship Type="http://schemas.openxmlformats.org/officeDocument/2006/relationships/hyperlink" Target="https://vanillabonds.com/dossier.html?c=katjes&amp;viewer=1&amp;item=F373" TargetMode="External" Id="rId746"/><Relationship Type="http://schemas.openxmlformats.org/officeDocument/2006/relationships/hyperlink" Target="https://vanillabonds.com/dossier-data/pdf/katjes/katjes-2024-annual-report.pdf#page=74" TargetMode="External" Id="rId747"/><Relationship Type="http://schemas.openxmlformats.org/officeDocument/2006/relationships/hyperlink" Target="https://vanillabonds.com/dossier.html?c=katjes&amp;viewer=1&amp;item=F374" TargetMode="External" Id="rId748"/><Relationship Type="http://schemas.openxmlformats.org/officeDocument/2006/relationships/hyperlink" Target="https://vanillabonds.com/dossier-data/pdf/katjes/katjes-2024-annual-report.pdf#page=74" TargetMode="External" Id="rId749"/><Relationship Type="http://schemas.openxmlformats.org/officeDocument/2006/relationships/hyperlink" Target="https://vanillabonds.com/dossier.html?c=katjes&amp;viewer=1&amp;item=F375" TargetMode="External" Id="rId750"/><Relationship Type="http://schemas.openxmlformats.org/officeDocument/2006/relationships/hyperlink" Target="https://vanillabonds.com/dossier-data/pdf/katjes/katjes-2024-annual-report.pdf#page=40" TargetMode="External" Id="rId751"/><Relationship Type="http://schemas.openxmlformats.org/officeDocument/2006/relationships/hyperlink" Target="https://vanillabonds.com/dossier.html?c=katjes&amp;viewer=1&amp;item=F376" TargetMode="External" Id="rId752"/><Relationship Type="http://schemas.openxmlformats.org/officeDocument/2006/relationships/hyperlink" Target="https://vanillabonds.com/dossier-data/pdf/katjes/katjes-2024-annual-report.pdf#page=40" TargetMode="External" Id="rId753"/><Relationship Type="http://schemas.openxmlformats.org/officeDocument/2006/relationships/hyperlink" Target="https://vanillabonds.com/dossier.html?c=katjes&amp;viewer=1&amp;item=F377" TargetMode="External" Id="rId754"/><Relationship Type="http://schemas.openxmlformats.org/officeDocument/2006/relationships/hyperlink" Target="https://vanillabonds.com/dossier-data/pdf/katjes/katjes-2024-annual-report.pdf#page=45" TargetMode="External" Id="rId755"/><Relationship Type="http://schemas.openxmlformats.org/officeDocument/2006/relationships/hyperlink" Target="https://vanillabonds.com/dossier.html?c=katjes&amp;viewer=1&amp;item=F378" TargetMode="External" Id="rId756"/><Relationship Type="http://schemas.openxmlformats.org/officeDocument/2006/relationships/hyperlink" Target="https://vanillabonds.com/dossier-data/pdf/katjes/katjes-2024-annual-report.pdf#page=45" TargetMode="External" Id="rId757"/><Relationship Type="http://schemas.openxmlformats.org/officeDocument/2006/relationships/hyperlink" Target="https://vanillabonds.com/dossier.html?c=katjes&amp;viewer=1&amp;item=F379" TargetMode="External" Id="rId758"/><Relationship Type="http://schemas.openxmlformats.org/officeDocument/2006/relationships/hyperlink" Target="https://vanillabonds.com/dossier-data/pdf/katjes/katjes-2024-annual-report.pdf#page=45" TargetMode="External" Id="rId759"/><Relationship Type="http://schemas.openxmlformats.org/officeDocument/2006/relationships/hyperlink" Target="https://vanillabonds.com/dossier.html?c=katjes&amp;viewer=1&amp;item=F380" TargetMode="External" Id="rId760"/><Relationship Type="http://schemas.openxmlformats.org/officeDocument/2006/relationships/hyperlink" Target="https://vanillabonds.com/dossier-data/pdf/katjes/katjes-2024-annual-report.pdf#page=45" TargetMode="External" Id="rId761"/><Relationship Type="http://schemas.openxmlformats.org/officeDocument/2006/relationships/hyperlink" Target="https://vanillabonds.com/dossier.html?c=katjes&amp;viewer=1&amp;item=F381" TargetMode="External" Id="rId762"/><Relationship Type="http://schemas.openxmlformats.org/officeDocument/2006/relationships/hyperlink" Target="https://vanillabonds.com/dossier-data/pdf/katjes/katjes-2024-annual-report.pdf#page=42" TargetMode="External" Id="rId763"/><Relationship Type="http://schemas.openxmlformats.org/officeDocument/2006/relationships/hyperlink" Target="https://vanillabonds.com/dossier.html?c=katjes&amp;viewer=1&amp;item=F382" TargetMode="External" Id="rId764"/><Relationship Type="http://schemas.openxmlformats.org/officeDocument/2006/relationships/hyperlink" Target="https://vanillabonds.com/dossier-data/pdf/katjes/katjes-2024-annual-report.pdf#page=42" TargetMode="External" Id="rId765"/><Relationship Type="http://schemas.openxmlformats.org/officeDocument/2006/relationships/hyperlink" Target="https://vanillabonds.com/dossier.html?c=katjes&amp;viewer=1&amp;item=F383" TargetMode="External" Id="rId766"/><Relationship Type="http://schemas.openxmlformats.org/officeDocument/2006/relationships/hyperlink" Target="https://vanillabonds.com/dossier-data/pdf/katjes/katjes-2024-annual-report.pdf#page=68" TargetMode="External" Id="rId767"/><Relationship Type="http://schemas.openxmlformats.org/officeDocument/2006/relationships/hyperlink" Target="https://vanillabonds.com/dossier.html?c=katjes&amp;viewer=1&amp;item=F384" TargetMode="External" Id="rId768"/><Relationship Type="http://schemas.openxmlformats.org/officeDocument/2006/relationships/hyperlink" Target="https://vanillabonds.com/dossier-data/pdf/katjes/katjes-2024-annual-report.pdf#page=68" TargetMode="External" Id="rId769"/><Relationship Type="http://schemas.openxmlformats.org/officeDocument/2006/relationships/hyperlink" Target="https://vanillabonds.com/dossier.html?c=katjes&amp;viewer=1&amp;item=F385" TargetMode="External" Id="rId770"/><Relationship Type="http://schemas.openxmlformats.org/officeDocument/2006/relationships/hyperlink" Target="https://vanillabonds.com/dossier-data/pdf/katjes/katjes-2024-annual-report.pdf#page=69" TargetMode="External" Id="rId771"/><Relationship Type="http://schemas.openxmlformats.org/officeDocument/2006/relationships/hyperlink" Target="https://vanillabonds.com/dossier.html?c=katjes&amp;viewer=1&amp;item=F386" TargetMode="External" Id="rId772"/><Relationship Type="http://schemas.openxmlformats.org/officeDocument/2006/relationships/hyperlink" Target="https://vanillabonds.com/dossier-data/pdf/katjes/katjes-2024-annual-report.pdf#page=69" TargetMode="External" Id="rId773"/><Relationship Type="http://schemas.openxmlformats.org/officeDocument/2006/relationships/hyperlink" Target="https://vanillabonds.com/dossier.html?c=katjes&amp;viewer=1&amp;item=F387" TargetMode="External" Id="rId774"/><Relationship Type="http://schemas.openxmlformats.org/officeDocument/2006/relationships/hyperlink" Target="https://vanillabonds.com/dossier-data/pdf/katjes/katjes-2024-annual-report.pdf#page=60" TargetMode="External" Id="rId775"/><Relationship Type="http://schemas.openxmlformats.org/officeDocument/2006/relationships/hyperlink" Target="https://vanillabonds.com/dossier.html?c=katjes&amp;viewer=1&amp;item=F388" TargetMode="External" Id="rId776"/><Relationship Type="http://schemas.openxmlformats.org/officeDocument/2006/relationships/hyperlink" Target="https://vanillabonds.com/dossier-data/pdf/katjes/katjes-2024-annual-report.pdf#page=60" TargetMode="External" Id="rId777"/><Relationship Type="http://schemas.openxmlformats.org/officeDocument/2006/relationships/hyperlink" Target="https://vanillabonds.com/dossier.html?c=katjes&amp;viewer=1&amp;item=F389" TargetMode="External" Id="rId778"/><Relationship Type="http://schemas.openxmlformats.org/officeDocument/2006/relationships/hyperlink" Target="https://vanillabonds.com/dossier-data/pdf/katjes/katjes-2024-annual-report.pdf#page=43" TargetMode="External" Id="rId779"/><Relationship Type="http://schemas.openxmlformats.org/officeDocument/2006/relationships/hyperlink" Target="https://vanillabonds.com/dossier.html?c=katjes&amp;viewer=1&amp;item=F390" TargetMode="External" Id="rId780"/><Relationship Type="http://schemas.openxmlformats.org/officeDocument/2006/relationships/hyperlink" Target="https://vanillabonds.com/dossier-data/pdf/katjes/katjes-2024-annual-report.pdf#page=43" TargetMode="External" Id="rId781"/><Relationship Type="http://schemas.openxmlformats.org/officeDocument/2006/relationships/hyperlink" Target="https://vanillabonds.com/dossier.html?c=katjes&amp;viewer=1&amp;item=F391" TargetMode="External" Id="rId782"/><Relationship Type="http://schemas.openxmlformats.org/officeDocument/2006/relationships/hyperlink" Target="https://vanillabonds.com/dossier-data/pdf/katjes/katjes-2024-annual-report.pdf#page=42" TargetMode="External" Id="rId783"/><Relationship Type="http://schemas.openxmlformats.org/officeDocument/2006/relationships/hyperlink" Target="https://vanillabonds.com/dossier.html?c=katjes&amp;viewer=1&amp;item=F392" TargetMode="External" Id="rId784"/><Relationship Type="http://schemas.openxmlformats.org/officeDocument/2006/relationships/hyperlink" Target="https://vanillabonds.com/dossier-data/pdf/katjes/katjes-2024-annual-report.pdf#page=42" TargetMode="External" Id="rId785"/><Relationship Type="http://schemas.openxmlformats.org/officeDocument/2006/relationships/hyperlink" Target="https://vanillabonds.com/dossier.html?c=katjes&amp;viewer=1&amp;item=F393" TargetMode="External" Id="rId786"/><Relationship Type="http://schemas.openxmlformats.org/officeDocument/2006/relationships/hyperlink" Target="https://vanillabonds.com/dossier-data/pdf/katjes/katjes-2024-annual-report.pdf#page=60" TargetMode="External" Id="rId787"/><Relationship Type="http://schemas.openxmlformats.org/officeDocument/2006/relationships/hyperlink" Target="https://vanillabonds.com/dossier.html?c=katjes&amp;viewer=1&amp;item=F394" TargetMode="External" Id="rId788"/><Relationship Type="http://schemas.openxmlformats.org/officeDocument/2006/relationships/hyperlink" Target="https://vanillabonds.com/dossier-data/pdf/katjes/katjes-2024-annual-report.pdf#page=60" TargetMode="External" Id="rId789"/><Relationship Type="http://schemas.openxmlformats.org/officeDocument/2006/relationships/hyperlink" Target="https://vanillabonds.com/dossier.html?c=katjes&amp;viewer=1&amp;item=F395" TargetMode="External" Id="rId790"/><Relationship Type="http://schemas.openxmlformats.org/officeDocument/2006/relationships/hyperlink" Target="https://vanillabonds.com/dossier-data/pdf/katjes/katjes-2024-annual-report.pdf#page=65" TargetMode="External" Id="rId791"/><Relationship Type="http://schemas.openxmlformats.org/officeDocument/2006/relationships/hyperlink" Target="https://vanillabonds.com/dossier.html?c=katjes&amp;viewer=1&amp;item=F396" TargetMode="External" Id="rId792"/><Relationship Type="http://schemas.openxmlformats.org/officeDocument/2006/relationships/hyperlink" Target="https://vanillabonds.com/dossier-data/pdf/katjes/katjes-2024-annual-report.pdf#page=65" TargetMode="External" Id="rId793"/><Relationship Type="http://schemas.openxmlformats.org/officeDocument/2006/relationships/hyperlink" Target="https://vanillabonds.com/dossier.html?c=katjes&amp;viewer=1&amp;item=F397" TargetMode="External" Id="rId794"/><Relationship Type="http://schemas.openxmlformats.org/officeDocument/2006/relationships/hyperlink" Target="https://vanillabonds.com/dossier-data/pdf/katjes/katjes-2024-annual-report.pdf#page=65" TargetMode="External" Id="rId795"/><Relationship Type="http://schemas.openxmlformats.org/officeDocument/2006/relationships/hyperlink" Target="https://vanillabonds.com/dossier.html?c=katjes&amp;viewer=1&amp;item=F398" TargetMode="External" Id="rId796"/><Relationship Type="http://schemas.openxmlformats.org/officeDocument/2006/relationships/hyperlink" Target="https://vanillabonds.com/dossier-data/pdf/katjes/katjes-2024-annual-report.pdf#page=65" TargetMode="External" Id="rId797"/><Relationship Type="http://schemas.openxmlformats.org/officeDocument/2006/relationships/hyperlink" Target="https://vanillabonds.com/dossier.html?c=katjes&amp;viewer=1&amp;item=F399" TargetMode="External" Id="rId798"/><Relationship Type="http://schemas.openxmlformats.org/officeDocument/2006/relationships/hyperlink" Target="https://vanillabonds.com/dossier-data/pdf/katjes/katjes-2024-annual-report.pdf#page=65" TargetMode="External" Id="rId799"/><Relationship Type="http://schemas.openxmlformats.org/officeDocument/2006/relationships/hyperlink" Target="https://vanillabonds.com/dossier.html?c=katjes&amp;viewer=1&amp;item=F400" TargetMode="External" Id="rId800"/><Relationship Type="http://schemas.openxmlformats.org/officeDocument/2006/relationships/hyperlink" Target="https://vanillabonds.com/dossier-data/pdf/katjes/katjes-2024-annual-report.pdf#page=65" TargetMode="External" Id="rId801"/><Relationship Type="http://schemas.openxmlformats.org/officeDocument/2006/relationships/hyperlink" Target="https://vanillabonds.com/dossier.html?c=katjes&amp;viewer=1&amp;item=F401" TargetMode="External" Id="rId802"/><Relationship Type="http://schemas.openxmlformats.org/officeDocument/2006/relationships/hyperlink" Target="https://vanillabonds.com/dossier-data/pdf/katjes/katjes-2024-annual-report.pdf#page=65" TargetMode="External" Id="rId803"/><Relationship Type="http://schemas.openxmlformats.org/officeDocument/2006/relationships/hyperlink" Target="https://vanillabonds.com/dossier.html?c=katjes&amp;viewer=1&amp;item=F402" TargetMode="External" Id="rId804"/><Relationship Type="http://schemas.openxmlformats.org/officeDocument/2006/relationships/hyperlink" Target="https://vanillabonds.com/dossier-data/pdf/katjes/katjes-2024-annual-report.pdf#page=65" TargetMode="External" Id="rId805"/><Relationship Type="http://schemas.openxmlformats.org/officeDocument/2006/relationships/hyperlink" Target="https://vanillabonds.com/dossier.html?c=katjes&amp;viewer=1&amp;item=F403" TargetMode="External" Id="rId806"/><Relationship Type="http://schemas.openxmlformats.org/officeDocument/2006/relationships/hyperlink" Target="https://vanillabonds.com/dossier-data/pdf/katjes/katjes-2024-annual-report.pdf#page=65" TargetMode="External" Id="rId807"/><Relationship Type="http://schemas.openxmlformats.org/officeDocument/2006/relationships/hyperlink" Target="https://vanillabonds.com/dossier.html?c=katjes&amp;viewer=1&amp;item=F404" TargetMode="External" Id="rId808"/><Relationship Type="http://schemas.openxmlformats.org/officeDocument/2006/relationships/hyperlink" Target="https://vanillabonds.com/dossier-data/pdf/katjes/katjes-2024-annual-report.pdf#page=65" TargetMode="External" Id="rId809"/><Relationship Type="http://schemas.openxmlformats.org/officeDocument/2006/relationships/hyperlink" Target="https://vanillabonds.com/dossier.html?c=katjes&amp;viewer=1&amp;item=F405" TargetMode="External" Id="rId810"/><Relationship Type="http://schemas.openxmlformats.org/officeDocument/2006/relationships/hyperlink" Target="https://vanillabonds.com/dossier-data/pdf/katjes/katjes-2024-annual-report.pdf#page=69" TargetMode="External" Id="rId811"/><Relationship Type="http://schemas.openxmlformats.org/officeDocument/2006/relationships/hyperlink" Target="https://vanillabonds.com/dossier.html?c=katjes&amp;viewer=1&amp;item=F406" TargetMode="External" Id="rId812"/><Relationship Type="http://schemas.openxmlformats.org/officeDocument/2006/relationships/hyperlink" Target="https://vanillabonds.com/dossier-data/pdf/katjes/katjes-2024-annual-report.pdf#page=35" TargetMode="External" Id="rId813"/><Relationship Type="http://schemas.openxmlformats.org/officeDocument/2006/relationships/hyperlink" Target="https://vanillabonds.com/dossier.html?c=katjes&amp;viewer=1&amp;item=F407" TargetMode="External" Id="rId814"/><Relationship Type="http://schemas.openxmlformats.org/officeDocument/2006/relationships/hyperlink" Target="https://vanillabonds.com/dossier-data/pdf/katjes/katjes-2024-annual-report.pdf#page=35" TargetMode="External" Id="rId815"/><Relationship Type="http://schemas.openxmlformats.org/officeDocument/2006/relationships/hyperlink" Target="https://vanillabonds.com/dossier.html?c=katjes&amp;viewer=1&amp;item=F408" TargetMode="External" Id="rId816"/><Relationship Type="http://schemas.openxmlformats.org/officeDocument/2006/relationships/hyperlink" Target="https://vanillabonds.com/dossier-data/pdf/katjes/katjes-2024-annual-report.pdf#page=35" TargetMode="External" Id="rId817"/><Relationship Type="http://schemas.openxmlformats.org/officeDocument/2006/relationships/hyperlink" Target="https://vanillabonds.com/dossier.html?c=katjes&amp;viewer=1&amp;item=F409" TargetMode="External" Id="rId818"/><Relationship Type="http://schemas.openxmlformats.org/officeDocument/2006/relationships/hyperlink" Target="https://vanillabonds.com/dossier-data/pdf/katjes/katjes-2024-annual-report.pdf#page=35" TargetMode="External" Id="rId819"/><Relationship Type="http://schemas.openxmlformats.org/officeDocument/2006/relationships/hyperlink" Target="https://vanillabonds.com/dossier.html?c=katjes&amp;viewer=1&amp;item=F410" TargetMode="External" Id="rId820"/><Relationship Type="http://schemas.openxmlformats.org/officeDocument/2006/relationships/hyperlink" Target="https://vanillabonds.com/dossier-data/pdf/katjes/katjes-2024-annual-report.pdf#page=35" TargetMode="External" Id="rId821"/><Relationship Type="http://schemas.openxmlformats.org/officeDocument/2006/relationships/hyperlink" Target="https://vanillabonds.com/dossier.html?c=katjes&amp;viewer=1&amp;item=F411" TargetMode="External" Id="rId822"/><Relationship Type="http://schemas.openxmlformats.org/officeDocument/2006/relationships/hyperlink" Target="https://vanillabonds.com/dossier-data/pdf/katjes/katjes-2024-annual-report.pdf#page=35" TargetMode="External" Id="rId823"/><Relationship Type="http://schemas.openxmlformats.org/officeDocument/2006/relationships/hyperlink" Target="https://vanillabonds.com/dossier.html?c=katjes&amp;viewer=1&amp;item=F412" TargetMode="External" Id="rId824"/><Relationship Type="http://schemas.openxmlformats.org/officeDocument/2006/relationships/hyperlink" Target="https://vanillabonds.com/dossier-data/pdf/katjes/katjes-2024-annual-report.pdf#page=35" TargetMode="External" Id="rId825"/><Relationship Type="http://schemas.openxmlformats.org/officeDocument/2006/relationships/hyperlink" Target="https://vanillabonds.com/dossier.html?c=katjes&amp;viewer=1&amp;item=F413" TargetMode="External" Id="rId826"/><Relationship Type="http://schemas.openxmlformats.org/officeDocument/2006/relationships/hyperlink" Target="https://vanillabonds.com/dossier-data/pdf/katjes/katjes-2024-annual-report.pdf#page=36" TargetMode="External" Id="rId827"/><Relationship Type="http://schemas.openxmlformats.org/officeDocument/2006/relationships/hyperlink" Target="https://vanillabonds.com/dossier.html?c=katjes&amp;viewer=1&amp;item=F414" TargetMode="External" Id="rId828"/><Relationship Type="http://schemas.openxmlformats.org/officeDocument/2006/relationships/hyperlink" Target="https://vanillabonds.com/dossier-data/pdf/katjes/katjes-2024-annual-report.pdf#page=36" TargetMode="External" Id="rId829"/><Relationship Type="http://schemas.openxmlformats.org/officeDocument/2006/relationships/hyperlink" Target="https://vanillabonds.com/dossier.html?c=katjes&amp;viewer=1&amp;item=F415" TargetMode="External" Id="rId830"/><Relationship Type="http://schemas.openxmlformats.org/officeDocument/2006/relationships/hyperlink" Target="https://vanillabonds.com/dossier-data/pdf/katjes/katjes-2024-annual-report.pdf#page=57" TargetMode="External" Id="rId831"/><Relationship Type="http://schemas.openxmlformats.org/officeDocument/2006/relationships/hyperlink" Target="https://vanillabonds.com/dossier.html?c=katjes&amp;viewer=1&amp;item=F416" TargetMode="External" Id="rId832"/><Relationship Type="http://schemas.openxmlformats.org/officeDocument/2006/relationships/hyperlink" Target="https://vanillabonds.com/dossier-data/pdf/katjes/katjes-2024-annual-report.pdf#page=57" TargetMode="External" Id="rId833"/><Relationship Type="http://schemas.openxmlformats.org/officeDocument/2006/relationships/hyperlink" Target="https://vanillabonds.com/dossier.html?c=katjes&amp;viewer=1&amp;item=F417" TargetMode="External" Id="rId834"/><Relationship Type="http://schemas.openxmlformats.org/officeDocument/2006/relationships/hyperlink" Target="https://vanillabonds.com/dossier-data/pdf/katjes/katjes-2024-annual-report.pdf#page=57" TargetMode="External" Id="rId835"/><Relationship Type="http://schemas.openxmlformats.org/officeDocument/2006/relationships/hyperlink" Target="https://vanillabonds.com/dossier.html?c=katjes&amp;viewer=1&amp;item=F418" TargetMode="External" Id="rId836"/><Relationship Type="http://schemas.openxmlformats.org/officeDocument/2006/relationships/hyperlink" Target="https://vanillabonds.com/dossier-data/pdf/katjes/katjes-2024-annual-report.pdf#page=59" TargetMode="External" Id="rId837"/><Relationship Type="http://schemas.openxmlformats.org/officeDocument/2006/relationships/hyperlink" Target="https://vanillabonds.com/dossier.html?c=katjes&amp;viewer=1&amp;item=F419" TargetMode="External" Id="rId838"/><Relationship Type="http://schemas.openxmlformats.org/officeDocument/2006/relationships/hyperlink" Target="https://vanillabonds.com/dossier-data/pdf/katjes/katjes-2024-annual-report.pdf#page=66" TargetMode="External" Id="rId839"/><Relationship Type="http://schemas.openxmlformats.org/officeDocument/2006/relationships/hyperlink" Target="https://vanillabonds.com/dossier.html?c=katjes&amp;viewer=1&amp;item=F420" TargetMode="External" Id="rId840"/><Relationship Type="http://schemas.openxmlformats.org/officeDocument/2006/relationships/hyperlink" Target="https://vanillabonds.com/dossier-data/pdf/katjes/katjes-2024-annual-report.pdf#page=66" TargetMode="External" Id="rId841"/><Relationship Type="http://schemas.openxmlformats.org/officeDocument/2006/relationships/hyperlink" Target="https://vanillabonds.com/dossier.html?c=katjes&amp;viewer=1&amp;item=F421" TargetMode="External" Id="rId842"/><Relationship Type="http://schemas.openxmlformats.org/officeDocument/2006/relationships/hyperlink" Target="https://vanillabonds.com/dossier-data/pdf/katjes/katjes-2024-annual-report.pdf#page=6" TargetMode="External" Id="rId843"/><Relationship Type="http://schemas.openxmlformats.org/officeDocument/2006/relationships/hyperlink" Target="https://vanillabonds.com/dossier.html?c=katjes&amp;viewer=1&amp;item=F422" TargetMode="External" Id="rId844"/><Relationship Type="http://schemas.openxmlformats.org/officeDocument/2006/relationships/hyperlink" Target="https://vanillabonds.com/dossier-data/pdf/katjes/katjes-2024-annual-report.pdf#page=6" TargetMode="External" Id="rId845"/><Relationship Type="http://schemas.openxmlformats.org/officeDocument/2006/relationships/hyperlink" Target="https://vanillabonds.com/dossier.html?c=katjes&amp;viewer=1&amp;item=F423" TargetMode="External" Id="rId846"/><Relationship Type="http://schemas.openxmlformats.org/officeDocument/2006/relationships/hyperlink" Target="https://vanillabonds.com/dossier-data/pdf/katjes/katjes-2024-annual-report.pdf#page=6" TargetMode="External" Id="rId847"/><Relationship Type="http://schemas.openxmlformats.org/officeDocument/2006/relationships/hyperlink" Target="https://vanillabonds.com/dossier.html?c=katjes&amp;viewer=1&amp;item=F424" TargetMode="External" Id="rId848"/><Relationship Type="http://schemas.openxmlformats.org/officeDocument/2006/relationships/hyperlink" Target="https://vanillabonds.com/dossier-data/pdf/katjes/katjes-2024-annual-report.pdf#page=38" TargetMode="External" Id="rId849"/><Relationship Type="http://schemas.openxmlformats.org/officeDocument/2006/relationships/hyperlink" Target="https://vanillabonds.com/dossier.html?c=katjes&amp;viewer=1&amp;item=F425" TargetMode="External" Id="rId850"/><Relationship Type="http://schemas.openxmlformats.org/officeDocument/2006/relationships/hyperlink" Target="https://vanillabonds.com/dossier-data/pdf/katjes/katjes-2024-annual-report.pdf#page=4" TargetMode="External" Id="rId851"/><Relationship Type="http://schemas.openxmlformats.org/officeDocument/2006/relationships/hyperlink" Target="https://vanillabonds.com/dossier.html?c=katjes&amp;viewer=1&amp;item=F426" TargetMode="External" Id="rId852"/><Relationship Type="http://schemas.openxmlformats.org/officeDocument/2006/relationships/hyperlink" Target="https://vanillabonds.com/dossier-data/pdf/katjes/katjes-2024-annual-report.pdf#page=14" TargetMode="External" Id="rId853"/><Relationship Type="http://schemas.openxmlformats.org/officeDocument/2006/relationships/hyperlink" Target="https://vanillabonds.com/dossier.html?c=katjes&amp;viewer=1&amp;item=F427" TargetMode="External" Id="rId854"/><Relationship Type="http://schemas.openxmlformats.org/officeDocument/2006/relationships/hyperlink" Target="https://vanillabonds.com/dossier-data/pdf/katjes/katjes-2024-annual-report.pdf#page=18" TargetMode="External" Id="rId855"/><Relationship Type="http://schemas.openxmlformats.org/officeDocument/2006/relationships/hyperlink" Target="https://vanillabonds.com/dossier.html?c=katjes&amp;viewer=1&amp;item=F428" TargetMode="External" Id="rId856"/><Relationship Type="http://schemas.openxmlformats.org/officeDocument/2006/relationships/hyperlink" Target="https://vanillabonds.com/dossier-data/pdf/katjes/katjes-2024-annual-report.pdf#page=21" TargetMode="External" Id="rId857"/><Relationship Type="http://schemas.openxmlformats.org/officeDocument/2006/relationships/hyperlink" Target="https://vanillabonds.com/dossier.html?c=katjes&amp;viewer=1&amp;item=F429" TargetMode="External" Id="rId858"/><Relationship Type="http://schemas.openxmlformats.org/officeDocument/2006/relationships/hyperlink" Target="https://vanillabonds.com/dossier-data/pdf/katjes/katjes-2024-annual-report.pdf#page=24" TargetMode="External" Id="rId859"/><Relationship Type="http://schemas.openxmlformats.org/officeDocument/2006/relationships/hyperlink" Target="https://vanillabonds.com/dossier.html?c=katjes&amp;viewer=1&amp;item=F430" TargetMode="External" Id="rId860"/><Relationship Type="http://schemas.openxmlformats.org/officeDocument/2006/relationships/hyperlink" Target="https://vanillabonds.com/dossier-data/pdf/katjes/katjes-2024-annual-report.pdf#page=24" TargetMode="External" Id="rId861"/><Relationship Type="http://schemas.openxmlformats.org/officeDocument/2006/relationships/hyperlink" Target="https://vanillabonds.com/dossier.html?c=katjes&amp;viewer=1&amp;item=F431" TargetMode="External" Id="rId862"/><Relationship Type="http://schemas.openxmlformats.org/officeDocument/2006/relationships/hyperlink" Target="https://vanillabonds.com/dossier-data/pdf/katjes/katjes-2024-annual-report.pdf#page=24" TargetMode="External" Id="rId863"/><Relationship Type="http://schemas.openxmlformats.org/officeDocument/2006/relationships/hyperlink" Target="https://vanillabonds.com/dossier.html?c=katjes&amp;viewer=1&amp;item=F432" TargetMode="External" Id="rId864"/><Relationship Type="http://schemas.openxmlformats.org/officeDocument/2006/relationships/hyperlink" Target="https://vanillabonds.com/dossier-data/pdf/katjes/katjes-2024-annual-report.pdf#page=24" TargetMode="External" Id="rId865"/><Relationship Type="http://schemas.openxmlformats.org/officeDocument/2006/relationships/hyperlink" Target="https://vanillabonds.com/dossier.html?c=katjes&amp;viewer=1&amp;item=F433" TargetMode="External" Id="rId866"/><Relationship Type="http://schemas.openxmlformats.org/officeDocument/2006/relationships/hyperlink" Target="https://vanillabonds.com/dossier-data/pdf/katjes/katjes-2024-annual-report.pdf#page=24" TargetMode="External" Id="rId867"/><Relationship Type="http://schemas.openxmlformats.org/officeDocument/2006/relationships/hyperlink" Target="https://vanillabonds.com/dossier.html?c=katjes&amp;viewer=1&amp;item=F434" TargetMode="External" Id="rId868"/><Relationship Type="http://schemas.openxmlformats.org/officeDocument/2006/relationships/hyperlink" Target="https://vanillabonds.com/dossier-data/pdf/katjes/katjes-2024-annual-report.pdf#page=24" TargetMode="External" Id="rId869"/><Relationship Type="http://schemas.openxmlformats.org/officeDocument/2006/relationships/hyperlink" Target="https://vanillabonds.com/dossier.html?c=katjes&amp;viewer=1&amp;item=F435" TargetMode="External" Id="rId870"/><Relationship Type="http://schemas.openxmlformats.org/officeDocument/2006/relationships/hyperlink" Target="https://vanillabonds.com/dossier-data/pdf/katjes/katjes-2024-annual-report.pdf#page=24" TargetMode="External" Id="rId871"/><Relationship Type="http://schemas.openxmlformats.org/officeDocument/2006/relationships/hyperlink" Target="https://vanillabonds.com/dossier.html?c=katjes&amp;viewer=1&amp;item=F436" TargetMode="External" Id="rId872"/><Relationship Type="http://schemas.openxmlformats.org/officeDocument/2006/relationships/hyperlink" Target="https://vanillabonds.com/dossier-data/pdf/katjes/katjes-2024-annual-report.pdf#page=55" TargetMode="External" Id="rId873"/><Relationship Type="http://schemas.openxmlformats.org/officeDocument/2006/relationships/hyperlink" Target="https://vanillabonds.com/dossier.html?c=katjes&amp;viewer=1&amp;item=F437" TargetMode="External" Id="rId874"/><Relationship Type="http://schemas.openxmlformats.org/officeDocument/2006/relationships/hyperlink" Target="https://vanillabonds.com/dossier-data/pdf/katjes/katjes-2024-annual-report.pdf#page=55" TargetMode="External" Id="rId875"/><Relationship Type="http://schemas.openxmlformats.org/officeDocument/2006/relationships/hyperlink" Target="https://vanillabonds.com/dossier.html?c=katjes&amp;viewer=1&amp;item=F438" TargetMode="External" Id="rId876"/><Relationship Type="http://schemas.openxmlformats.org/officeDocument/2006/relationships/hyperlink" Target="https://vanillabonds.com/dossier-data/pdf/katjes/katjes-2024-annual-report.pdf#page=6" TargetMode="External" Id="rId877"/><Relationship Type="http://schemas.openxmlformats.org/officeDocument/2006/relationships/hyperlink" Target="https://vanillabonds.com/dossier.html?c=katjes&amp;viewer=1&amp;item=F439" TargetMode="External" Id="rId878"/><Relationship Type="http://schemas.openxmlformats.org/officeDocument/2006/relationships/hyperlink" Target="https://vanillabonds.com/dossier-data/pdf/katjes/katjes-2024-annual-report.pdf#page=37" TargetMode="External" Id="rId879"/><Relationship Type="http://schemas.openxmlformats.org/officeDocument/2006/relationships/hyperlink" Target="https://vanillabonds.com/dossier.html?c=katjes&amp;viewer=1&amp;item=F440" TargetMode="External" Id="rId880"/><Relationship Type="http://schemas.openxmlformats.org/officeDocument/2006/relationships/hyperlink" Target="https://vanillabonds.com/dossier-data/pdf/katjes/katjes-2024-annual-report.pdf#page=44" TargetMode="External" Id="rId881"/><Relationship Type="http://schemas.openxmlformats.org/officeDocument/2006/relationships/hyperlink" Target="https://vanillabonds.com/dossier.html?c=katjes&amp;viewer=1&amp;item=F441" TargetMode="External" Id="rId882"/><Relationship Type="http://schemas.openxmlformats.org/officeDocument/2006/relationships/hyperlink" Target="https://vanillabonds.com/dossier-data/pdf/katjes/katjes-2024-annual-report.pdf#page=47" TargetMode="External" Id="rId883"/><Relationship Type="http://schemas.openxmlformats.org/officeDocument/2006/relationships/hyperlink" Target="https://vanillabonds.com/dossier.html?c=katjes&amp;viewer=1&amp;item=F442" TargetMode="External" Id="rId884"/><Relationship Type="http://schemas.openxmlformats.org/officeDocument/2006/relationships/hyperlink" Target="https://vanillabonds.com/dossier-data/pdf/katjes/katjes-2024-annual-report.pdf#page=67" TargetMode="External" Id="rId885"/><Relationship Type="http://schemas.openxmlformats.org/officeDocument/2006/relationships/hyperlink" Target="https://vanillabonds.com/dossier.html?c=katjes&amp;viewer=1&amp;item=F443" TargetMode="External" Id="rId886"/><Relationship Type="http://schemas.openxmlformats.org/officeDocument/2006/relationships/hyperlink" Target="https://vanillabonds.com/dossier-data/pdf/katjes/katjes-2024-annual-report.pdf#page=77" TargetMode="External" Id="rId887"/><Relationship Type="http://schemas.openxmlformats.org/officeDocument/2006/relationships/hyperlink" Target="https://vanillabonds.com/dossier.html?c=katjes&amp;viewer=1&amp;item=F444" TargetMode="External" Id="rId888"/><Relationship Type="http://schemas.openxmlformats.org/officeDocument/2006/relationships/hyperlink" Target="https://vanillabonds.com/dossier-data/pdf/katjes/katjes-2024-annual-report.pdf#page=80" TargetMode="External" Id="rId889"/><Relationship Type="http://schemas.openxmlformats.org/officeDocument/2006/relationships/hyperlink" Target="https://vanillabonds.com/dossier.html?c=katjes&amp;viewer=1&amp;item=F445" TargetMode="External" Id="rId890"/><Relationship Type="http://schemas.openxmlformats.org/officeDocument/2006/relationships/hyperlink" Target="https://vanillabonds.com/dossier-data/pdf/katjes/katjes-2024-annual-report.pdf#page=80" TargetMode="External" Id="rId891"/><Relationship Type="http://schemas.openxmlformats.org/officeDocument/2006/relationships/hyperlink" Target="https://vanillabonds.com/dossier.html?c=katjes&amp;viewer=1&amp;item=F446" TargetMode="External" Id="rId892"/><Relationship Type="http://schemas.openxmlformats.org/officeDocument/2006/relationships/hyperlink" Target="https://vanillabonds.com/dossier-data/pdf/katjes/katjes-2024-annual-report.pdf#page=81" TargetMode="External" Id="rId893"/><Relationship Type="http://schemas.openxmlformats.org/officeDocument/2006/relationships/hyperlink" Target="https://vanillabonds.com/dossier.html?c=katjes&amp;viewer=1&amp;item=F447" TargetMode="External" Id="rId894"/><Relationship Type="http://schemas.openxmlformats.org/officeDocument/2006/relationships/hyperlink" Target="https://vanillabonds.com/dossier-data/pdf/katjes/katjes-2024-annual-report.pdf#page=25" TargetMode="External" Id="rId895"/><Relationship Type="http://schemas.openxmlformats.org/officeDocument/2006/relationships/hyperlink" Target="https://vanillabonds.com/dossier.html?c=katjes&amp;viewer=1&amp;item=F448" TargetMode="External" Id="rId896"/><Relationship Type="http://schemas.openxmlformats.org/officeDocument/2006/relationships/hyperlink" Target="https://vanillabonds.com/dossier-data/pdf/katjes/katjes-2024-annual-report.pdf#page=37" TargetMode="External" Id="rId897"/><Relationship Type="http://schemas.openxmlformats.org/officeDocument/2006/relationships/hyperlink" Target="https://vanillabonds.com/dossier.html?c=katjes&amp;viewer=1&amp;item=F449" TargetMode="External" Id="rId898"/><Relationship Type="http://schemas.openxmlformats.org/officeDocument/2006/relationships/hyperlink" Target="https://vanillabonds.com/dossier-data/pdf/katjes/katjes-2024-annual-report.pdf#page=38" TargetMode="External" Id="rId899"/><Relationship Type="http://schemas.openxmlformats.org/officeDocument/2006/relationships/hyperlink" Target="https://vanillabonds.com/dossier.html?c=katjes&amp;viewer=1&amp;item=F450" TargetMode="External" Id="rId900"/><Relationship Type="http://schemas.openxmlformats.org/officeDocument/2006/relationships/hyperlink" Target="https://vanillabonds.com/dossier-data/pdf/katjes/katjes-2024-annual-report.pdf#page=58" TargetMode="External" Id="rId901"/><Relationship Type="http://schemas.openxmlformats.org/officeDocument/2006/relationships/hyperlink" Target="https://vanillabonds.com/dossier.html?c=katjes&amp;viewer=1&amp;item=F451" TargetMode="External" Id="rId902"/><Relationship Type="http://schemas.openxmlformats.org/officeDocument/2006/relationships/hyperlink" Target="https://vanillabonds.com/dossier-data/pdf/katjes/katjes-2024-annual-report.pdf#page=24" TargetMode="External" Id="rId903"/><Relationship Type="http://schemas.openxmlformats.org/officeDocument/2006/relationships/hyperlink" Target="https://vanillabonds.com/dossier.html?c=katjes&amp;viewer=1&amp;item=F452" TargetMode="External" Id="rId904"/><Relationship Type="http://schemas.openxmlformats.org/officeDocument/2006/relationships/hyperlink" Target="https://vanillabonds.com/dossier-data/pdf/katjes/katjes-2024-annual-report.pdf#page=24" TargetMode="External" Id="rId905"/><Relationship Type="http://schemas.openxmlformats.org/officeDocument/2006/relationships/hyperlink" Target="https://vanillabonds.com/dossier.html?c=katjes&amp;viewer=1&amp;item=F453" TargetMode="External" Id="rId906"/><Relationship Type="http://schemas.openxmlformats.org/officeDocument/2006/relationships/hyperlink" Target="https://vanillabonds.com/dossier-data/pdf/katjes/katjes-2024-annual-report.pdf#page=24" TargetMode="External" Id="rId907"/><Relationship Type="http://schemas.openxmlformats.org/officeDocument/2006/relationships/hyperlink" Target="https://vanillabonds.com/dossier.html?c=katjes&amp;viewer=1&amp;item=F454" TargetMode="External" Id="rId908"/><Relationship Type="http://schemas.openxmlformats.org/officeDocument/2006/relationships/hyperlink" Target="https://vanillabonds.com/dossier-data/pdf/katjes/katjes-2024-annual-report.pdf#page=24" TargetMode="External" Id="rId909"/><Relationship Type="http://schemas.openxmlformats.org/officeDocument/2006/relationships/hyperlink" Target="https://vanillabonds.com/dossier.html?c=katjes&amp;viewer=1&amp;item=F455" TargetMode="External" Id="rId910"/><Relationship Type="http://schemas.openxmlformats.org/officeDocument/2006/relationships/hyperlink" Target="https://vanillabonds.com/dossier-data/pdf/katjes/katjes-2024-annual-report.pdf#page=26" TargetMode="External" Id="rId911"/><Relationship Type="http://schemas.openxmlformats.org/officeDocument/2006/relationships/hyperlink" Target="https://vanillabonds.com/dossier.html?c=katjes&amp;viewer=1&amp;item=F456" TargetMode="External" Id="rId912"/><Relationship Type="http://schemas.openxmlformats.org/officeDocument/2006/relationships/hyperlink" Target="https://vanillabonds.com/dossier-data/pdf/katjes/katjes-2024-annual-report.pdf#page=26" TargetMode="External" Id="rId913"/><Relationship Type="http://schemas.openxmlformats.org/officeDocument/2006/relationships/hyperlink" Target="https://vanillabonds.com/dossier.html?c=katjes&amp;viewer=1&amp;item=F457" TargetMode="External" Id="rId914"/><Relationship Type="http://schemas.openxmlformats.org/officeDocument/2006/relationships/hyperlink" Target="https://vanillabonds.com/dossier-data/pdf/katjes/katjes-2024-annual-report.pdf#page=26" TargetMode="External" Id="rId915"/><Relationship Type="http://schemas.openxmlformats.org/officeDocument/2006/relationships/hyperlink" Target="https://vanillabonds.com/dossier.html?c=katjes&amp;viewer=1&amp;item=F458" TargetMode="External" Id="rId916"/><Relationship Type="http://schemas.openxmlformats.org/officeDocument/2006/relationships/hyperlink" Target="https://vanillabonds.com/dossier-data/pdf/katjes/katjes-2024-annual-report.pdf#page=29" TargetMode="External" Id="rId917"/><Relationship Type="http://schemas.openxmlformats.org/officeDocument/2006/relationships/hyperlink" Target="https://vanillabonds.com/dossier.html?c=katjes&amp;viewer=1&amp;item=F459" TargetMode="External" Id="rId918"/><Relationship Type="http://schemas.openxmlformats.org/officeDocument/2006/relationships/hyperlink" Target="https://vanillabonds.com/dossier-data/pdf/katjes/katjes-2024-annual-report.pdf#page=13" TargetMode="External" Id="rId919"/><Relationship Type="http://schemas.openxmlformats.org/officeDocument/2006/relationships/hyperlink" Target="https://vanillabonds.com/dossier.html?c=katjes&amp;viewer=1&amp;item=F460" TargetMode="External" Id="rId920"/><Relationship Type="http://schemas.openxmlformats.org/officeDocument/2006/relationships/hyperlink" Target="https://vanillabonds.com/dossier-data/pdf/katjes/katjes-2024-annual-report.pdf#page=18" TargetMode="External" Id="rId921"/><Relationship Type="http://schemas.openxmlformats.org/officeDocument/2006/relationships/hyperlink" Target="https://vanillabonds.com/dossier.html?c=katjes&amp;viewer=1&amp;item=F461" TargetMode="External" Id="rId922"/><Relationship Type="http://schemas.openxmlformats.org/officeDocument/2006/relationships/hyperlink" Target="https://vanillabonds.com/dossier-data/pdf/katjes/katjes-2024-annual-report.pdf#page=29" TargetMode="External" Id="rId923"/><Relationship Type="http://schemas.openxmlformats.org/officeDocument/2006/relationships/hyperlink" Target="https://vanillabonds.com/dossier.html?c=katjes&amp;viewer=1&amp;item=F462" TargetMode="External" Id="rId924"/><Relationship Type="http://schemas.openxmlformats.org/officeDocument/2006/relationships/hyperlink" Target="https://vanillabonds.com/dossier-data/pdf/katjes/katjes-2024-annual-report.pdf#page=29" TargetMode="External" Id="rId925"/><Relationship Type="http://schemas.openxmlformats.org/officeDocument/2006/relationships/hyperlink" Target="https://vanillabonds.com/dossier.html?c=katjes&amp;viewer=1&amp;item=F463" TargetMode="External" Id="rId926"/><Relationship Type="http://schemas.openxmlformats.org/officeDocument/2006/relationships/hyperlink" Target="https://vanillabonds.com/dossier-data/pdf/katjes/katjes-2024-annual-report.pdf#page=32" TargetMode="External" Id="rId927"/><Relationship Type="http://schemas.openxmlformats.org/officeDocument/2006/relationships/hyperlink" Target="https://vanillabonds.com/dossier.html?c=katjes&amp;viewer=1&amp;item=F464" TargetMode="External" Id="rId928"/><Relationship Type="http://schemas.openxmlformats.org/officeDocument/2006/relationships/hyperlink" Target="https://vanillabonds.com/dossier-data/pdf/katjes/katjes-2024-annual-report.pdf#page=77" TargetMode="External" Id="rId929"/><Relationship Type="http://schemas.openxmlformats.org/officeDocument/2006/relationships/hyperlink" Target="https://vanillabonds.com/dossier.html?c=katjes&amp;viewer=1&amp;item=F465" TargetMode="External" Id="rId930"/><Relationship Type="http://schemas.openxmlformats.org/officeDocument/2006/relationships/hyperlink" Target="https://vanillabonds.com/dossier-data/pdf/katjes/katjes-2024-annual-report.pdf#page=17" TargetMode="External" Id="rId931"/><Relationship Type="http://schemas.openxmlformats.org/officeDocument/2006/relationships/hyperlink" Target="https://vanillabonds.com/dossier.html?c=katjes&amp;viewer=1&amp;item=F466" TargetMode="External" Id="rId932"/><Relationship Type="http://schemas.openxmlformats.org/officeDocument/2006/relationships/hyperlink" Target="https://vanillabonds.com/dossier-data/pdf/katjes/katjes-2024-annual-report.pdf#page=24" TargetMode="External" Id="rId933"/><Relationship Type="http://schemas.openxmlformats.org/officeDocument/2006/relationships/hyperlink" Target="https://vanillabonds.com/dossier.html?c=katjes&amp;viewer=1&amp;item=F467" TargetMode="External" Id="rId934"/><Relationship Type="http://schemas.openxmlformats.org/officeDocument/2006/relationships/hyperlink" Target="https://vanillabonds.com/dossier-data/pdf/katjes/katjes-2024-annual-report.pdf#page=55" TargetMode="External" Id="rId935"/><Relationship Type="http://schemas.openxmlformats.org/officeDocument/2006/relationships/hyperlink" Target="https://vanillabonds.com/dossier.html?c=katjes&amp;viewer=1&amp;item=F468" TargetMode="External" Id="rId936"/><Relationship Type="http://schemas.openxmlformats.org/officeDocument/2006/relationships/hyperlink" Target="https://vanillabonds.com/dossier-data/pdf/katjes/katjes-2024-annual-report.pdf#page=84" TargetMode="External" Id="rId937"/><Relationship Type="http://schemas.openxmlformats.org/officeDocument/2006/relationships/hyperlink" Target="https://vanillabonds.com/dossier.html?c=katjes&amp;viewer=1&amp;item=F469" TargetMode="External" Id="rId938"/><Relationship Type="http://schemas.openxmlformats.org/officeDocument/2006/relationships/hyperlink" Target="https://vanillabonds.com/dossier-data/pdf/katjes/katjes-2024-annual-report.pdf#page=59" TargetMode="External" Id="rId939"/><Relationship Type="http://schemas.openxmlformats.org/officeDocument/2006/relationships/hyperlink" Target="https://vanillabonds.com/dossier.html?c=katjes&amp;viewer=1&amp;item=F470" TargetMode="External" Id="rId940"/><Relationship Type="http://schemas.openxmlformats.org/officeDocument/2006/relationships/hyperlink" Target="https://vanillabonds.com/dossier-data/pdf/katjes/katjes-2024-annual-report.pdf#page=59" TargetMode="External" Id="rId941"/><Relationship Type="http://schemas.openxmlformats.org/officeDocument/2006/relationships/hyperlink" Target="https://vanillabonds.com/dossier.html?c=katjes&amp;viewer=1&amp;item=F471" TargetMode="External" Id="rId942"/><Relationship Type="http://schemas.openxmlformats.org/officeDocument/2006/relationships/hyperlink" Target="https://vanillabonds.com/dossier-data/pdf/katjes/katjes-2024-annual-report.pdf#page=59" TargetMode="External" Id="rId943"/><Relationship Type="http://schemas.openxmlformats.org/officeDocument/2006/relationships/hyperlink" Target="https://vanillabonds.com/dossier.html?c=katjes&amp;viewer=1&amp;item=F472" TargetMode="External" Id="rId944"/><Relationship Type="http://schemas.openxmlformats.org/officeDocument/2006/relationships/hyperlink" Target="https://vanillabonds.com/dossier-data/pdf/katjes/katjes-2024-annual-report.pdf#page=59" TargetMode="External" Id="rId945"/><Relationship Type="http://schemas.openxmlformats.org/officeDocument/2006/relationships/hyperlink" Target="https://vanillabonds.com/dossier.html?c=katjes&amp;viewer=1&amp;item=F473" TargetMode="External" Id="rId946"/><Relationship Type="http://schemas.openxmlformats.org/officeDocument/2006/relationships/hyperlink" Target="https://vanillabonds.com/dossier-data/pdf/katjes/katjes-2024-annual-report.pdf#page=45" TargetMode="External" Id="rId947"/><Relationship Type="http://schemas.openxmlformats.org/officeDocument/2006/relationships/hyperlink" Target="https://vanillabonds.com/dossier.html?c=katjes&amp;viewer=1&amp;item=F474" TargetMode="External" Id="rId948"/><Relationship Type="http://schemas.openxmlformats.org/officeDocument/2006/relationships/hyperlink" Target="https://vanillabonds.com/dossier-data/pdf/katjes/katjes-2024-annual-report.pdf#page=56" TargetMode="External" Id="rId949"/><Relationship Type="http://schemas.openxmlformats.org/officeDocument/2006/relationships/hyperlink" Target="https://vanillabonds.com/dossier.html?c=katjes&amp;viewer=1&amp;item=F475" TargetMode="External" Id="rId950"/><Relationship Type="http://schemas.openxmlformats.org/officeDocument/2006/relationships/hyperlink" Target="https://vanillabonds.com/dossier-data/pdf/katjes/katjes-2024-annual-report.pdf#page=83" TargetMode="External" Id="rId951"/><Relationship Type="http://schemas.openxmlformats.org/officeDocument/2006/relationships/hyperlink" Target="https://vanillabonds.com/dossier.html?c=katjes&amp;viewer=1&amp;item=F476" TargetMode="External" Id="rId952"/><Relationship Type="http://schemas.openxmlformats.org/officeDocument/2006/relationships/hyperlink" Target="https://vanillabonds.com/dossier-data/pdf/katjes/katjes-2024-annual-report.pdf#page=83" TargetMode="External" Id="rId953"/><Relationship Type="http://schemas.openxmlformats.org/officeDocument/2006/relationships/hyperlink" Target="https://vanillabonds.com/dossier.html?c=katjes&amp;viewer=1&amp;item=F477" TargetMode="External" Id="rId954"/><Relationship Type="http://schemas.openxmlformats.org/officeDocument/2006/relationships/hyperlink" Target="https://vanillabonds.com/dossier-data/pdf/katjes/katjes-2024-annual-report.pdf#page=83" TargetMode="External" Id="rId955"/><Relationship Type="http://schemas.openxmlformats.org/officeDocument/2006/relationships/hyperlink" Target="https://vanillabonds.com/dossier.html?c=katjes&amp;viewer=1&amp;item=F478" TargetMode="External" Id="rId956"/><Relationship Type="http://schemas.openxmlformats.org/officeDocument/2006/relationships/hyperlink" Target="https://vanillabonds.com/dossier-data/pdf/katjes/katjes-2024-annual-report.pdf#page=83" TargetMode="External" Id="rId957"/><Relationship Type="http://schemas.openxmlformats.org/officeDocument/2006/relationships/hyperlink" Target="https://vanillabonds.com/dossier.html?c=katjes&amp;viewer=1&amp;item=F479" TargetMode="External" Id="rId958"/><Relationship Type="http://schemas.openxmlformats.org/officeDocument/2006/relationships/hyperlink" Target="https://vanillabonds.com/dossier-data/pdf/katjes/katjes-2024-annual-report.pdf#page=83" TargetMode="External" Id="rId959"/><Relationship Type="http://schemas.openxmlformats.org/officeDocument/2006/relationships/hyperlink" Target="https://vanillabonds.com/dossier.html?c=katjes&amp;viewer=1&amp;item=F480" TargetMode="External" Id="rId960"/><Relationship Type="http://schemas.openxmlformats.org/officeDocument/2006/relationships/hyperlink" Target="https://vanillabonds.com/dossier-data/pdf/katjes/katjes-2024-annual-report.pdf#page=83" TargetMode="External" Id="rId961"/><Relationship Type="http://schemas.openxmlformats.org/officeDocument/2006/relationships/hyperlink" Target="https://vanillabonds.com/dossier.html?c=katjes&amp;viewer=1&amp;item=F481" TargetMode="External" Id="rId962"/><Relationship Type="http://schemas.openxmlformats.org/officeDocument/2006/relationships/hyperlink" Target="https://vanillabonds.com/dossier-data/pdf/katjes/katjes-2024-annual-report.pdf#page=83" TargetMode="External" Id="rId963"/><Relationship Type="http://schemas.openxmlformats.org/officeDocument/2006/relationships/hyperlink" Target="https://vanillabonds.com/dossier.html?c=katjes&amp;viewer=1&amp;item=F482" TargetMode="External" Id="rId964"/><Relationship Type="http://schemas.openxmlformats.org/officeDocument/2006/relationships/hyperlink" Target="https://vanillabonds.com/dossier-data/pdf/katjes/katjes-2024-annual-report.pdf#page=83" TargetMode="External" Id="rId965"/><Relationship Type="http://schemas.openxmlformats.org/officeDocument/2006/relationships/hyperlink" Target="https://vanillabonds.com/dossier.html?c=katjes&amp;viewer=1&amp;item=F483" TargetMode="External" Id="rId966"/><Relationship Type="http://schemas.openxmlformats.org/officeDocument/2006/relationships/hyperlink" Target="https://vanillabonds.com/dossier-data/pdf/katjes/katjes-2024-annual-report.pdf#page=83" TargetMode="External" Id="rId967"/><Relationship Type="http://schemas.openxmlformats.org/officeDocument/2006/relationships/hyperlink" Target="https://vanillabonds.com/dossier.html?c=katjes&amp;viewer=1&amp;item=F484" TargetMode="External" Id="rId968"/><Relationship Type="http://schemas.openxmlformats.org/officeDocument/2006/relationships/hyperlink" Target="https://vanillabonds.com/dossier-data/pdf/katjes/katjes-2024-annual-report.pdf#page=83" TargetMode="External" Id="rId969"/><Relationship Type="http://schemas.openxmlformats.org/officeDocument/2006/relationships/hyperlink" Target="https://vanillabonds.com/dossier.html?c=katjes&amp;viewer=1&amp;item=F485" TargetMode="External" Id="rId970"/><Relationship Type="http://schemas.openxmlformats.org/officeDocument/2006/relationships/hyperlink" Target="https://vanillabonds.com/dossier-data/pdf/katjes/katjes-2024-annual-report.pdf#page=83" TargetMode="External" Id="rId971"/><Relationship Type="http://schemas.openxmlformats.org/officeDocument/2006/relationships/hyperlink" Target="https://vanillabonds.com/dossier.html?c=katjes&amp;viewer=1&amp;item=F486" TargetMode="External" Id="rId972"/><Relationship Type="http://schemas.openxmlformats.org/officeDocument/2006/relationships/hyperlink" Target="https://vanillabonds.com/dossier-data/pdf/katjes/katjes-2024-annual-report.pdf#page=83" TargetMode="External" Id="rId973"/><Relationship Type="http://schemas.openxmlformats.org/officeDocument/2006/relationships/hyperlink" Target="https://vanillabonds.com/dossier.html?c=katjes&amp;viewer=1&amp;item=F487" TargetMode="External" Id="rId974"/><Relationship Type="http://schemas.openxmlformats.org/officeDocument/2006/relationships/hyperlink" Target="https://vanillabonds.com/dossier-data/pdf/katjes/katjes-2024-annual-report.pdf#page=83" TargetMode="External" Id="rId975"/><Relationship Type="http://schemas.openxmlformats.org/officeDocument/2006/relationships/hyperlink" Target="https://vanillabonds.com/dossier.html?c=katjes&amp;viewer=1&amp;item=F488" TargetMode="External" Id="rId976"/><Relationship Type="http://schemas.openxmlformats.org/officeDocument/2006/relationships/hyperlink" Target="https://vanillabonds.com/dossier-data/pdf/katjes/katjes-2024-annual-report.pdf#page=83" TargetMode="External" Id="rId977"/><Relationship Type="http://schemas.openxmlformats.org/officeDocument/2006/relationships/hyperlink" Target="https://vanillabonds.com/dossier.html?c=katjes&amp;viewer=1&amp;item=F489" TargetMode="External" Id="rId978"/><Relationship Type="http://schemas.openxmlformats.org/officeDocument/2006/relationships/hyperlink" Target="https://vanillabonds.com/dossier-data/pdf/katjes/katjes-2024-annual-report.pdf#page=83" TargetMode="External" Id="rId979"/><Relationship Type="http://schemas.openxmlformats.org/officeDocument/2006/relationships/hyperlink" Target="https://vanillabonds.com/dossier.html?c=katjes&amp;viewer=1&amp;item=F490" TargetMode="External" Id="rId980"/><Relationship Type="http://schemas.openxmlformats.org/officeDocument/2006/relationships/hyperlink" Target="https://vanillabonds.com/dossier-data/pdf/katjes/katjes-2024-annual-report.pdf#page=83" TargetMode="External" Id="rId981"/><Relationship Type="http://schemas.openxmlformats.org/officeDocument/2006/relationships/hyperlink" Target="https://vanillabonds.com/dossier.html?c=katjes&amp;viewer=1&amp;item=F491" TargetMode="External" Id="rId982"/><Relationship Type="http://schemas.openxmlformats.org/officeDocument/2006/relationships/hyperlink" Target="https://vanillabonds.com/dossier-data/pdf/katjes/katjes-2024-annual-report.pdf#page=83" TargetMode="External" Id="rId983"/><Relationship Type="http://schemas.openxmlformats.org/officeDocument/2006/relationships/hyperlink" Target="https://vanillabonds.com/dossier.html?c=katjes&amp;viewer=1&amp;item=F492" TargetMode="External" Id="rId984"/><Relationship Type="http://schemas.openxmlformats.org/officeDocument/2006/relationships/hyperlink" Target="https://vanillabonds.com/dossier-data/pdf/katjes/katjes-2024-annual-report.pdf#page=83" TargetMode="External" Id="rId985"/><Relationship Type="http://schemas.openxmlformats.org/officeDocument/2006/relationships/hyperlink" Target="https://vanillabonds.com/dossier.html?c=katjes&amp;viewer=1&amp;item=F493" TargetMode="External" Id="rId986"/><Relationship Type="http://schemas.openxmlformats.org/officeDocument/2006/relationships/hyperlink" Target="https://vanillabonds.com/dossier-data/pdf/katjes/katjes-2024-annual-report.pdf#page=6" TargetMode="External" Id="rId987"/><Relationship Type="http://schemas.openxmlformats.org/officeDocument/2006/relationships/hyperlink" Target="https://vanillabonds.com/dossier.html?c=katjes&amp;viewer=1&amp;item=F494" TargetMode="External" Id="rId988"/><Relationship Type="http://schemas.openxmlformats.org/officeDocument/2006/relationships/hyperlink" Target="https://vanillabonds.com/dossier-data/pdf/katjes/katjes-2024-annual-report.pdf#page=6" TargetMode="External" Id="rId989"/><Relationship Type="http://schemas.openxmlformats.org/officeDocument/2006/relationships/hyperlink" Target="https://vanillabonds.com/dossier.html?c=katjes&amp;viewer=1&amp;item=F495" TargetMode="External" Id="rId990"/><Relationship Type="http://schemas.openxmlformats.org/officeDocument/2006/relationships/hyperlink" Target="https://vanillabonds.com/dossier-data/pdf/katjes/katjes-2024-annual-report.pdf#page=6" TargetMode="External" Id="rId991"/><Relationship Type="http://schemas.openxmlformats.org/officeDocument/2006/relationships/hyperlink" Target="https://vanillabonds.com/dossier.html?c=katjes&amp;viewer=1&amp;item=F496" TargetMode="External" Id="rId992"/><Relationship Type="http://schemas.openxmlformats.org/officeDocument/2006/relationships/hyperlink" Target="https://vanillabonds.com/dossier-data/pdf/katjes/katjes-2024-annual-report.pdf#page=80" TargetMode="External" Id="rId993"/><Relationship Type="http://schemas.openxmlformats.org/officeDocument/2006/relationships/hyperlink" Target="https://vanillabonds.com/dossier.html?c=katjes&amp;viewer=1&amp;item=F497" TargetMode="External" Id="rId994"/><Relationship Type="http://schemas.openxmlformats.org/officeDocument/2006/relationships/hyperlink" Target="https://vanillabonds.com/dossier-data/pdf/katjes/katjes-2024-annual-report.pdf#page=80" TargetMode="External" Id="rId995"/><Relationship Type="http://schemas.openxmlformats.org/officeDocument/2006/relationships/hyperlink" Target="https://vanillabonds.com/dossier.html?c=katjes&amp;viewer=1&amp;item=F498" TargetMode="External" Id="rId996"/><Relationship Type="http://schemas.openxmlformats.org/officeDocument/2006/relationships/hyperlink" Target="https://vanillabonds.com/dossier-data/pdf/katjes/katjes-2024-annual-report.pdf#page=80" TargetMode="External" Id="rId997"/><Relationship Type="http://schemas.openxmlformats.org/officeDocument/2006/relationships/hyperlink" Target="https://vanillabonds.com/dossier.html?c=katjes&amp;viewer=1&amp;item=F499" TargetMode="External" Id="rId998"/><Relationship Type="http://schemas.openxmlformats.org/officeDocument/2006/relationships/hyperlink" Target="https://vanillabonds.com/dossier-data/pdf/katjes/katjes-2024-annual-report.pdf#page=80" TargetMode="External" Id="rId999"/><Relationship Type="http://schemas.openxmlformats.org/officeDocument/2006/relationships/hyperlink" Target="https://vanillabonds.com/dossier.html?c=katjes&amp;viewer=1&amp;item=F500" TargetMode="External" Id="rId1000"/><Relationship Type="http://schemas.openxmlformats.org/officeDocument/2006/relationships/hyperlink" Target="https://vanillabonds.com/dossier-data/pdf/katjes/katjes-2024-annual-report.pdf#page=80" TargetMode="External" Id="rId1001"/><Relationship Type="http://schemas.openxmlformats.org/officeDocument/2006/relationships/hyperlink" Target="https://vanillabonds.com/dossier.html?c=katjes&amp;viewer=1&amp;item=F501" TargetMode="External" Id="rId1002"/><Relationship Type="http://schemas.openxmlformats.org/officeDocument/2006/relationships/hyperlink" Target="https://vanillabonds.com/dossier-data/pdf/katjes/katjes-2024-annual-report.pdf#page=80" TargetMode="External" Id="rId1003"/><Relationship Type="http://schemas.openxmlformats.org/officeDocument/2006/relationships/hyperlink" Target="https://vanillabonds.com/dossier.html?c=katjes&amp;viewer=1&amp;item=F502" TargetMode="External" Id="rId1004"/><Relationship Type="http://schemas.openxmlformats.org/officeDocument/2006/relationships/hyperlink" Target="https://vanillabonds.com/dossier-data/pdf/katjes/katjes-2024-annual-report.pdf#page=67" TargetMode="External" Id="rId1005"/><Relationship Type="http://schemas.openxmlformats.org/officeDocument/2006/relationships/hyperlink" Target="https://vanillabonds.com/dossier.html?c=katjes&amp;viewer=1&amp;item=F503" TargetMode="External" Id="rId1006"/><Relationship Type="http://schemas.openxmlformats.org/officeDocument/2006/relationships/hyperlink" Target="https://vanillabonds.com/dossier-data/pdf/katjes/katjes-2024-annual-report.pdf#page=26" TargetMode="External" Id="rId1007"/><Relationship Type="http://schemas.openxmlformats.org/officeDocument/2006/relationships/hyperlink" Target="https://vanillabonds.com/dossier.html?c=katjes&amp;viewer=1&amp;item=F504" TargetMode="External" Id="rId1008"/><Relationship Type="http://schemas.openxmlformats.org/officeDocument/2006/relationships/hyperlink" Target="https://vanillabonds.com/dossier-data/pdf/katjes/katjes-2024-annual-report.pdf#page=26" TargetMode="External" Id="rId1009"/><Relationship Type="http://schemas.openxmlformats.org/officeDocument/2006/relationships/hyperlink" Target="https://vanillabonds.com/dossier.html?c=katjes&amp;viewer=1&amp;item=F505" TargetMode="External" Id="rId1010"/><Relationship Type="http://schemas.openxmlformats.org/officeDocument/2006/relationships/hyperlink" Target="https://vanillabonds.com/dossier-data/pdf/katjes/katjes-2024-annual-report.pdf#page=26" TargetMode="External" Id="rId1011"/><Relationship Type="http://schemas.openxmlformats.org/officeDocument/2006/relationships/hyperlink" Target="https://vanillabonds.com/dossier.html?c=katjes&amp;viewer=1&amp;item=F506" TargetMode="External" Id="rId1012"/><Relationship Type="http://schemas.openxmlformats.org/officeDocument/2006/relationships/hyperlink" Target="https://vanillabonds.com/dossier-data/pdf/katjes/katjes-2024-annual-report.pdf#page=27" TargetMode="External" Id="rId1013"/><Relationship Type="http://schemas.openxmlformats.org/officeDocument/2006/relationships/hyperlink" Target="https://vanillabonds.com/dossier.html?c=katjes&amp;viewer=1&amp;item=F507" TargetMode="External" Id="rId1014"/><Relationship Type="http://schemas.openxmlformats.org/officeDocument/2006/relationships/hyperlink" Target="https://vanillabonds.com/dossier-data/pdf/katjes/katjes-2024-annual-report.pdf#page=27" TargetMode="External" Id="rId1015"/><Relationship Type="http://schemas.openxmlformats.org/officeDocument/2006/relationships/hyperlink" Target="https://vanillabonds.com/dossier.html?c=katjes&amp;viewer=1&amp;item=F508" TargetMode="External" Id="rId1016"/><Relationship Type="http://schemas.openxmlformats.org/officeDocument/2006/relationships/hyperlink" Target="https://vanillabonds.com/dossier-data/pdf/katjes/katjes-2024-annual-report.pdf#page=27" TargetMode="External" Id="rId1017"/><Relationship Type="http://schemas.openxmlformats.org/officeDocument/2006/relationships/hyperlink" Target="https://vanillabonds.com/dossier.html?c=katjes&amp;viewer=1&amp;item=F509" TargetMode="External" Id="rId1018"/><Relationship Type="http://schemas.openxmlformats.org/officeDocument/2006/relationships/hyperlink" Target="https://vanillabonds.com/dossier-data/pdf/katjes/katjes-2024-annual-report.pdf#page=27" TargetMode="External" Id="rId1019"/><Relationship Type="http://schemas.openxmlformats.org/officeDocument/2006/relationships/hyperlink" Target="https://vanillabonds.com/dossier.html?c=katjes&amp;viewer=1&amp;item=F510" TargetMode="External" Id="rId1020"/><Relationship Type="http://schemas.openxmlformats.org/officeDocument/2006/relationships/hyperlink" Target="https://vanillabonds.com/dossier-data/pdf/katjes/katjes-2024-annual-report.pdf#page=27" TargetMode="External" Id="rId1021"/><Relationship Type="http://schemas.openxmlformats.org/officeDocument/2006/relationships/hyperlink" Target="https://vanillabonds.com/dossier.html?c=katjes&amp;viewer=1&amp;item=F511" TargetMode="External" Id="rId1022"/><Relationship Type="http://schemas.openxmlformats.org/officeDocument/2006/relationships/hyperlink" Target="https://vanillabonds.com/dossier-data/pdf/katjes/katjes-2024-annual-report.pdf#page=27" TargetMode="External" Id="rId1023"/><Relationship Type="http://schemas.openxmlformats.org/officeDocument/2006/relationships/hyperlink" Target="https://vanillabonds.com/dossier.html?c=katjes&amp;viewer=1&amp;item=F512" TargetMode="External" Id="rId1024"/><Relationship Type="http://schemas.openxmlformats.org/officeDocument/2006/relationships/hyperlink" Target="https://vanillabonds.com/dossier-data/pdf/katjes/katjes-2024-annual-report.pdf#page=27" TargetMode="External" Id="rId1025"/><Relationship Type="http://schemas.openxmlformats.org/officeDocument/2006/relationships/hyperlink" Target="https://vanillabonds.com/dossier.html?c=katjes&amp;viewer=1&amp;item=F513" TargetMode="External" Id="rId1026"/><Relationship Type="http://schemas.openxmlformats.org/officeDocument/2006/relationships/hyperlink" Target="https://vanillabonds.com/dossier-data/pdf/katjes/katjes-2024-annual-report.pdf#page=27" TargetMode="External" Id="rId1027"/><Relationship Type="http://schemas.openxmlformats.org/officeDocument/2006/relationships/hyperlink" Target="https://vanillabonds.com/dossier.html?c=katjes&amp;viewer=1&amp;item=F514" TargetMode="External" Id="rId1028"/><Relationship Type="http://schemas.openxmlformats.org/officeDocument/2006/relationships/hyperlink" Target="https://vanillabonds.com/dossier-data/pdf/katjes/katjes-2024-annual-report.pdf#page=27" TargetMode="External" Id="rId1029"/><Relationship Type="http://schemas.openxmlformats.org/officeDocument/2006/relationships/hyperlink" Target="https://vanillabonds.com/dossier.html?c=katjes&amp;viewer=1&amp;item=F515" TargetMode="External" Id="rId1030"/><Relationship Type="http://schemas.openxmlformats.org/officeDocument/2006/relationships/hyperlink" Target="https://vanillabonds.com/dossier-data/pdf/katjes/katjes-2024-annual-report.pdf#page=27" TargetMode="External" Id="rId1031"/><Relationship Type="http://schemas.openxmlformats.org/officeDocument/2006/relationships/hyperlink" Target="https://vanillabonds.com/dossier.html?c=katjes&amp;viewer=1&amp;item=F516" TargetMode="External" Id="rId1032"/><Relationship Type="http://schemas.openxmlformats.org/officeDocument/2006/relationships/hyperlink" Target="https://vanillabonds.com/dossier-data/pdf/katjes/katjes-2024-annual-report.pdf#page=27" TargetMode="External" Id="rId1033"/><Relationship Type="http://schemas.openxmlformats.org/officeDocument/2006/relationships/hyperlink" Target="https://vanillabonds.com/dossier.html?c=katjes&amp;viewer=1&amp;item=F517" TargetMode="External" Id="rId1034"/><Relationship Type="http://schemas.openxmlformats.org/officeDocument/2006/relationships/hyperlink" Target="https://vanillabonds.com/dossier-data/pdf/katjes/katjes-2024-annual-report.pdf#page=27" TargetMode="External" Id="rId1035"/><Relationship Type="http://schemas.openxmlformats.org/officeDocument/2006/relationships/hyperlink" Target="https://vanillabonds.com/dossier.html?c=katjes&amp;viewer=1&amp;item=F518" TargetMode="External" Id="rId1036"/><Relationship Type="http://schemas.openxmlformats.org/officeDocument/2006/relationships/hyperlink" Target="https://vanillabonds.com/dossier-data/pdf/katjes/katjes-2024-annual-report.pdf#page=38" TargetMode="External" Id="rId1037"/><Relationship Type="http://schemas.openxmlformats.org/officeDocument/2006/relationships/hyperlink" Target="https://vanillabonds.com/dossier.html?c=katjes&amp;viewer=1&amp;item=F519" TargetMode="External" Id="rId1038"/><Relationship Type="http://schemas.openxmlformats.org/officeDocument/2006/relationships/hyperlink" Target="https://vanillabonds.com/dossier-data/pdf/katjes/katjes-2024-annual-report.pdf#page=38" TargetMode="External" Id="rId1039"/><Relationship Type="http://schemas.openxmlformats.org/officeDocument/2006/relationships/hyperlink" Target="https://vanillabonds.com/dossier.html?c=katjes&amp;viewer=1&amp;item=F520" TargetMode="External" Id="rId1040"/><Relationship Type="http://schemas.openxmlformats.org/officeDocument/2006/relationships/hyperlink" Target="https://vanillabonds.com/dossier-data/pdf/katjes/katjes-2024-annual-report.pdf#page=49" TargetMode="External" Id="rId1041"/><Relationship Type="http://schemas.openxmlformats.org/officeDocument/2006/relationships/hyperlink" Target="https://vanillabonds.com/dossier.html?c=katjes&amp;viewer=1&amp;item=F521" TargetMode="External" Id="rId1042"/><Relationship Type="http://schemas.openxmlformats.org/officeDocument/2006/relationships/hyperlink" Target="https://vanillabonds.com/dossier-data/pdf/katjes/katjes-2024-annual-report.pdf#page=49" TargetMode="External" Id="rId1043"/><Relationship Type="http://schemas.openxmlformats.org/officeDocument/2006/relationships/hyperlink" Target="https://vanillabonds.com/dossier.html?c=katjes&amp;viewer=1&amp;item=F522" TargetMode="External" Id="rId1044"/><Relationship Type="http://schemas.openxmlformats.org/officeDocument/2006/relationships/hyperlink" Target="https://vanillabonds.com/dossier-data/pdf/katjes/katjes-2024-annual-report.pdf#page=51" TargetMode="External" Id="rId1045"/><Relationship Type="http://schemas.openxmlformats.org/officeDocument/2006/relationships/hyperlink" Target="https://vanillabonds.com/dossier.html?c=katjes&amp;viewer=1&amp;item=F523" TargetMode="External" Id="rId1046"/><Relationship Type="http://schemas.openxmlformats.org/officeDocument/2006/relationships/hyperlink" Target="https://vanillabonds.com/dossier-data/pdf/katjes/katjes-2024-annual-report.pdf#page=15" TargetMode="External" Id="rId1047"/><Relationship Type="http://schemas.openxmlformats.org/officeDocument/2006/relationships/hyperlink" Target="https://vanillabonds.com/dossier.html?c=katjes&amp;viewer=1&amp;item=F524" TargetMode="External" Id="rId1048"/><Relationship Type="http://schemas.openxmlformats.org/officeDocument/2006/relationships/hyperlink" Target="https://vanillabonds.com/dossier-data/pdf/katjes/katjes-2024-annual-report.pdf#page=74" TargetMode="External" Id="rId1049"/><Relationship Type="http://schemas.openxmlformats.org/officeDocument/2006/relationships/hyperlink" Target="https://vanillabonds.com/dossier.html?c=katjes&amp;viewer=1&amp;item=F525" TargetMode="External" Id="rId1050"/><Relationship Type="http://schemas.openxmlformats.org/officeDocument/2006/relationships/hyperlink" Target="https://vanillabonds.com/dossier-data/pdf/katjes/katjes-2024-annual-report.pdf#page=74" TargetMode="External" Id="rId1051"/><Relationship Type="http://schemas.openxmlformats.org/officeDocument/2006/relationships/hyperlink" Target="https://vanillabonds.com/dossier.html?c=katjes&amp;viewer=1&amp;item=F526" TargetMode="External" Id="rId1052"/><Relationship Type="http://schemas.openxmlformats.org/officeDocument/2006/relationships/hyperlink" Target="https://vanillabonds.com/dossier-data/pdf/katjes/katjes-2024-annual-report.pdf#page=74" TargetMode="External" Id="rId1053"/><Relationship Type="http://schemas.openxmlformats.org/officeDocument/2006/relationships/hyperlink" Target="https://vanillabonds.com/dossier.html?c=katjes&amp;viewer=1&amp;item=F527" TargetMode="External" Id="rId1054"/><Relationship Type="http://schemas.openxmlformats.org/officeDocument/2006/relationships/hyperlink" Target="https://vanillabonds.com/dossier-data/pdf/katjes/katjes-2024-annual-report.pdf#page=20" TargetMode="External" Id="rId1055"/><Relationship Type="http://schemas.openxmlformats.org/officeDocument/2006/relationships/hyperlink" Target="https://vanillabonds.com/dossier.html?c=katjes&amp;viewer=1&amp;item=F528" TargetMode="External" Id="rId1056"/><Relationship Type="http://schemas.openxmlformats.org/officeDocument/2006/relationships/hyperlink" Target="https://vanillabonds.com/dossier-data/pdf/katjes/katjes-2024-annual-report.pdf#page=24" TargetMode="External" Id="rId1057"/><Relationship Type="http://schemas.openxmlformats.org/officeDocument/2006/relationships/hyperlink" Target="https://vanillabonds.com/dossier.html?c=katjes&amp;viewer=1&amp;item=F529" TargetMode="External" Id="rId1058"/><Relationship Type="http://schemas.openxmlformats.org/officeDocument/2006/relationships/hyperlink" Target="https://vanillabonds.com/dossier-data/pdf/katjes/katjes-2024-annual-report.pdf#page=32" TargetMode="External" Id="rId1059"/><Relationship Type="http://schemas.openxmlformats.org/officeDocument/2006/relationships/hyperlink" Target="https://vanillabonds.com/dossier.html?c=katjes&amp;viewer=1&amp;item=F530" TargetMode="External" Id="rId1060"/><Relationship Type="http://schemas.openxmlformats.org/officeDocument/2006/relationships/hyperlink" Target="https://vanillabonds.com/dossier-data/pdf/katjes/katjes-2024-annual-report.pdf#page=32" TargetMode="External" Id="rId1061"/><Relationship Type="http://schemas.openxmlformats.org/officeDocument/2006/relationships/hyperlink" Target="https://vanillabonds.com/dossier.html?c=katjes&amp;viewer=1&amp;item=F531" TargetMode="External" Id="rId1062"/><Relationship Type="http://schemas.openxmlformats.org/officeDocument/2006/relationships/hyperlink" Target="https://vanillabonds.com/dossier-data/pdf/katjes/katjes-2024-annual-report.pdf#page=51" TargetMode="External" Id="rId1063"/><Relationship Type="http://schemas.openxmlformats.org/officeDocument/2006/relationships/hyperlink" Target="https://vanillabonds.com/dossier.html?c=katjes&amp;viewer=1&amp;item=F532" TargetMode="External" Id="rId1064"/><Relationship Type="http://schemas.openxmlformats.org/officeDocument/2006/relationships/hyperlink" Target="https://vanillabonds.com/dossier-data/pdf/katjes/katjes-2024-annual-report.pdf#page=80" TargetMode="External" Id="rId1065"/><Relationship Type="http://schemas.openxmlformats.org/officeDocument/2006/relationships/hyperlink" Target="https://vanillabonds.com/dossier.html?c=katjes&amp;viewer=1&amp;item=F533" TargetMode="External" Id="rId1066"/><Relationship Type="http://schemas.openxmlformats.org/officeDocument/2006/relationships/hyperlink" Target="https://vanillabonds.com/dossier-data/pdf/katjes/katjes-2024-annual-report.pdf#page=40" TargetMode="External" Id="rId1067"/><Relationship Type="http://schemas.openxmlformats.org/officeDocument/2006/relationships/hyperlink" Target="https://vanillabonds.com/dossier.html?c=katjes&amp;viewer=1&amp;item=F534" TargetMode="External" Id="rId1068"/><Relationship Type="http://schemas.openxmlformats.org/officeDocument/2006/relationships/hyperlink" Target="https://vanillabonds.com/dossier-data/pdf/katjes/katjes-2024-annual-report.pdf#page=75" TargetMode="External" Id="rId1069"/><Relationship Type="http://schemas.openxmlformats.org/officeDocument/2006/relationships/hyperlink" Target="https://vanillabonds.com/dossier.html?c=katjes&amp;viewer=1&amp;item=F535" TargetMode="External" Id="rId1070"/><Relationship Type="http://schemas.openxmlformats.org/officeDocument/2006/relationships/hyperlink" Target="https://vanillabonds.com/dossier-data/pdf/katjes/katjes-2024-annual-report.pdf#page=75" TargetMode="External" Id="rId1071"/><Relationship Type="http://schemas.openxmlformats.org/officeDocument/2006/relationships/hyperlink" Target="https://vanillabonds.com/dossier.html?c=katjes&amp;viewer=1&amp;item=F536" TargetMode="External" Id="rId1072"/><Relationship Type="http://schemas.openxmlformats.org/officeDocument/2006/relationships/hyperlink" Target="https://vanillabonds.com/dossier-data/pdf/katjes/katjes-2024-annual-report.pdf#page=75" TargetMode="External" Id="rId1073"/><Relationship Type="http://schemas.openxmlformats.org/officeDocument/2006/relationships/hyperlink" Target="https://vanillabonds.com/dossier.html?c=katjes&amp;viewer=1&amp;item=F537" TargetMode="External" Id="rId1074"/><Relationship Type="http://schemas.openxmlformats.org/officeDocument/2006/relationships/hyperlink" Target="https://vanillabonds.com/dossier-data/pdf/katjes/katjes-2024-annual-report.pdf#page=43" TargetMode="External" Id="rId1075"/><Relationship Type="http://schemas.openxmlformats.org/officeDocument/2006/relationships/hyperlink" Target="https://vanillabonds.com/dossier.html?c=katjes&amp;viewer=1&amp;item=F538" TargetMode="External" Id="rId1076"/><Relationship Type="http://schemas.openxmlformats.org/officeDocument/2006/relationships/hyperlink" Target="https://vanillabonds.com/dossier-data/pdf/katjes/katjes-2024-annual-report.pdf#page=43" TargetMode="External" Id="rId1077"/><Relationship Type="http://schemas.openxmlformats.org/officeDocument/2006/relationships/hyperlink" Target="https://vanillabonds.com/dossier.html?c=katjes&amp;viewer=1&amp;item=F539" TargetMode="External" Id="rId1078"/><Relationship Type="http://schemas.openxmlformats.org/officeDocument/2006/relationships/hyperlink" Target="https://vanillabonds.com/dossier-data/pdf/katjes/katjes-2024-annual-report.pdf#page=66" TargetMode="External" Id="rId1079"/><Relationship Type="http://schemas.openxmlformats.org/officeDocument/2006/relationships/hyperlink" Target="https://vanillabonds.com/dossier.html?c=katjes&amp;viewer=1&amp;item=F540" TargetMode="External" Id="rId1080"/><Relationship Type="http://schemas.openxmlformats.org/officeDocument/2006/relationships/hyperlink" Target="https://vanillabonds.com/dossier-data/pdf/katjes/katjes-2024-annual-report.pdf#page=85" TargetMode="External" Id="rId1081"/><Relationship Type="http://schemas.openxmlformats.org/officeDocument/2006/relationships/hyperlink" Target="https://vanillabonds.com/dossier.html?c=katjes&amp;viewer=1&amp;item=F541" TargetMode="External" Id="rId1082"/><Relationship Type="http://schemas.openxmlformats.org/officeDocument/2006/relationships/hyperlink" Target="https://vanillabonds.com/dossier-data/pdf/katjes/katjes-2024-annual-report.pdf#page=90" TargetMode="External" Id="rId1083"/><Relationship Type="http://schemas.openxmlformats.org/officeDocument/2006/relationships/hyperlink" Target="https://vanillabonds.com/dossier.html?c=katjes&amp;viewer=1&amp;item=F542" TargetMode="External" Id="rId1084"/><Relationship Type="http://schemas.openxmlformats.org/officeDocument/2006/relationships/hyperlink" Target="https://vanillabonds.com/dossier-data/pdf/katjes/katjes-2024-annual-report.pdf#page=40" TargetMode="External" Id="rId1085"/><Relationship Type="http://schemas.openxmlformats.org/officeDocument/2006/relationships/hyperlink" Target="https://vanillabonds.com/dossier.html?c=katjes&amp;viewer=1&amp;item=F543" TargetMode="External" Id="rId1086"/><Relationship Type="http://schemas.openxmlformats.org/officeDocument/2006/relationships/hyperlink" Target="https://vanillabonds.com/dossier-data/pdf/katjes/katjes-2024-annual-report.pdf#page=43" TargetMode="External" Id="rId1087"/><Relationship Type="http://schemas.openxmlformats.org/officeDocument/2006/relationships/hyperlink" Target="https://vanillabonds.com/dossier.html?c=katjes&amp;viewer=1&amp;item=F544" TargetMode="External" Id="rId1088"/><Relationship Type="http://schemas.openxmlformats.org/officeDocument/2006/relationships/hyperlink" Target="https://vanillabonds.com/dossier-data/pdf/katjes/katjes-2024-annual-report.pdf#page=53" TargetMode="External" Id="rId1089"/><Relationship Type="http://schemas.openxmlformats.org/officeDocument/2006/relationships/hyperlink" Target="https://vanillabonds.com/dossier.html?c=katjes&amp;viewer=1&amp;item=F545" TargetMode="External" Id="rId1090"/><Relationship Type="http://schemas.openxmlformats.org/officeDocument/2006/relationships/hyperlink" Target="https://vanillabonds.com/dossier-data/pdf/katjes/katjes-2024-annual-report.pdf#page=70" TargetMode="External" Id="rId1091"/><Relationship Type="http://schemas.openxmlformats.org/officeDocument/2006/relationships/hyperlink" Target="https://vanillabonds.com/dossier.html?c=katjes&amp;viewer=1&amp;item=F546" TargetMode="External" Id="rId1092"/><Relationship Type="http://schemas.openxmlformats.org/officeDocument/2006/relationships/hyperlink" Target="https://vanillabonds.com/dossier-data/pdf/katjes/katjes-2024-annual-report.pdf#page=76" TargetMode="External" Id="rId1093"/><Relationship Type="http://schemas.openxmlformats.org/officeDocument/2006/relationships/hyperlink" Target="https://vanillabonds.com/dossier.html?c=katjes&amp;viewer=1&amp;item=F547" TargetMode="External" Id="rId1094"/><Relationship Type="http://schemas.openxmlformats.org/officeDocument/2006/relationships/hyperlink" Target="https://vanillabonds.com/dossier-data/pdf/katjes/katjes-2024-annual-report.pdf#page=76" TargetMode="External" Id="rId1095"/><Relationship Type="http://schemas.openxmlformats.org/officeDocument/2006/relationships/hyperlink" Target="https://vanillabonds.com/dossier.html?c=katjes&amp;viewer=1&amp;item=F548" TargetMode="External" Id="rId1096"/><Relationship Type="http://schemas.openxmlformats.org/officeDocument/2006/relationships/hyperlink" Target="https://vanillabonds.com/dossier-data/pdf/katjes/katjes-2024-annual-report.pdf#page=74" TargetMode="External" Id="rId1097"/><Relationship Type="http://schemas.openxmlformats.org/officeDocument/2006/relationships/hyperlink" Target="https://vanillabonds.com/dossier.html?c=katjes&amp;viewer=1&amp;item=F549" TargetMode="External" Id="rId1098"/><Relationship Type="http://schemas.openxmlformats.org/officeDocument/2006/relationships/hyperlink" Target="https://vanillabonds.com/dossier-data/pdf/katjes/katjes-2024-annual-report.pdf#page=74" TargetMode="External" Id="rId1099"/><Relationship Type="http://schemas.openxmlformats.org/officeDocument/2006/relationships/hyperlink" Target="https://vanillabonds.com/dossier.html?c=katjes&amp;viewer=1&amp;item=F550" TargetMode="External" Id="rId1100"/><Relationship Type="http://schemas.openxmlformats.org/officeDocument/2006/relationships/hyperlink" Target="https://vanillabonds.com/dossier-data/pdf/katjes/katjes-2024-annual-report.pdf#page=74" TargetMode="External" Id="rId1101"/><Relationship Type="http://schemas.openxmlformats.org/officeDocument/2006/relationships/hyperlink" Target="https://vanillabonds.com/dossier.html?c=katjes&amp;viewer=1&amp;item=F551" TargetMode="External" Id="rId1102"/><Relationship Type="http://schemas.openxmlformats.org/officeDocument/2006/relationships/hyperlink" Target="https://vanillabonds.com/dossier-data/pdf/katjes/katjes-2024-annual-report.pdf#page=74" TargetMode="External" Id="rId1103"/><Relationship Type="http://schemas.openxmlformats.org/officeDocument/2006/relationships/hyperlink" Target="https://vanillabonds.com/dossier.html?c=katjes&amp;viewer=1&amp;item=F552" TargetMode="External" Id="rId1104"/><Relationship Type="http://schemas.openxmlformats.org/officeDocument/2006/relationships/hyperlink" Target="https://vanillabonds.com/dossier-data/pdf/katjes/katjes-2024-annual-report.pdf#page=74" TargetMode="External" Id="rId1105"/><Relationship Type="http://schemas.openxmlformats.org/officeDocument/2006/relationships/hyperlink" Target="https://vanillabonds.com/dossier.html?c=katjes&amp;viewer=1&amp;item=F553" TargetMode="External" Id="rId1106"/><Relationship Type="http://schemas.openxmlformats.org/officeDocument/2006/relationships/hyperlink" Target="https://vanillabonds.com/dossier-data/pdf/katjes/katjes-2024-annual-report.pdf#page=77" TargetMode="External" Id="rId1107"/><Relationship Type="http://schemas.openxmlformats.org/officeDocument/2006/relationships/hyperlink" Target="https://vanillabonds.com/dossier.html?c=katjes&amp;viewer=1&amp;item=F554" TargetMode="External" Id="rId1108"/><Relationship Type="http://schemas.openxmlformats.org/officeDocument/2006/relationships/hyperlink" Target="https://vanillabonds.com/dossier-data/pdf/katjes/katjes-2024-annual-report.pdf#page=77" TargetMode="External" Id="rId1109"/><Relationship Type="http://schemas.openxmlformats.org/officeDocument/2006/relationships/hyperlink" Target="https://vanillabonds.com/dossier.html?c=katjes&amp;viewer=1&amp;item=F555" TargetMode="External" Id="rId1110"/><Relationship Type="http://schemas.openxmlformats.org/officeDocument/2006/relationships/hyperlink" Target="https://vanillabonds.com/dossier-data/pdf/katjes/katjes-2024-annual-report.pdf#page=77" TargetMode="External" Id="rId1111"/><Relationship Type="http://schemas.openxmlformats.org/officeDocument/2006/relationships/hyperlink" Target="https://vanillabonds.com/dossier.html?c=katjes&amp;viewer=1&amp;item=F556" TargetMode="External" Id="rId1112"/><Relationship Type="http://schemas.openxmlformats.org/officeDocument/2006/relationships/hyperlink" Target="https://vanillabonds.com/dossier-data/pdf/katjes/katjes-2024-annual-report.pdf#page=77" TargetMode="External" Id="rId1113"/><Relationship Type="http://schemas.openxmlformats.org/officeDocument/2006/relationships/hyperlink" Target="https://vanillabonds.com/dossier.html?c=katjes&amp;viewer=1&amp;item=F557" TargetMode="External" Id="rId1114"/><Relationship Type="http://schemas.openxmlformats.org/officeDocument/2006/relationships/hyperlink" Target="https://vanillabonds.com/dossier-data/pdf/katjes/katjes-2024-annual-report.pdf#page=77" TargetMode="External" Id="rId1115"/><Relationship Type="http://schemas.openxmlformats.org/officeDocument/2006/relationships/hyperlink" Target="https://vanillabonds.com/dossier.html?c=katjes&amp;viewer=1&amp;item=F558" TargetMode="External" Id="rId1116"/><Relationship Type="http://schemas.openxmlformats.org/officeDocument/2006/relationships/hyperlink" Target="https://vanillabonds.com/dossier-data/pdf/katjes/katjes-2024-annual-report.pdf#page=77" TargetMode="External" Id="rId1117"/><Relationship Type="http://schemas.openxmlformats.org/officeDocument/2006/relationships/hyperlink" Target="https://vanillabonds.com/dossier.html?c=katjes&amp;viewer=1&amp;item=F559" TargetMode="External" Id="rId1118"/><Relationship Type="http://schemas.openxmlformats.org/officeDocument/2006/relationships/hyperlink" Target="https://vanillabonds.com/dossier-data/pdf/katjes/katjes-2024-annual-report.pdf#page=78" TargetMode="External" Id="rId1119"/><Relationship Type="http://schemas.openxmlformats.org/officeDocument/2006/relationships/hyperlink" Target="https://vanillabonds.com/dossier.html?c=katjes&amp;viewer=1&amp;item=F560" TargetMode="External" Id="rId1120"/><Relationship Type="http://schemas.openxmlformats.org/officeDocument/2006/relationships/hyperlink" Target="https://vanillabonds.com/dossier-data/pdf/katjes/katjes-2024-annual-report.pdf#page=78" TargetMode="External" Id="rId1121"/><Relationship Type="http://schemas.openxmlformats.org/officeDocument/2006/relationships/hyperlink" Target="https://vanillabonds.com/dossier.html?c=katjes&amp;viewer=1&amp;item=F561" TargetMode="External" Id="rId1122"/><Relationship Type="http://schemas.openxmlformats.org/officeDocument/2006/relationships/hyperlink" Target="https://vanillabonds.com/dossier-data/pdf/katjes/katjes-2024-annual-report.pdf#page=78" TargetMode="External" Id="rId1123"/><Relationship Type="http://schemas.openxmlformats.org/officeDocument/2006/relationships/hyperlink" Target="https://vanillabonds.com/dossier.html?c=katjes&amp;viewer=1&amp;item=F562" TargetMode="External" Id="rId1124"/><Relationship Type="http://schemas.openxmlformats.org/officeDocument/2006/relationships/hyperlink" Target="https://vanillabonds.com/dossier-data/pdf/katjes/katjes-2024-annual-report.pdf#page=78" TargetMode="External" Id="rId1125"/><Relationship Type="http://schemas.openxmlformats.org/officeDocument/2006/relationships/hyperlink" Target="https://vanillabonds.com/dossier.html?c=katjes&amp;viewer=1&amp;item=F563" TargetMode="External" Id="rId1126"/><Relationship Type="http://schemas.openxmlformats.org/officeDocument/2006/relationships/hyperlink" Target="https://vanillabonds.com/dossier-data/pdf/katjes/katjes-2024-annual-report.pdf#page=74" TargetMode="External" Id="rId1127"/><Relationship Type="http://schemas.openxmlformats.org/officeDocument/2006/relationships/hyperlink" Target="https://vanillabonds.com/dossier.html?c=katjes&amp;viewer=1&amp;item=F564" TargetMode="External" Id="rId1128"/><Relationship Type="http://schemas.openxmlformats.org/officeDocument/2006/relationships/hyperlink" Target="https://vanillabonds.com/dossier-data/pdf/katjes/katjes-2024-annual-report.pdf#page=74" TargetMode="External" Id="rId1129"/><Relationship Type="http://schemas.openxmlformats.org/officeDocument/2006/relationships/hyperlink" Target="https://vanillabonds.com/dossier.html?c=katjes&amp;viewer=1&amp;item=F565" TargetMode="External" Id="rId1130"/><Relationship Type="http://schemas.openxmlformats.org/officeDocument/2006/relationships/hyperlink" Target="https://vanillabonds.com/dossier-data/pdf/katjes/katjes-2024-annual-report.pdf#page=74" TargetMode="External" Id="rId1131"/><Relationship Type="http://schemas.openxmlformats.org/officeDocument/2006/relationships/hyperlink" Target="https://vanillabonds.com/dossier.html?c=katjes&amp;viewer=1&amp;item=F566" TargetMode="External" Id="rId1132"/><Relationship Type="http://schemas.openxmlformats.org/officeDocument/2006/relationships/hyperlink" Target="https://vanillabonds.com/dossier-data/pdf/katjes/katjes-2024-annual-report.pdf#page=74" TargetMode="External" Id="rId1133"/><Relationship Type="http://schemas.openxmlformats.org/officeDocument/2006/relationships/hyperlink" Target="https://vanillabonds.com/dossier.html?c=katjes&amp;viewer=1&amp;item=F567" TargetMode="External" Id="rId1134"/><Relationship Type="http://schemas.openxmlformats.org/officeDocument/2006/relationships/hyperlink" Target="https://vanillabonds.com/dossier-data/pdf/katjes/katjes-2024-annual-report.pdf#page=74" TargetMode="External" Id="rId1135"/><Relationship Type="http://schemas.openxmlformats.org/officeDocument/2006/relationships/hyperlink" Target="https://vanillabonds.com/dossier.html?c=katjes&amp;viewer=1&amp;item=F568" TargetMode="External" Id="rId1136"/><Relationship Type="http://schemas.openxmlformats.org/officeDocument/2006/relationships/hyperlink" Target="https://vanillabonds.com/dossier-data/pdf/katjes/katjes-2024-annual-report.pdf#page=77" TargetMode="External" Id="rId1137"/><Relationship Type="http://schemas.openxmlformats.org/officeDocument/2006/relationships/hyperlink" Target="https://vanillabonds.com/dossier.html?c=katjes&amp;viewer=1&amp;item=F569" TargetMode="External" Id="rId1138"/><Relationship Type="http://schemas.openxmlformats.org/officeDocument/2006/relationships/hyperlink" Target="https://vanillabonds.com/dossier-data/pdf/katjes/katjes-2024-annual-report.pdf#page=77" TargetMode="External" Id="rId1139"/><Relationship Type="http://schemas.openxmlformats.org/officeDocument/2006/relationships/hyperlink" Target="https://vanillabonds.com/dossier.html?c=katjes&amp;viewer=1&amp;item=F570" TargetMode="External" Id="rId1140"/><Relationship Type="http://schemas.openxmlformats.org/officeDocument/2006/relationships/hyperlink" Target="https://vanillabonds.com/dossier-data/pdf/katjes/katjes-2024-annual-report.pdf#page=77" TargetMode="External" Id="rId1141"/><Relationship Type="http://schemas.openxmlformats.org/officeDocument/2006/relationships/hyperlink" Target="https://vanillabonds.com/dossier.html?c=katjes&amp;viewer=1&amp;item=F571" TargetMode="External" Id="rId1142"/><Relationship Type="http://schemas.openxmlformats.org/officeDocument/2006/relationships/hyperlink" Target="https://vanillabonds.com/dossier-data/pdf/katjes/katjes-2024-annual-report.pdf#page=77" TargetMode="External" Id="rId1143"/><Relationship Type="http://schemas.openxmlformats.org/officeDocument/2006/relationships/hyperlink" Target="https://vanillabonds.com/dossier.html?c=katjes&amp;viewer=1&amp;item=F572" TargetMode="External" Id="rId1144"/><Relationship Type="http://schemas.openxmlformats.org/officeDocument/2006/relationships/hyperlink" Target="https://vanillabonds.com/dossier-data/pdf/katjes/katjes-2024-annual-report.pdf#page=77" TargetMode="External" Id="rId1145"/><Relationship Type="http://schemas.openxmlformats.org/officeDocument/2006/relationships/hyperlink" Target="https://vanillabonds.com/dossier.html?c=katjes&amp;viewer=1&amp;item=F573" TargetMode="External" Id="rId1146"/><Relationship Type="http://schemas.openxmlformats.org/officeDocument/2006/relationships/hyperlink" Target="https://vanillabonds.com/dossier-data/pdf/katjes/katjes-2024-annual-report.pdf#page=77" TargetMode="External" Id="rId1147"/><Relationship Type="http://schemas.openxmlformats.org/officeDocument/2006/relationships/hyperlink" Target="https://vanillabonds.com/dossier.html?c=katjes&amp;viewer=1&amp;item=F574" TargetMode="External" Id="rId1148"/><Relationship Type="http://schemas.openxmlformats.org/officeDocument/2006/relationships/hyperlink" Target="https://vanillabonds.com/dossier-data/pdf/katjes/katjes-2024-annual-report.pdf#page=78" TargetMode="External" Id="rId1149"/><Relationship Type="http://schemas.openxmlformats.org/officeDocument/2006/relationships/hyperlink" Target="https://vanillabonds.com/dossier.html?c=katjes&amp;viewer=1&amp;item=F575" TargetMode="External" Id="rId1150"/><Relationship Type="http://schemas.openxmlformats.org/officeDocument/2006/relationships/hyperlink" Target="https://vanillabonds.com/dossier-data/pdf/katjes/katjes-2024-annual-report.pdf#page=78" TargetMode="External" Id="rId1151"/><Relationship Type="http://schemas.openxmlformats.org/officeDocument/2006/relationships/hyperlink" Target="https://vanillabonds.com/dossier.html?c=katjes&amp;viewer=1&amp;item=F576" TargetMode="External" Id="rId1152"/><Relationship Type="http://schemas.openxmlformats.org/officeDocument/2006/relationships/hyperlink" Target="https://vanillabonds.com/dossier-data/pdf/katjes/katjes-2024-annual-report.pdf#page=78" TargetMode="External" Id="rId1153"/><Relationship Type="http://schemas.openxmlformats.org/officeDocument/2006/relationships/hyperlink" Target="https://vanillabonds.com/dossier.html?c=katjes&amp;viewer=1&amp;item=F577" TargetMode="External" Id="rId1154"/><Relationship Type="http://schemas.openxmlformats.org/officeDocument/2006/relationships/hyperlink" Target="https://vanillabonds.com/dossier-data/pdf/katjes/katjes-2024-annual-report.pdf#page=78" TargetMode="External" Id="rId1155"/><Relationship Type="http://schemas.openxmlformats.org/officeDocument/2006/relationships/hyperlink" Target="https://vanillabonds.com/dossier.html?c=katjes&amp;viewer=1&amp;item=F578" TargetMode="External" Id="rId1156"/><Relationship Type="http://schemas.openxmlformats.org/officeDocument/2006/relationships/hyperlink" Target="https://vanillabonds.com/dossier-data/pdf/katjes/katjes-2024-annual-report.pdf#page=45" TargetMode="External" Id="rId1157"/><Relationship Type="http://schemas.openxmlformats.org/officeDocument/2006/relationships/hyperlink" Target="https://vanillabonds.com/dossier.html?c=katjes&amp;viewer=1&amp;item=F579" TargetMode="External" Id="rId1158"/><Relationship Type="http://schemas.openxmlformats.org/officeDocument/2006/relationships/hyperlink" Target="https://vanillabonds.com/dossier-data/pdf/katjes/katjes-2024-annual-report.pdf#page=45" TargetMode="External" Id="rId1159"/><Relationship Type="http://schemas.openxmlformats.org/officeDocument/2006/relationships/hyperlink" Target="https://vanillabonds.com/dossier.html?c=katjes&amp;viewer=1&amp;item=F580" TargetMode="External" Id="rId1160"/><Relationship Type="http://schemas.openxmlformats.org/officeDocument/2006/relationships/hyperlink" Target="https://vanillabonds.com/dossier-data/pdf/katjes/katjes-2024-annual-report.pdf#page=65" TargetMode="External" Id="rId1161"/><Relationship Type="http://schemas.openxmlformats.org/officeDocument/2006/relationships/hyperlink" Target="https://vanillabonds.com/dossier.html?c=katjes&amp;viewer=1&amp;item=F581" TargetMode="External" Id="rId1162"/><Relationship Type="http://schemas.openxmlformats.org/officeDocument/2006/relationships/hyperlink" Target="https://vanillabonds.com/dossier-data/pdf/katjes/katjes-2024-annual-report.pdf#page=57" TargetMode="External" Id="rId1163"/><Relationship Type="http://schemas.openxmlformats.org/officeDocument/2006/relationships/hyperlink" Target="https://vanillabonds.com/dossier.html?c=katjes&amp;viewer=1&amp;item=F582" TargetMode="External" Id="rId1164"/><Relationship Type="http://schemas.openxmlformats.org/officeDocument/2006/relationships/hyperlink" Target="https://vanillabonds.com/dossier-data/pdf/katjes/katjes-2024-annual-report.pdf#page=60" TargetMode="External" Id="rId1165"/><Relationship Type="http://schemas.openxmlformats.org/officeDocument/2006/relationships/hyperlink" Target="https://vanillabonds.com/dossier.html?c=katjes&amp;viewer=1&amp;item=F583" TargetMode="External" Id="rId1166"/><Relationship Type="http://schemas.openxmlformats.org/officeDocument/2006/relationships/hyperlink" Target="https://vanillabonds.com/dossier-data/pdf/katjes/katjes-2024-annual-report.pdf#page=68" TargetMode="External" Id="rId1167"/><Relationship Type="http://schemas.openxmlformats.org/officeDocument/2006/relationships/hyperlink" Target="https://vanillabonds.com/dossier.html?c=katjes&amp;viewer=1&amp;item=F584" TargetMode="External" Id="rId1168"/><Relationship Type="http://schemas.openxmlformats.org/officeDocument/2006/relationships/hyperlink" Target="https://vanillabonds.com/dossier-data/pdf/katjes/katjes-2024-annual-report.pdf#page=68" TargetMode="External" Id="rId1169"/><Relationship Type="http://schemas.openxmlformats.org/officeDocument/2006/relationships/hyperlink" Target="https://vanillabonds.com/dossier.html?c=katjes&amp;viewer=1&amp;item=F585" TargetMode="External" Id="rId1170"/><Relationship Type="http://schemas.openxmlformats.org/officeDocument/2006/relationships/hyperlink" Target="https://vanillabonds.com/dossier-data/pdf/katjes/katjes-2024-annual-report.pdf#page=23" TargetMode="External" Id="rId1171"/><Relationship Type="http://schemas.openxmlformats.org/officeDocument/2006/relationships/hyperlink" Target="https://vanillabonds.com/dossier.html?c=katjes&amp;viewer=1&amp;item=F586" TargetMode="External" Id="rId1172"/><Relationship Type="http://schemas.openxmlformats.org/officeDocument/2006/relationships/hyperlink" Target="https://vanillabonds.com/dossier-data/pdf/katjes/katjes-2024-annual-report.pdf#page=23" TargetMode="External" Id="rId1173"/><Relationship Type="http://schemas.openxmlformats.org/officeDocument/2006/relationships/hyperlink" Target="https://vanillabonds.com/dossier.html?c=katjes&amp;viewer=1&amp;item=F587" TargetMode="External" Id="rId1174"/><Relationship Type="http://schemas.openxmlformats.org/officeDocument/2006/relationships/hyperlink" Target="https://vanillabonds.com/dossier-data/pdf/katjes/katjes-2024-annual-report.pdf#page=38" TargetMode="External" Id="rId1175"/><Relationship Type="http://schemas.openxmlformats.org/officeDocument/2006/relationships/hyperlink" Target="https://vanillabonds.com/dossier.html?c=katjes&amp;viewer=1&amp;item=F588" TargetMode="External" Id="rId1176"/><Relationship Type="http://schemas.openxmlformats.org/officeDocument/2006/relationships/hyperlink" Target="https://vanillabonds.com/dossier-data/pdf/katjes/katjes-2024-annual-report.pdf#page=30" TargetMode="External" Id="rId1177"/><Relationship Type="http://schemas.openxmlformats.org/officeDocument/2006/relationships/hyperlink" Target="https://vanillabonds.com/dossier.html?c=katjes&amp;viewer=1&amp;item=F589" TargetMode="External" Id="rId1178"/><Relationship Type="http://schemas.openxmlformats.org/officeDocument/2006/relationships/hyperlink" Target="https://vanillabonds.com/dossier-data/pdf/katjes/katjes-2024-annual-report.pdf#page=30" TargetMode="External" Id="rId1179"/><Relationship Type="http://schemas.openxmlformats.org/officeDocument/2006/relationships/hyperlink" Target="https://vanillabonds.com/dossier.html?c=katjes&amp;viewer=1&amp;item=F590" TargetMode="External" Id="rId1180"/><Relationship Type="http://schemas.openxmlformats.org/officeDocument/2006/relationships/hyperlink" Target="https://vanillabonds.com/dossier-data/pdf/katjes/katjes-2024-annual-report.pdf#page=30" TargetMode="External" Id="rId1181"/><Relationship Type="http://schemas.openxmlformats.org/officeDocument/2006/relationships/hyperlink" Target="https://vanillabonds.com/dossier.html?c=katjes&amp;viewer=1&amp;item=F591" TargetMode="External" Id="rId1182"/><Relationship Type="http://schemas.openxmlformats.org/officeDocument/2006/relationships/hyperlink" Target="https://vanillabonds.com/dossier-data/pdf/katjes/katjes-2024-annual-report.pdf#page=57" TargetMode="External" Id="rId1183"/><Relationship Type="http://schemas.openxmlformats.org/officeDocument/2006/relationships/hyperlink" Target="https://vanillabonds.com/dossier.html?c=katjes&amp;viewer=1&amp;item=F592" TargetMode="External" Id="rId1184"/><Relationship Type="http://schemas.openxmlformats.org/officeDocument/2006/relationships/hyperlink" Target="https://vanillabonds.com/dossier-data/pdf/katjes/katjes-2024-annual-report.pdf#page=60" TargetMode="External" Id="rId1185"/><Relationship Type="http://schemas.openxmlformats.org/officeDocument/2006/relationships/hyperlink" Target="https://vanillabonds.com/dossier.html?c=katjes&amp;viewer=1&amp;item=F593" TargetMode="External" Id="rId1186"/><Relationship Type="http://schemas.openxmlformats.org/officeDocument/2006/relationships/hyperlink" Target="https://vanillabonds.com/dossier-data/pdf/katjes/katjes-2024-annual-report.pdf#page=37" TargetMode="External" Id="rId1187"/><Relationship Type="http://schemas.openxmlformats.org/officeDocument/2006/relationships/hyperlink" Target="https://vanillabonds.com/dossier.html?c=katjes&amp;viewer=1&amp;item=F594" TargetMode="External" Id="rId1188"/><Relationship Type="http://schemas.openxmlformats.org/officeDocument/2006/relationships/hyperlink" Target="https://vanillabonds.com/dossier-data/pdf/katjes/katjes-2024-annual-report.pdf#page=58" TargetMode="External" Id="rId1189"/><Relationship Type="http://schemas.openxmlformats.org/officeDocument/2006/relationships/hyperlink" Target="https://vanillabonds.com/dossier.html?c=katjes&amp;viewer=1&amp;item=F595" TargetMode="External" Id="rId1190"/><Relationship Type="http://schemas.openxmlformats.org/officeDocument/2006/relationships/hyperlink" Target="https://vanillabonds.com/dossier-data/pdf/katjes/katjes-2024-annual-report.pdf#page=80" TargetMode="External" Id="rId1191"/><Relationship Type="http://schemas.openxmlformats.org/officeDocument/2006/relationships/hyperlink" Target="https://vanillabonds.com/dossier.html?c=katjes&amp;viewer=1&amp;item=F596" TargetMode="External" Id="rId1192"/><Relationship Type="http://schemas.openxmlformats.org/officeDocument/2006/relationships/hyperlink" Target="https://vanillabonds.com/dossier-data/pdf/katjes/katjes-2024-annual-report.pdf#page=38" TargetMode="External" Id="rId1193"/><Relationship Type="http://schemas.openxmlformats.org/officeDocument/2006/relationships/hyperlink" Target="https://vanillabonds.com/dossier.html?c=katjes&amp;viewer=1&amp;item=F597" TargetMode="External" Id="rId1194"/><Relationship Type="http://schemas.openxmlformats.org/officeDocument/2006/relationships/hyperlink" Target="https://vanillabonds.com/dossier-data/pdf/katjes/katjes-2024-annual-report.pdf#page=38" TargetMode="External" Id="rId1195"/><Relationship Type="http://schemas.openxmlformats.org/officeDocument/2006/relationships/hyperlink" Target="https://vanillabonds.com/dossier.html?c=katjes&amp;viewer=1&amp;item=F598" TargetMode="External" Id="rId1196"/><Relationship Type="http://schemas.openxmlformats.org/officeDocument/2006/relationships/hyperlink" Target="https://vanillabonds.com/dossier-data/pdf/katjes/katjes-2024-annual-report.pdf#page=84" TargetMode="External" Id="rId1197"/><Relationship Type="http://schemas.openxmlformats.org/officeDocument/2006/relationships/hyperlink" Target="https://vanillabonds.com/dossier.html?c=katjes&amp;viewer=1&amp;item=F599" TargetMode="External" Id="rId1198"/><Relationship Type="http://schemas.openxmlformats.org/officeDocument/2006/relationships/hyperlink" Target="https://vanillabonds.com/dossier-data/pdf/katjes/katjes-2024-annual-report.pdf#page=84" TargetMode="External" Id="rId1199"/><Relationship Type="http://schemas.openxmlformats.org/officeDocument/2006/relationships/hyperlink" Target="https://vanillabonds.com/dossier.html?c=katjes&amp;viewer=1&amp;item=F600" TargetMode="External" Id="rId1200"/><Relationship Type="http://schemas.openxmlformats.org/officeDocument/2006/relationships/hyperlink" Target="https://vanillabonds.com/dossier-data/pdf/katjes/katjes-2024-annual-report.pdf#page=62" TargetMode="External" Id="rId1201"/><Relationship Type="http://schemas.openxmlformats.org/officeDocument/2006/relationships/hyperlink" Target="https://vanillabonds.com/dossier.html?c=katjes&amp;viewer=1&amp;item=F601" TargetMode="External" Id="rId1202"/><Relationship Type="http://schemas.openxmlformats.org/officeDocument/2006/relationships/hyperlink" Target="https://vanillabonds.com/dossier-data/pdf/katjes/katjes-2024-annual-report.pdf#page=62" TargetMode="External" Id="rId1203"/><Relationship Type="http://schemas.openxmlformats.org/officeDocument/2006/relationships/hyperlink" Target="https://vanillabonds.com/dossier.html?c=katjes&amp;viewer=1&amp;item=F602" TargetMode="External" Id="rId1204"/><Relationship Type="http://schemas.openxmlformats.org/officeDocument/2006/relationships/hyperlink" Target="https://vanillabonds.com/dossier-data/pdf/katjes/katjes-2024-annual-report.pdf#page=63" TargetMode="External" Id="rId1205"/><Relationship Type="http://schemas.openxmlformats.org/officeDocument/2006/relationships/hyperlink" Target="https://vanillabonds.com/dossier.html?c=katjes&amp;viewer=1&amp;item=F603" TargetMode="External" Id="rId1206"/><Relationship Type="http://schemas.openxmlformats.org/officeDocument/2006/relationships/hyperlink" Target="https://vanillabonds.com/dossier-data/pdf/katjes/katjes-2024-annual-report.pdf#page=63" TargetMode="External" Id="rId1207"/><Relationship Type="http://schemas.openxmlformats.org/officeDocument/2006/relationships/hyperlink" Target="https://vanillabonds.com/dossier.html?c=katjes&amp;viewer=1&amp;item=F604" TargetMode="External" Id="rId1208"/><Relationship Type="http://schemas.openxmlformats.org/officeDocument/2006/relationships/hyperlink" Target="https://vanillabonds.com/dossier-data/pdf/katjes/katjes-2024-annual-report.pdf#page=63" TargetMode="External" Id="rId1209"/><Relationship Type="http://schemas.openxmlformats.org/officeDocument/2006/relationships/hyperlink" Target="https://vanillabonds.com/dossier.html?c=katjes&amp;viewer=1&amp;item=F605" TargetMode="External" Id="rId1210"/><Relationship Type="http://schemas.openxmlformats.org/officeDocument/2006/relationships/hyperlink" Target="https://vanillabonds.com/dossier-data/pdf/katjes/katjes-2024-annual-report.pdf#page=63" TargetMode="External" Id="rId1211"/><Relationship Type="http://schemas.openxmlformats.org/officeDocument/2006/relationships/hyperlink" Target="https://vanillabonds.com/dossier.html?c=katjes&amp;viewer=1&amp;item=F606" TargetMode="External" Id="rId1212"/><Relationship Type="http://schemas.openxmlformats.org/officeDocument/2006/relationships/hyperlink" Target="https://vanillabonds.com/dossier-data/pdf/katjes/katjes-2024-annual-report.pdf#page=63" TargetMode="External" Id="rId1213"/><Relationship Type="http://schemas.openxmlformats.org/officeDocument/2006/relationships/hyperlink" Target="https://vanillabonds.com/dossier.html?c=katjes&amp;viewer=1&amp;item=F607" TargetMode="External" Id="rId1214"/><Relationship Type="http://schemas.openxmlformats.org/officeDocument/2006/relationships/hyperlink" Target="https://vanillabonds.com/dossier-data/pdf/katjes/katjes-2024-annual-report.pdf#page=63" TargetMode="External" Id="rId1215"/><Relationship Type="http://schemas.openxmlformats.org/officeDocument/2006/relationships/hyperlink" Target="https://vanillabonds.com/dossier.html?c=katjes&amp;viewer=1&amp;item=F608" TargetMode="External" Id="rId1216"/><Relationship Type="http://schemas.openxmlformats.org/officeDocument/2006/relationships/hyperlink" Target="https://vanillabonds.com/dossier-data/pdf/katjes/katjes-2024-annual-report.pdf#page=63" TargetMode="External" Id="rId1217"/><Relationship Type="http://schemas.openxmlformats.org/officeDocument/2006/relationships/hyperlink" Target="https://vanillabonds.com/dossier.html?c=katjes&amp;viewer=1&amp;item=F609" TargetMode="External" Id="rId1218"/><Relationship Type="http://schemas.openxmlformats.org/officeDocument/2006/relationships/hyperlink" Target="https://vanillabonds.com/dossier-data/pdf/katjes/katjes-2024-annual-report.pdf#page=75" TargetMode="External" Id="rId1219"/><Relationship Type="http://schemas.openxmlformats.org/officeDocument/2006/relationships/hyperlink" Target="https://vanillabonds.com/dossier.html?c=katjes&amp;viewer=1&amp;item=F610" TargetMode="External" Id="rId1220"/><Relationship Type="http://schemas.openxmlformats.org/officeDocument/2006/relationships/hyperlink" Target="https://vanillabonds.com/dossier-data/pdf/katjes/katjes-2024-annual-report.pdf#page=79" TargetMode="External" Id="rId1221"/><Relationship Type="http://schemas.openxmlformats.org/officeDocument/2006/relationships/hyperlink" Target="https://vanillabonds.com/dossier.html?c=katjes&amp;viewer=1&amp;item=F611" TargetMode="External" Id="rId1222"/><Relationship Type="http://schemas.openxmlformats.org/officeDocument/2006/relationships/hyperlink" Target="https://vanillabonds.com/dossier-data/pdf/katjes/katjes-2024-annual-report.pdf#page=13" TargetMode="External" Id="rId1223"/><Relationship Type="http://schemas.openxmlformats.org/officeDocument/2006/relationships/hyperlink" Target="https://vanillabonds.com/dossier.html?c=katjes&amp;viewer=1&amp;item=F612" TargetMode="External" Id="rId1224"/><Relationship Type="http://schemas.openxmlformats.org/officeDocument/2006/relationships/hyperlink" Target="https://vanillabonds.com/dossier-data/pdf/katjes/katjes-2024-annual-report.pdf#page=32" TargetMode="External" Id="rId1225"/><Relationship Type="http://schemas.openxmlformats.org/officeDocument/2006/relationships/hyperlink" Target="https://vanillabonds.com/dossier.html?c=katjes&amp;viewer=1&amp;item=F613" TargetMode="External" Id="rId1226"/><Relationship Type="http://schemas.openxmlformats.org/officeDocument/2006/relationships/hyperlink" Target="https://vanillabonds.com/dossier-data/pdf/katjes/katjes-2024-annual-report.pdf#page=32" TargetMode="External" Id="rId1227"/><Relationship Type="http://schemas.openxmlformats.org/officeDocument/2006/relationships/hyperlink" Target="https://vanillabonds.com/dossier.html?c=katjes&amp;viewer=1&amp;item=F614" TargetMode="External" Id="rId1228"/><Relationship Type="http://schemas.openxmlformats.org/officeDocument/2006/relationships/hyperlink" Target="https://vanillabonds.com/dossier-data/pdf/katjes/katjes-2024-annual-report.pdf#page=45" TargetMode="External" Id="rId1229"/><Relationship Type="http://schemas.openxmlformats.org/officeDocument/2006/relationships/hyperlink" Target="https://vanillabonds.com/dossier.html?c=katjes&amp;viewer=1&amp;item=F615" TargetMode="External" Id="rId1230"/><Relationship Type="http://schemas.openxmlformats.org/officeDocument/2006/relationships/hyperlink" Target="https://vanillabonds.com/dossier-data/pdf/katjes/katjes-2024-annual-report.pdf#page=64" TargetMode="External" Id="rId1231"/><Relationship Type="http://schemas.openxmlformats.org/officeDocument/2006/relationships/hyperlink" Target="https://vanillabonds.com/dossier.html?c=katjes&amp;viewer=1&amp;item=F616" TargetMode="External" Id="rId1232"/><Relationship Type="http://schemas.openxmlformats.org/officeDocument/2006/relationships/hyperlink" Target="https://vanillabonds.com/dossier-data/pdf/katjes/katjes-2024-annual-report.pdf#page=68" TargetMode="External" Id="rId1233"/><Relationship Type="http://schemas.openxmlformats.org/officeDocument/2006/relationships/hyperlink" Target="https://vanillabonds.com/dossier.html?c=katjes&amp;viewer=1&amp;item=F617" TargetMode="External" Id="rId1234"/><Relationship Type="http://schemas.openxmlformats.org/officeDocument/2006/relationships/hyperlink" Target="https://vanillabonds.com/dossier-data/pdf/katjes/katjes-2025-annual-report.pdf#page=44" TargetMode="External" Id="rId1235"/><Relationship Type="http://schemas.openxmlformats.org/officeDocument/2006/relationships/hyperlink" Target="https://vanillabonds.com/dossier.html?c=katjes&amp;viewer=1&amp;item=F618" TargetMode="External" Id="rId1236"/><Relationship Type="http://schemas.openxmlformats.org/officeDocument/2006/relationships/hyperlink" Target="https://vanillabonds.com/dossier-data/pdf/katjes/katjes-2025-annual-report.pdf#page=44" TargetMode="External" Id="rId1237"/><Relationship Type="http://schemas.openxmlformats.org/officeDocument/2006/relationships/hyperlink" Target="https://vanillabonds.com/dossier.html?c=katjes&amp;viewer=1&amp;item=F619" TargetMode="External" Id="rId1238"/><Relationship Type="http://schemas.openxmlformats.org/officeDocument/2006/relationships/hyperlink" Target="https://vanillabonds.com/dossier-data/pdf/katjes/katjes-2025-annual-report.pdf#page=44" TargetMode="External" Id="rId1239"/><Relationship Type="http://schemas.openxmlformats.org/officeDocument/2006/relationships/hyperlink" Target="https://vanillabonds.com/dossier.html?c=katjes&amp;viewer=1&amp;item=F620" TargetMode="External" Id="rId1240"/><Relationship Type="http://schemas.openxmlformats.org/officeDocument/2006/relationships/hyperlink" Target="https://vanillabonds.com/dossier-data/pdf/katjes/katjes-2025-annual-report.pdf#page=9" TargetMode="External" Id="rId1241"/><Relationship Type="http://schemas.openxmlformats.org/officeDocument/2006/relationships/hyperlink" Target="https://vanillabonds.com/dossier.html?c=katjes&amp;viewer=1&amp;item=F621" TargetMode="External" Id="rId1242"/><Relationship Type="http://schemas.openxmlformats.org/officeDocument/2006/relationships/hyperlink" Target="https://vanillabonds.com/dossier-data/pdf/katjes/katjes-2025-annual-report.pdf#page=44" TargetMode="External" Id="rId1243"/><Relationship Type="http://schemas.openxmlformats.org/officeDocument/2006/relationships/hyperlink" Target="https://vanillabonds.com/dossier.html?c=katjes&amp;viewer=1&amp;item=F622" TargetMode="External" Id="rId1244"/><Relationship Type="http://schemas.openxmlformats.org/officeDocument/2006/relationships/hyperlink" Target="https://vanillabonds.com/dossier-data/pdf/katjes/katjes-2025-annual-report.pdf#page=44" TargetMode="External" Id="rId1245"/><Relationship Type="http://schemas.openxmlformats.org/officeDocument/2006/relationships/hyperlink" Target="https://vanillabonds.com/dossier.html?c=katjes&amp;viewer=1&amp;item=F623" TargetMode="External" Id="rId1246"/><Relationship Type="http://schemas.openxmlformats.org/officeDocument/2006/relationships/hyperlink" Target="https://vanillabonds.com/dossier-data/pdf/katjes/katjes-2025-annual-report.pdf#page=77" TargetMode="External" Id="rId1247"/><Relationship Type="http://schemas.openxmlformats.org/officeDocument/2006/relationships/hyperlink" Target="https://vanillabonds.com/dossier.html?c=katjes&amp;viewer=1&amp;item=F624" TargetMode="External" Id="rId1248"/><Relationship Type="http://schemas.openxmlformats.org/officeDocument/2006/relationships/hyperlink" Target="https://vanillabonds.com/dossier-data/pdf/katjes/katjes-2025-annual-report.pdf#page=21" TargetMode="External" Id="rId1249"/><Relationship Type="http://schemas.openxmlformats.org/officeDocument/2006/relationships/hyperlink" Target="https://vanillabonds.com/dossier.html?c=katjes&amp;viewer=1&amp;item=F625" TargetMode="External" Id="rId1250"/><Relationship Type="http://schemas.openxmlformats.org/officeDocument/2006/relationships/hyperlink" Target="https://vanillabonds.com/dossier-data/pdf/katjes/katjes-2025-annual-report.pdf#page=44" TargetMode="External" Id="rId1251"/><Relationship Type="http://schemas.openxmlformats.org/officeDocument/2006/relationships/hyperlink" Target="https://vanillabonds.com/dossier.html?c=katjes&amp;viewer=1&amp;item=F626" TargetMode="External" Id="rId1252"/><Relationship Type="http://schemas.openxmlformats.org/officeDocument/2006/relationships/hyperlink" Target="https://vanillabonds.com/dossier-data/pdf/katjes/katjes-2025-annual-report.pdf#page=44" TargetMode="External" Id="rId1253"/><Relationship Type="http://schemas.openxmlformats.org/officeDocument/2006/relationships/hyperlink" Target="https://vanillabonds.com/dossier.html?c=katjes&amp;viewer=1&amp;item=F627" TargetMode="External" Id="rId1254"/><Relationship Type="http://schemas.openxmlformats.org/officeDocument/2006/relationships/hyperlink" Target="https://vanillabonds.com/dossier-data/pdf/katjes/katjes-2025-annual-report.pdf#page=67" TargetMode="External" Id="rId1255"/><Relationship Type="http://schemas.openxmlformats.org/officeDocument/2006/relationships/hyperlink" Target="https://vanillabonds.com/dossier.html?c=katjes&amp;viewer=1&amp;item=F628" TargetMode="External" Id="rId1256"/><Relationship Type="http://schemas.openxmlformats.org/officeDocument/2006/relationships/hyperlink" Target="https://vanillabonds.com/dossier-data/pdf/katjes/katjes-2025-annual-report.pdf#page=91" TargetMode="External" Id="rId1257"/><Relationship Type="http://schemas.openxmlformats.org/officeDocument/2006/relationships/hyperlink" Target="https://vanillabonds.com/dossier.html?c=katjes&amp;viewer=1&amp;item=F629" TargetMode="External" Id="rId1258"/><Relationship Type="http://schemas.openxmlformats.org/officeDocument/2006/relationships/hyperlink" Target="https://vanillabonds.com/dossier-data/pdf/katjes/katjes-2025-annual-report.pdf#page=88" TargetMode="External" Id="rId1259"/><Relationship Type="http://schemas.openxmlformats.org/officeDocument/2006/relationships/hyperlink" Target="https://vanillabonds.com/dossier.html?c=katjes&amp;viewer=1&amp;item=F630" TargetMode="External" Id="rId1260"/><Relationship Type="http://schemas.openxmlformats.org/officeDocument/2006/relationships/hyperlink" Target="https://vanillabonds.com/dossier-data/pdf/katjes/katjes-2025-annual-report.pdf#page=45" TargetMode="External" Id="rId1261"/><Relationship Type="http://schemas.openxmlformats.org/officeDocument/2006/relationships/hyperlink" Target="https://vanillabonds.com/dossier.html?c=katjes&amp;viewer=1&amp;item=F631" TargetMode="External" Id="rId1262"/><Relationship Type="http://schemas.openxmlformats.org/officeDocument/2006/relationships/hyperlink" Target="https://vanillabonds.com/dossier-data/pdf/katjes/katjes-2025-annual-report.pdf#page=88" TargetMode="External" Id="rId1263"/><Relationship Type="http://schemas.openxmlformats.org/officeDocument/2006/relationships/hyperlink" Target="https://vanillabonds.com/dossier.html?c=katjes&amp;viewer=1&amp;item=F632" TargetMode="External" Id="rId1264"/><Relationship Type="http://schemas.openxmlformats.org/officeDocument/2006/relationships/hyperlink" Target="https://vanillabonds.com/dossier-data/pdf/katjes/katjes-2025-annual-report.pdf#page=18" TargetMode="External" Id="rId1265"/><Relationship Type="http://schemas.openxmlformats.org/officeDocument/2006/relationships/hyperlink" Target="https://vanillabonds.com/dossier.html?c=katjes&amp;viewer=1&amp;item=F633" TargetMode="External" Id="rId1266"/><Relationship Type="http://schemas.openxmlformats.org/officeDocument/2006/relationships/hyperlink" Target="https://vanillabonds.com/dossier-data/pdf/katjes/katjes-2025-annual-report.pdf#page=25" TargetMode="External" Id="rId1267"/><Relationship Type="http://schemas.openxmlformats.org/officeDocument/2006/relationships/hyperlink" Target="https://vanillabonds.com/dossier.html?c=katjes&amp;viewer=1&amp;item=F634" TargetMode="External" Id="rId1268"/><Relationship Type="http://schemas.openxmlformats.org/officeDocument/2006/relationships/hyperlink" Target="https://vanillabonds.com/dossier-data/pdf/katjes/katjes-2025-annual-report.pdf#page=25" TargetMode="External" Id="rId1269"/><Relationship Type="http://schemas.openxmlformats.org/officeDocument/2006/relationships/hyperlink" Target="https://vanillabonds.com/dossier.html?c=katjes&amp;viewer=1&amp;item=F635" TargetMode="External" Id="rId1270"/><Relationship Type="http://schemas.openxmlformats.org/officeDocument/2006/relationships/hyperlink" Target="https://vanillabonds.com/dossier-data/pdf/katjes/katjes-2025-annual-report.pdf#page=34" TargetMode="External" Id="rId1271"/><Relationship Type="http://schemas.openxmlformats.org/officeDocument/2006/relationships/hyperlink" Target="https://vanillabonds.com/dossier.html?c=katjes&amp;viewer=1&amp;item=F636" TargetMode="External" Id="rId1272"/><Relationship Type="http://schemas.openxmlformats.org/officeDocument/2006/relationships/hyperlink" Target="https://vanillabonds.com/dossier-data/pdf/katjes/katjes-2025-annual-report.pdf#page=42" TargetMode="External" Id="rId1273"/><Relationship Type="http://schemas.openxmlformats.org/officeDocument/2006/relationships/hyperlink" Target="https://vanillabonds.com/dossier.html?c=katjes&amp;viewer=1&amp;item=F637" TargetMode="External" Id="rId1274"/><Relationship Type="http://schemas.openxmlformats.org/officeDocument/2006/relationships/hyperlink" Target="https://vanillabonds.com/dossier-data/pdf/katjes/katjes-2025-annual-report.pdf#page=46" TargetMode="External" Id="rId1275"/><Relationship Type="http://schemas.openxmlformats.org/officeDocument/2006/relationships/hyperlink" Target="https://vanillabonds.com/dossier.html?c=katjes&amp;viewer=1&amp;item=F638" TargetMode="External" Id="rId1276"/><Relationship Type="http://schemas.openxmlformats.org/officeDocument/2006/relationships/hyperlink" Target="https://vanillabonds.com/dossier-data/pdf/katjes/katjes-2025-annual-report.pdf#page=47" TargetMode="External" Id="rId1277"/><Relationship Type="http://schemas.openxmlformats.org/officeDocument/2006/relationships/hyperlink" Target="https://vanillabonds.com/dossier.html?c=katjes&amp;viewer=1&amp;item=F639" TargetMode="External" Id="rId1278"/><Relationship Type="http://schemas.openxmlformats.org/officeDocument/2006/relationships/hyperlink" Target="https://vanillabonds.com/dossier-data/pdf/katjes/katjes-2025-annual-report.pdf#page=61" TargetMode="External" Id="rId1279"/><Relationship Type="http://schemas.openxmlformats.org/officeDocument/2006/relationships/hyperlink" Target="https://vanillabonds.com/dossier.html?c=katjes&amp;viewer=1&amp;item=F640" TargetMode="External" Id="rId1280"/><Relationship Type="http://schemas.openxmlformats.org/officeDocument/2006/relationships/hyperlink" Target="https://vanillabonds.com/dossier-data/pdf/katjes/katjes-2025-annual-report.pdf#page=73" TargetMode="External" Id="rId1281"/><Relationship Type="http://schemas.openxmlformats.org/officeDocument/2006/relationships/hyperlink" Target="https://vanillabonds.com/dossier.html?c=katjes&amp;viewer=1&amp;item=F641" TargetMode="External" Id="rId1282"/><Relationship Type="http://schemas.openxmlformats.org/officeDocument/2006/relationships/hyperlink" Target="https://vanillabonds.com/dossier-data/pdf/katjes/katjes-2025-annual-report.pdf#page=74" TargetMode="External" Id="rId1283"/><Relationship Type="http://schemas.openxmlformats.org/officeDocument/2006/relationships/hyperlink" Target="https://vanillabonds.com/dossier.html?c=katjes&amp;viewer=1&amp;item=F642" TargetMode="External" Id="rId1284"/><Relationship Type="http://schemas.openxmlformats.org/officeDocument/2006/relationships/hyperlink" Target="https://vanillabonds.com/dossier-data/pdf/katjes/katjes-2025-annual-report.pdf#page=75" TargetMode="External" Id="rId1285"/><Relationship Type="http://schemas.openxmlformats.org/officeDocument/2006/relationships/hyperlink" Target="https://vanillabonds.com/dossier.html?c=katjes&amp;viewer=1&amp;item=F643" TargetMode="External" Id="rId1286"/><Relationship Type="http://schemas.openxmlformats.org/officeDocument/2006/relationships/hyperlink" Target="https://vanillabonds.com/dossier-data/pdf/katjes/katjes-2025-annual-report.pdf#page=5" TargetMode="External" Id="rId1287"/><Relationship Type="http://schemas.openxmlformats.org/officeDocument/2006/relationships/hyperlink" Target="https://vanillabonds.com/dossier.html?c=katjes&amp;viewer=1&amp;item=F644" TargetMode="External" Id="rId1288"/><Relationship Type="http://schemas.openxmlformats.org/officeDocument/2006/relationships/hyperlink" Target="https://vanillabonds.com/dossier-data/pdf/katjes/katjes-2025-annual-report.pdf#page=5" TargetMode="External" Id="rId1289"/><Relationship Type="http://schemas.openxmlformats.org/officeDocument/2006/relationships/hyperlink" Target="https://vanillabonds.com/dossier.html?c=katjes&amp;viewer=1&amp;item=F645" TargetMode="External" Id="rId1290"/><Relationship Type="http://schemas.openxmlformats.org/officeDocument/2006/relationships/hyperlink" Target="https://vanillabonds.com/dossier-data/pdf/katjes/katjes-2025-annual-report.pdf#page=5" TargetMode="External" Id="rId1291"/><Relationship Type="http://schemas.openxmlformats.org/officeDocument/2006/relationships/hyperlink" Target="https://vanillabonds.com/dossier.html?c=katjes&amp;viewer=1&amp;item=F646" TargetMode="External" Id="rId1292"/><Relationship Type="http://schemas.openxmlformats.org/officeDocument/2006/relationships/hyperlink" Target="https://vanillabonds.com/dossier-data/pdf/katjes/katjes-2025-annual-report.pdf#page=42" TargetMode="External" Id="rId1293"/><Relationship Type="http://schemas.openxmlformats.org/officeDocument/2006/relationships/hyperlink" Target="https://vanillabonds.com/dossier.html?c=katjes&amp;viewer=1&amp;item=F647" TargetMode="External" Id="rId1294"/><Relationship Type="http://schemas.openxmlformats.org/officeDocument/2006/relationships/hyperlink" Target="https://vanillabonds.com/dossier-data/pdf/katjes/katjes-2025-annual-report.pdf#page=45" TargetMode="External" Id="rId1295"/><Relationship Type="http://schemas.openxmlformats.org/officeDocument/2006/relationships/hyperlink" Target="https://vanillabonds.com/dossier.html?c=katjes&amp;viewer=1&amp;item=F648" TargetMode="External" Id="rId1296"/><Relationship Type="http://schemas.openxmlformats.org/officeDocument/2006/relationships/hyperlink" Target="https://vanillabonds.com/dossier-data/pdf/katjes/katjes-2025-annual-report.pdf#page=53" TargetMode="External" Id="rId1297"/><Relationship Type="http://schemas.openxmlformats.org/officeDocument/2006/relationships/hyperlink" Target="https://vanillabonds.com/dossier.html?c=katjes&amp;viewer=1&amp;item=F649" TargetMode="External" Id="rId1298"/><Relationship Type="http://schemas.openxmlformats.org/officeDocument/2006/relationships/hyperlink" Target="https://vanillabonds.com/dossier-data/pdf/katjes/katjes-2025-annual-report.pdf#page=53" TargetMode="External" Id="rId1299"/><Relationship Type="http://schemas.openxmlformats.org/officeDocument/2006/relationships/hyperlink" Target="https://vanillabonds.com/dossier.html?c=katjes&amp;viewer=1&amp;item=F650" TargetMode="External" Id="rId1300"/><Relationship Type="http://schemas.openxmlformats.org/officeDocument/2006/relationships/hyperlink" Target="https://vanillabonds.com/dossier-data/pdf/katjes/katjes-2025-annual-report.pdf#page=81" TargetMode="External" Id="rId1301"/><Relationship Type="http://schemas.openxmlformats.org/officeDocument/2006/relationships/hyperlink" Target="https://vanillabonds.com/dossier.html?c=katjes&amp;viewer=1&amp;item=F651" TargetMode="External" Id="rId1302"/><Relationship Type="http://schemas.openxmlformats.org/officeDocument/2006/relationships/hyperlink" Target="https://vanillabonds.com/dossier-data/pdf/katjes/katjes-2025-annual-report.pdf#page=7" TargetMode="External" Id="rId1303"/><Relationship Type="http://schemas.openxmlformats.org/officeDocument/2006/relationships/hyperlink" Target="https://vanillabonds.com/dossier.html?c=katjes&amp;viewer=1&amp;item=F652" TargetMode="External" Id="rId1304"/><Relationship Type="http://schemas.openxmlformats.org/officeDocument/2006/relationships/hyperlink" Target="https://vanillabonds.com/dossier-data/pdf/katjes/katjes-2025-annual-report.pdf#page=7" TargetMode="External" Id="rId1305"/><Relationship Type="http://schemas.openxmlformats.org/officeDocument/2006/relationships/hyperlink" Target="https://vanillabonds.com/dossier.html?c=katjes&amp;viewer=1&amp;item=F653" TargetMode="External" Id="rId1306"/><Relationship Type="http://schemas.openxmlformats.org/officeDocument/2006/relationships/hyperlink" Target="https://vanillabonds.com/dossier-data/pdf/katjes/katjes-2025-annual-report.pdf#page=7" TargetMode="External" Id="rId1307"/><Relationship Type="http://schemas.openxmlformats.org/officeDocument/2006/relationships/hyperlink" Target="https://vanillabonds.com/dossier.html?c=katjes&amp;viewer=1&amp;item=F654" TargetMode="External" Id="rId1308"/><Relationship Type="http://schemas.openxmlformats.org/officeDocument/2006/relationships/hyperlink" Target="https://vanillabonds.com/dossier-data/pdf/katjes/katjes-2025-annual-report.pdf#page=37" TargetMode="External" Id="rId1309"/><Relationship Type="http://schemas.openxmlformats.org/officeDocument/2006/relationships/hyperlink" Target="https://vanillabonds.com/dossier.html?c=katjes&amp;viewer=1&amp;item=F655" TargetMode="External" Id="rId1310"/><Relationship Type="http://schemas.openxmlformats.org/officeDocument/2006/relationships/hyperlink" Target="https://vanillabonds.com/dossier-data/pdf/katjes/katjes-2025-annual-report.pdf#page=37" TargetMode="External" Id="rId1311"/><Relationship Type="http://schemas.openxmlformats.org/officeDocument/2006/relationships/hyperlink" Target="https://vanillabonds.com/dossier.html?c=katjes&amp;viewer=1&amp;item=F656" TargetMode="External" Id="rId1312"/><Relationship Type="http://schemas.openxmlformats.org/officeDocument/2006/relationships/hyperlink" Target="https://vanillabonds.com/dossier-data/pdf/katjes/katjes-2025-annual-report.pdf#page=7" TargetMode="External" Id="rId1313"/><Relationship Type="http://schemas.openxmlformats.org/officeDocument/2006/relationships/hyperlink" Target="https://vanillabonds.com/dossier.html?c=katjes&amp;viewer=1&amp;item=F657" TargetMode="External" Id="rId1314"/><Relationship Type="http://schemas.openxmlformats.org/officeDocument/2006/relationships/hyperlink" Target="https://vanillabonds.com/dossier-data/pdf/katjes/katjes-2025-annual-report.pdf#page=7" TargetMode="External" Id="rId1315"/><Relationship Type="http://schemas.openxmlformats.org/officeDocument/2006/relationships/hyperlink" Target="https://vanillabonds.com/dossier.html?c=katjes&amp;viewer=1&amp;item=F658" TargetMode="External" Id="rId1316"/><Relationship Type="http://schemas.openxmlformats.org/officeDocument/2006/relationships/hyperlink" Target="https://vanillabonds.com/dossier-data/pdf/katjes/katjes-2025-annual-report.pdf#page=7" TargetMode="External" Id="rId1317"/><Relationship Type="http://schemas.openxmlformats.org/officeDocument/2006/relationships/hyperlink" Target="https://vanillabonds.com/dossier.html?c=katjes&amp;viewer=1&amp;item=F659" TargetMode="External" Id="rId1318"/><Relationship Type="http://schemas.openxmlformats.org/officeDocument/2006/relationships/hyperlink" Target="https://vanillabonds.com/dossier-data/pdf/katjes/katjes-2025-annual-report.pdf#page=25" TargetMode="External" Id="rId1319"/><Relationship Type="http://schemas.openxmlformats.org/officeDocument/2006/relationships/hyperlink" Target="https://vanillabonds.com/dossier.html?c=katjes&amp;viewer=1&amp;item=F660" TargetMode="External" Id="rId1320"/><Relationship Type="http://schemas.openxmlformats.org/officeDocument/2006/relationships/hyperlink" Target="https://vanillabonds.com/dossier-data/pdf/katjes/katjes-2025-annual-report.pdf#page=25" TargetMode="External" Id="rId1321"/><Relationship Type="http://schemas.openxmlformats.org/officeDocument/2006/relationships/hyperlink" Target="https://vanillabonds.com/dossier.html?c=katjes&amp;viewer=1&amp;item=F661" TargetMode="External" Id="rId1322"/><Relationship Type="http://schemas.openxmlformats.org/officeDocument/2006/relationships/hyperlink" Target="https://vanillabonds.com/dossier-data/pdf/katjes/katjes-2025-annual-report.pdf#page=37" TargetMode="External" Id="rId1323"/><Relationship Type="http://schemas.openxmlformats.org/officeDocument/2006/relationships/hyperlink" Target="https://vanillabonds.com/dossier.html?c=katjes&amp;viewer=1&amp;item=F662" TargetMode="External" Id="rId1324"/><Relationship Type="http://schemas.openxmlformats.org/officeDocument/2006/relationships/hyperlink" Target="https://vanillabonds.com/dossier-data/pdf/katjes/katjes-2025-annual-report.pdf#page=37" TargetMode="External" Id="rId1325"/><Relationship Type="http://schemas.openxmlformats.org/officeDocument/2006/relationships/hyperlink" Target="https://vanillabonds.com/dossier.html?c=katjes&amp;viewer=1&amp;item=F663" TargetMode="External" Id="rId1326"/><Relationship Type="http://schemas.openxmlformats.org/officeDocument/2006/relationships/hyperlink" Target="https://vanillabonds.com/dossier-data/pdf/katjes/katjes-2025-annual-report.pdf#page=37" TargetMode="External" Id="rId1327"/><Relationship Type="http://schemas.openxmlformats.org/officeDocument/2006/relationships/hyperlink" Target="https://vanillabonds.com/dossier.html?c=katjes&amp;viewer=1&amp;item=F664" TargetMode="External" Id="rId1328"/><Relationship Type="http://schemas.openxmlformats.org/officeDocument/2006/relationships/hyperlink" Target="https://vanillabonds.com/dossier-data/pdf/katjes/katjes-2025-annual-report.pdf#page=37" TargetMode="External" Id="rId1329"/><Relationship Type="http://schemas.openxmlformats.org/officeDocument/2006/relationships/hyperlink" Target="https://vanillabonds.com/dossier.html?c=katjes&amp;viewer=1&amp;item=F665" TargetMode="External" Id="rId1330"/><Relationship Type="http://schemas.openxmlformats.org/officeDocument/2006/relationships/hyperlink" Target="https://vanillabonds.com/dossier-data/pdf/katjes/katjes-2025-annual-report.pdf#page=86" TargetMode="External" Id="rId1331"/><Relationship Type="http://schemas.openxmlformats.org/officeDocument/2006/relationships/hyperlink" Target="https://vanillabonds.com/dossier.html?c=katjes&amp;viewer=1&amp;item=F666" TargetMode="External" Id="rId1332"/><Relationship Type="http://schemas.openxmlformats.org/officeDocument/2006/relationships/hyperlink" Target="https://vanillabonds.com/dossier-data/pdf/katjes/katjes-2025-annual-report.pdf#page=85" TargetMode="External" Id="rId1333"/><Relationship Type="http://schemas.openxmlformats.org/officeDocument/2006/relationships/hyperlink" Target="https://vanillabonds.com/dossier.html?c=katjes&amp;viewer=1&amp;item=F667" TargetMode="External" Id="rId1334"/><Relationship Type="http://schemas.openxmlformats.org/officeDocument/2006/relationships/hyperlink" Target="https://vanillabonds.com/dossier-data/pdf/katjes/katjes-2025-annual-report.pdf#page=37" TargetMode="External" Id="rId1335"/><Relationship Type="http://schemas.openxmlformats.org/officeDocument/2006/relationships/hyperlink" Target="https://vanillabonds.com/dossier.html?c=katjes&amp;viewer=1&amp;item=F668" TargetMode="External" Id="rId1336"/><Relationship Type="http://schemas.openxmlformats.org/officeDocument/2006/relationships/hyperlink" Target="https://vanillabonds.com/dossier-data/pdf/katjes/katjes-2025-annual-report.pdf#page=37" TargetMode="External" Id="rId1337"/><Relationship Type="http://schemas.openxmlformats.org/officeDocument/2006/relationships/hyperlink" Target="https://vanillabonds.com/dossier.html?c=katjes&amp;viewer=1&amp;item=F669" TargetMode="External" Id="rId1338"/><Relationship Type="http://schemas.openxmlformats.org/officeDocument/2006/relationships/hyperlink" Target="https://vanillabonds.com/dossier-data/pdf/katjes/katjes-2025-annual-report.pdf#page=42" TargetMode="External" Id="rId1339"/><Relationship Type="http://schemas.openxmlformats.org/officeDocument/2006/relationships/hyperlink" Target="https://vanillabonds.com/dossier.html?c=katjes&amp;viewer=1&amp;item=F670" TargetMode="External" Id="rId1340"/><Relationship Type="http://schemas.openxmlformats.org/officeDocument/2006/relationships/hyperlink" Target="https://vanillabonds.com/dossier-data/pdf/katjes/katjes-2025-annual-report.pdf#page=42" TargetMode="External" Id="rId1341"/><Relationship Type="http://schemas.openxmlformats.org/officeDocument/2006/relationships/hyperlink" Target="https://vanillabonds.com/dossier.html?c=katjes&amp;viewer=1&amp;item=F671" TargetMode="External" Id="rId1342"/><Relationship Type="http://schemas.openxmlformats.org/officeDocument/2006/relationships/hyperlink" Target="https://vanillabonds.com/dossier-data/pdf/katjes/katjes-2025-annual-report.pdf#page=86" TargetMode="External" Id="rId1343"/><Relationship Type="http://schemas.openxmlformats.org/officeDocument/2006/relationships/hyperlink" Target="https://vanillabonds.com/dossier.html?c=katjes&amp;viewer=1&amp;item=F672" TargetMode="External" Id="rId1344"/><Relationship Type="http://schemas.openxmlformats.org/officeDocument/2006/relationships/hyperlink" Target="https://vanillabonds.com/dossier-data/pdf/katjes/katjes-2025-annual-report.pdf#page=85" TargetMode="External" Id="rId1345"/><Relationship Type="http://schemas.openxmlformats.org/officeDocument/2006/relationships/hyperlink" Target="https://vanillabonds.com/dossier.html?c=katjes&amp;viewer=1&amp;item=F673" TargetMode="External" Id="rId1346"/><Relationship Type="http://schemas.openxmlformats.org/officeDocument/2006/relationships/hyperlink" Target="https://vanillabonds.com/dossier-data/pdf/katjes/katjes-2025-annual-report.pdf#page=42" TargetMode="External" Id="rId1347"/><Relationship Type="http://schemas.openxmlformats.org/officeDocument/2006/relationships/hyperlink" Target="https://vanillabonds.com/dossier.html?c=katjes&amp;viewer=1&amp;item=F674" TargetMode="External" Id="rId1348"/><Relationship Type="http://schemas.openxmlformats.org/officeDocument/2006/relationships/hyperlink" Target="https://vanillabonds.com/dossier-data/pdf/katjes/katjes-2025-annual-report.pdf#page=39" TargetMode="External" Id="rId1349"/><Relationship Type="http://schemas.openxmlformats.org/officeDocument/2006/relationships/hyperlink" Target="https://vanillabonds.com/dossier.html?c=katjes&amp;viewer=1&amp;item=F675" TargetMode="External" Id="rId1350"/><Relationship Type="http://schemas.openxmlformats.org/officeDocument/2006/relationships/hyperlink" Target="https://vanillabonds.com/dossier-data/pdf/katjes/katjes-2025-annual-report.pdf#page=39" TargetMode="External" Id="rId1351"/><Relationship Type="http://schemas.openxmlformats.org/officeDocument/2006/relationships/hyperlink" Target="https://vanillabonds.com/dossier.html?c=katjes&amp;viewer=1&amp;item=F676" TargetMode="External" Id="rId1352"/><Relationship Type="http://schemas.openxmlformats.org/officeDocument/2006/relationships/hyperlink" Target="https://vanillabonds.com/dossier-data/pdf/katjes/katjes-2025-annual-report.pdf#page=58" TargetMode="External" Id="rId1353"/><Relationship Type="http://schemas.openxmlformats.org/officeDocument/2006/relationships/hyperlink" Target="https://vanillabonds.com/dossier.html?c=katjes&amp;viewer=1&amp;item=F677" TargetMode="External" Id="rId1354"/><Relationship Type="http://schemas.openxmlformats.org/officeDocument/2006/relationships/hyperlink" Target="https://vanillabonds.com/dossier-data/pdf/katjes/katjes-2025-annual-report.pdf#page=58" TargetMode="External" Id="rId1355"/><Relationship Type="http://schemas.openxmlformats.org/officeDocument/2006/relationships/hyperlink" Target="https://vanillabonds.com/dossier.html?c=katjes&amp;viewer=1&amp;item=F678" TargetMode="External" Id="rId1356"/><Relationship Type="http://schemas.openxmlformats.org/officeDocument/2006/relationships/hyperlink" Target="https://vanillabonds.com/dossier-data/pdf/katjes/katjes-2025-annual-report.pdf#page=58" TargetMode="External" Id="rId1357"/><Relationship Type="http://schemas.openxmlformats.org/officeDocument/2006/relationships/hyperlink" Target="https://vanillabonds.com/dossier.html?c=katjes&amp;viewer=1&amp;item=F679" TargetMode="External" Id="rId1358"/><Relationship Type="http://schemas.openxmlformats.org/officeDocument/2006/relationships/hyperlink" Target="https://vanillabonds.com/dossier-data/pdf/katjes/katjes-2025-annual-report.pdf#page=58" TargetMode="External" Id="rId1359"/><Relationship Type="http://schemas.openxmlformats.org/officeDocument/2006/relationships/hyperlink" Target="https://vanillabonds.com/dossier.html?c=katjes&amp;viewer=1&amp;item=F680" TargetMode="External" Id="rId1360"/><Relationship Type="http://schemas.openxmlformats.org/officeDocument/2006/relationships/hyperlink" Target="https://vanillabonds.com/dossier-data/pdf/katjes/katjes-2025-annual-report.pdf#page=41" TargetMode="External" Id="rId1361"/><Relationship Type="http://schemas.openxmlformats.org/officeDocument/2006/relationships/hyperlink" Target="https://vanillabonds.com/dossier.html?c=katjes&amp;viewer=1&amp;item=F681" TargetMode="External" Id="rId1362"/><Relationship Type="http://schemas.openxmlformats.org/officeDocument/2006/relationships/hyperlink" Target="https://vanillabonds.com/dossier-data/pdf/katjes/katjes-2025-annual-report.pdf#page=40" TargetMode="External" Id="rId1363"/><Relationship Type="http://schemas.openxmlformats.org/officeDocument/2006/relationships/hyperlink" Target="https://vanillabonds.com/dossier.html?c=katjes&amp;viewer=1&amp;item=F682" TargetMode="External" Id="rId1364"/><Relationship Type="http://schemas.openxmlformats.org/officeDocument/2006/relationships/hyperlink" Target="https://vanillabonds.com/dossier-data/pdf/katjes/katjes-2025-annual-report.pdf#page=40" TargetMode="External" Id="rId1365"/><Relationship Type="http://schemas.openxmlformats.org/officeDocument/2006/relationships/hyperlink" Target="https://vanillabonds.com/dossier.html?c=katjes&amp;viewer=1&amp;item=F683" TargetMode="External" Id="rId1366"/><Relationship Type="http://schemas.openxmlformats.org/officeDocument/2006/relationships/hyperlink" Target="https://vanillabonds.com/dossier-data/pdf/katjes/katjes-2025-annual-report.pdf#page=39" TargetMode="External" Id="rId1367"/><Relationship Type="http://schemas.openxmlformats.org/officeDocument/2006/relationships/hyperlink" Target="https://vanillabonds.com/dossier.html?c=katjes&amp;viewer=1&amp;item=F684" TargetMode="External" Id="rId1368"/><Relationship Type="http://schemas.openxmlformats.org/officeDocument/2006/relationships/hyperlink" Target="https://vanillabonds.com/dossier-data/pdf/katjes/katjes-2025-annual-report.pdf#page=39" TargetMode="External" Id="rId1369"/><Relationship Type="http://schemas.openxmlformats.org/officeDocument/2006/relationships/hyperlink" Target="https://vanillabonds.com/dossier.html?c=katjes&amp;viewer=1&amp;item=F685" TargetMode="External" Id="rId1370"/><Relationship Type="http://schemas.openxmlformats.org/officeDocument/2006/relationships/hyperlink" Target="https://vanillabonds.com/dossier-data/pdf/katjes/katjes-2025-annual-report.pdf#page=58" TargetMode="External" Id="rId1371"/><Relationship Type="http://schemas.openxmlformats.org/officeDocument/2006/relationships/hyperlink" Target="https://vanillabonds.com/dossier.html?c=katjes&amp;viewer=1&amp;item=F686" TargetMode="External" Id="rId1372"/><Relationship Type="http://schemas.openxmlformats.org/officeDocument/2006/relationships/hyperlink" Target="https://vanillabonds.com/dossier-data/pdf/katjes/katjes-2025-annual-report.pdf#page=58" TargetMode="External" Id="rId1373"/><Relationship Type="http://schemas.openxmlformats.org/officeDocument/2006/relationships/hyperlink" Target="https://vanillabonds.com/dossier.html?c=katjes&amp;viewer=1&amp;item=F687" TargetMode="External" Id="rId1374"/><Relationship Type="http://schemas.openxmlformats.org/officeDocument/2006/relationships/hyperlink" Target="https://vanillabonds.com/dossier-data/pdf/katjes/katjes-2025-annual-report.pdf#page=58" TargetMode="External" Id="rId1375"/><Relationship Type="http://schemas.openxmlformats.org/officeDocument/2006/relationships/hyperlink" Target="https://vanillabonds.com/dossier.html?c=katjes&amp;viewer=1&amp;item=F688" TargetMode="External" Id="rId1376"/><Relationship Type="http://schemas.openxmlformats.org/officeDocument/2006/relationships/hyperlink" Target="https://vanillabonds.com/dossier-data/pdf/katjes/katjes-2025-annual-report.pdf#page=58" TargetMode="External" Id="rId1377"/><Relationship Type="http://schemas.openxmlformats.org/officeDocument/2006/relationships/hyperlink" Target="https://vanillabonds.com/dossier.html?c=katjes&amp;viewer=1&amp;item=F689" TargetMode="External" Id="rId1378"/><Relationship Type="http://schemas.openxmlformats.org/officeDocument/2006/relationships/hyperlink" Target="https://vanillabonds.com/dossier-data/pdf/katjes/katjes-2025-annual-report.pdf#page=58" TargetMode="External" Id="rId1379"/><Relationship Type="http://schemas.openxmlformats.org/officeDocument/2006/relationships/hyperlink" Target="https://vanillabonds.com/dossier.html?c=katjes&amp;viewer=1&amp;item=F690" TargetMode="External" Id="rId1380"/><Relationship Type="http://schemas.openxmlformats.org/officeDocument/2006/relationships/hyperlink" Target="https://vanillabonds.com/dossier-data/pdf/katjes/katjes-2025-annual-report.pdf#page=63" TargetMode="External" Id="rId1381"/><Relationship Type="http://schemas.openxmlformats.org/officeDocument/2006/relationships/hyperlink" Target="https://vanillabonds.com/dossier.html?c=katjes&amp;viewer=1&amp;item=F691" TargetMode="External" Id="rId1382"/><Relationship Type="http://schemas.openxmlformats.org/officeDocument/2006/relationships/hyperlink" Target="https://vanillabonds.com/dossier-data/pdf/katjes/katjes-2025-annual-report.pdf#page=63" TargetMode="External" Id="rId1383"/><Relationship Type="http://schemas.openxmlformats.org/officeDocument/2006/relationships/hyperlink" Target="https://vanillabonds.com/dossier.html?c=katjes&amp;viewer=1&amp;item=F692" TargetMode="External" Id="rId1384"/><Relationship Type="http://schemas.openxmlformats.org/officeDocument/2006/relationships/hyperlink" Target="https://vanillabonds.com/dossier-data/pdf/katjes/katjes-2025-annual-report.pdf#page=63" TargetMode="External" Id="rId1385"/><Relationship Type="http://schemas.openxmlformats.org/officeDocument/2006/relationships/hyperlink" Target="https://vanillabonds.com/dossier.html?c=katjes&amp;viewer=1&amp;item=F693" TargetMode="External" Id="rId1386"/><Relationship Type="http://schemas.openxmlformats.org/officeDocument/2006/relationships/hyperlink" Target="https://vanillabonds.com/dossier-data/pdf/katjes/katjes-2025-annual-report.pdf#page=63" TargetMode="External" Id="rId1387"/><Relationship Type="http://schemas.openxmlformats.org/officeDocument/2006/relationships/hyperlink" Target="https://vanillabonds.com/dossier.html?c=katjes&amp;viewer=1&amp;item=F694" TargetMode="External" Id="rId1388"/><Relationship Type="http://schemas.openxmlformats.org/officeDocument/2006/relationships/hyperlink" Target="https://vanillabonds.com/dossier-data/pdf/katjes/katjes-2025-annual-report.pdf#page=63" TargetMode="External" Id="rId1389"/><Relationship Type="http://schemas.openxmlformats.org/officeDocument/2006/relationships/hyperlink" Target="https://vanillabonds.com/dossier.html?c=katjes&amp;viewer=1&amp;item=F695" TargetMode="External" Id="rId1390"/><Relationship Type="http://schemas.openxmlformats.org/officeDocument/2006/relationships/hyperlink" Target="https://vanillabonds.com/dossier-data/pdf/katjes/katjes-2025-annual-report.pdf#page=63" TargetMode="External" Id="rId1391"/><Relationship Type="http://schemas.openxmlformats.org/officeDocument/2006/relationships/hyperlink" Target="https://vanillabonds.com/dossier.html?c=katjes&amp;viewer=1&amp;item=F696" TargetMode="External" Id="rId1392"/><Relationship Type="http://schemas.openxmlformats.org/officeDocument/2006/relationships/hyperlink" Target="https://vanillabonds.com/dossier-data/pdf/katjes/katjes-2025-annual-report.pdf#page=63" TargetMode="External" Id="rId1393"/><Relationship Type="http://schemas.openxmlformats.org/officeDocument/2006/relationships/hyperlink" Target="https://vanillabonds.com/dossier.html?c=katjes&amp;viewer=1&amp;item=F697" TargetMode="External" Id="rId1394"/><Relationship Type="http://schemas.openxmlformats.org/officeDocument/2006/relationships/hyperlink" Target="https://vanillabonds.com/dossier-data/pdf/katjes/katjes-2025-annual-report.pdf#page=63" TargetMode="External" Id="rId1395"/><Relationship Type="http://schemas.openxmlformats.org/officeDocument/2006/relationships/hyperlink" Target="https://vanillabonds.com/dossier.html?c=katjes&amp;viewer=1&amp;item=F698" TargetMode="External" Id="rId1396"/><Relationship Type="http://schemas.openxmlformats.org/officeDocument/2006/relationships/hyperlink" Target="https://vanillabonds.com/dossier-data/pdf/katjes/katjes-2025-annual-report.pdf#page=63" TargetMode="External" Id="rId1397"/><Relationship Type="http://schemas.openxmlformats.org/officeDocument/2006/relationships/hyperlink" Target="https://vanillabonds.com/dossier.html?c=katjes&amp;viewer=1&amp;item=F699" TargetMode="External" Id="rId1398"/><Relationship Type="http://schemas.openxmlformats.org/officeDocument/2006/relationships/hyperlink" Target="https://vanillabonds.com/dossier-data/pdf/katjes/katjes-2025-annual-report.pdf#page=32" TargetMode="External" Id="rId1399"/><Relationship Type="http://schemas.openxmlformats.org/officeDocument/2006/relationships/hyperlink" Target="https://vanillabonds.com/dossier.html?c=katjes&amp;viewer=1&amp;item=F700" TargetMode="External" Id="rId1400"/><Relationship Type="http://schemas.openxmlformats.org/officeDocument/2006/relationships/hyperlink" Target="https://vanillabonds.com/dossier-data/pdf/katjes/katjes-2025-annual-report.pdf#page=26" TargetMode="External" Id="rId1401"/><Relationship Type="http://schemas.openxmlformats.org/officeDocument/2006/relationships/hyperlink" Target="https://vanillabonds.com/dossier.html?c=katjes&amp;viewer=1&amp;item=F701" TargetMode="External" Id="rId1402"/><Relationship Type="http://schemas.openxmlformats.org/officeDocument/2006/relationships/hyperlink" Target="https://vanillabonds.com/dossier-data/pdf/katjes/katjes-2025-annual-report.pdf#page=30" TargetMode="External" Id="rId1403"/><Relationship Type="http://schemas.openxmlformats.org/officeDocument/2006/relationships/hyperlink" Target="https://vanillabonds.com/dossier.html?c=katjes&amp;viewer=1&amp;item=F702" TargetMode="External" Id="rId1404"/><Relationship Type="http://schemas.openxmlformats.org/officeDocument/2006/relationships/hyperlink" Target="https://vanillabonds.com/dossier-data/pdf/katjes/katjes-2025-annual-report.pdf#page=32" TargetMode="External" Id="rId1405"/><Relationship Type="http://schemas.openxmlformats.org/officeDocument/2006/relationships/hyperlink" Target="https://vanillabonds.com/dossier.html?c=katjes&amp;viewer=1&amp;item=F703" TargetMode="External" Id="rId1406"/><Relationship Type="http://schemas.openxmlformats.org/officeDocument/2006/relationships/hyperlink" Target="https://vanillabonds.com/dossier-data/pdf/katjes/katjes-2025-annual-report.pdf#page=32" TargetMode="External" Id="rId1407"/><Relationship Type="http://schemas.openxmlformats.org/officeDocument/2006/relationships/hyperlink" Target="https://vanillabonds.com/dossier.html?c=katjes&amp;viewer=1&amp;item=F704" TargetMode="External" Id="rId1408"/><Relationship Type="http://schemas.openxmlformats.org/officeDocument/2006/relationships/hyperlink" Target="https://vanillabonds.com/dossier-data/pdf/katjes/katjes-2025-annual-report.pdf#page=32" TargetMode="External" Id="rId1409"/><Relationship Type="http://schemas.openxmlformats.org/officeDocument/2006/relationships/hyperlink" Target="https://vanillabonds.com/dossier.html?c=katjes&amp;viewer=1&amp;item=F705" TargetMode="External" Id="rId1410"/><Relationship Type="http://schemas.openxmlformats.org/officeDocument/2006/relationships/hyperlink" Target="https://vanillabonds.com/dossier-data/pdf/katjes/katjes-2025-annual-report.pdf#page=32" TargetMode="External" Id="rId1411"/><Relationship Type="http://schemas.openxmlformats.org/officeDocument/2006/relationships/hyperlink" Target="https://vanillabonds.com/dossier.html?c=katjes&amp;viewer=1&amp;item=F706" TargetMode="External" Id="rId1412"/><Relationship Type="http://schemas.openxmlformats.org/officeDocument/2006/relationships/hyperlink" Target="https://vanillabonds.com/dossier-data/pdf/katjes/katjes-2025-annual-report.pdf#page=32" TargetMode="External" Id="rId1413"/><Relationship Type="http://schemas.openxmlformats.org/officeDocument/2006/relationships/hyperlink" Target="https://vanillabonds.com/dossier.html?c=katjes&amp;viewer=1&amp;item=F707" TargetMode="External" Id="rId1414"/><Relationship Type="http://schemas.openxmlformats.org/officeDocument/2006/relationships/hyperlink" Target="https://vanillabonds.com/dossier-data/pdf/katjes/katjes-2025-annual-report.pdf#page=32" TargetMode="External" Id="rId1415"/><Relationship Type="http://schemas.openxmlformats.org/officeDocument/2006/relationships/hyperlink" Target="https://vanillabonds.com/dossier.html?c=katjes&amp;viewer=1&amp;item=F708" TargetMode="External" Id="rId1416"/><Relationship Type="http://schemas.openxmlformats.org/officeDocument/2006/relationships/hyperlink" Target="https://vanillabonds.com/dossier-data/pdf/katjes/katjes-2025-annual-report.pdf#page=33" TargetMode="External" Id="rId1417"/><Relationship Type="http://schemas.openxmlformats.org/officeDocument/2006/relationships/hyperlink" Target="https://vanillabonds.com/dossier.html?c=katjes&amp;viewer=1&amp;item=F709" TargetMode="External" Id="rId1418"/><Relationship Type="http://schemas.openxmlformats.org/officeDocument/2006/relationships/hyperlink" Target="https://vanillabonds.com/dossier-data/pdf/katjes/katjes-2025-annual-report.pdf#page=66" TargetMode="External" Id="rId1419"/><Relationship Type="http://schemas.openxmlformats.org/officeDocument/2006/relationships/hyperlink" Target="https://vanillabonds.com/dossier.html?c=katjes&amp;viewer=1&amp;item=F710" TargetMode="External" Id="rId1420"/><Relationship Type="http://schemas.openxmlformats.org/officeDocument/2006/relationships/hyperlink" Target="https://vanillabonds.com/dossier-data/pdf/katjes/katjes-2025-annual-report.pdf#page=81" TargetMode="External" Id="rId1421"/><Relationship Type="http://schemas.openxmlformats.org/officeDocument/2006/relationships/hyperlink" Target="https://vanillabonds.com/dossier.html?c=katjes&amp;viewer=1&amp;item=F711" TargetMode="External" Id="rId1422"/><Relationship Type="http://schemas.openxmlformats.org/officeDocument/2006/relationships/hyperlink" Target="https://vanillabonds.com/dossier-data/pdf/katjes/katjes-2025-annual-report.pdf#page=84" TargetMode="External" Id="rId1423"/><Relationship Type="http://schemas.openxmlformats.org/officeDocument/2006/relationships/hyperlink" Target="https://vanillabonds.com/dossier.html?c=katjes&amp;viewer=1&amp;item=F712" TargetMode="External" Id="rId1424"/><Relationship Type="http://schemas.openxmlformats.org/officeDocument/2006/relationships/hyperlink" Target="https://vanillabonds.com/dossier-data/pdf/katjes/katjes-2025-annual-report.pdf#page=6" TargetMode="External" Id="rId1425"/><Relationship Type="http://schemas.openxmlformats.org/officeDocument/2006/relationships/hyperlink" Target="https://vanillabonds.com/dossier.html?c=katjes&amp;viewer=1&amp;item=F713" TargetMode="External" Id="rId1426"/><Relationship Type="http://schemas.openxmlformats.org/officeDocument/2006/relationships/hyperlink" Target="https://vanillabonds.com/dossier-data/pdf/katjes/katjes-2025-annual-report.pdf#page=6" TargetMode="External" Id="rId1427"/><Relationship Type="http://schemas.openxmlformats.org/officeDocument/2006/relationships/hyperlink" Target="https://vanillabonds.com/dossier.html?c=katjes&amp;viewer=1&amp;item=F714" TargetMode="External" Id="rId1428"/><Relationship Type="http://schemas.openxmlformats.org/officeDocument/2006/relationships/hyperlink" Target="https://vanillabonds.com/dossier-data/pdf/katjes/katjes-2025-annual-report.pdf#page=6" TargetMode="External" Id="rId1429"/><Relationship Type="http://schemas.openxmlformats.org/officeDocument/2006/relationships/hyperlink" Target="https://vanillabonds.com/dossier.html?c=katjes&amp;viewer=1&amp;item=F715" TargetMode="External" Id="rId1430"/><Relationship Type="http://schemas.openxmlformats.org/officeDocument/2006/relationships/hyperlink" Target="https://vanillabonds.com/dossier-data/pdf/katjes/katjes-2025-annual-report.pdf#page=35" TargetMode="External" Id="rId1431"/><Relationship Type="http://schemas.openxmlformats.org/officeDocument/2006/relationships/hyperlink" Target="https://vanillabonds.com/dossier.html?c=katjes&amp;viewer=1&amp;item=F716" TargetMode="External" Id="rId1432"/><Relationship Type="http://schemas.openxmlformats.org/officeDocument/2006/relationships/hyperlink" Target="https://vanillabonds.com/dossier-data/pdf/katjes/katjes-2025-annual-report.pdf#page=35" TargetMode="External" Id="rId1433"/><Relationship Type="http://schemas.openxmlformats.org/officeDocument/2006/relationships/hyperlink" Target="https://vanillabonds.com/dossier.html?c=katjes&amp;viewer=1&amp;item=F717" TargetMode="External" Id="rId1434"/><Relationship Type="http://schemas.openxmlformats.org/officeDocument/2006/relationships/hyperlink" Target="https://vanillabonds.com/dossier-data/pdf/katjes/katjes-2025-annual-report.pdf#page=34" TargetMode="External" Id="rId1435"/><Relationship Type="http://schemas.openxmlformats.org/officeDocument/2006/relationships/hyperlink" Target="https://vanillabonds.com/dossier.html?c=katjes&amp;viewer=1&amp;item=F718" TargetMode="External" Id="rId1436"/><Relationship Type="http://schemas.openxmlformats.org/officeDocument/2006/relationships/hyperlink" Target="https://vanillabonds.com/dossier-data/pdf/katjes/katjes-2025-annual-report.pdf#page=12" TargetMode="External" Id="rId1437"/><Relationship Type="http://schemas.openxmlformats.org/officeDocument/2006/relationships/hyperlink" Target="https://vanillabonds.com/dossier.html?c=katjes&amp;viewer=1&amp;item=F719" TargetMode="External" Id="rId1438"/><Relationship Type="http://schemas.openxmlformats.org/officeDocument/2006/relationships/hyperlink" Target="https://vanillabonds.com/dossier-data/pdf/katjes/katjes-2025-annual-report.pdf#page=19" TargetMode="External" Id="rId1439"/><Relationship Type="http://schemas.openxmlformats.org/officeDocument/2006/relationships/hyperlink" Target="https://vanillabonds.com/dossier.html?c=katjes&amp;viewer=1&amp;item=F720" TargetMode="External" Id="rId1440"/><Relationship Type="http://schemas.openxmlformats.org/officeDocument/2006/relationships/hyperlink" Target="https://vanillabonds.com/dossier-data/pdf/katjes/katjes-2025-annual-report.pdf#page=19" TargetMode="External" Id="rId1441"/><Relationship Type="http://schemas.openxmlformats.org/officeDocument/2006/relationships/hyperlink" Target="https://vanillabonds.com/dossier.html?c=katjes&amp;viewer=1&amp;item=F721" TargetMode="External" Id="rId1442"/><Relationship Type="http://schemas.openxmlformats.org/officeDocument/2006/relationships/hyperlink" Target="https://vanillabonds.com/dossier-data/pdf/katjes/katjes-2025-annual-report.pdf#page=19" TargetMode="External" Id="rId1443"/><Relationship Type="http://schemas.openxmlformats.org/officeDocument/2006/relationships/hyperlink" Target="https://vanillabonds.com/dossier.html?c=katjes&amp;viewer=1&amp;item=F722" TargetMode="External" Id="rId1444"/><Relationship Type="http://schemas.openxmlformats.org/officeDocument/2006/relationships/hyperlink" Target="https://vanillabonds.com/dossier-data/pdf/katjes/katjes-2025-annual-report.pdf#page=19" TargetMode="External" Id="rId1445"/><Relationship Type="http://schemas.openxmlformats.org/officeDocument/2006/relationships/hyperlink" Target="https://vanillabonds.com/dossier.html?c=katjes&amp;viewer=1&amp;item=F723" TargetMode="External" Id="rId1446"/><Relationship Type="http://schemas.openxmlformats.org/officeDocument/2006/relationships/hyperlink" Target="https://vanillabonds.com/dossier-data/pdf/katjes/katjes-2025-annual-report.pdf#page=19" TargetMode="External" Id="rId1447"/><Relationship Type="http://schemas.openxmlformats.org/officeDocument/2006/relationships/hyperlink" Target="https://vanillabonds.com/dossier.html?c=katjes&amp;viewer=1&amp;item=F724" TargetMode="External" Id="rId1448"/><Relationship Type="http://schemas.openxmlformats.org/officeDocument/2006/relationships/hyperlink" Target="https://vanillabonds.com/dossier-data/pdf/katjes/katjes-2025-annual-report.pdf#page=19" TargetMode="External" Id="rId1449"/><Relationship Type="http://schemas.openxmlformats.org/officeDocument/2006/relationships/hyperlink" Target="https://vanillabonds.com/dossier.html?c=katjes&amp;viewer=1&amp;item=F725" TargetMode="External" Id="rId1450"/><Relationship Type="http://schemas.openxmlformats.org/officeDocument/2006/relationships/hyperlink" Target="https://vanillabonds.com/dossier-data/pdf/katjes/katjes-2025-annual-report.pdf#page=19" TargetMode="External" Id="rId1451"/><Relationship Type="http://schemas.openxmlformats.org/officeDocument/2006/relationships/hyperlink" Target="https://vanillabonds.com/dossier.html?c=katjes&amp;viewer=1&amp;item=F726" TargetMode="External" Id="rId1452"/><Relationship Type="http://schemas.openxmlformats.org/officeDocument/2006/relationships/hyperlink" Target="https://vanillabonds.com/dossier-data/pdf/katjes/katjes-2025-annual-report.pdf#page=53" TargetMode="External" Id="rId1453"/><Relationship Type="http://schemas.openxmlformats.org/officeDocument/2006/relationships/hyperlink" Target="https://vanillabonds.com/dossier.html?c=katjes&amp;viewer=1&amp;item=F727" TargetMode="External" Id="rId1454"/><Relationship Type="http://schemas.openxmlformats.org/officeDocument/2006/relationships/hyperlink" Target="https://vanillabonds.com/dossier-data/pdf/katjes/katjes-2025-annual-report.pdf#page=53" TargetMode="External" Id="rId1455"/><Relationship Type="http://schemas.openxmlformats.org/officeDocument/2006/relationships/hyperlink" Target="https://vanillabonds.com/dossier.html?c=katjes&amp;viewer=1&amp;item=F728" TargetMode="External" Id="rId1456"/><Relationship Type="http://schemas.openxmlformats.org/officeDocument/2006/relationships/hyperlink" Target="https://vanillabonds.com/dossier-data/pdf/katjes/katjes-2025-annual-report.pdf#page=27" TargetMode="External" Id="rId1457"/><Relationship Type="http://schemas.openxmlformats.org/officeDocument/2006/relationships/hyperlink" Target="https://vanillabonds.com/dossier.html?c=katjes&amp;viewer=1&amp;item=F729" TargetMode="External" Id="rId1458"/><Relationship Type="http://schemas.openxmlformats.org/officeDocument/2006/relationships/hyperlink" Target="https://vanillabonds.com/dossier-data/pdf/katjes/katjes-2025-annual-report.pdf#page=34" TargetMode="External" Id="rId1459"/><Relationship Type="http://schemas.openxmlformats.org/officeDocument/2006/relationships/hyperlink" Target="https://vanillabonds.com/dossier.html?c=katjes&amp;viewer=1&amp;item=F730" TargetMode="External" Id="rId1460"/><Relationship Type="http://schemas.openxmlformats.org/officeDocument/2006/relationships/hyperlink" Target="https://vanillabonds.com/dossier-data/pdf/katjes/katjes-2025-annual-report.pdf#page=44" TargetMode="External" Id="rId1461"/><Relationship Type="http://schemas.openxmlformats.org/officeDocument/2006/relationships/hyperlink" Target="https://vanillabonds.com/dossier.html?c=katjes&amp;viewer=1&amp;item=F731" TargetMode="External" Id="rId1462"/><Relationship Type="http://schemas.openxmlformats.org/officeDocument/2006/relationships/hyperlink" Target="https://vanillabonds.com/dossier-data/pdf/katjes/katjes-2025-annual-report.pdf#page=44" TargetMode="External" Id="rId1463"/><Relationship Type="http://schemas.openxmlformats.org/officeDocument/2006/relationships/hyperlink" Target="https://vanillabonds.com/dossier.html?c=katjes&amp;viewer=1&amp;item=F732" TargetMode="External" Id="rId1464"/><Relationship Type="http://schemas.openxmlformats.org/officeDocument/2006/relationships/hyperlink" Target="https://vanillabonds.com/dossier-data/pdf/katjes/katjes-2025-annual-report.pdf#page=67" TargetMode="External" Id="rId1465"/><Relationship Type="http://schemas.openxmlformats.org/officeDocument/2006/relationships/hyperlink" Target="https://vanillabonds.com/dossier.html?c=katjes&amp;viewer=1&amp;item=F733" TargetMode="External" Id="rId1466"/><Relationship Type="http://schemas.openxmlformats.org/officeDocument/2006/relationships/hyperlink" Target="https://vanillabonds.com/dossier-data/pdf/katjes/katjes-2025-annual-report.pdf#page=75" TargetMode="External" Id="rId1467"/><Relationship Type="http://schemas.openxmlformats.org/officeDocument/2006/relationships/hyperlink" Target="https://vanillabonds.com/dossier.html?c=katjes&amp;viewer=1&amp;item=F734" TargetMode="External" Id="rId1468"/><Relationship Type="http://schemas.openxmlformats.org/officeDocument/2006/relationships/hyperlink" Target="https://vanillabonds.com/dossier-data/pdf/katjes/katjes-2025-annual-report.pdf#page=80" TargetMode="External" Id="rId1469"/><Relationship Type="http://schemas.openxmlformats.org/officeDocument/2006/relationships/hyperlink" Target="https://vanillabonds.com/dossier.html?c=katjes&amp;viewer=1&amp;item=F735" TargetMode="External" Id="rId1470"/><Relationship Type="http://schemas.openxmlformats.org/officeDocument/2006/relationships/hyperlink" Target="https://vanillabonds.com/dossier-data/pdf/katjes/katjes-2025-annual-report.pdf#page=81" TargetMode="External" Id="rId1471"/><Relationship Type="http://schemas.openxmlformats.org/officeDocument/2006/relationships/hyperlink" Target="https://vanillabonds.com/dossier.html?c=katjes&amp;viewer=1&amp;item=F736" TargetMode="External" Id="rId1472"/><Relationship Type="http://schemas.openxmlformats.org/officeDocument/2006/relationships/hyperlink" Target="https://vanillabonds.com/dossier-data/pdf/katjes/katjes-2025-annual-report.pdf#page=81" TargetMode="External" Id="rId1473"/><Relationship Type="http://schemas.openxmlformats.org/officeDocument/2006/relationships/hyperlink" Target="https://vanillabonds.com/dossier.html?c=katjes&amp;viewer=1&amp;item=F737" TargetMode="External" Id="rId1474"/><Relationship Type="http://schemas.openxmlformats.org/officeDocument/2006/relationships/hyperlink" Target="https://vanillabonds.com/dossier-data/pdf/katjes/katjes-2025-annual-report.pdf#page=20" TargetMode="External" Id="rId1475"/><Relationship Type="http://schemas.openxmlformats.org/officeDocument/2006/relationships/hyperlink" Target="https://vanillabonds.com/dossier.html?c=katjes&amp;viewer=1&amp;item=F738" TargetMode="External" Id="rId1476"/><Relationship Type="http://schemas.openxmlformats.org/officeDocument/2006/relationships/hyperlink" Target="https://vanillabonds.com/dossier-data/pdf/katjes/katjes-2025-annual-report.pdf#page=34" TargetMode="External" Id="rId1477"/><Relationship Type="http://schemas.openxmlformats.org/officeDocument/2006/relationships/hyperlink" Target="https://vanillabonds.com/dossier.html?c=katjes&amp;viewer=1&amp;item=F739" TargetMode="External" Id="rId1478"/><Relationship Type="http://schemas.openxmlformats.org/officeDocument/2006/relationships/hyperlink" Target="https://vanillabonds.com/dossier-data/pdf/katjes/katjes-2025-annual-report.pdf#page=56" TargetMode="External" Id="rId1479"/><Relationship Type="http://schemas.openxmlformats.org/officeDocument/2006/relationships/hyperlink" Target="https://vanillabonds.com/dossier.html?c=katjes&amp;viewer=1&amp;item=F740" TargetMode="External" Id="rId1480"/><Relationship Type="http://schemas.openxmlformats.org/officeDocument/2006/relationships/hyperlink" Target="https://vanillabonds.com/dossier-data/pdf/katjes/katjes-2025-annual-report.pdf#page=77" TargetMode="External" Id="rId1481"/><Relationship Type="http://schemas.openxmlformats.org/officeDocument/2006/relationships/hyperlink" Target="https://vanillabonds.com/dossier.html?c=katjes&amp;viewer=1&amp;item=F741" TargetMode="External" Id="rId1482"/><Relationship Type="http://schemas.openxmlformats.org/officeDocument/2006/relationships/hyperlink" Target="https://vanillabonds.com/dossier-data/pdf/katjes/katjes-2025-annual-report.pdf#page=11" TargetMode="External" Id="rId1483"/><Relationship Type="http://schemas.openxmlformats.org/officeDocument/2006/relationships/hyperlink" Target="https://vanillabonds.com/dossier.html?c=katjes&amp;viewer=1&amp;item=F742" TargetMode="External" Id="rId1484"/><Relationship Type="http://schemas.openxmlformats.org/officeDocument/2006/relationships/hyperlink" Target="https://vanillabonds.com/dossier-data/pdf/katjes/katjes-2025-annual-report.pdf#page=19" TargetMode="External" Id="rId1485"/><Relationship Type="http://schemas.openxmlformats.org/officeDocument/2006/relationships/hyperlink" Target="https://vanillabonds.com/dossier.html?c=katjes&amp;viewer=1&amp;item=F743" TargetMode="External" Id="rId1486"/><Relationship Type="http://schemas.openxmlformats.org/officeDocument/2006/relationships/hyperlink" Target="https://vanillabonds.com/dossier-data/pdf/katjes/katjes-2025-annual-report.pdf#page=19" TargetMode="External" Id="rId1487"/><Relationship Type="http://schemas.openxmlformats.org/officeDocument/2006/relationships/hyperlink" Target="https://vanillabonds.com/dossier.html?c=katjes&amp;viewer=1&amp;item=F744" TargetMode="External" Id="rId1488"/><Relationship Type="http://schemas.openxmlformats.org/officeDocument/2006/relationships/hyperlink" Target="https://vanillabonds.com/dossier-data/pdf/katjes/katjes-2025-annual-report.pdf#page=19" TargetMode="External" Id="rId1489"/><Relationship Type="http://schemas.openxmlformats.org/officeDocument/2006/relationships/hyperlink" Target="https://vanillabonds.com/dossier.html?c=katjes&amp;viewer=1&amp;item=F745" TargetMode="External" Id="rId1490"/><Relationship Type="http://schemas.openxmlformats.org/officeDocument/2006/relationships/hyperlink" Target="https://vanillabonds.com/dossier-data/pdf/katjes/katjes-2025-annual-report.pdf#page=19" TargetMode="External" Id="rId1491"/><Relationship Type="http://schemas.openxmlformats.org/officeDocument/2006/relationships/hyperlink" Target="https://vanillabonds.com/dossier.html?c=katjes&amp;viewer=1&amp;item=F746" TargetMode="External" Id="rId1492"/><Relationship Type="http://schemas.openxmlformats.org/officeDocument/2006/relationships/hyperlink" Target="https://vanillabonds.com/dossier-data/pdf/katjes/katjes-2025-annual-report.pdf#page=19" TargetMode="External" Id="rId1493"/><Relationship Type="http://schemas.openxmlformats.org/officeDocument/2006/relationships/hyperlink" Target="https://vanillabonds.com/dossier.html?c=katjes&amp;viewer=1&amp;item=F747" TargetMode="External" Id="rId1494"/><Relationship Type="http://schemas.openxmlformats.org/officeDocument/2006/relationships/hyperlink" Target="https://vanillabonds.com/dossier-data/pdf/katjes/katjes-2025-annual-report.pdf#page=20" TargetMode="External" Id="rId1495"/><Relationship Type="http://schemas.openxmlformats.org/officeDocument/2006/relationships/hyperlink" Target="https://vanillabonds.com/dossier.html?c=katjes&amp;viewer=1&amp;item=F748" TargetMode="External" Id="rId1496"/><Relationship Type="http://schemas.openxmlformats.org/officeDocument/2006/relationships/hyperlink" Target="https://vanillabonds.com/dossier-data/pdf/katjes/katjes-2025-annual-report.pdf#page=21" TargetMode="External" Id="rId1497"/><Relationship Type="http://schemas.openxmlformats.org/officeDocument/2006/relationships/hyperlink" Target="https://vanillabonds.com/dossier.html?c=katjes&amp;viewer=1&amp;item=F749" TargetMode="External" Id="rId1498"/><Relationship Type="http://schemas.openxmlformats.org/officeDocument/2006/relationships/hyperlink" Target="https://vanillabonds.com/dossier-data/pdf/katjes/katjes-2025-annual-report.pdf#page=23" TargetMode="External" Id="rId1499"/><Relationship Type="http://schemas.openxmlformats.org/officeDocument/2006/relationships/hyperlink" Target="https://vanillabonds.com/dossier.html?c=katjes&amp;viewer=1&amp;item=F750" TargetMode="External" Id="rId1500"/><Relationship Type="http://schemas.openxmlformats.org/officeDocument/2006/relationships/hyperlink" Target="https://vanillabonds.com/dossier-data/pdf/katjes/katjes-2025-annual-report.pdf#page=31" TargetMode="External" Id="rId1501"/><Relationship Type="http://schemas.openxmlformats.org/officeDocument/2006/relationships/hyperlink" Target="https://vanillabonds.com/dossier.html?c=katjes&amp;viewer=1&amp;item=F751" TargetMode="External" Id="rId1502"/><Relationship Type="http://schemas.openxmlformats.org/officeDocument/2006/relationships/hyperlink" Target="https://vanillabonds.com/dossier-data/pdf/katjes/katjes-2025-annual-report.pdf#page=31" TargetMode="External" Id="rId1503"/><Relationship Type="http://schemas.openxmlformats.org/officeDocument/2006/relationships/hyperlink" Target="https://vanillabonds.com/dossier.html?c=katjes&amp;viewer=1&amp;item=F752" TargetMode="External" Id="rId1504"/><Relationship Type="http://schemas.openxmlformats.org/officeDocument/2006/relationships/hyperlink" Target="https://vanillabonds.com/dossier-data/pdf/katjes/katjes-2025-annual-report.pdf#page=56" TargetMode="External" Id="rId1505"/><Relationship Type="http://schemas.openxmlformats.org/officeDocument/2006/relationships/hyperlink" Target="https://vanillabonds.com/dossier.html?c=katjes&amp;viewer=1&amp;item=F753" TargetMode="External" Id="rId1506"/><Relationship Type="http://schemas.openxmlformats.org/officeDocument/2006/relationships/hyperlink" Target="https://vanillabonds.com/dossier-data/pdf/katjes/katjes-2025-annual-report.pdf#page=57" TargetMode="External" Id="rId1507"/><Relationship Type="http://schemas.openxmlformats.org/officeDocument/2006/relationships/hyperlink" Target="https://vanillabonds.com/dossier.html?c=katjes&amp;viewer=1&amp;item=F754" TargetMode="External" Id="rId1508"/><Relationship Type="http://schemas.openxmlformats.org/officeDocument/2006/relationships/hyperlink" Target="https://vanillabonds.com/dossier-data/pdf/katjes/katjes-2025-annual-report.pdf#page=57" TargetMode="External" Id="rId1509"/><Relationship Type="http://schemas.openxmlformats.org/officeDocument/2006/relationships/hyperlink" Target="https://vanillabonds.com/dossier.html?c=katjes&amp;viewer=1&amp;item=F755" TargetMode="External" Id="rId1510"/><Relationship Type="http://schemas.openxmlformats.org/officeDocument/2006/relationships/hyperlink" Target="https://vanillabonds.com/dossier-data/pdf/katjes/katjes-2025-annual-report.pdf#page=57" TargetMode="External" Id="rId1511"/><Relationship Type="http://schemas.openxmlformats.org/officeDocument/2006/relationships/hyperlink" Target="https://vanillabonds.com/dossier.html?c=katjes&amp;viewer=1&amp;item=F756" TargetMode="External" Id="rId1512"/><Relationship Type="http://schemas.openxmlformats.org/officeDocument/2006/relationships/hyperlink" Target="https://vanillabonds.com/dossier-data/pdf/katjes/katjes-2025-annual-report.pdf#page=63" TargetMode="External" Id="rId1513"/><Relationship Type="http://schemas.openxmlformats.org/officeDocument/2006/relationships/hyperlink" Target="https://vanillabonds.com/dossier.html?c=katjes&amp;viewer=1&amp;item=F757" TargetMode="External" Id="rId1514"/><Relationship Type="http://schemas.openxmlformats.org/officeDocument/2006/relationships/hyperlink" Target="https://vanillabonds.com/dossier-data/pdf/katjes/katjes-2025-annual-report.pdf#page=53" TargetMode="External" Id="rId1515"/><Relationship Type="http://schemas.openxmlformats.org/officeDocument/2006/relationships/hyperlink" Target="https://vanillabonds.com/dossier.html?c=katjes&amp;viewer=1&amp;item=F758" TargetMode="External" Id="rId1516"/><Relationship Type="http://schemas.openxmlformats.org/officeDocument/2006/relationships/hyperlink" Target="https://vanillabonds.com/dossier-data/pdf/katjes/katjes-2025-annual-report.pdf#page=83" TargetMode="External" Id="rId1517"/><Relationship Type="http://schemas.openxmlformats.org/officeDocument/2006/relationships/hyperlink" Target="https://vanillabonds.com/dossier.html?c=katjes&amp;viewer=1&amp;item=F759" TargetMode="External" Id="rId1518"/><Relationship Type="http://schemas.openxmlformats.org/officeDocument/2006/relationships/hyperlink" Target="https://vanillabonds.com/dossier-data/pdf/katjes/katjes-2025-annual-report.pdf#page=83" TargetMode="External" Id="rId1519"/><Relationship Type="http://schemas.openxmlformats.org/officeDocument/2006/relationships/hyperlink" Target="https://vanillabonds.com/dossier.html?c=katjes&amp;viewer=1&amp;item=F760" TargetMode="External" Id="rId1520"/><Relationship Type="http://schemas.openxmlformats.org/officeDocument/2006/relationships/hyperlink" Target="https://vanillabonds.com/dossier-data/pdf/katjes/katjes-2025-annual-report.pdf#page=83" TargetMode="External" Id="rId1521"/><Relationship Type="http://schemas.openxmlformats.org/officeDocument/2006/relationships/hyperlink" Target="https://vanillabonds.com/dossier.html?c=katjes&amp;viewer=1&amp;item=F761" TargetMode="External" Id="rId1522"/><Relationship Type="http://schemas.openxmlformats.org/officeDocument/2006/relationships/hyperlink" Target="https://vanillabonds.com/dossier-data/pdf/katjes/katjes-2025-annual-report.pdf#page=83" TargetMode="External" Id="rId1523"/><Relationship Type="http://schemas.openxmlformats.org/officeDocument/2006/relationships/hyperlink" Target="https://vanillabonds.com/dossier.html?c=katjes&amp;viewer=1&amp;item=F762" TargetMode="External" Id="rId1524"/><Relationship Type="http://schemas.openxmlformats.org/officeDocument/2006/relationships/hyperlink" Target="https://vanillabonds.com/dossier-data/pdf/katjes/katjes-2025-annual-report.pdf#page=83" TargetMode="External" Id="rId1525"/><Relationship Type="http://schemas.openxmlformats.org/officeDocument/2006/relationships/hyperlink" Target="https://vanillabonds.com/dossier.html?c=katjes&amp;viewer=1&amp;item=F763" TargetMode="External" Id="rId1526"/><Relationship Type="http://schemas.openxmlformats.org/officeDocument/2006/relationships/hyperlink" Target="https://vanillabonds.com/dossier-data/pdf/katjes/katjes-2025-annual-report.pdf#page=83" TargetMode="External" Id="rId1527"/><Relationship Type="http://schemas.openxmlformats.org/officeDocument/2006/relationships/hyperlink" Target="https://vanillabonds.com/dossier.html?c=katjes&amp;viewer=1&amp;item=F764" TargetMode="External" Id="rId1528"/><Relationship Type="http://schemas.openxmlformats.org/officeDocument/2006/relationships/hyperlink" Target="https://vanillabonds.com/dossier-data/pdf/katjes/katjes-2025-annual-report.pdf#page=83" TargetMode="External" Id="rId1529"/><Relationship Type="http://schemas.openxmlformats.org/officeDocument/2006/relationships/hyperlink" Target="https://vanillabonds.com/dossier.html?c=katjes&amp;viewer=1&amp;item=F765" TargetMode="External" Id="rId1530"/><Relationship Type="http://schemas.openxmlformats.org/officeDocument/2006/relationships/hyperlink" Target="https://vanillabonds.com/dossier-data/pdf/katjes/katjes-2025-annual-report.pdf#page=84" TargetMode="External" Id="rId1531"/><Relationship Type="http://schemas.openxmlformats.org/officeDocument/2006/relationships/hyperlink" Target="https://vanillabonds.com/dossier.html?c=katjes&amp;viewer=1&amp;item=F766" TargetMode="External" Id="rId1532"/><Relationship Type="http://schemas.openxmlformats.org/officeDocument/2006/relationships/hyperlink" Target="https://vanillabonds.com/dossier-data/pdf/katjes/katjes-2025-annual-report.pdf#page=84" TargetMode="External" Id="rId1533"/><Relationship Type="http://schemas.openxmlformats.org/officeDocument/2006/relationships/hyperlink" Target="https://vanillabonds.com/dossier.html?c=katjes&amp;viewer=1&amp;item=F767" TargetMode="External" Id="rId1534"/><Relationship Type="http://schemas.openxmlformats.org/officeDocument/2006/relationships/hyperlink" Target="https://vanillabonds.com/dossier-data/pdf/katjes/katjes-2025-annual-report.pdf#page=84" TargetMode="External" Id="rId1535"/><Relationship Type="http://schemas.openxmlformats.org/officeDocument/2006/relationships/hyperlink" Target="https://vanillabonds.com/dossier.html?c=katjes&amp;viewer=1&amp;item=F768" TargetMode="External" Id="rId1536"/><Relationship Type="http://schemas.openxmlformats.org/officeDocument/2006/relationships/hyperlink" Target="https://vanillabonds.com/dossier-data/pdf/katjes/katjes-2025-annual-report.pdf#page=84" TargetMode="External" Id="rId1537"/><Relationship Type="http://schemas.openxmlformats.org/officeDocument/2006/relationships/hyperlink" Target="https://vanillabonds.com/dossier.html?c=katjes&amp;viewer=1&amp;item=F769" TargetMode="External" Id="rId1538"/><Relationship Type="http://schemas.openxmlformats.org/officeDocument/2006/relationships/hyperlink" Target="https://vanillabonds.com/dossier-data/pdf/katjes/katjes-2025-annual-report.pdf#page=84" TargetMode="External" Id="rId1539"/><Relationship Type="http://schemas.openxmlformats.org/officeDocument/2006/relationships/hyperlink" Target="https://vanillabonds.com/dossier.html?c=katjes&amp;viewer=1&amp;item=F770" TargetMode="External" Id="rId1540"/><Relationship Type="http://schemas.openxmlformats.org/officeDocument/2006/relationships/hyperlink" Target="https://vanillabonds.com/dossier-data/pdf/katjes/katjes-2025-annual-report.pdf#page=84" TargetMode="External" Id="rId1541"/><Relationship Type="http://schemas.openxmlformats.org/officeDocument/2006/relationships/hyperlink" Target="https://vanillabonds.com/dossier.html?c=katjes&amp;viewer=1&amp;item=F771" TargetMode="External" Id="rId1542"/><Relationship Type="http://schemas.openxmlformats.org/officeDocument/2006/relationships/hyperlink" Target="https://vanillabonds.com/dossier-data/pdf/katjes/katjes-2025-annual-report.pdf#page=84" TargetMode="External" Id="rId1543"/><Relationship Type="http://schemas.openxmlformats.org/officeDocument/2006/relationships/hyperlink" Target="https://vanillabonds.com/dossier.html?c=katjes&amp;viewer=1&amp;item=F772" TargetMode="External" Id="rId1544"/><Relationship Type="http://schemas.openxmlformats.org/officeDocument/2006/relationships/hyperlink" Target="https://vanillabonds.com/dossier-data/pdf/katjes/katjes-2025-annual-report.pdf#page=84" TargetMode="External" Id="rId1545"/><Relationship Type="http://schemas.openxmlformats.org/officeDocument/2006/relationships/hyperlink" Target="https://vanillabonds.com/dossier.html?c=katjes&amp;viewer=1&amp;item=F773" TargetMode="External" Id="rId1546"/><Relationship Type="http://schemas.openxmlformats.org/officeDocument/2006/relationships/hyperlink" Target="https://vanillabonds.com/dossier-data/pdf/katjes/katjes-2025-annual-report.pdf#page=84" TargetMode="External" Id="rId1547"/><Relationship Type="http://schemas.openxmlformats.org/officeDocument/2006/relationships/hyperlink" Target="https://vanillabonds.com/dossier.html?c=katjes&amp;viewer=1&amp;item=F774" TargetMode="External" Id="rId1548"/><Relationship Type="http://schemas.openxmlformats.org/officeDocument/2006/relationships/hyperlink" Target="https://vanillabonds.com/dossier-data/pdf/katjes/katjes-2025-annual-report.pdf#page=84" TargetMode="External" Id="rId1549"/><Relationship Type="http://schemas.openxmlformats.org/officeDocument/2006/relationships/hyperlink" Target="https://vanillabonds.com/dossier.html?c=katjes&amp;viewer=1&amp;item=F775" TargetMode="External" Id="rId1550"/><Relationship Type="http://schemas.openxmlformats.org/officeDocument/2006/relationships/hyperlink" Target="https://vanillabonds.com/dossier-data/pdf/katjes/katjes-2025-annual-report.pdf#page=84" TargetMode="External" Id="rId1551"/><Relationship Type="http://schemas.openxmlformats.org/officeDocument/2006/relationships/hyperlink" Target="https://vanillabonds.com/dossier.html?c=katjes&amp;viewer=1&amp;item=F776" TargetMode="External" Id="rId1552"/><Relationship Type="http://schemas.openxmlformats.org/officeDocument/2006/relationships/hyperlink" Target="https://vanillabonds.com/dossier-data/pdf/katjes/katjes-2025-annual-report.pdf#page=84" TargetMode="External" Id="rId1553"/><Relationship Type="http://schemas.openxmlformats.org/officeDocument/2006/relationships/hyperlink" Target="https://vanillabonds.com/dossier.html?c=katjes&amp;viewer=1&amp;item=F777" TargetMode="External" Id="rId1554"/><Relationship Type="http://schemas.openxmlformats.org/officeDocument/2006/relationships/hyperlink" Target="https://vanillabonds.com/dossier-data/pdf/katjes/katjes-2025-annual-report.pdf#page=84" TargetMode="External" Id="rId1555"/><Relationship Type="http://schemas.openxmlformats.org/officeDocument/2006/relationships/hyperlink" Target="https://vanillabonds.com/dossier.html?c=katjes&amp;viewer=1&amp;item=F778" TargetMode="External" Id="rId1556"/><Relationship Type="http://schemas.openxmlformats.org/officeDocument/2006/relationships/hyperlink" Target="https://vanillabonds.com/dossier-data/pdf/katjes/katjes-2025-annual-report.pdf#page=84" TargetMode="External" Id="rId1557"/><Relationship Type="http://schemas.openxmlformats.org/officeDocument/2006/relationships/hyperlink" Target="https://vanillabonds.com/dossier.html?c=katjes&amp;viewer=1&amp;item=F779" TargetMode="External" Id="rId1558"/><Relationship Type="http://schemas.openxmlformats.org/officeDocument/2006/relationships/hyperlink" Target="https://vanillabonds.com/dossier-data/pdf/katjes/katjes-2025-annual-report.pdf#page=84" TargetMode="External" Id="rId1559"/><Relationship Type="http://schemas.openxmlformats.org/officeDocument/2006/relationships/hyperlink" Target="https://vanillabonds.com/dossier.html?c=katjes&amp;viewer=1&amp;item=F780" TargetMode="External" Id="rId1560"/><Relationship Type="http://schemas.openxmlformats.org/officeDocument/2006/relationships/hyperlink" Target="https://vanillabonds.com/dossier-data/pdf/katjes/katjes-2025-annual-report.pdf#page=6" TargetMode="External" Id="rId1561"/><Relationship Type="http://schemas.openxmlformats.org/officeDocument/2006/relationships/hyperlink" Target="https://vanillabonds.com/dossier.html?c=katjes&amp;viewer=1&amp;item=F781" TargetMode="External" Id="rId1562"/><Relationship Type="http://schemas.openxmlformats.org/officeDocument/2006/relationships/hyperlink" Target="https://vanillabonds.com/dossier-data/pdf/katjes/katjes-2025-annual-report.pdf#page=44" TargetMode="External" Id="rId1563"/><Relationship Type="http://schemas.openxmlformats.org/officeDocument/2006/relationships/hyperlink" Target="https://vanillabonds.com/dossier.html?c=katjes&amp;viewer=1&amp;item=F782" TargetMode="External" Id="rId1564"/><Relationship Type="http://schemas.openxmlformats.org/officeDocument/2006/relationships/hyperlink" Target="https://vanillabonds.com/dossier-data/pdf/katjes/katjes-2025-annual-report.pdf#page=80" TargetMode="External" Id="rId1565"/><Relationship Type="http://schemas.openxmlformats.org/officeDocument/2006/relationships/hyperlink" Target="https://vanillabonds.com/dossier.html?c=katjes&amp;viewer=1&amp;item=F783" TargetMode="External" Id="rId1566"/><Relationship Type="http://schemas.openxmlformats.org/officeDocument/2006/relationships/hyperlink" Target="https://vanillabonds.com/dossier-data/pdf/katjes/katjes-2025-annual-report.pdf#page=80" TargetMode="External" Id="rId1567"/><Relationship Type="http://schemas.openxmlformats.org/officeDocument/2006/relationships/hyperlink" Target="https://vanillabonds.com/dossier.html?c=katjes&amp;viewer=1&amp;item=F784" TargetMode="External" Id="rId1568"/><Relationship Type="http://schemas.openxmlformats.org/officeDocument/2006/relationships/hyperlink" Target="https://vanillabonds.com/dossier-data/pdf/katjes/katjes-2025-annual-report.pdf#page=80" TargetMode="External" Id="rId1569"/><Relationship Type="http://schemas.openxmlformats.org/officeDocument/2006/relationships/hyperlink" Target="https://vanillabonds.com/dossier.html?c=katjes&amp;viewer=1&amp;item=F785" TargetMode="External" Id="rId1570"/><Relationship Type="http://schemas.openxmlformats.org/officeDocument/2006/relationships/hyperlink" Target="https://vanillabonds.com/dossier-data/pdf/katjes/katjes-2025-annual-report.pdf#page=80" TargetMode="External" Id="rId1571"/><Relationship Type="http://schemas.openxmlformats.org/officeDocument/2006/relationships/hyperlink" Target="https://vanillabonds.com/dossier.html?c=katjes&amp;viewer=1&amp;item=F786" TargetMode="External" Id="rId1572"/><Relationship Type="http://schemas.openxmlformats.org/officeDocument/2006/relationships/hyperlink" Target="https://vanillabonds.com/dossier-data/pdf/katjes/katjes-2025-annual-report.pdf#page=80" TargetMode="External" Id="rId1573"/><Relationship Type="http://schemas.openxmlformats.org/officeDocument/2006/relationships/hyperlink" Target="https://vanillabonds.com/dossier.html?c=katjes&amp;viewer=1&amp;item=F787" TargetMode="External" Id="rId1574"/><Relationship Type="http://schemas.openxmlformats.org/officeDocument/2006/relationships/hyperlink" Target="https://vanillabonds.com/dossier-data/pdf/katjes/katjes-2025-annual-report.pdf#page=80" TargetMode="External" Id="rId1575"/><Relationship Type="http://schemas.openxmlformats.org/officeDocument/2006/relationships/hyperlink" Target="https://vanillabonds.com/dossier.html?c=katjes&amp;viewer=1&amp;item=F788" TargetMode="External" Id="rId1576"/><Relationship Type="http://schemas.openxmlformats.org/officeDocument/2006/relationships/hyperlink" Target="https://vanillabonds.com/dossier-data/pdf/katjes/katjes-2025-annual-report.pdf#page=80" TargetMode="External" Id="rId1577"/><Relationship Type="http://schemas.openxmlformats.org/officeDocument/2006/relationships/hyperlink" Target="https://vanillabonds.com/dossier.html?c=katjes&amp;viewer=1&amp;item=F789" TargetMode="External" Id="rId1578"/><Relationship Type="http://schemas.openxmlformats.org/officeDocument/2006/relationships/hyperlink" Target="https://vanillabonds.com/dossier-data/pdf/katjes/katjes-2025-annual-report.pdf#page=80" TargetMode="External" Id="rId1579"/><Relationship Type="http://schemas.openxmlformats.org/officeDocument/2006/relationships/hyperlink" Target="https://vanillabonds.com/dossier.html?c=katjes&amp;viewer=1&amp;item=F790" TargetMode="External" Id="rId1580"/><Relationship Type="http://schemas.openxmlformats.org/officeDocument/2006/relationships/hyperlink" Target="https://vanillabonds.com/dossier-data/pdf/katjes/katjes-2025-annual-report.pdf#page=80" TargetMode="External" Id="rId1581"/><Relationship Type="http://schemas.openxmlformats.org/officeDocument/2006/relationships/hyperlink" Target="https://vanillabonds.com/dossier.html?c=katjes&amp;viewer=1&amp;item=F791" TargetMode="External" Id="rId1582"/><Relationship Type="http://schemas.openxmlformats.org/officeDocument/2006/relationships/hyperlink" Target="https://vanillabonds.com/dossier-data/pdf/katjes/katjes-2025-annual-report.pdf#page=80" TargetMode="External" Id="rId1583"/><Relationship Type="http://schemas.openxmlformats.org/officeDocument/2006/relationships/hyperlink" Target="https://vanillabonds.com/dossier.html?c=katjes&amp;viewer=1&amp;item=F792" TargetMode="External" Id="rId1584"/><Relationship Type="http://schemas.openxmlformats.org/officeDocument/2006/relationships/hyperlink" Target="https://vanillabonds.com/dossier-data/pdf/katjes/katjes-2025-annual-report.pdf#page=21" TargetMode="External" Id="rId1585"/><Relationship Type="http://schemas.openxmlformats.org/officeDocument/2006/relationships/hyperlink" Target="https://vanillabonds.com/dossier.html?c=katjes&amp;viewer=1&amp;item=F793" TargetMode="External" Id="rId1586"/><Relationship Type="http://schemas.openxmlformats.org/officeDocument/2006/relationships/hyperlink" Target="https://vanillabonds.com/dossier-data/pdf/katjes/katjes-2025-annual-report.pdf#page=21" TargetMode="External" Id="rId1587"/><Relationship Type="http://schemas.openxmlformats.org/officeDocument/2006/relationships/hyperlink" Target="https://vanillabonds.com/dossier.html?c=katjes&amp;viewer=1&amp;item=F794" TargetMode="External" Id="rId1588"/><Relationship Type="http://schemas.openxmlformats.org/officeDocument/2006/relationships/hyperlink" Target="https://vanillabonds.com/dossier-data/pdf/katjes/katjes-2025-annual-report.pdf#page=21" TargetMode="External" Id="rId1589"/><Relationship Type="http://schemas.openxmlformats.org/officeDocument/2006/relationships/hyperlink" Target="https://vanillabonds.com/dossier.html?c=katjes&amp;viewer=1&amp;item=F795" TargetMode="External" Id="rId1590"/><Relationship Type="http://schemas.openxmlformats.org/officeDocument/2006/relationships/hyperlink" Target="https://vanillabonds.com/dossier-data/pdf/katjes/katjes-2025-annual-report.pdf#page=21" TargetMode="External" Id="rId1591"/><Relationship Type="http://schemas.openxmlformats.org/officeDocument/2006/relationships/hyperlink" Target="https://vanillabonds.com/dossier.html?c=katjes&amp;viewer=1&amp;item=F796" TargetMode="External" Id="rId1592"/><Relationship Type="http://schemas.openxmlformats.org/officeDocument/2006/relationships/hyperlink" Target="https://vanillabonds.com/dossier-data/pdf/katjes/katjes-2025-annual-report.pdf#page=21" TargetMode="External" Id="rId1593"/><Relationship Type="http://schemas.openxmlformats.org/officeDocument/2006/relationships/hyperlink" Target="https://vanillabonds.com/dossier.html?c=katjes&amp;viewer=1&amp;item=F797" TargetMode="External" Id="rId1594"/><Relationship Type="http://schemas.openxmlformats.org/officeDocument/2006/relationships/hyperlink" Target="https://vanillabonds.com/dossier-data/pdf/katjes/katjes-2025-annual-report.pdf#page=21" TargetMode="External" Id="rId1595"/><Relationship Type="http://schemas.openxmlformats.org/officeDocument/2006/relationships/hyperlink" Target="https://vanillabonds.com/dossier.html?c=katjes&amp;viewer=1&amp;item=F798" TargetMode="External" Id="rId1596"/><Relationship Type="http://schemas.openxmlformats.org/officeDocument/2006/relationships/hyperlink" Target="https://vanillabonds.com/dossier-data/pdf/katjes/katjes-2025-annual-report.pdf#page=21" TargetMode="External" Id="rId1597"/><Relationship Type="http://schemas.openxmlformats.org/officeDocument/2006/relationships/hyperlink" Target="https://vanillabonds.com/dossier.html?c=katjes&amp;viewer=1&amp;item=F799" TargetMode="External" Id="rId1598"/><Relationship Type="http://schemas.openxmlformats.org/officeDocument/2006/relationships/hyperlink" Target="https://vanillabonds.com/dossier-data/pdf/katjes/katjes-2025-annual-report.pdf#page=21" TargetMode="External" Id="rId1599"/><Relationship Type="http://schemas.openxmlformats.org/officeDocument/2006/relationships/hyperlink" Target="https://vanillabonds.com/dossier.html?c=katjes&amp;viewer=1&amp;item=F800" TargetMode="External" Id="rId1600"/><Relationship Type="http://schemas.openxmlformats.org/officeDocument/2006/relationships/hyperlink" Target="https://vanillabonds.com/dossier-data/pdf/katjes/katjes-2025-annual-report.pdf#page=22" TargetMode="External" Id="rId1601"/><Relationship Type="http://schemas.openxmlformats.org/officeDocument/2006/relationships/hyperlink" Target="https://vanillabonds.com/dossier.html?c=katjes&amp;viewer=1&amp;item=F801" TargetMode="External" Id="rId1602"/><Relationship Type="http://schemas.openxmlformats.org/officeDocument/2006/relationships/hyperlink" Target="https://vanillabonds.com/dossier-data/pdf/katjes/katjes-2025-annual-report.pdf#page=22" TargetMode="External" Id="rId1603"/><Relationship Type="http://schemas.openxmlformats.org/officeDocument/2006/relationships/hyperlink" Target="https://vanillabonds.com/dossier.html?c=katjes&amp;viewer=1&amp;item=F802" TargetMode="External" Id="rId1604"/><Relationship Type="http://schemas.openxmlformats.org/officeDocument/2006/relationships/hyperlink" Target="https://vanillabonds.com/dossier-data/pdf/katjes/katjes-2025-annual-report.pdf#page=22" TargetMode="External" Id="rId1605"/><Relationship Type="http://schemas.openxmlformats.org/officeDocument/2006/relationships/hyperlink" Target="https://vanillabonds.com/dossier.html?c=katjes&amp;viewer=1&amp;item=F803" TargetMode="External" Id="rId1606"/><Relationship Type="http://schemas.openxmlformats.org/officeDocument/2006/relationships/hyperlink" Target="https://vanillabonds.com/dossier-data/pdf/katjes/katjes-2025-annual-report.pdf#page=22" TargetMode="External" Id="rId1607"/><Relationship Type="http://schemas.openxmlformats.org/officeDocument/2006/relationships/hyperlink" Target="https://vanillabonds.com/dossier.html?c=katjes&amp;viewer=1&amp;item=F804" TargetMode="External" Id="rId1608"/><Relationship Type="http://schemas.openxmlformats.org/officeDocument/2006/relationships/hyperlink" Target="https://vanillabonds.com/dossier-data/pdf/katjes/katjes-2025-annual-report.pdf#page=22" TargetMode="External" Id="rId1609"/><Relationship Type="http://schemas.openxmlformats.org/officeDocument/2006/relationships/hyperlink" Target="https://vanillabonds.com/dossier.html?c=katjes&amp;viewer=1&amp;item=F805" TargetMode="External" Id="rId1610"/><Relationship Type="http://schemas.openxmlformats.org/officeDocument/2006/relationships/hyperlink" Target="https://vanillabonds.com/dossier-data/pdf/katjes/katjes-2025-annual-report.pdf#page=22" TargetMode="External" Id="rId1611"/><Relationship Type="http://schemas.openxmlformats.org/officeDocument/2006/relationships/hyperlink" Target="https://vanillabonds.com/dossier.html?c=katjes&amp;viewer=1&amp;item=F806" TargetMode="External" Id="rId1612"/><Relationship Type="http://schemas.openxmlformats.org/officeDocument/2006/relationships/hyperlink" Target="https://vanillabonds.com/dossier-data/pdf/katjes/katjes-2025-annual-report.pdf#page=22" TargetMode="External" Id="rId1613"/><Relationship Type="http://schemas.openxmlformats.org/officeDocument/2006/relationships/hyperlink" Target="https://vanillabonds.com/dossier.html?c=katjes&amp;viewer=1&amp;item=F807" TargetMode="External" Id="rId1614"/><Relationship Type="http://schemas.openxmlformats.org/officeDocument/2006/relationships/hyperlink" Target="https://vanillabonds.com/dossier-data/pdf/katjes/katjes-2025-annual-report.pdf#page=22" TargetMode="External" Id="rId1615"/><Relationship Type="http://schemas.openxmlformats.org/officeDocument/2006/relationships/hyperlink" Target="https://vanillabonds.com/dossier.html?c=katjes&amp;viewer=1&amp;item=F808" TargetMode="External" Id="rId1616"/><Relationship Type="http://schemas.openxmlformats.org/officeDocument/2006/relationships/hyperlink" Target="https://vanillabonds.com/dossier-data/pdf/katjes/katjes-2025-annual-report.pdf#page=22" TargetMode="External" Id="rId1617"/><Relationship Type="http://schemas.openxmlformats.org/officeDocument/2006/relationships/hyperlink" Target="https://vanillabonds.com/dossier.html?c=katjes&amp;viewer=1&amp;item=F809" TargetMode="External" Id="rId1618"/><Relationship Type="http://schemas.openxmlformats.org/officeDocument/2006/relationships/hyperlink" Target="https://vanillabonds.com/dossier-data/pdf/katjes/katjes-2025-annual-report.pdf#page=22" TargetMode="External" Id="rId1619"/><Relationship Type="http://schemas.openxmlformats.org/officeDocument/2006/relationships/hyperlink" Target="https://vanillabonds.com/dossier.html?c=katjes&amp;viewer=1&amp;item=F810" TargetMode="External" Id="rId1620"/><Relationship Type="http://schemas.openxmlformats.org/officeDocument/2006/relationships/hyperlink" Target="https://vanillabonds.com/dossier-data/pdf/katjes/katjes-2025-annual-report.pdf#page=22" TargetMode="External" Id="rId1621"/><Relationship Type="http://schemas.openxmlformats.org/officeDocument/2006/relationships/hyperlink" Target="https://vanillabonds.com/dossier.html?c=katjes&amp;viewer=1&amp;item=F811" TargetMode="External" Id="rId1622"/><Relationship Type="http://schemas.openxmlformats.org/officeDocument/2006/relationships/hyperlink" Target="https://vanillabonds.com/dossier-data/pdf/katjes/katjes-2025-annual-report.pdf#page=22" TargetMode="External" Id="rId1623"/><Relationship Type="http://schemas.openxmlformats.org/officeDocument/2006/relationships/hyperlink" Target="https://vanillabonds.com/dossier.html?c=katjes&amp;viewer=1&amp;item=F812" TargetMode="External" Id="rId1624"/><Relationship Type="http://schemas.openxmlformats.org/officeDocument/2006/relationships/hyperlink" Target="https://vanillabonds.com/dossier-data/pdf/katjes/katjes-2025-annual-report.pdf#page=23" TargetMode="External" Id="rId1625"/><Relationship Type="http://schemas.openxmlformats.org/officeDocument/2006/relationships/hyperlink" Target="https://vanillabonds.com/dossier.html?c=katjes&amp;viewer=1&amp;item=F813" TargetMode="External" Id="rId1626"/><Relationship Type="http://schemas.openxmlformats.org/officeDocument/2006/relationships/hyperlink" Target="https://vanillabonds.com/dossier-data/pdf/katjes/katjes-2025-annual-report.pdf#page=35" TargetMode="External" Id="rId1627"/><Relationship Type="http://schemas.openxmlformats.org/officeDocument/2006/relationships/hyperlink" Target="https://vanillabonds.com/dossier.html?c=katjes&amp;viewer=1&amp;item=F814" TargetMode="External" Id="rId1628"/><Relationship Type="http://schemas.openxmlformats.org/officeDocument/2006/relationships/hyperlink" Target="https://vanillabonds.com/dossier-data/pdf/katjes/katjes-2025-annual-report.pdf#page=35" TargetMode="External" Id="rId1629"/><Relationship Type="http://schemas.openxmlformats.org/officeDocument/2006/relationships/hyperlink" Target="https://vanillabonds.com/dossier.html?c=katjes&amp;viewer=1&amp;item=F815" TargetMode="External" Id="rId1630"/><Relationship Type="http://schemas.openxmlformats.org/officeDocument/2006/relationships/hyperlink" Target="https://vanillabonds.com/dossier-data/pdf/katjes/katjes-2025-annual-report.pdf#page=35" TargetMode="External" Id="rId1631"/><Relationship Type="http://schemas.openxmlformats.org/officeDocument/2006/relationships/hyperlink" Target="https://vanillabonds.com/dossier.html?c=katjes&amp;viewer=1&amp;item=F816" TargetMode="External" Id="rId1632"/><Relationship Type="http://schemas.openxmlformats.org/officeDocument/2006/relationships/hyperlink" Target="https://vanillabonds.com/dossier-data/pdf/katjes/katjes-2025-annual-report.pdf#page=35" TargetMode="External" Id="rId1633"/><Relationship Type="http://schemas.openxmlformats.org/officeDocument/2006/relationships/hyperlink" Target="https://vanillabonds.com/dossier.html?c=katjes&amp;viewer=1&amp;item=F817" TargetMode="External" Id="rId1634"/><Relationship Type="http://schemas.openxmlformats.org/officeDocument/2006/relationships/hyperlink" Target="https://vanillabonds.com/dossier-data/pdf/katjes/katjes-2025-annual-report.pdf#page=35" TargetMode="External" Id="rId1635"/><Relationship Type="http://schemas.openxmlformats.org/officeDocument/2006/relationships/hyperlink" Target="https://vanillabonds.com/dossier.html?c=katjes&amp;viewer=1&amp;item=F818" TargetMode="External" Id="rId1636"/><Relationship Type="http://schemas.openxmlformats.org/officeDocument/2006/relationships/hyperlink" Target="https://vanillabonds.com/dossier-data/pdf/katjes/katjes-2025-annual-report.pdf#page=35" TargetMode="External" Id="rId1637"/><Relationship Type="http://schemas.openxmlformats.org/officeDocument/2006/relationships/hyperlink" Target="https://vanillabonds.com/dossier.html?c=katjes&amp;viewer=1&amp;item=F819" TargetMode="External" Id="rId1638"/><Relationship Type="http://schemas.openxmlformats.org/officeDocument/2006/relationships/hyperlink" Target="https://vanillabonds.com/dossier-data/pdf/katjes/katjes-2025-annual-report.pdf#page=35" TargetMode="External" Id="rId1639"/><Relationship Type="http://schemas.openxmlformats.org/officeDocument/2006/relationships/hyperlink" Target="https://vanillabonds.com/dossier.html?c=katjes&amp;viewer=1&amp;item=F820" TargetMode="External" Id="rId1640"/><Relationship Type="http://schemas.openxmlformats.org/officeDocument/2006/relationships/hyperlink" Target="https://vanillabonds.com/dossier-data/pdf/katjes/katjes-2025-annual-report.pdf#page=28" TargetMode="External" Id="rId1641"/><Relationship Type="http://schemas.openxmlformats.org/officeDocument/2006/relationships/hyperlink" Target="https://vanillabonds.com/dossier.html?c=katjes&amp;viewer=1&amp;item=F821" TargetMode="External" Id="rId1642"/><Relationship Type="http://schemas.openxmlformats.org/officeDocument/2006/relationships/hyperlink" Target="https://vanillabonds.com/dossier-data/pdf/katjes/katjes-2025-annual-report.pdf#page=31" TargetMode="External" Id="rId1643"/><Relationship Type="http://schemas.openxmlformats.org/officeDocument/2006/relationships/hyperlink" Target="https://vanillabonds.com/dossier.html?c=katjes&amp;viewer=1&amp;item=F822" TargetMode="External" Id="rId1644"/><Relationship Type="http://schemas.openxmlformats.org/officeDocument/2006/relationships/hyperlink" Target="https://vanillabonds.com/dossier-data/pdf/katjes/katjes-2025-annual-report.pdf#page=46" TargetMode="External" Id="rId1645"/><Relationship Type="http://schemas.openxmlformats.org/officeDocument/2006/relationships/hyperlink" Target="https://vanillabonds.com/dossier.html?c=katjes&amp;viewer=1&amp;item=F823" TargetMode="External" Id="rId1646"/><Relationship Type="http://schemas.openxmlformats.org/officeDocument/2006/relationships/hyperlink" Target="https://vanillabonds.com/dossier-data/pdf/katjes/katjes-2025-annual-report.pdf#page=50" TargetMode="External" Id="rId1647"/><Relationship Type="http://schemas.openxmlformats.org/officeDocument/2006/relationships/hyperlink" Target="https://vanillabonds.com/dossier.html?c=katjes&amp;viewer=1&amp;item=F824" TargetMode="External" Id="rId1648"/><Relationship Type="http://schemas.openxmlformats.org/officeDocument/2006/relationships/hyperlink" Target="https://vanillabonds.com/dossier-data/pdf/katjes/katjes-2025-annual-report.pdf#page=23" TargetMode="External" Id="rId1649"/><Relationship Type="http://schemas.openxmlformats.org/officeDocument/2006/relationships/hyperlink" Target="https://vanillabonds.com/dossier.html?c=katjes&amp;viewer=1&amp;item=F825" TargetMode="External" Id="rId1650"/><Relationship Type="http://schemas.openxmlformats.org/officeDocument/2006/relationships/hyperlink" Target="https://vanillabonds.com/dossier-data/pdf/katjes/katjes-2025-annual-report.pdf#page=13" TargetMode="External" Id="rId1651"/><Relationship Type="http://schemas.openxmlformats.org/officeDocument/2006/relationships/hyperlink" Target="https://vanillabonds.com/dossier.html?c=katjes&amp;viewer=1&amp;item=F826" TargetMode="External" Id="rId1652"/><Relationship Type="http://schemas.openxmlformats.org/officeDocument/2006/relationships/hyperlink" Target="https://vanillabonds.com/dossier-data/pdf/katjes/katjes-2025-annual-report.pdf#page=14" TargetMode="External" Id="rId1653"/><Relationship Type="http://schemas.openxmlformats.org/officeDocument/2006/relationships/hyperlink" Target="https://vanillabonds.com/dossier.html?c=katjes&amp;viewer=1&amp;item=F827" TargetMode="External" Id="rId1654"/><Relationship Type="http://schemas.openxmlformats.org/officeDocument/2006/relationships/hyperlink" Target="https://vanillabonds.com/dossier-data/pdf/katjes/katjes-2025-annual-report.pdf#page=15" TargetMode="External" Id="rId1655"/><Relationship Type="http://schemas.openxmlformats.org/officeDocument/2006/relationships/hyperlink" Target="https://vanillabonds.com/dossier.html?c=katjes&amp;viewer=1&amp;item=F828" TargetMode="External" Id="rId1656"/><Relationship Type="http://schemas.openxmlformats.org/officeDocument/2006/relationships/hyperlink" Target="https://vanillabonds.com/dossier-data/pdf/katjes/katjes-2025-annual-report.pdf#page=16" TargetMode="External" Id="rId1657"/><Relationship Type="http://schemas.openxmlformats.org/officeDocument/2006/relationships/hyperlink" Target="https://vanillabonds.com/dossier.html?c=katjes&amp;viewer=1&amp;item=F829" TargetMode="External" Id="rId1658"/><Relationship Type="http://schemas.openxmlformats.org/officeDocument/2006/relationships/hyperlink" Target="https://vanillabonds.com/dossier-data/pdf/katjes/katjes-2025-annual-report.pdf#page=55" TargetMode="External" Id="rId1659"/><Relationship Type="http://schemas.openxmlformats.org/officeDocument/2006/relationships/hyperlink" Target="https://vanillabonds.com/dossier.html?c=katjes&amp;viewer=1&amp;item=F830" TargetMode="External" Id="rId1660"/><Relationship Type="http://schemas.openxmlformats.org/officeDocument/2006/relationships/hyperlink" Target="https://vanillabonds.com/dossier-data/pdf/katjes/katjes-2025-annual-report.pdf#page=21" TargetMode="External" Id="rId1661"/><Relationship Type="http://schemas.openxmlformats.org/officeDocument/2006/relationships/hyperlink" Target="https://vanillabonds.com/dossier.html?c=katjes&amp;viewer=1&amp;item=F831" TargetMode="External" Id="rId1662"/><Relationship Type="http://schemas.openxmlformats.org/officeDocument/2006/relationships/hyperlink" Target="https://vanillabonds.com/dossier-data/pdf/katjes/katjes-2025-annual-report.pdf#page=31" TargetMode="External" Id="rId1663"/><Relationship Type="http://schemas.openxmlformats.org/officeDocument/2006/relationships/hyperlink" Target="https://vanillabonds.com/dossier.html?c=katjes&amp;viewer=1&amp;item=F832" TargetMode="External" Id="rId1664"/><Relationship Type="http://schemas.openxmlformats.org/officeDocument/2006/relationships/hyperlink" Target="https://vanillabonds.com/dossier-data/pdf/katjes/katjes-2025-annual-report.pdf#page=74" TargetMode="External" Id="rId1665"/><Relationship Type="http://schemas.openxmlformats.org/officeDocument/2006/relationships/hyperlink" Target="https://vanillabonds.com/dossier.html?c=katjes&amp;viewer=1&amp;item=F833" TargetMode="External" Id="rId1666"/><Relationship Type="http://schemas.openxmlformats.org/officeDocument/2006/relationships/hyperlink" Target="https://vanillabonds.com/dossier-data/pdf/katjes/katjes-2025-annual-report.pdf#page=29" TargetMode="External" Id="rId1667"/><Relationship Type="http://schemas.openxmlformats.org/officeDocument/2006/relationships/hyperlink" Target="https://vanillabonds.com/dossier.html?c=katjes&amp;viewer=1&amp;item=F834" TargetMode="External" Id="rId1668"/><Relationship Type="http://schemas.openxmlformats.org/officeDocument/2006/relationships/hyperlink" Target="https://vanillabonds.com/dossier-data/pdf/katjes/katjes-2025-annual-report.pdf#page=37" TargetMode="External" Id="rId1669"/><Relationship Type="http://schemas.openxmlformats.org/officeDocument/2006/relationships/hyperlink" Target="https://vanillabonds.com/dossier.html?c=katjes&amp;viewer=1&amp;item=F835" TargetMode="External" Id="rId1670"/><Relationship Type="http://schemas.openxmlformats.org/officeDocument/2006/relationships/hyperlink" Target="https://vanillabonds.com/dossier-data/pdf/katjes/katjes-2025-annual-report.pdf#page=75" TargetMode="External" Id="rId1671"/><Relationship Type="http://schemas.openxmlformats.org/officeDocument/2006/relationships/hyperlink" Target="https://vanillabonds.com/dossier.html?c=katjes&amp;viewer=1&amp;item=F836" TargetMode="External" Id="rId1672"/><Relationship Type="http://schemas.openxmlformats.org/officeDocument/2006/relationships/hyperlink" Target="https://vanillabonds.com/dossier-data/pdf/katjes/katjes-2025-annual-report.pdf#page=75" TargetMode="External" Id="rId1673"/><Relationship Type="http://schemas.openxmlformats.org/officeDocument/2006/relationships/hyperlink" Target="https://vanillabonds.com/dossier.html?c=katjes&amp;viewer=1&amp;item=F837" TargetMode="External" Id="rId1674"/><Relationship Type="http://schemas.openxmlformats.org/officeDocument/2006/relationships/hyperlink" Target="https://vanillabonds.com/dossier-data/pdf/katjes/katjes-2025-annual-report.pdf#page=75" TargetMode="External" Id="rId1675"/><Relationship Type="http://schemas.openxmlformats.org/officeDocument/2006/relationships/hyperlink" Target="https://vanillabonds.com/dossier.html?c=katjes&amp;viewer=1&amp;item=F838" TargetMode="External" Id="rId1676"/><Relationship Type="http://schemas.openxmlformats.org/officeDocument/2006/relationships/hyperlink" Target="https://vanillabonds.com/dossier-data/pdf/katjes/katjes-2025-annual-report.pdf#page=75" TargetMode="External" Id="rId1677"/><Relationship Type="http://schemas.openxmlformats.org/officeDocument/2006/relationships/hyperlink" Target="https://vanillabonds.com/dossier.html?c=katjes&amp;viewer=1&amp;item=F839" TargetMode="External" Id="rId1678"/><Relationship Type="http://schemas.openxmlformats.org/officeDocument/2006/relationships/hyperlink" Target="https://vanillabonds.com/dossier-data/pdf/katjes/katjes-2025-annual-report.pdf#page=75" TargetMode="External" Id="rId1679"/><Relationship Type="http://schemas.openxmlformats.org/officeDocument/2006/relationships/hyperlink" Target="https://vanillabonds.com/dossier.html?c=katjes&amp;viewer=1&amp;item=F840" TargetMode="External" Id="rId1680"/><Relationship Type="http://schemas.openxmlformats.org/officeDocument/2006/relationships/hyperlink" Target="https://vanillabonds.com/dossier-data/pdf/katjes/katjes-2025-annual-report.pdf#page=75" TargetMode="External" Id="rId1681"/><Relationship Type="http://schemas.openxmlformats.org/officeDocument/2006/relationships/hyperlink" Target="https://vanillabonds.com/dossier.html?c=katjes&amp;viewer=1&amp;item=F841" TargetMode="External" Id="rId1682"/><Relationship Type="http://schemas.openxmlformats.org/officeDocument/2006/relationships/hyperlink" Target="https://vanillabonds.com/dossier-data/pdf/katjes/katjes-2025-annual-report.pdf#page=40" TargetMode="External" Id="rId1683"/><Relationship Type="http://schemas.openxmlformats.org/officeDocument/2006/relationships/hyperlink" Target="https://vanillabonds.com/dossier.html?c=katjes&amp;viewer=1&amp;item=F842" TargetMode="External" Id="rId1684"/><Relationship Type="http://schemas.openxmlformats.org/officeDocument/2006/relationships/hyperlink" Target="https://vanillabonds.com/dossier-data/pdf/katjes/katjes-2025-annual-report.pdf#page=40" TargetMode="External" Id="rId1685"/><Relationship Type="http://schemas.openxmlformats.org/officeDocument/2006/relationships/hyperlink" Target="https://vanillabonds.com/dossier.html?c=katjes&amp;viewer=1&amp;item=F843" TargetMode="External" Id="rId1686"/><Relationship Type="http://schemas.openxmlformats.org/officeDocument/2006/relationships/hyperlink" Target="https://vanillabonds.com/dossier-data/pdf/katjes/katjes-2025-annual-report.pdf#page=62" TargetMode="External" Id="rId1687"/><Relationship Type="http://schemas.openxmlformats.org/officeDocument/2006/relationships/hyperlink" Target="https://vanillabonds.com/dossier.html?c=katjes&amp;viewer=1&amp;item=F844" TargetMode="External" Id="rId1688"/><Relationship Type="http://schemas.openxmlformats.org/officeDocument/2006/relationships/hyperlink" Target="https://vanillabonds.com/dossier-data/pdf/katjes/katjes-2025-annual-report.pdf#page=66" TargetMode="External" Id="rId1689"/><Relationship Type="http://schemas.openxmlformats.org/officeDocument/2006/relationships/hyperlink" Target="https://vanillabonds.com/dossier.html?c=katjes&amp;viewer=1&amp;item=F845" TargetMode="External" Id="rId1690"/><Relationship Type="http://schemas.openxmlformats.org/officeDocument/2006/relationships/hyperlink" Target="https://vanillabonds.com/dossier-data/pdf/katjes/katjes-2025-annual-report.pdf#page=69" TargetMode="External" Id="rId1691"/><Relationship Type="http://schemas.openxmlformats.org/officeDocument/2006/relationships/hyperlink" Target="https://vanillabonds.com/dossier.html?c=katjes&amp;viewer=1&amp;item=F846" TargetMode="External" Id="rId1692"/><Relationship Type="http://schemas.openxmlformats.org/officeDocument/2006/relationships/hyperlink" Target="https://vanillabonds.com/dossier-data/pdf/katjes/katjes-2025-annual-report.pdf#page=77" TargetMode="External" Id="rId1693"/><Relationship Type="http://schemas.openxmlformats.org/officeDocument/2006/relationships/hyperlink" Target="https://vanillabonds.com/dossier.html?c=katjes&amp;viewer=1&amp;item=F847" TargetMode="External" Id="rId1694"/><Relationship Type="http://schemas.openxmlformats.org/officeDocument/2006/relationships/hyperlink" Target="https://vanillabonds.com/dossier-data/pdf/katjes/katjes-2025-annual-report.pdf#page=91" TargetMode="External" Id="rId1695"/><Relationship Type="http://schemas.openxmlformats.org/officeDocument/2006/relationships/hyperlink" Target="https://vanillabonds.com/dossier.html?c=katjes&amp;viewer=1&amp;item=F848" TargetMode="External" Id="rId1696"/><Relationship Type="http://schemas.openxmlformats.org/officeDocument/2006/relationships/hyperlink" Target="https://vanillabonds.com/dossier-data/pdf/katjes/katjes-2025-annual-report.pdf#page=24" TargetMode="External" Id="rId1697"/><Relationship Type="http://schemas.openxmlformats.org/officeDocument/2006/relationships/hyperlink" Target="https://vanillabonds.com/dossier.html?c=katjes&amp;viewer=1&amp;item=F849" TargetMode="External" Id="rId1698"/><Relationship Type="http://schemas.openxmlformats.org/officeDocument/2006/relationships/hyperlink" Target="https://vanillabonds.com/dossier-data/pdf/katjes/katjes-2025-annual-report.pdf#page=40" TargetMode="External" Id="rId1699"/><Relationship Type="http://schemas.openxmlformats.org/officeDocument/2006/relationships/hyperlink" Target="https://vanillabonds.com/dossier.html?c=katjes&amp;viewer=1&amp;item=F850" TargetMode="External" Id="rId1700"/><Relationship Type="http://schemas.openxmlformats.org/officeDocument/2006/relationships/hyperlink" Target="https://vanillabonds.com/dossier-data/pdf/katjes/katjes-2025-annual-report.pdf#page=70" TargetMode="External" Id="rId1701"/><Relationship Type="http://schemas.openxmlformats.org/officeDocument/2006/relationships/hyperlink" Target="https://vanillabonds.com/dossier.html?c=katjes&amp;viewer=1&amp;item=F851" TargetMode="External" Id="rId1702"/><Relationship Type="http://schemas.openxmlformats.org/officeDocument/2006/relationships/hyperlink" Target="https://vanillabonds.com/dossier-data/pdf/katjes/katjes-2025-annual-report.pdf#page=70" TargetMode="External" Id="rId1703"/><Relationship Type="http://schemas.openxmlformats.org/officeDocument/2006/relationships/hyperlink" Target="https://vanillabonds.com/dossier.html?c=katjes&amp;viewer=1&amp;item=F852" TargetMode="External" Id="rId1704"/><Relationship Type="http://schemas.openxmlformats.org/officeDocument/2006/relationships/hyperlink" Target="https://vanillabonds.com/dossier-data/pdf/katjes/katjes-2025-annual-report.pdf#page=76" TargetMode="External" Id="rId1705"/><Relationship Type="http://schemas.openxmlformats.org/officeDocument/2006/relationships/hyperlink" Target="https://vanillabonds.com/dossier.html?c=katjes&amp;viewer=1&amp;item=F853" TargetMode="External" Id="rId1706"/><Relationship Type="http://schemas.openxmlformats.org/officeDocument/2006/relationships/hyperlink" Target="https://vanillabonds.com/dossier-data/pdf/katjes/katjes-2025-annual-report.pdf#page=76" TargetMode="External" Id="rId1707"/><Relationship Type="http://schemas.openxmlformats.org/officeDocument/2006/relationships/hyperlink" Target="https://vanillabonds.com/dossier.html?c=katjes&amp;viewer=1&amp;item=F854" TargetMode="External" Id="rId1708"/><Relationship Type="http://schemas.openxmlformats.org/officeDocument/2006/relationships/hyperlink" Target="https://vanillabonds.com/dossier-data/pdf/katjes/katjes-2025-annual-report.pdf#page=76" TargetMode="External" Id="rId1709"/><Relationship Type="http://schemas.openxmlformats.org/officeDocument/2006/relationships/hyperlink" Target="https://vanillabonds.com/dossier.html?c=katjes&amp;viewer=1&amp;item=F855" TargetMode="External" Id="rId1710"/><Relationship Type="http://schemas.openxmlformats.org/officeDocument/2006/relationships/hyperlink" Target="https://vanillabonds.com/dossier-data/pdf/katjes/katjes-2025-annual-report.pdf#page=74" TargetMode="External" Id="rId1711"/><Relationship Type="http://schemas.openxmlformats.org/officeDocument/2006/relationships/hyperlink" Target="https://vanillabonds.com/dossier.html?c=katjes&amp;viewer=1&amp;item=F856" TargetMode="External" Id="rId1712"/><Relationship Type="http://schemas.openxmlformats.org/officeDocument/2006/relationships/hyperlink" Target="https://vanillabonds.com/dossier-data/pdf/katjes/katjes-2025-annual-report.pdf#page=74" TargetMode="External" Id="rId1713"/><Relationship Type="http://schemas.openxmlformats.org/officeDocument/2006/relationships/hyperlink" Target="https://vanillabonds.com/dossier.html?c=katjes&amp;viewer=1&amp;item=F857" TargetMode="External" Id="rId1714"/><Relationship Type="http://schemas.openxmlformats.org/officeDocument/2006/relationships/hyperlink" Target="https://vanillabonds.com/dossier-data/pdf/katjes/katjes-2025-annual-report.pdf#page=74" TargetMode="External" Id="rId1715"/><Relationship Type="http://schemas.openxmlformats.org/officeDocument/2006/relationships/hyperlink" Target="https://vanillabonds.com/dossier.html?c=katjes&amp;viewer=1&amp;item=F858" TargetMode="External" Id="rId1716"/><Relationship Type="http://schemas.openxmlformats.org/officeDocument/2006/relationships/hyperlink" Target="https://vanillabonds.com/dossier-data/pdf/katjes/katjes-2025-annual-report.pdf#page=74" TargetMode="External" Id="rId1717"/><Relationship Type="http://schemas.openxmlformats.org/officeDocument/2006/relationships/hyperlink" Target="https://vanillabonds.com/dossier.html?c=katjes&amp;viewer=1&amp;item=F859" TargetMode="External" Id="rId1718"/><Relationship Type="http://schemas.openxmlformats.org/officeDocument/2006/relationships/hyperlink" Target="https://vanillabonds.com/dossier-data/pdf/katjes/katjes-2025-annual-report.pdf#page=74" TargetMode="External" Id="rId1719"/><Relationship Type="http://schemas.openxmlformats.org/officeDocument/2006/relationships/hyperlink" Target="https://vanillabonds.com/dossier.html?c=katjes&amp;viewer=1&amp;item=F860" TargetMode="External" Id="rId1720"/><Relationship Type="http://schemas.openxmlformats.org/officeDocument/2006/relationships/hyperlink" Target="https://vanillabonds.com/dossier-data/pdf/katjes/katjes-2025-annual-report.pdf#page=77" TargetMode="External" Id="rId1721"/><Relationship Type="http://schemas.openxmlformats.org/officeDocument/2006/relationships/hyperlink" Target="https://vanillabonds.com/dossier.html?c=katjes&amp;viewer=1&amp;item=F861" TargetMode="External" Id="rId1722"/><Relationship Type="http://schemas.openxmlformats.org/officeDocument/2006/relationships/hyperlink" Target="https://vanillabonds.com/dossier-data/pdf/katjes/katjes-2025-annual-report.pdf#page=77" TargetMode="External" Id="rId1723"/><Relationship Type="http://schemas.openxmlformats.org/officeDocument/2006/relationships/hyperlink" Target="https://vanillabonds.com/dossier.html?c=katjes&amp;viewer=1&amp;item=F862" TargetMode="External" Id="rId1724"/><Relationship Type="http://schemas.openxmlformats.org/officeDocument/2006/relationships/hyperlink" Target="https://vanillabonds.com/dossier-data/pdf/katjes/katjes-2025-annual-report.pdf#page=77" TargetMode="External" Id="rId1725"/><Relationship Type="http://schemas.openxmlformats.org/officeDocument/2006/relationships/hyperlink" Target="https://vanillabonds.com/dossier.html?c=katjes&amp;viewer=1&amp;item=F863" TargetMode="External" Id="rId1726"/><Relationship Type="http://schemas.openxmlformats.org/officeDocument/2006/relationships/hyperlink" Target="https://vanillabonds.com/dossier-data/pdf/katjes/katjes-2025-annual-report.pdf#page=77" TargetMode="External" Id="rId1727"/><Relationship Type="http://schemas.openxmlformats.org/officeDocument/2006/relationships/hyperlink" Target="https://vanillabonds.com/dossier.html?c=katjes&amp;viewer=1&amp;item=F864" TargetMode="External" Id="rId1728"/><Relationship Type="http://schemas.openxmlformats.org/officeDocument/2006/relationships/hyperlink" Target="https://vanillabonds.com/dossier-data/pdf/katjes/katjes-2025-annual-report.pdf#page=77" TargetMode="External" Id="rId1729"/><Relationship Type="http://schemas.openxmlformats.org/officeDocument/2006/relationships/hyperlink" Target="https://vanillabonds.com/dossier.html?c=katjes&amp;viewer=1&amp;item=F865" TargetMode="External" Id="rId1730"/><Relationship Type="http://schemas.openxmlformats.org/officeDocument/2006/relationships/hyperlink" Target="https://vanillabonds.com/dossier-data/pdf/katjes/katjes-2025-annual-report.pdf#page=77" TargetMode="External" Id="rId1731"/><Relationship Type="http://schemas.openxmlformats.org/officeDocument/2006/relationships/hyperlink" Target="https://vanillabonds.com/dossier.html?c=katjes&amp;viewer=1&amp;item=F866" TargetMode="External" Id="rId1732"/><Relationship Type="http://schemas.openxmlformats.org/officeDocument/2006/relationships/hyperlink" Target="https://vanillabonds.com/dossier-data/pdf/katjes/katjes-2025-annual-report.pdf#page=77" TargetMode="External" Id="rId1733"/><Relationship Type="http://schemas.openxmlformats.org/officeDocument/2006/relationships/hyperlink" Target="https://vanillabonds.com/dossier.html?c=katjes&amp;viewer=1&amp;item=F867" TargetMode="External" Id="rId1734"/><Relationship Type="http://schemas.openxmlformats.org/officeDocument/2006/relationships/hyperlink" Target="https://vanillabonds.com/dossier-data/pdf/katjes/katjes-2025-annual-report.pdf#page=77" TargetMode="External" Id="rId1735"/><Relationship Type="http://schemas.openxmlformats.org/officeDocument/2006/relationships/hyperlink" Target="https://vanillabonds.com/dossier.html?c=katjes&amp;viewer=1&amp;item=F868" TargetMode="External" Id="rId1736"/><Relationship Type="http://schemas.openxmlformats.org/officeDocument/2006/relationships/hyperlink" Target="https://vanillabonds.com/dossier-data/pdf/katjes/katjes-2025-annual-report.pdf#page=78" TargetMode="External" Id="rId1737"/><Relationship Type="http://schemas.openxmlformats.org/officeDocument/2006/relationships/hyperlink" Target="https://vanillabonds.com/dossier.html?c=katjes&amp;viewer=1&amp;item=F869" TargetMode="External" Id="rId1738"/><Relationship Type="http://schemas.openxmlformats.org/officeDocument/2006/relationships/hyperlink" Target="https://vanillabonds.com/dossier-data/pdf/katjes/katjes-2025-annual-report.pdf#page=78" TargetMode="External" Id="rId1739"/><Relationship Type="http://schemas.openxmlformats.org/officeDocument/2006/relationships/hyperlink" Target="https://vanillabonds.com/dossier.html?c=katjes&amp;viewer=1&amp;item=F870" TargetMode="External" Id="rId1740"/><Relationship Type="http://schemas.openxmlformats.org/officeDocument/2006/relationships/hyperlink" Target="https://vanillabonds.com/dossier-data/pdf/katjes/katjes-2025-annual-report.pdf#page=78" TargetMode="External" Id="rId1741"/><Relationship Type="http://schemas.openxmlformats.org/officeDocument/2006/relationships/hyperlink" Target="https://vanillabonds.com/dossier.html?c=katjes&amp;viewer=1&amp;item=F871" TargetMode="External" Id="rId1742"/><Relationship Type="http://schemas.openxmlformats.org/officeDocument/2006/relationships/hyperlink" Target="https://vanillabonds.com/dossier-data/pdf/katjes/katjes-2025-annual-report.pdf#page=78" TargetMode="External" Id="rId1743"/><Relationship Type="http://schemas.openxmlformats.org/officeDocument/2006/relationships/hyperlink" Target="https://vanillabonds.com/dossier.html?c=katjes&amp;viewer=1&amp;item=F872" TargetMode="External" Id="rId1744"/><Relationship Type="http://schemas.openxmlformats.org/officeDocument/2006/relationships/hyperlink" Target="https://vanillabonds.com/dossier-data/pdf/katjes/katjes-2025-annual-report.pdf#page=78" TargetMode="External" Id="rId1745"/><Relationship Type="http://schemas.openxmlformats.org/officeDocument/2006/relationships/hyperlink" Target="https://vanillabonds.com/dossier.html?c=katjes&amp;viewer=1&amp;item=F873" TargetMode="External" Id="rId1746"/><Relationship Type="http://schemas.openxmlformats.org/officeDocument/2006/relationships/hyperlink" Target="https://vanillabonds.com/dossier-data/pdf/katjes/katjes-2025-annual-report.pdf#page=78" TargetMode="External" Id="rId1747"/><Relationship Type="http://schemas.openxmlformats.org/officeDocument/2006/relationships/hyperlink" Target="https://vanillabonds.com/dossier.html?c=katjes&amp;viewer=1&amp;item=F874" TargetMode="External" Id="rId1748"/><Relationship Type="http://schemas.openxmlformats.org/officeDocument/2006/relationships/hyperlink" Target="https://vanillabonds.com/dossier-data/pdf/katjes/katjes-2025-annual-report.pdf#page=78" TargetMode="External" Id="rId1749"/><Relationship Type="http://schemas.openxmlformats.org/officeDocument/2006/relationships/hyperlink" Target="https://vanillabonds.com/dossier.html?c=katjes&amp;viewer=1&amp;item=F875" TargetMode="External" Id="rId1750"/><Relationship Type="http://schemas.openxmlformats.org/officeDocument/2006/relationships/hyperlink" Target="https://vanillabonds.com/dossier-data/pdf/katjes/katjes-2025-annual-report.pdf#page=78" TargetMode="External" Id="rId1751"/><Relationship Type="http://schemas.openxmlformats.org/officeDocument/2006/relationships/hyperlink" Target="https://vanillabonds.com/dossier.html?c=katjes&amp;viewer=1&amp;item=F876" TargetMode="External" Id="rId1752"/><Relationship Type="http://schemas.openxmlformats.org/officeDocument/2006/relationships/hyperlink" Target="https://vanillabonds.com/dossier-data/pdf/katjes/katjes-2025-annual-report.pdf#page=74" TargetMode="External" Id="rId1753"/><Relationship Type="http://schemas.openxmlformats.org/officeDocument/2006/relationships/hyperlink" Target="https://vanillabonds.com/dossier.html?c=katjes&amp;viewer=1&amp;item=F877" TargetMode="External" Id="rId1754"/><Relationship Type="http://schemas.openxmlformats.org/officeDocument/2006/relationships/hyperlink" Target="https://vanillabonds.com/dossier-data/pdf/katjes/katjes-2025-annual-report.pdf#page=74" TargetMode="External" Id="rId1755"/><Relationship Type="http://schemas.openxmlformats.org/officeDocument/2006/relationships/hyperlink" Target="https://vanillabonds.com/dossier.html?c=katjes&amp;viewer=1&amp;item=F878" TargetMode="External" Id="rId1756"/><Relationship Type="http://schemas.openxmlformats.org/officeDocument/2006/relationships/hyperlink" Target="https://vanillabonds.com/dossier-data/pdf/katjes/katjes-2025-annual-report.pdf#page=74" TargetMode="External" Id="rId1757"/><Relationship Type="http://schemas.openxmlformats.org/officeDocument/2006/relationships/hyperlink" Target="https://vanillabonds.com/dossier.html?c=katjes&amp;viewer=1&amp;item=F879" TargetMode="External" Id="rId1758"/><Relationship Type="http://schemas.openxmlformats.org/officeDocument/2006/relationships/hyperlink" Target="https://vanillabonds.com/dossier-data/pdf/katjes/katjes-2025-annual-report.pdf#page=74" TargetMode="External" Id="rId1759"/><Relationship Type="http://schemas.openxmlformats.org/officeDocument/2006/relationships/hyperlink" Target="https://vanillabonds.com/dossier.html?c=katjes&amp;viewer=1&amp;item=F880" TargetMode="External" Id="rId1760"/><Relationship Type="http://schemas.openxmlformats.org/officeDocument/2006/relationships/hyperlink" Target="https://vanillabonds.com/dossier-data/pdf/katjes/katjes-2025-annual-report.pdf#page=74" TargetMode="External" Id="rId1761"/><Relationship Type="http://schemas.openxmlformats.org/officeDocument/2006/relationships/hyperlink" Target="https://vanillabonds.com/dossier.html?c=katjes&amp;viewer=1&amp;item=F881" TargetMode="External" Id="rId1762"/><Relationship Type="http://schemas.openxmlformats.org/officeDocument/2006/relationships/hyperlink" Target="https://vanillabonds.com/dossier-data/pdf/katjes/katjes-2025-annual-report.pdf#page=77" TargetMode="External" Id="rId1763"/><Relationship Type="http://schemas.openxmlformats.org/officeDocument/2006/relationships/hyperlink" Target="https://vanillabonds.com/dossier.html?c=katjes&amp;viewer=1&amp;item=F882" TargetMode="External" Id="rId1764"/><Relationship Type="http://schemas.openxmlformats.org/officeDocument/2006/relationships/hyperlink" Target="https://vanillabonds.com/dossier-data/pdf/katjes/katjes-2025-annual-report.pdf#page=77" TargetMode="External" Id="rId1765"/><Relationship Type="http://schemas.openxmlformats.org/officeDocument/2006/relationships/hyperlink" Target="https://vanillabonds.com/dossier.html?c=katjes&amp;viewer=1&amp;item=F883" TargetMode="External" Id="rId1766"/><Relationship Type="http://schemas.openxmlformats.org/officeDocument/2006/relationships/hyperlink" Target="https://vanillabonds.com/dossier-data/pdf/katjes/katjes-2025-annual-report.pdf#page=77" TargetMode="External" Id="rId1767"/><Relationship Type="http://schemas.openxmlformats.org/officeDocument/2006/relationships/hyperlink" Target="https://vanillabonds.com/dossier.html?c=katjes&amp;viewer=1&amp;item=F884" TargetMode="External" Id="rId1768"/><Relationship Type="http://schemas.openxmlformats.org/officeDocument/2006/relationships/hyperlink" Target="https://vanillabonds.com/dossier-data/pdf/katjes/katjes-2025-annual-report.pdf#page=77" TargetMode="External" Id="rId1769"/><Relationship Type="http://schemas.openxmlformats.org/officeDocument/2006/relationships/hyperlink" Target="https://vanillabonds.com/dossier.html?c=katjes&amp;viewer=1&amp;item=F885" TargetMode="External" Id="rId1770"/><Relationship Type="http://schemas.openxmlformats.org/officeDocument/2006/relationships/hyperlink" Target="https://vanillabonds.com/dossier-data/pdf/katjes/katjes-2025-annual-report.pdf#page=77" TargetMode="External" Id="rId1771"/><Relationship Type="http://schemas.openxmlformats.org/officeDocument/2006/relationships/hyperlink" Target="https://vanillabonds.com/dossier.html?c=katjes&amp;viewer=1&amp;item=F886" TargetMode="External" Id="rId1772"/><Relationship Type="http://schemas.openxmlformats.org/officeDocument/2006/relationships/hyperlink" Target="https://vanillabonds.com/dossier-data/pdf/katjes/katjes-2025-annual-report.pdf#page=77" TargetMode="External" Id="rId1773"/><Relationship Type="http://schemas.openxmlformats.org/officeDocument/2006/relationships/hyperlink" Target="https://vanillabonds.com/dossier.html?c=katjes&amp;viewer=1&amp;item=F887" TargetMode="External" Id="rId1774"/><Relationship Type="http://schemas.openxmlformats.org/officeDocument/2006/relationships/hyperlink" Target="https://vanillabonds.com/dossier-data/pdf/katjes/katjes-2025-annual-report.pdf#page=77" TargetMode="External" Id="rId1775"/><Relationship Type="http://schemas.openxmlformats.org/officeDocument/2006/relationships/hyperlink" Target="https://vanillabonds.com/dossier.html?c=katjes&amp;viewer=1&amp;item=F888" TargetMode="External" Id="rId1776"/><Relationship Type="http://schemas.openxmlformats.org/officeDocument/2006/relationships/hyperlink" Target="https://vanillabonds.com/dossier-data/pdf/katjes/katjes-2025-annual-report.pdf#page=77" TargetMode="External" Id="rId1777"/><Relationship Type="http://schemas.openxmlformats.org/officeDocument/2006/relationships/hyperlink" Target="https://vanillabonds.com/dossier.html?c=katjes&amp;viewer=1&amp;item=F889" TargetMode="External" Id="rId1778"/><Relationship Type="http://schemas.openxmlformats.org/officeDocument/2006/relationships/hyperlink" Target="https://vanillabonds.com/dossier-data/pdf/katjes/katjes-2025-annual-report.pdf#page=78" TargetMode="External" Id="rId1779"/><Relationship Type="http://schemas.openxmlformats.org/officeDocument/2006/relationships/hyperlink" Target="https://vanillabonds.com/dossier.html?c=katjes&amp;viewer=1&amp;item=F890" TargetMode="External" Id="rId1780"/><Relationship Type="http://schemas.openxmlformats.org/officeDocument/2006/relationships/hyperlink" Target="https://vanillabonds.com/dossier-data/pdf/katjes/katjes-2025-annual-report.pdf#page=78" TargetMode="External" Id="rId1781"/><Relationship Type="http://schemas.openxmlformats.org/officeDocument/2006/relationships/hyperlink" Target="https://vanillabonds.com/dossier.html?c=katjes&amp;viewer=1&amp;item=F891" TargetMode="External" Id="rId1782"/><Relationship Type="http://schemas.openxmlformats.org/officeDocument/2006/relationships/hyperlink" Target="https://vanillabonds.com/dossier-data/pdf/katjes/katjes-2025-annual-report.pdf#page=78" TargetMode="External" Id="rId1783"/><Relationship Type="http://schemas.openxmlformats.org/officeDocument/2006/relationships/hyperlink" Target="https://vanillabonds.com/dossier.html?c=katjes&amp;viewer=1&amp;item=F892" TargetMode="External" Id="rId1784"/><Relationship Type="http://schemas.openxmlformats.org/officeDocument/2006/relationships/hyperlink" Target="https://vanillabonds.com/dossier-data/pdf/katjes/katjes-2025-annual-report.pdf#page=78" TargetMode="External" Id="rId1785"/><Relationship Type="http://schemas.openxmlformats.org/officeDocument/2006/relationships/hyperlink" Target="https://vanillabonds.com/dossier.html?c=katjes&amp;viewer=1&amp;item=F893" TargetMode="External" Id="rId1786"/><Relationship Type="http://schemas.openxmlformats.org/officeDocument/2006/relationships/hyperlink" Target="https://vanillabonds.com/dossier-data/pdf/katjes/katjes-2025-annual-report.pdf#page=78" TargetMode="External" Id="rId1787"/><Relationship Type="http://schemas.openxmlformats.org/officeDocument/2006/relationships/hyperlink" Target="https://vanillabonds.com/dossier.html?c=katjes&amp;viewer=1&amp;item=F894" TargetMode="External" Id="rId1788"/><Relationship Type="http://schemas.openxmlformats.org/officeDocument/2006/relationships/hyperlink" Target="https://vanillabonds.com/dossier-data/pdf/katjes/katjes-2025-annual-report.pdf#page=78" TargetMode="External" Id="rId1789"/><Relationship Type="http://schemas.openxmlformats.org/officeDocument/2006/relationships/hyperlink" Target="https://vanillabonds.com/dossier.html?c=katjes&amp;viewer=1&amp;item=F895" TargetMode="External" Id="rId1790"/><Relationship Type="http://schemas.openxmlformats.org/officeDocument/2006/relationships/hyperlink" Target="https://vanillabonds.com/dossier-data/pdf/katjes/katjes-2025-annual-report.pdf#page=78" TargetMode="External" Id="rId1791"/><Relationship Type="http://schemas.openxmlformats.org/officeDocument/2006/relationships/hyperlink" Target="https://vanillabonds.com/dossier.html?c=katjes&amp;viewer=1&amp;item=F896" TargetMode="External" Id="rId1792"/><Relationship Type="http://schemas.openxmlformats.org/officeDocument/2006/relationships/hyperlink" Target="https://vanillabonds.com/dossier-data/pdf/katjes/katjes-2025-annual-report.pdf#page=78" TargetMode="External" Id="rId1793"/><Relationship Type="http://schemas.openxmlformats.org/officeDocument/2006/relationships/hyperlink" Target="https://vanillabonds.com/dossier.html?c=katjes&amp;viewer=1&amp;item=F897" TargetMode="External" Id="rId1794"/><Relationship Type="http://schemas.openxmlformats.org/officeDocument/2006/relationships/hyperlink" Target="https://vanillabonds.com/dossier-data/pdf/katjes/katjes-2025-annual-report.pdf#page=42" TargetMode="External" Id="rId1795"/><Relationship Type="http://schemas.openxmlformats.org/officeDocument/2006/relationships/hyperlink" Target="https://vanillabonds.com/dossier.html?c=katjes&amp;viewer=1&amp;item=F898" TargetMode="External" Id="rId1796"/><Relationship Type="http://schemas.openxmlformats.org/officeDocument/2006/relationships/hyperlink" Target="https://vanillabonds.com/dossier-data/pdf/katjes/katjes-2025-annual-report.pdf#page=42" TargetMode="External" Id="rId1797"/><Relationship Type="http://schemas.openxmlformats.org/officeDocument/2006/relationships/hyperlink" Target="https://vanillabonds.com/dossier.html?c=katjes&amp;viewer=1&amp;item=F899" TargetMode="External" Id="rId1798"/><Relationship Type="http://schemas.openxmlformats.org/officeDocument/2006/relationships/hyperlink" Target="https://vanillabonds.com/dossier-data/pdf/katjes/katjes-2025-annual-report.pdf#page=63" TargetMode="External" Id="rId1799"/><Relationship Type="http://schemas.openxmlformats.org/officeDocument/2006/relationships/hyperlink" Target="https://vanillabonds.com/dossier.html?c=katjes&amp;viewer=1&amp;item=F900" TargetMode="External" Id="rId1800"/><Relationship Type="http://schemas.openxmlformats.org/officeDocument/2006/relationships/hyperlink" Target="https://vanillabonds.com/dossier-data/pdf/katjes/katjes-2025-annual-report.pdf#page=64" TargetMode="External" Id="rId1801"/><Relationship Type="http://schemas.openxmlformats.org/officeDocument/2006/relationships/hyperlink" Target="https://vanillabonds.com/dossier.html?c=katjes&amp;viewer=1&amp;item=F901" TargetMode="External" Id="rId1802"/><Relationship Type="http://schemas.openxmlformats.org/officeDocument/2006/relationships/hyperlink" Target="https://vanillabonds.com/dossier-data/pdf/katjes/katjes-2025-annual-report.pdf#page=65" TargetMode="External" Id="rId1803"/><Relationship Type="http://schemas.openxmlformats.org/officeDocument/2006/relationships/hyperlink" Target="https://vanillabonds.com/dossier.html?c=katjes&amp;viewer=1&amp;item=F902" TargetMode="External" Id="rId1804"/><Relationship Type="http://schemas.openxmlformats.org/officeDocument/2006/relationships/hyperlink" Target="https://vanillabonds.com/dossier-data/pdf/katjes/katjes-2025-annual-report.pdf#page=55" TargetMode="External" Id="rId1805"/><Relationship Type="http://schemas.openxmlformats.org/officeDocument/2006/relationships/hyperlink" Target="https://vanillabonds.com/dossier.html?c=katjes&amp;viewer=1&amp;item=F903" TargetMode="External" Id="rId1806"/><Relationship Type="http://schemas.openxmlformats.org/officeDocument/2006/relationships/hyperlink" Target="https://vanillabonds.com/dossier-data/pdf/katjes/katjes-2025-annual-report.pdf#page=68" TargetMode="External" Id="rId1807"/><Relationship Type="http://schemas.openxmlformats.org/officeDocument/2006/relationships/hyperlink" Target="https://vanillabonds.com/dossier.html?c=katjes&amp;viewer=1&amp;item=F904" TargetMode="External" Id="rId1808"/><Relationship Type="http://schemas.openxmlformats.org/officeDocument/2006/relationships/hyperlink" Target="https://vanillabonds.com/dossier-data/pdf/katjes/katjes-2025-annual-report.pdf#page=53" TargetMode="External" Id="rId1809"/><Relationship Type="http://schemas.openxmlformats.org/officeDocument/2006/relationships/hyperlink" Target="https://vanillabonds.com/dossier.html?c=katjes&amp;viewer=1&amp;item=F905" TargetMode="External" Id="rId1810"/><Relationship Type="http://schemas.openxmlformats.org/officeDocument/2006/relationships/hyperlink" Target="https://vanillabonds.com/dossier-data/pdf/katjes/katjes-2025-annual-report.pdf#page=4" TargetMode="External" Id="rId1811"/><Relationship Type="http://schemas.openxmlformats.org/officeDocument/2006/relationships/hyperlink" Target="https://vanillabonds.com/dossier.html?c=katjes&amp;viewer=1&amp;item=F906" TargetMode="External" Id="rId1812"/><Relationship Type="http://schemas.openxmlformats.org/officeDocument/2006/relationships/hyperlink" Target="https://vanillabonds.com/dossier-data/pdf/katjes/katjes-2025-annual-report.pdf#page=18" TargetMode="External" Id="rId1813"/><Relationship Type="http://schemas.openxmlformats.org/officeDocument/2006/relationships/hyperlink" Target="https://vanillabonds.com/dossier.html?c=katjes&amp;viewer=1&amp;item=F907" TargetMode="External" Id="rId1814"/><Relationship Type="http://schemas.openxmlformats.org/officeDocument/2006/relationships/hyperlink" Target="https://vanillabonds.com/dossier-data/pdf/katjes/katjes-2025-annual-report.pdf#page=35" TargetMode="External" Id="rId1815"/><Relationship Type="http://schemas.openxmlformats.org/officeDocument/2006/relationships/hyperlink" Target="https://vanillabonds.com/dossier.html?c=katjes&amp;viewer=1&amp;item=F908" TargetMode="External" Id="rId1816"/><Relationship Type="http://schemas.openxmlformats.org/officeDocument/2006/relationships/hyperlink" Target="https://vanillabonds.com/dossier-data/pdf/katjes/katjes-2025-annual-report.pdf#page=35" TargetMode="External" Id="rId1817"/><Relationship Type="http://schemas.openxmlformats.org/officeDocument/2006/relationships/hyperlink" Target="https://vanillabonds.com/dossier.html?c=katjes&amp;viewer=1&amp;item=F909" TargetMode="External" Id="rId1818"/><Relationship Type="http://schemas.openxmlformats.org/officeDocument/2006/relationships/hyperlink" Target="https://vanillabonds.com/dossier-data/pdf/katjes/katjes-2025-annual-report.pdf#page=77" TargetMode="External" Id="rId1819"/><Relationship Type="http://schemas.openxmlformats.org/officeDocument/2006/relationships/hyperlink" Target="https://vanillabonds.com/dossier.html?c=katjes&amp;viewer=1&amp;item=F910" TargetMode="External" Id="rId1820"/><Relationship Type="http://schemas.openxmlformats.org/officeDocument/2006/relationships/hyperlink" Target="https://vanillabonds.com/dossier-data/pdf/katjes/katjes-2025-annual-report.pdf#page=26" TargetMode="External" Id="rId1821"/><Relationship Type="http://schemas.openxmlformats.org/officeDocument/2006/relationships/hyperlink" Target="https://vanillabonds.com/dossier.html?c=katjes&amp;viewer=1&amp;item=F911" TargetMode="External" Id="rId1822"/><Relationship Type="http://schemas.openxmlformats.org/officeDocument/2006/relationships/hyperlink" Target="https://vanillabonds.com/dossier-data/pdf/katjes/katjes-2025-annual-report.pdf#page=55" TargetMode="External" Id="rId1823"/><Relationship Type="http://schemas.openxmlformats.org/officeDocument/2006/relationships/hyperlink" Target="https://vanillabonds.com/dossier.html?c=katjes&amp;viewer=1&amp;item=F912" TargetMode="External" Id="rId1824"/><Relationship Type="http://schemas.openxmlformats.org/officeDocument/2006/relationships/hyperlink" Target="https://vanillabonds.com/dossier-data/pdf/katjes/katjes-2025-annual-report.pdf#page=56" TargetMode="External" Id="rId1825"/><Relationship Type="http://schemas.openxmlformats.org/officeDocument/2006/relationships/hyperlink" Target="https://vanillabonds.com/dossier.html?c=katjes&amp;viewer=1&amp;item=F913" TargetMode="External" Id="rId1826"/><Relationship Type="http://schemas.openxmlformats.org/officeDocument/2006/relationships/hyperlink" Target="https://vanillabonds.com/dossier-data/pdf/katjes/katjes-2025-annual-report.pdf#page=58" TargetMode="External" Id="rId1827"/><Relationship Type="http://schemas.openxmlformats.org/officeDocument/2006/relationships/hyperlink" Target="https://vanillabonds.com/dossier.html?c=katjes&amp;viewer=1&amp;item=F914" TargetMode="External" Id="rId1828"/><Relationship Type="http://schemas.openxmlformats.org/officeDocument/2006/relationships/hyperlink" Target="https://vanillabonds.com/dossier-data/pdf/katjes/katjes-2025-annual-report.pdf#page=34" TargetMode="External" Id="rId1829"/><Relationship Type="http://schemas.openxmlformats.org/officeDocument/2006/relationships/hyperlink" Target="https://vanillabonds.com/dossier.html?c=katjes&amp;viewer=1&amp;item=F915" TargetMode="External" Id="rId1830"/><Relationship Type="http://schemas.openxmlformats.org/officeDocument/2006/relationships/hyperlink" Target="https://vanillabonds.com/dossier-data/pdf/katjes/katjes-2025-annual-report.pdf#page=56" TargetMode="External" Id="rId1831"/><Relationship Type="http://schemas.openxmlformats.org/officeDocument/2006/relationships/hyperlink" Target="https://vanillabonds.com/dossier.html?c=katjes&amp;viewer=1&amp;item=F916" TargetMode="External" Id="rId1832"/><Relationship Type="http://schemas.openxmlformats.org/officeDocument/2006/relationships/hyperlink" Target="https://vanillabonds.com/dossier-data/pdf/katjes/katjes-2025-annual-report.pdf#page=80" TargetMode="External" Id="rId1833"/><Relationship Type="http://schemas.openxmlformats.org/officeDocument/2006/relationships/hyperlink" Target="https://vanillabonds.com/dossier.html?c=katjes&amp;viewer=1&amp;item=F917" TargetMode="External" Id="rId1834"/><Relationship Type="http://schemas.openxmlformats.org/officeDocument/2006/relationships/hyperlink" Target="https://vanillabonds.com/dossier-data/pdf/katjes/katjes-2025-annual-report.pdf#page=80" TargetMode="External" Id="rId1835"/><Relationship Type="http://schemas.openxmlformats.org/officeDocument/2006/relationships/hyperlink" Target="https://vanillabonds.com/dossier.html?c=katjes&amp;viewer=1&amp;item=F918" TargetMode="External" Id="rId1836"/><Relationship Type="http://schemas.openxmlformats.org/officeDocument/2006/relationships/hyperlink" Target="https://vanillabonds.com/dossier-data/pdf/katjes/katjes-2025-annual-report.pdf#page=35" TargetMode="External" Id="rId1837"/><Relationship Type="http://schemas.openxmlformats.org/officeDocument/2006/relationships/hyperlink" Target="https://vanillabonds.com/dossier.html?c=katjes&amp;viewer=1&amp;item=F919" TargetMode="External" Id="rId1838"/><Relationship Type="http://schemas.openxmlformats.org/officeDocument/2006/relationships/hyperlink" Target="https://vanillabonds.com/dossier-data/pdf/katjes/katjes-2025-annual-report.pdf#page=35" TargetMode="External" Id="rId1839"/><Relationship Type="http://schemas.openxmlformats.org/officeDocument/2006/relationships/hyperlink" Target="https://vanillabonds.com/dossier.html?c=katjes&amp;viewer=1&amp;item=F920" TargetMode="External" Id="rId1840"/><Relationship Type="http://schemas.openxmlformats.org/officeDocument/2006/relationships/hyperlink" Target="https://vanillabonds.com/dossier-data/pdf/katjes/katjes-2025-annual-report.pdf#page=60" TargetMode="External" Id="rId1841"/><Relationship Type="http://schemas.openxmlformats.org/officeDocument/2006/relationships/hyperlink" Target="https://vanillabonds.com/dossier.html?c=katjes&amp;viewer=1&amp;item=F921" TargetMode="External" Id="rId1842"/><Relationship Type="http://schemas.openxmlformats.org/officeDocument/2006/relationships/hyperlink" Target="https://vanillabonds.com/dossier-data/pdf/katjes/katjes-2025-annual-report.pdf#page=60" TargetMode="External" Id="rId1843"/><Relationship Type="http://schemas.openxmlformats.org/officeDocument/2006/relationships/hyperlink" Target="https://vanillabonds.com/dossier.html?c=katjes&amp;viewer=1&amp;item=F922" TargetMode="External" Id="rId1844"/><Relationship Type="http://schemas.openxmlformats.org/officeDocument/2006/relationships/hyperlink" Target="https://vanillabonds.com/dossier-data/pdf/katjes/katjes-2025-annual-report.pdf#page=61" TargetMode="External" Id="rId1845"/><Relationship Type="http://schemas.openxmlformats.org/officeDocument/2006/relationships/hyperlink" Target="https://vanillabonds.com/dossier.html?c=katjes&amp;viewer=1&amp;item=F923" TargetMode="External" Id="rId1846"/><Relationship Type="http://schemas.openxmlformats.org/officeDocument/2006/relationships/hyperlink" Target="https://vanillabonds.com/dossier-data/pdf/katjes/katjes-2025-annual-report.pdf#page=61" TargetMode="External" Id="rId1847"/><Relationship Type="http://schemas.openxmlformats.org/officeDocument/2006/relationships/hyperlink" Target="https://vanillabonds.com/dossier.html?c=katjes&amp;viewer=1&amp;item=F924" TargetMode="External" Id="rId1848"/><Relationship Type="http://schemas.openxmlformats.org/officeDocument/2006/relationships/hyperlink" Target="https://vanillabonds.com/dossier-data/pdf/katjes/katjes-2025-annual-report.pdf#page=61" TargetMode="External" Id="rId1849"/><Relationship Type="http://schemas.openxmlformats.org/officeDocument/2006/relationships/hyperlink" Target="https://vanillabonds.com/dossier.html?c=katjes&amp;viewer=1&amp;item=F925" TargetMode="External" Id="rId1850"/><Relationship Type="http://schemas.openxmlformats.org/officeDocument/2006/relationships/hyperlink" Target="https://vanillabonds.com/dossier-data/pdf/katjes/katjes-2025-annual-report.pdf#page=61" TargetMode="External" Id="rId1851"/><Relationship Type="http://schemas.openxmlformats.org/officeDocument/2006/relationships/hyperlink" Target="https://vanillabonds.com/dossier.html?c=katjes&amp;viewer=1&amp;item=F926" TargetMode="External" Id="rId1852"/><Relationship Type="http://schemas.openxmlformats.org/officeDocument/2006/relationships/hyperlink" Target="https://vanillabonds.com/dossier-data/pdf/katjes/katjes-2025-annual-report.pdf#page=61" TargetMode="External" Id="rId1853"/><Relationship Type="http://schemas.openxmlformats.org/officeDocument/2006/relationships/hyperlink" Target="https://vanillabonds.com/dossier.html?c=katjes&amp;viewer=1&amp;item=F927" TargetMode="External" Id="rId1854"/><Relationship Type="http://schemas.openxmlformats.org/officeDocument/2006/relationships/hyperlink" Target="https://vanillabonds.com/dossier-data/pdf/katjes/katjes-2025-annual-report.pdf#page=61" TargetMode="External" Id="rId1855"/><Relationship Type="http://schemas.openxmlformats.org/officeDocument/2006/relationships/hyperlink" Target="https://vanillabonds.com/dossier.html?c=katjes&amp;viewer=1&amp;item=F928" TargetMode="External" Id="rId1856"/><Relationship Type="http://schemas.openxmlformats.org/officeDocument/2006/relationships/hyperlink" Target="https://vanillabonds.com/dossier-data/pdf/katjes/katjes-2025-annual-report.pdf#page=61" TargetMode="External" Id="rId1857"/><Relationship Type="http://schemas.openxmlformats.org/officeDocument/2006/relationships/hyperlink" Target="https://vanillabonds.com/dossier.html?c=katjes&amp;viewer=1&amp;item=F929" TargetMode="External" Id="rId1858"/><Relationship Type="http://schemas.openxmlformats.org/officeDocument/2006/relationships/hyperlink" Target="https://vanillabonds.com/dossier-data/pdf/katjes/katjes-2025-annual-report.pdf#page=61" TargetMode="External" Id="rId1859"/><Relationship Type="http://schemas.openxmlformats.org/officeDocument/2006/relationships/hyperlink" Target="https://vanillabonds.com/dossier.html?c=katjes&amp;viewer=1&amp;item=F930" TargetMode="External" Id="rId1860"/><Relationship Type="http://schemas.openxmlformats.org/officeDocument/2006/relationships/hyperlink" Target="https://vanillabonds.com/dossier-data/pdf/katjes/katjes-2025-annual-report.pdf#page=79" TargetMode="External" Id="rId1861"/><Relationship Type="http://schemas.openxmlformats.org/officeDocument/2006/relationships/hyperlink" Target="https://vanillabonds.com/dossier.html?c=katjes&amp;viewer=1&amp;item=F931" TargetMode="External" Id="rId1862"/><Relationship Type="http://schemas.openxmlformats.org/officeDocument/2006/relationships/hyperlink" Target="https://vanillabonds.com/dossier-data/pdf/katjes/katjes-2025-annual-report.pdf#page=22" TargetMode="External" Id="rId1863"/><Relationship Type="http://schemas.openxmlformats.org/officeDocument/2006/relationships/hyperlink" Target="https://vanillabonds.com/dossier.html?c=katjes&amp;viewer=1&amp;item=F932" TargetMode="External" Id="rId1864"/><Relationship Type="http://schemas.openxmlformats.org/officeDocument/2006/relationships/hyperlink" Target="https://vanillabonds.com/dossier-data/pdf/katjes/katjes-2025-annual-report.pdf#page=28" TargetMode="External" Id="rId1865"/><Relationship Type="http://schemas.openxmlformats.org/officeDocument/2006/relationships/hyperlink" Target="https://vanillabonds.com/dossier.html?c=katjes&amp;viewer=1&amp;item=F933" TargetMode="External" Id="rId1866"/><Relationship Type="http://schemas.openxmlformats.org/officeDocument/2006/relationships/hyperlink" Target="https://vanillabonds.com/dossier-data/pdf/katjes/katjes-2025-annual-report.pdf#page=29" TargetMode="External" Id="rId1867"/><Relationship Type="http://schemas.openxmlformats.org/officeDocument/2006/relationships/hyperlink" Target="https://vanillabonds.com/dossier.html?c=katjes&amp;viewer=1&amp;item=F934" TargetMode="External" Id="rId1868"/><Relationship Type="http://schemas.openxmlformats.org/officeDocument/2006/relationships/hyperlink" Target="https://vanillabonds.com/dossier-data/pdf/katjes/katjes-2025-annual-report.pdf#page=29" TargetMode="External" Id="rId1869"/><Relationship Type="http://schemas.openxmlformats.org/officeDocument/2006/relationships/hyperlink" Target="https://vanillabonds.com/dossier.html?c=katjes&amp;viewer=1&amp;item=F935" TargetMode="External" Id="rId1870"/><Relationship Type="http://schemas.openxmlformats.org/officeDocument/2006/relationships/hyperlink" Target="https://vanillabonds.com/dossier-data/pdf/katjes/katjes-2025-annual-report.pdf#page=74" TargetMode="External" Id="rId1871"/><Relationship Type="http://schemas.openxmlformats.org/officeDocument/2006/relationships/hyperlink" Target="https://vanillabonds.com/dossier.html?c=katjes&amp;viewer=1&amp;item=F936" TargetMode="External" Id="rId1872"/><Relationship Type="http://schemas.openxmlformats.org/officeDocument/2006/relationships/hyperlink" Target="https://vanillabonds.com/dossier-data/pdf/katjes/katjes-2025-annual-report.pdf#page=4" TargetMode="External" Id="rId1873"/><Relationship Type="http://schemas.openxmlformats.org/officeDocument/2006/relationships/hyperlink" Target="https://vanillabonds.com/dossier.html?c=katjes&amp;viewer=1&amp;item=F937" TargetMode="External" Id="rId1874"/><Relationship Type="http://schemas.openxmlformats.org/officeDocument/2006/relationships/hyperlink" Target="https://vanillabonds.com/dossier-data/pdf/katjes/katjes-2025-annual-report.pdf#page=26" TargetMode="External" Id="rId1875"/><Relationship Type="http://schemas.openxmlformats.org/officeDocument/2006/relationships/hyperlink" Target="https://vanillabonds.com/dossier.html?c=katjes&amp;viewer=1&amp;item=F938" TargetMode="External" Id="rId1876"/><Relationship Type="http://schemas.openxmlformats.org/officeDocument/2006/relationships/hyperlink" Target="https://vanillabonds.com/dossier-data/pdf/katjes/katjes-2025-annual-report.pdf#page=62" TargetMode="External" Id="rId1877"/><Relationship Type="http://schemas.openxmlformats.org/officeDocument/2006/relationships/hyperlink" Target="https://vanillabonds.com/dossier.html?c=katjes&amp;viewer=1&amp;item=F939" TargetMode="External" Id="rId1878"/><Relationship Type="http://schemas.openxmlformats.org/officeDocument/2006/relationships/hyperlink" Target="https://vanillabonds.com/dossier-data/pdf/katjes/katjes-2025-annual-report.pdf#page=68" TargetMode="External" Id="rId1879"/><Relationship Type="http://schemas.openxmlformats.org/officeDocument/2006/relationships/hyperlink" Target="https://vanillabonds.com/dossier.html?c=katjes&amp;viewer=1&amp;item=F940" TargetMode="External" Id="rId1880"/><Relationship Type="http://schemas.openxmlformats.org/officeDocument/2006/relationships/hyperlink" Target="https://vanillabonds.com/dossier-data/pdf/katjes/katjes-2025-annual-report.pdf#page=81" TargetMode="External" Id="rId1881"/><Relationship Type="http://schemas.openxmlformats.org/officeDocument/2006/relationships/hyperlink" Target="https://vanillabonds.com/dossier.html?c=katjes&amp;viewer=1&amp;item=F941" TargetMode="External" Id="rId1882"/><Relationship Type="http://schemas.openxmlformats.org/officeDocument/2006/relationships/hyperlink" Target="https://vanillabonds.com/dossier-data/pdf/katjes/katjes-bond-2023-2028-terms.pdf#page=1" TargetMode="External" Id="rId1883"/><Relationship Type="http://schemas.openxmlformats.org/officeDocument/2006/relationships/hyperlink" Target="https://vanillabonds.com/dossier.html?c=katjes&amp;viewer=1&amp;item=F942" TargetMode="External" Id="rId1884"/><Relationship Type="http://schemas.openxmlformats.org/officeDocument/2006/relationships/hyperlink" Target="https://vanillabonds.com/dossier-data/pdf/katjes/katjes-bond-2023-2028-terms.pdf#page=1" TargetMode="External" Id="rId1885"/><Relationship Type="http://schemas.openxmlformats.org/officeDocument/2006/relationships/hyperlink" Target="https://vanillabonds.com/dossier.html?c=katjes&amp;viewer=1&amp;item=F943" TargetMode="External" Id="rId1886"/><Relationship Type="http://schemas.openxmlformats.org/officeDocument/2006/relationships/hyperlink" Target="https://vanillabonds.com/dossier-data/pdf/katjes/katjes-bond-2023-2028-terms.pdf#page=1" TargetMode="External" Id="rId1887"/><Relationship Type="http://schemas.openxmlformats.org/officeDocument/2006/relationships/hyperlink" Target="https://vanillabonds.com/dossier.html?c=katjes&amp;viewer=1&amp;item=F944" TargetMode="External" Id="rId1888"/><Relationship Type="http://schemas.openxmlformats.org/officeDocument/2006/relationships/hyperlink" Target="https://vanillabonds.com/dossier-data/pdf/katjes/katjes-bond-2023-2028-terms.pdf#page=1" TargetMode="External" Id="rId1889"/><Relationship Type="http://schemas.openxmlformats.org/officeDocument/2006/relationships/hyperlink" Target="https://vanillabonds.com/dossier.html?c=katjes&amp;viewer=1&amp;item=F945" TargetMode="External" Id="rId1890"/><Relationship Type="http://schemas.openxmlformats.org/officeDocument/2006/relationships/hyperlink" Target="https://vanillabonds.com/dossier-data/pdf/katjes/katjes-bond-2023-2028-terms.pdf#page=2" TargetMode="External" Id="rId1891"/><Relationship Type="http://schemas.openxmlformats.org/officeDocument/2006/relationships/hyperlink" Target="https://vanillabonds.com/dossier.html?c=katjes&amp;viewer=1&amp;item=F946" TargetMode="External" Id="rId1892"/><Relationship Type="http://schemas.openxmlformats.org/officeDocument/2006/relationships/hyperlink" Target="https://vanillabonds.com/dossier-data/pdf/katjes/katjes-bond-2023-2028-terms.pdf#page=1" TargetMode="External" Id="rId1893"/><Relationship Type="http://schemas.openxmlformats.org/officeDocument/2006/relationships/hyperlink" Target="https://vanillabonds.com/dossier.html?c=katjes&amp;viewer=1&amp;item=F947" TargetMode="External" Id="rId1894"/><Relationship Type="http://schemas.openxmlformats.org/officeDocument/2006/relationships/hyperlink" Target="https://vanillabonds.com/dossier-data/pdf/katjes/katjes-bond-2023-2028-terms.pdf#page=2" TargetMode="External" Id="rId1895"/><Relationship Type="http://schemas.openxmlformats.org/officeDocument/2006/relationships/hyperlink" Target="https://vanillabonds.com/dossier.html?c=katjes&amp;viewer=1&amp;item=F948" TargetMode="External" Id="rId1896"/><Relationship Type="http://schemas.openxmlformats.org/officeDocument/2006/relationships/hyperlink" Target="https://vanillabonds.com/dossier-data/pdf/katjes/katjes-bond-2023-2028-terms.pdf#page=1" TargetMode="External" Id="rId1897"/><Relationship Type="http://schemas.openxmlformats.org/officeDocument/2006/relationships/hyperlink" Target="https://vanillabonds.com/dossier.html?c=katjes&amp;viewer=1&amp;item=F949" TargetMode="External" Id="rId1898"/><Relationship Type="http://schemas.openxmlformats.org/officeDocument/2006/relationships/hyperlink" Target="https://vanillabonds.com/dossier-data/pdf/katjes/katjes-bond-2023-2028-terms.pdf#page=1" TargetMode="External" Id="rId1899"/><Relationship Type="http://schemas.openxmlformats.org/officeDocument/2006/relationships/hyperlink" Target="https://vanillabonds.com/dossier.html?c=katjes&amp;viewer=1&amp;item=F950" TargetMode="External" Id="rId1900"/><Relationship Type="http://schemas.openxmlformats.org/officeDocument/2006/relationships/hyperlink" Target="https://vanillabonds.com/dossier-data/pdf/katjes/katjes-bond-2023-2028-terms.pdf#page=1" TargetMode="External" Id="rId1901"/><Relationship Type="http://schemas.openxmlformats.org/officeDocument/2006/relationships/hyperlink" Target="https://vanillabonds.com/dossier.html?c=katjes&amp;viewer=1&amp;item=F951" TargetMode="External" Id="rId1902"/><Relationship Type="http://schemas.openxmlformats.org/officeDocument/2006/relationships/hyperlink" Target="https://vanillabonds.com/dossier-data/pdf/katjes/katjes-bond-2023-2028-terms.pdf#page=1" TargetMode="External" Id="rId1903"/><Relationship Type="http://schemas.openxmlformats.org/officeDocument/2006/relationships/hyperlink" Target="https://vanillabonds.com/dossier.html?c=katjes&amp;viewer=1&amp;item=F952" TargetMode="External" Id="rId1904"/><Relationship Type="http://schemas.openxmlformats.org/officeDocument/2006/relationships/hyperlink" Target="https://vanillabonds.com/dossier-data/pdf/katjes/katjes-bond-2023-2028-terms.pdf#page=1" TargetMode="External" Id="rId1905"/><Relationship Type="http://schemas.openxmlformats.org/officeDocument/2006/relationships/hyperlink" Target="https://vanillabonds.com/dossier.html?c=katjes&amp;viewer=1&amp;item=F953" TargetMode="External" Id="rId1906"/><Relationship Type="http://schemas.openxmlformats.org/officeDocument/2006/relationships/hyperlink" Target="https://vanillabonds.com/dossier-data/pdf/katjes/katjes-bond-2023-2028-terms.pdf#page=1" TargetMode="External" Id="rId1907"/><Relationship Type="http://schemas.openxmlformats.org/officeDocument/2006/relationships/hyperlink" Target="https://vanillabonds.com/dossier.html?c=katjes&amp;viewer=1&amp;item=F954" TargetMode="External" Id="rId1908"/><Relationship Type="http://schemas.openxmlformats.org/officeDocument/2006/relationships/hyperlink" Target="https://vanillabonds.com/dossier-data/pdf/katjes/katjes-bond-2023-2028-terms.pdf#page=1" TargetMode="External" Id="rId1909"/><Relationship Type="http://schemas.openxmlformats.org/officeDocument/2006/relationships/hyperlink" Target="https://vanillabonds.com/dossier.html?c=katjes&amp;viewer=1&amp;item=F955" TargetMode="External" Id="rId1910"/><Relationship Type="http://schemas.openxmlformats.org/officeDocument/2006/relationships/hyperlink" Target="https://vanillabonds.com/dossier-data/pdf/katjes/katjes-bond-2023-2028-terms.pdf#page=2" TargetMode="External" Id="rId1911"/><Relationship Type="http://schemas.openxmlformats.org/officeDocument/2006/relationships/hyperlink" Target="https://vanillabonds.com/dossier.html?c=katjes&amp;viewer=1&amp;item=F956" TargetMode="External" Id="rId1912"/><Relationship Type="http://schemas.openxmlformats.org/officeDocument/2006/relationships/hyperlink" Target="https://vanillabonds.com/dossier-data/pdf/katjes/katjes-bond-2023-2028-terms.pdf#page=2" TargetMode="External" Id="rId1913"/><Relationship Type="http://schemas.openxmlformats.org/officeDocument/2006/relationships/hyperlink" Target="https://vanillabonds.com/dossier.html?c=katjes&amp;viewer=1&amp;item=F957" TargetMode="External" Id="rId1914"/><Relationship Type="http://schemas.openxmlformats.org/officeDocument/2006/relationships/hyperlink" Target="https://vanillabonds.com/dossier-data/pdf/katjes/katjes-bond-2023-2028-terms.pdf#page=2" TargetMode="External" Id="rId1915"/><Relationship Type="http://schemas.openxmlformats.org/officeDocument/2006/relationships/hyperlink" Target="https://vanillabonds.com/dossier.html?c=katjes&amp;viewer=1&amp;item=F958" TargetMode="External" Id="rId1916"/><Relationship Type="http://schemas.openxmlformats.org/officeDocument/2006/relationships/hyperlink" Target="https://vanillabonds.com/dossier-data/pdf/katjes/katjes-bond-2023-2028-terms.pdf#page=2" TargetMode="External" Id="rId1917"/><Relationship Type="http://schemas.openxmlformats.org/officeDocument/2006/relationships/hyperlink" Target="https://vanillabonds.com/dossier.html?c=katjes&amp;viewer=1&amp;item=F959" TargetMode="External" Id="rId1918"/><Relationship Type="http://schemas.openxmlformats.org/officeDocument/2006/relationships/hyperlink" Target="https://vanillabonds.com/dossier-data/pdf/katjes/katjes-bond-2023-2028-terms.pdf#page=2" TargetMode="External" Id="rId1919"/><Relationship Type="http://schemas.openxmlformats.org/officeDocument/2006/relationships/hyperlink" Target="https://vanillabonds.com/dossier.html?c=katjes&amp;viewer=1&amp;item=F960" TargetMode="External" Id="rId1920"/><Relationship Type="http://schemas.openxmlformats.org/officeDocument/2006/relationships/hyperlink" Target="https://vanillabonds.com/dossier-data/pdf/katjes/katjes-bond-2023-2028-terms.pdf#page=2" TargetMode="External" Id="rId1921"/><Relationship Type="http://schemas.openxmlformats.org/officeDocument/2006/relationships/hyperlink" Target="https://vanillabonds.com/dossier.html?c=katjes&amp;viewer=1&amp;item=F961" TargetMode="External" Id="rId1922"/><Relationship Type="http://schemas.openxmlformats.org/officeDocument/2006/relationships/hyperlink" Target="https://vanillabonds.com/dossier-data/pdf/katjes/katjes-bond-2023-2028-terms.pdf#page=2" TargetMode="External" Id="rId1923"/><Relationship Type="http://schemas.openxmlformats.org/officeDocument/2006/relationships/hyperlink" Target="https://vanillabonds.com/dossier.html?c=katjes&amp;viewer=1&amp;item=F962" TargetMode="External" Id="rId1924"/><Relationship Type="http://schemas.openxmlformats.org/officeDocument/2006/relationships/hyperlink" Target="https://vanillabonds.com/dossier-data/pdf/katjes/katjes-bond-2023-2028-terms.pdf#page=2" TargetMode="External" Id="rId1925"/><Relationship Type="http://schemas.openxmlformats.org/officeDocument/2006/relationships/hyperlink" Target="https://vanillabonds.com/dossier.html?c=katjes&amp;viewer=1&amp;item=F963" TargetMode="External" Id="rId1926"/><Relationship Type="http://schemas.openxmlformats.org/officeDocument/2006/relationships/hyperlink" Target="https://vanillabonds.com/dossier-data/pdf/katjes/katjes-bond-2023-2028-terms.pdf#page=2" TargetMode="External" Id="rId1927"/><Relationship Type="http://schemas.openxmlformats.org/officeDocument/2006/relationships/hyperlink" Target="https://vanillabonds.com/dossier.html?c=katjes&amp;viewer=1&amp;item=F964" TargetMode="External" Id="rId1928"/><Relationship Type="http://schemas.openxmlformats.org/officeDocument/2006/relationships/hyperlink" Target="https://vanillabonds.com/dossier-data/pdf/katjes/katjes-bond-2023-2028-terms.pdf#page=2" TargetMode="External" Id="rId1929"/><Relationship Type="http://schemas.openxmlformats.org/officeDocument/2006/relationships/hyperlink" Target="https://vanillabonds.com/dossier.html?c=katjes&amp;viewer=1&amp;item=F965" TargetMode="External" Id="rId1930"/><Relationship Type="http://schemas.openxmlformats.org/officeDocument/2006/relationships/hyperlink" Target="https://vanillabonds.com/dossier-data/pdf/katjes/katjes-bond-2023-2028-terms.pdf#page=1" TargetMode="External" Id="rId1931"/><Relationship Type="http://schemas.openxmlformats.org/officeDocument/2006/relationships/hyperlink" Target="https://vanillabonds.com/dossier.html?c=katjes&amp;viewer=1&amp;item=F966" TargetMode="External" Id="rId1932"/><Relationship Type="http://schemas.openxmlformats.org/officeDocument/2006/relationships/hyperlink" Target="https://vanillabonds.com/dossier-data/pdf/katjes/katjes-bond-2023-2028-terms.pdf#page=1" TargetMode="External" Id="rId1933"/><Relationship Type="http://schemas.openxmlformats.org/officeDocument/2006/relationships/hyperlink" Target="https://vanillabonds.com/dossier.html?c=katjes&amp;viewer=1&amp;item=F967" TargetMode="External" Id="rId1934"/><Relationship Type="http://schemas.openxmlformats.org/officeDocument/2006/relationships/hyperlink" Target="https://vanillabonds.com/dossier-data/pdf/katjes/katjes-bond-2023-2028-terms.pdf#page=1" TargetMode="External" Id="rId1935"/><Relationship Type="http://schemas.openxmlformats.org/officeDocument/2006/relationships/hyperlink" Target="https://vanillabonds.com/dossier.html?c=katjes&amp;viewer=1&amp;item=F968" TargetMode="External" Id="rId1936"/><Relationship Type="http://schemas.openxmlformats.org/officeDocument/2006/relationships/hyperlink" Target="https://vanillabonds.com/dossier-data/pdf/katjes/katjes-bond-2023-2028-terms.pdf#page=1" TargetMode="External" Id="rId1937"/><Relationship Type="http://schemas.openxmlformats.org/officeDocument/2006/relationships/hyperlink" Target="https://vanillabonds.com/dossier.html?c=katjes&amp;viewer=1&amp;item=F969" TargetMode="External" Id="rId1938"/><Relationship Type="http://schemas.openxmlformats.org/officeDocument/2006/relationships/hyperlink" Target="https://vanillabonds.com/dossier-data/pdf/katjes/katjes-bond-2023-2028-terms.pdf#page=2" TargetMode="External" Id="rId1939"/><Relationship Type="http://schemas.openxmlformats.org/officeDocument/2006/relationships/hyperlink" Target="https://vanillabonds.com/dossier.html?c=katjes&amp;viewer=1&amp;item=F970" TargetMode="External" Id="rId1940"/><Relationship Type="http://schemas.openxmlformats.org/officeDocument/2006/relationships/hyperlink" Target="https://vanillabonds.com/dossier-data/pdf/katjes/katjes-bond-2023-2028-terms.pdf#page=2" TargetMode="External" Id="rId1941"/><Relationship Type="http://schemas.openxmlformats.org/officeDocument/2006/relationships/hyperlink" Target="https://vanillabonds.com/dossier.html?c=katjes&amp;viewer=1&amp;item=F971" TargetMode="External" Id="rId1942"/><Relationship Type="http://schemas.openxmlformats.org/officeDocument/2006/relationships/hyperlink" Target="https://vanillabonds.com/dossier-data/pdf/katjes/katjes-bond-2023-2028-terms.pdf#page=2" TargetMode="External" Id="rId1943"/><Relationship Type="http://schemas.openxmlformats.org/officeDocument/2006/relationships/hyperlink" Target="https://vanillabonds.com/dossier.html?c=katjes&amp;viewer=1&amp;item=F972" TargetMode="External" Id="rId1944"/><Relationship Type="http://schemas.openxmlformats.org/officeDocument/2006/relationships/hyperlink" Target="https://vanillabonds.com/dossier-data/pdf/katjes/katjes-bond-2023-2028-terms.pdf#page=1" TargetMode="External" Id="rId1945"/><Relationship Type="http://schemas.openxmlformats.org/officeDocument/2006/relationships/hyperlink" Target="https://vanillabonds.com/dossier.html?c=katjes&amp;viewer=1&amp;item=F973" TargetMode="External" Id="rId1946"/><Relationship Type="http://schemas.openxmlformats.org/officeDocument/2006/relationships/hyperlink" Target="https://vanillabonds.com/dossier-data/pdf/katjes/katjes-bond-2023-2028-terms.pdf#page=1" TargetMode="External" Id="rId1947"/><Relationship Type="http://schemas.openxmlformats.org/officeDocument/2006/relationships/hyperlink" Target="https://vanillabonds.com/dossier.html?c=katjes&amp;viewer=1&amp;item=F974" TargetMode="External" Id="rId1948"/><Relationship Type="http://schemas.openxmlformats.org/officeDocument/2006/relationships/hyperlink" Target="https://vanillabonds.com/dossier-data/pdf/katjes/katjes-bond-2023-2028-terms.pdf#page=1" TargetMode="External" Id="rId1949"/><Relationship Type="http://schemas.openxmlformats.org/officeDocument/2006/relationships/hyperlink" Target="https://vanillabonds.com/dossier.html?c=katjes&amp;viewer=1&amp;item=F975" TargetMode="External" Id="rId1950"/><Relationship Type="http://schemas.openxmlformats.org/officeDocument/2006/relationships/hyperlink" Target="https://vanillabonds.com/dossier-data/pdf/katjes/katjes-bond-2023-2028-terms.pdf#page=1" TargetMode="External" Id="rId1951"/><Relationship Type="http://schemas.openxmlformats.org/officeDocument/2006/relationships/hyperlink" Target="https://vanillabonds.com/dossier.html?c=katjes&amp;viewer=1&amp;item=F976" TargetMode="External" Id="rId1952"/><Relationship Type="http://schemas.openxmlformats.org/officeDocument/2006/relationships/hyperlink" Target="https://vanillabonds.com/dossier-data/pdf/katjes/katjes-bond-2023-2028-terms.pdf#page=1" TargetMode="External" Id="rId1953"/><Relationship Type="http://schemas.openxmlformats.org/officeDocument/2006/relationships/hyperlink" Target="https://vanillabonds.com/dossier.html?c=katjes&amp;viewer=1&amp;item=F977" TargetMode="External" Id="rId1954"/><Relationship Type="http://schemas.openxmlformats.org/officeDocument/2006/relationships/hyperlink" Target="https://vanillabonds.com/dossier-data/pdf/katjes/katjes-bond-2023-2028-terms.pdf#page=1" TargetMode="External" Id="rId1955"/><Relationship Type="http://schemas.openxmlformats.org/officeDocument/2006/relationships/hyperlink" Target="https://vanillabonds.com/dossier.html?c=katjes&amp;viewer=1&amp;item=F978" TargetMode="External" Id="rId1956"/><Relationship Type="http://schemas.openxmlformats.org/officeDocument/2006/relationships/hyperlink" Target="https://vanillabonds.com/dossier-data/pdf/katjes/katjes-bond-2023-2028-terms.pdf#page=1" TargetMode="External" Id="rId1957"/><Relationship Type="http://schemas.openxmlformats.org/officeDocument/2006/relationships/hyperlink" Target="https://vanillabonds.com/dossier.html?c=katjes&amp;viewer=1&amp;item=F979" TargetMode="External" Id="rId1958"/><Relationship Type="http://schemas.openxmlformats.org/officeDocument/2006/relationships/hyperlink" Target="https://vanillabonds.com/dossier-data/pdf/katjes/katjes-bond-2023-2028-terms.pdf#page=1" TargetMode="External" Id="rId1959"/><Relationship Type="http://schemas.openxmlformats.org/officeDocument/2006/relationships/hyperlink" Target="https://vanillabonds.com/dossier.html?c=katjes&amp;viewer=1&amp;item=F980" TargetMode="External" Id="rId1960"/><Relationship Type="http://schemas.openxmlformats.org/officeDocument/2006/relationships/hyperlink" Target="https://vanillabonds.com/dossier-data/pdf/katjes/katjes-bond-2023-2028-terms.pdf#page=1" TargetMode="External" Id="rId1961"/><Relationship Type="http://schemas.openxmlformats.org/officeDocument/2006/relationships/hyperlink" Target="https://vanillabonds.com/dossier.html?c=katjes&amp;viewer=1&amp;item=F981" TargetMode="External" Id="rId1962"/><Relationship Type="http://schemas.openxmlformats.org/officeDocument/2006/relationships/hyperlink" Target="https://vanillabonds.com/dossier-data/pdf/katjes/katjes-bond-2023-2028-terms.pdf#page=1" TargetMode="External" Id="rId1963"/><Relationship Type="http://schemas.openxmlformats.org/officeDocument/2006/relationships/hyperlink" Target="https://vanillabonds.com/dossier.html?c=katjes&amp;viewer=1&amp;item=F982" TargetMode="External" Id="rId1964"/><Relationship Type="http://schemas.openxmlformats.org/officeDocument/2006/relationships/hyperlink" Target="https://vanillabonds.com/dossier-data/pdf/katjes/katjes-bond-2023-2028-terms.pdf#page=1" TargetMode="External" Id="rId1965"/><Relationship Type="http://schemas.openxmlformats.org/officeDocument/2006/relationships/hyperlink" Target="https://vanillabonds.com/dossier.html?c=katjes&amp;viewer=1&amp;item=F983" TargetMode="External" Id="rId1966"/><Relationship Type="http://schemas.openxmlformats.org/officeDocument/2006/relationships/hyperlink" Target="https://vanillabonds.com/dossier-data/pdf/katjes/katjes-bond-2023-2028-terms.pdf#page=1" TargetMode="External" Id="rId1967"/><Relationship Type="http://schemas.openxmlformats.org/officeDocument/2006/relationships/hyperlink" Target="https://vanillabonds.com/dossier.html?c=katjes&amp;viewer=1&amp;item=F984" TargetMode="External" Id="rId1968"/><Relationship Type="http://schemas.openxmlformats.org/officeDocument/2006/relationships/hyperlink" Target="https://vanillabonds.com/dossier-data/pdf/katjes/katjes-bond-2023-2028-terms.pdf#page=1" TargetMode="External" Id="rId1969"/><Relationship Type="http://schemas.openxmlformats.org/officeDocument/2006/relationships/hyperlink" Target="https://vanillabonds.com/dossier.html?c=katjes&amp;viewer=1&amp;item=F985" TargetMode="External" Id="rId1970"/><Relationship Type="http://schemas.openxmlformats.org/officeDocument/2006/relationships/hyperlink" Target="https://vanillabonds.com/dossier-data/pdf/katjes/katjes-bond-2023-2028-terms.pdf#page=1" TargetMode="External" Id="rId1971"/><Relationship Type="http://schemas.openxmlformats.org/officeDocument/2006/relationships/hyperlink" Target="https://vanillabonds.com/dossier.html?c=katjes&amp;viewer=1&amp;item=F986" TargetMode="External" Id="rId1972"/><Relationship Type="http://schemas.openxmlformats.org/officeDocument/2006/relationships/hyperlink" Target="https://vanillabonds.com/dossier-data/pdf/katjes/katjes-bond-2023-2028-terms.pdf#page=1" TargetMode="External" Id="rId1973"/><Relationship Type="http://schemas.openxmlformats.org/officeDocument/2006/relationships/hyperlink" Target="https://vanillabonds.com/dossier.html?c=katjes&amp;viewer=1&amp;item=F987" TargetMode="External" Id="rId1974"/><Relationship Type="http://schemas.openxmlformats.org/officeDocument/2006/relationships/hyperlink" Target="https://vanillabonds.com/dossier-data/pdf/katjes/katjes-bond-2023-2028-terms.pdf#page=1" TargetMode="External" Id="rId1975"/><Relationship Type="http://schemas.openxmlformats.org/officeDocument/2006/relationships/hyperlink" Target="https://vanillabonds.com/dossier.html?c=katjes&amp;viewer=1&amp;item=F988" TargetMode="External" Id="rId1976"/><Relationship Type="http://schemas.openxmlformats.org/officeDocument/2006/relationships/hyperlink" Target="https://vanillabonds.com/dossier-data/pdf/katjes/katjes-bond-2023-2028-terms.pdf#page=1" TargetMode="External" Id="rId1977"/><Relationship Type="http://schemas.openxmlformats.org/officeDocument/2006/relationships/hyperlink" Target="https://vanillabonds.com/dossier.html?c=katjes&amp;viewer=1&amp;item=F989" TargetMode="External" Id="rId1978"/><Relationship Type="http://schemas.openxmlformats.org/officeDocument/2006/relationships/hyperlink" Target="https://vanillabonds.com/dossier-data/pdf/katjes/katjes-bond-2023-2028-terms.pdf#page=1" TargetMode="External" Id="rId1979"/><Relationship Type="http://schemas.openxmlformats.org/officeDocument/2006/relationships/hyperlink" Target="https://vanillabonds.com/dossier.html?c=katjes&amp;viewer=1&amp;item=F990" TargetMode="External" Id="rId1980"/><Relationship Type="http://schemas.openxmlformats.org/officeDocument/2006/relationships/hyperlink" Target="https://vanillabonds.com/dossier-data/pdf/katjes/katjes-bond-2023-2028-terms.pdf#page=1" TargetMode="External" Id="rId1981"/><Relationship Type="http://schemas.openxmlformats.org/officeDocument/2006/relationships/hyperlink" Target="https://vanillabonds.com/dossier.html?c=katjes&amp;viewer=1&amp;item=F991" TargetMode="External" Id="rId1982"/><Relationship Type="http://schemas.openxmlformats.org/officeDocument/2006/relationships/hyperlink" Target="https://vanillabonds.com/dossier-data/pdf/katjes/katjes-bond-2023-2028-terms.pdf#page=1" TargetMode="External" Id="rId1983"/><Relationship Type="http://schemas.openxmlformats.org/officeDocument/2006/relationships/hyperlink" Target="https://vanillabonds.com/dossier.html?c=katjes&amp;viewer=1&amp;item=F992" TargetMode="External" Id="rId1984"/><Relationship Type="http://schemas.openxmlformats.org/officeDocument/2006/relationships/hyperlink" Target="https://vanillabonds.com/dossier-data/pdf/katjes/katjes-bond-2023-2028-terms.pdf#page=1" TargetMode="External" Id="rId1985"/><Relationship Type="http://schemas.openxmlformats.org/officeDocument/2006/relationships/hyperlink" Target="https://vanillabonds.com/dossier.html?c=katjes&amp;viewer=1&amp;item=F993" TargetMode="External" Id="rId1986"/><Relationship Type="http://schemas.openxmlformats.org/officeDocument/2006/relationships/hyperlink" Target="https://vanillabonds.com/dossier-data/pdf/katjes/katjes-bond-2023-2028-terms.pdf#page=1" TargetMode="External" Id="rId1987"/><Relationship Type="http://schemas.openxmlformats.org/officeDocument/2006/relationships/hyperlink" Target="https://vanillabonds.com/dossier.html?c=katjes&amp;viewer=1&amp;item=F994" TargetMode="External" Id="rId1988"/><Relationship Type="http://schemas.openxmlformats.org/officeDocument/2006/relationships/hyperlink" Target="https://vanillabonds.com/dossier-data/pdf/katjes/katjes-bond-2023-2028-terms.pdf#page=1" TargetMode="External" Id="rId1989"/><Relationship Type="http://schemas.openxmlformats.org/officeDocument/2006/relationships/hyperlink" Target="https://vanillabonds.com/dossier.html?c=katjes&amp;viewer=1&amp;item=F995" TargetMode="External" Id="rId1990"/><Relationship Type="http://schemas.openxmlformats.org/officeDocument/2006/relationships/hyperlink" Target="https://vanillabonds.com/dossier-data/pdf/katjes/katjes-bond-2023-2028-terms.pdf#page=1" TargetMode="External" Id="rId1991"/><Relationship Type="http://schemas.openxmlformats.org/officeDocument/2006/relationships/hyperlink" Target="https://vanillabonds.com/dossier.html?c=katjes&amp;viewer=1&amp;item=F996" TargetMode="External" Id="rId1992"/><Relationship Type="http://schemas.openxmlformats.org/officeDocument/2006/relationships/hyperlink" Target="https://vanillabonds.com/dossier-data/pdf/katjes/katjes-bond-2023-2028-terms.pdf#page=1" TargetMode="External" Id="rId1993"/><Relationship Type="http://schemas.openxmlformats.org/officeDocument/2006/relationships/hyperlink" Target="https://vanillabonds.com/dossier.html?c=katjes&amp;viewer=1&amp;item=F997" TargetMode="External" Id="rId1994"/><Relationship Type="http://schemas.openxmlformats.org/officeDocument/2006/relationships/hyperlink" Target="https://vanillabonds.com/dossier-data/pdf/katjes/katjes-bond-2023-2028-terms.pdf#page=2" TargetMode="External" Id="rId1995"/><Relationship Type="http://schemas.openxmlformats.org/officeDocument/2006/relationships/hyperlink" Target="https://vanillabonds.com/dossier.html?c=katjes&amp;viewer=1&amp;item=F998" TargetMode="External" Id="rId1996"/><Relationship Type="http://schemas.openxmlformats.org/officeDocument/2006/relationships/hyperlink" Target="https://vanillabonds.com/dossier-data/pdf/katjes/katjes-bond-2023-2028-terms.pdf#page=2" TargetMode="External" Id="rId1997"/><Relationship Type="http://schemas.openxmlformats.org/officeDocument/2006/relationships/hyperlink" Target="https://vanillabonds.com/dossier.html?c=katjes&amp;viewer=1&amp;item=F999" TargetMode="External" Id="rId1998"/><Relationship Type="http://schemas.openxmlformats.org/officeDocument/2006/relationships/hyperlink" Target="https://vanillabonds.com/dossier-data/pdf/katjes/katjes-bond-2023-2028-terms.pdf#page=2" TargetMode="External" Id="rId1999"/><Relationship Type="http://schemas.openxmlformats.org/officeDocument/2006/relationships/hyperlink" Target="https://vanillabonds.com/dossier.html?c=katjes&amp;viewer=1&amp;item=F1000" TargetMode="External" Id="rId2000"/><Relationship Type="http://schemas.openxmlformats.org/officeDocument/2006/relationships/hyperlink" Target="https://vanillabonds.com/dossier-data/pdf/katjes/katjes-bond-2023-2028-terms.pdf#page=2" TargetMode="External" Id="rId2001"/><Relationship Type="http://schemas.openxmlformats.org/officeDocument/2006/relationships/hyperlink" Target="https://vanillabonds.com/dossier.html?c=katjes&amp;viewer=1&amp;item=F1001" TargetMode="External" Id="rId2002"/><Relationship Type="http://schemas.openxmlformats.org/officeDocument/2006/relationships/hyperlink" Target="https://vanillabonds.com/dossier-data/pdf/katjes/katjes-h1-2026-interim-report.pdf#page=49" TargetMode="External" Id="rId2003"/><Relationship Type="http://schemas.openxmlformats.org/officeDocument/2006/relationships/hyperlink" Target="https://vanillabonds.com/dossier.html?c=katjes&amp;viewer=1&amp;item=F1002" TargetMode="External" Id="rId2004"/><Relationship Type="http://schemas.openxmlformats.org/officeDocument/2006/relationships/hyperlink" Target="https://vanillabonds.com/dossier-data/pdf/katjes/katjes-h1-2026-interim-report.pdf#page=36" TargetMode="External" Id="rId2005"/><Relationship Type="http://schemas.openxmlformats.org/officeDocument/2006/relationships/hyperlink" Target="https://vanillabonds.com/dossier.html?c=katjes&amp;viewer=1&amp;item=F1003" TargetMode="External" Id="rId2006"/><Relationship Type="http://schemas.openxmlformats.org/officeDocument/2006/relationships/hyperlink" Target="https://vanillabonds.com/dossier-data/pdf/katjes/katjes-h1-2026-interim-report.pdf#page=36" TargetMode="External" Id="rId2007"/><Relationship Type="http://schemas.openxmlformats.org/officeDocument/2006/relationships/hyperlink" Target="https://vanillabonds.com/dossier.html?c=katjes&amp;viewer=1&amp;item=F1004" TargetMode="External" Id="rId2008"/><Relationship Type="http://schemas.openxmlformats.org/officeDocument/2006/relationships/hyperlink" Target="https://vanillabonds.com/dossier-data/pdf/katjes/katjes-h1-2026-interim-report.pdf#page=7" TargetMode="External" Id="rId2009"/><Relationship Type="http://schemas.openxmlformats.org/officeDocument/2006/relationships/hyperlink" Target="https://vanillabonds.com/dossier.html?c=katjes&amp;viewer=1&amp;item=F1005" TargetMode="External" Id="rId2010"/><Relationship Type="http://schemas.openxmlformats.org/officeDocument/2006/relationships/hyperlink" Target="https://vanillabonds.com/dossier-data/pdf/katjes/katjes-h1-2026-interim-report.pdf#page=36" TargetMode="External" Id="rId2011"/><Relationship Type="http://schemas.openxmlformats.org/officeDocument/2006/relationships/hyperlink" Target="https://vanillabonds.com/dossier.html?c=katjes&amp;viewer=1&amp;item=F1006" TargetMode="External" Id="rId2012"/><Relationship Type="http://schemas.openxmlformats.org/officeDocument/2006/relationships/hyperlink" Target="https://vanillabonds.com/dossier-data/pdf/katjes/katjes-h1-2026-interim-report.pdf#page=36" TargetMode="External" Id="rId2013"/><Relationship Type="http://schemas.openxmlformats.org/officeDocument/2006/relationships/hyperlink" Target="https://vanillabonds.com/dossier.html?c=katjes&amp;viewer=1&amp;item=F1007" TargetMode="External" Id="rId2014"/><Relationship Type="http://schemas.openxmlformats.org/officeDocument/2006/relationships/hyperlink" Target="https://vanillabonds.com/dossier-data/pdf/katjes/katjes-h1-2026-interim-report.pdf#page=45" TargetMode="External" Id="rId2015"/><Relationship Type="http://schemas.openxmlformats.org/officeDocument/2006/relationships/hyperlink" Target="https://vanillabonds.com/dossier.html?c=katjes&amp;viewer=1&amp;item=F1008" TargetMode="External" Id="rId2016"/><Relationship Type="http://schemas.openxmlformats.org/officeDocument/2006/relationships/hyperlink" Target="https://vanillabonds.com/dossier-data/pdf/katjes/katjes-h1-2026-interim-report.pdf#page=19" TargetMode="External" Id="rId2017"/><Relationship Type="http://schemas.openxmlformats.org/officeDocument/2006/relationships/hyperlink" Target="https://vanillabonds.com/dossier.html?c=katjes&amp;viewer=1&amp;item=F1009" TargetMode="External" Id="rId2018"/><Relationship Type="http://schemas.openxmlformats.org/officeDocument/2006/relationships/hyperlink" Target="https://vanillabonds.com/dossier-data/pdf/katjes/katjes-h1-2026-interim-report.pdf#page=25" TargetMode="External" Id="rId2019"/><Relationship Type="http://schemas.openxmlformats.org/officeDocument/2006/relationships/hyperlink" Target="https://vanillabonds.com/dossier.html?c=katjes&amp;viewer=1&amp;item=F1010" TargetMode="External" Id="rId2020"/><Relationship Type="http://schemas.openxmlformats.org/officeDocument/2006/relationships/hyperlink" Target="https://vanillabonds.com/dossier-data/pdf/katjes/katjes-h1-2026-interim-report.pdf#page=25" TargetMode="External" Id="rId2021"/><Relationship Type="http://schemas.openxmlformats.org/officeDocument/2006/relationships/hyperlink" Target="https://vanillabonds.com/dossier.html?c=katjes&amp;viewer=1&amp;item=F1011" TargetMode="External" Id="rId2022"/><Relationship Type="http://schemas.openxmlformats.org/officeDocument/2006/relationships/hyperlink" Target="https://vanillabonds.com/dossier-data/pdf/katjes/katjes-h1-2026-interim-report.pdf#page=48" TargetMode="External" Id="rId2023"/><Relationship Type="http://schemas.openxmlformats.org/officeDocument/2006/relationships/hyperlink" Target="https://vanillabonds.com/dossier.html?c=katjes&amp;viewer=1&amp;item=F1012" TargetMode="External" Id="rId2024"/><Relationship Type="http://schemas.openxmlformats.org/officeDocument/2006/relationships/hyperlink" Target="https://vanillabonds.com/dossier-data/pdf/katjes/katjes-h1-2026-interim-report.pdf#page=37" TargetMode="External" Id="rId2025"/><Relationship Type="http://schemas.openxmlformats.org/officeDocument/2006/relationships/hyperlink" Target="https://vanillabonds.com/dossier.html?c=katjes&amp;viewer=1&amp;item=F1013" TargetMode="External" Id="rId2026"/><Relationship Type="http://schemas.openxmlformats.org/officeDocument/2006/relationships/hyperlink" Target="https://vanillabonds.com/dossier-data/pdf/katjes/katjes-h1-2026-interim-report.pdf#page=37" TargetMode="External" Id="rId2027"/><Relationship Type="http://schemas.openxmlformats.org/officeDocument/2006/relationships/hyperlink" Target="https://vanillabonds.com/dossier.html?c=katjes&amp;viewer=1&amp;item=F1014" TargetMode="External" Id="rId2028"/><Relationship Type="http://schemas.openxmlformats.org/officeDocument/2006/relationships/hyperlink" Target="https://vanillabonds.com/dossier-data/pdf/katjes/katjes-h1-2026-interim-report.pdf#page=37" TargetMode="External" Id="rId2029"/><Relationship Type="http://schemas.openxmlformats.org/officeDocument/2006/relationships/hyperlink" Target="https://vanillabonds.com/dossier.html?c=katjes&amp;viewer=1&amp;item=F1015" TargetMode="External" Id="rId2030"/><Relationship Type="http://schemas.openxmlformats.org/officeDocument/2006/relationships/hyperlink" Target="https://vanillabonds.com/dossier-data/pdf/katjes/katjes-h1-2026-interim-report.pdf#page=7" TargetMode="External" Id="rId2031"/><Relationship Type="http://schemas.openxmlformats.org/officeDocument/2006/relationships/hyperlink" Target="https://vanillabonds.com/dossier.html?c=katjes&amp;viewer=1&amp;item=F1016" TargetMode="External" Id="rId2032"/><Relationship Type="http://schemas.openxmlformats.org/officeDocument/2006/relationships/hyperlink" Target="https://vanillabonds.com/dossier-data/pdf/katjes/katjes-h1-2026-interim-report.pdf#page=9" TargetMode="External" Id="rId2033"/><Relationship Type="http://schemas.openxmlformats.org/officeDocument/2006/relationships/hyperlink" Target="https://vanillabonds.com/dossier.html?c=katjes&amp;viewer=1&amp;item=F1017" TargetMode="External" Id="rId2034"/><Relationship Type="http://schemas.openxmlformats.org/officeDocument/2006/relationships/hyperlink" Target="https://vanillabonds.com/dossier-data/pdf/katjes/katjes-h1-2026-interim-report.pdf#page=9" TargetMode="External" Id="rId2035"/><Relationship Type="http://schemas.openxmlformats.org/officeDocument/2006/relationships/hyperlink" Target="https://vanillabonds.com/dossier.html?c=katjes&amp;viewer=1&amp;item=F1018" TargetMode="External" Id="rId2036"/><Relationship Type="http://schemas.openxmlformats.org/officeDocument/2006/relationships/hyperlink" Target="https://vanillabonds.com/dossier-data/pdf/katjes/katjes-h1-2026-interim-report.pdf#page=12" TargetMode="External" Id="rId2037"/><Relationship Type="http://schemas.openxmlformats.org/officeDocument/2006/relationships/hyperlink" Target="https://vanillabonds.com/dossier.html?c=katjes&amp;viewer=1&amp;item=F1019" TargetMode="External" Id="rId2038"/><Relationship Type="http://schemas.openxmlformats.org/officeDocument/2006/relationships/hyperlink" Target="https://vanillabonds.com/dossier-data/pdf/katjes/katjes-h1-2026-interim-report.pdf#page=13" TargetMode="External" Id="rId2039"/><Relationship Type="http://schemas.openxmlformats.org/officeDocument/2006/relationships/hyperlink" Target="https://vanillabonds.com/dossier.html?c=katjes&amp;viewer=1&amp;item=F1020" TargetMode="External" Id="rId2040"/><Relationship Type="http://schemas.openxmlformats.org/officeDocument/2006/relationships/hyperlink" Target="https://vanillabonds.com/dossier-data/pdf/katjes/katjes-h1-2026-interim-report.pdf#page=15" TargetMode="External" Id="rId2041"/><Relationship Type="http://schemas.openxmlformats.org/officeDocument/2006/relationships/hyperlink" Target="https://vanillabonds.com/dossier.html?c=katjes&amp;viewer=1&amp;item=F1021" TargetMode="External" Id="rId2042"/><Relationship Type="http://schemas.openxmlformats.org/officeDocument/2006/relationships/hyperlink" Target="https://vanillabonds.com/dossier-data/pdf/katjes/katjes-h1-2026-interim-report.pdf#page=17" TargetMode="External" Id="rId2043"/><Relationship Type="http://schemas.openxmlformats.org/officeDocument/2006/relationships/hyperlink" Target="https://vanillabonds.com/dossier.html?c=katjes&amp;viewer=1&amp;item=F1022" TargetMode="External" Id="rId2044"/><Relationship Type="http://schemas.openxmlformats.org/officeDocument/2006/relationships/hyperlink" Target="https://vanillabonds.com/dossier-data/pdf/katjes/katjes-h1-2026-interim-report.pdf#page=17" TargetMode="External" Id="rId2045"/><Relationship Type="http://schemas.openxmlformats.org/officeDocument/2006/relationships/hyperlink" Target="https://vanillabonds.com/dossier.html?c=katjes&amp;viewer=1&amp;item=F1023" TargetMode="External" Id="rId2046"/><Relationship Type="http://schemas.openxmlformats.org/officeDocument/2006/relationships/hyperlink" Target="https://vanillabonds.com/dossier-data/pdf/katjes/katjes-h1-2026-interim-report.pdf#page=18" TargetMode="External" Id="rId2047"/><Relationship Type="http://schemas.openxmlformats.org/officeDocument/2006/relationships/hyperlink" Target="https://vanillabonds.com/dossier.html?c=katjes&amp;viewer=1&amp;item=F1024" TargetMode="External" Id="rId2048"/><Relationship Type="http://schemas.openxmlformats.org/officeDocument/2006/relationships/hyperlink" Target="https://vanillabonds.com/dossier-data/pdf/katjes/katjes-h1-2026-interim-report.pdf#page=18" TargetMode="External" Id="rId2049"/><Relationship Type="http://schemas.openxmlformats.org/officeDocument/2006/relationships/hyperlink" Target="https://vanillabonds.com/dossier.html?c=katjes&amp;viewer=1&amp;item=F1025" TargetMode="External" Id="rId2050"/><Relationship Type="http://schemas.openxmlformats.org/officeDocument/2006/relationships/hyperlink" Target="https://vanillabonds.com/dossier-data/pdf/katjes/katjes-h1-2026-interim-report.pdf#page=18" TargetMode="External" Id="rId2051"/><Relationship Type="http://schemas.openxmlformats.org/officeDocument/2006/relationships/hyperlink" Target="https://vanillabonds.com/dossier.html?c=katjes&amp;viewer=1&amp;item=F1026" TargetMode="External" Id="rId2052"/><Relationship Type="http://schemas.openxmlformats.org/officeDocument/2006/relationships/hyperlink" Target="https://vanillabonds.com/dossier-data/pdf/katjes/katjes-h1-2026-interim-report.pdf#page=18" TargetMode="External" Id="rId2053"/><Relationship Type="http://schemas.openxmlformats.org/officeDocument/2006/relationships/hyperlink" Target="https://vanillabonds.com/dossier.html?c=katjes&amp;viewer=1&amp;item=F1027" TargetMode="External" Id="rId2054"/><Relationship Type="http://schemas.openxmlformats.org/officeDocument/2006/relationships/hyperlink" Target="https://vanillabonds.com/dossier-data/pdf/katjes/katjes-h1-2026-interim-report.pdf#page=18" TargetMode="External" Id="rId2055"/><Relationship Type="http://schemas.openxmlformats.org/officeDocument/2006/relationships/hyperlink" Target="https://vanillabonds.com/dossier.html?c=katjes&amp;viewer=1&amp;item=F1028" TargetMode="External" Id="rId2056"/><Relationship Type="http://schemas.openxmlformats.org/officeDocument/2006/relationships/hyperlink" Target="https://vanillabonds.com/dossier-data/pdf/katjes/katjes-h1-2026-interim-report.pdf#page=22" TargetMode="External" Id="rId2057"/><Relationship Type="http://schemas.openxmlformats.org/officeDocument/2006/relationships/hyperlink" Target="https://vanillabonds.com/dossier.html?c=katjes&amp;viewer=1&amp;item=F1029" TargetMode="External" Id="rId2058"/><Relationship Type="http://schemas.openxmlformats.org/officeDocument/2006/relationships/hyperlink" Target="https://vanillabonds.com/dossier-data/pdf/katjes/katjes-h1-2026-interim-report.pdf#page=23" TargetMode="External" Id="rId2059"/><Relationship Type="http://schemas.openxmlformats.org/officeDocument/2006/relationships/hyperlink" Target="https://vanillabonds.com/dossier.html?c=katjes&amp;viewer=1&amp;item=F1030" TargetMode="External" Id="rId2060"/><Relationship Type="http://schemas.openxmlformats.org/officeDocument/2006/relationships/hyperlink" Target="https://vanillabonds.com/dossier-data/pdf/katjes/katjes-h1-2026-interim-report.pdf#page=24" TargetMode="External" Id="rId2061"/><Relationship Type="http://schemas.openxmlformats.org/officeDocument/2006/relationships/hyperlink" Target="https://vanillabonds.com/dossier.html?c=katjes&amp;viewer=1&amp;item=F1031" TargetMode="External" Id="rId2062"/><Relationship Type="http://schemas.openxmlformats.org/officeDocument/2006/relationships/hyperlink" Target="https://vanillabonds.com/dossier-data/pdf/katjes/katjes-h1-2026-interim-report.pdf#page=24" TargetMode="External" Id="rId2063"/><Relationship Type="http://schemas.openxmlformats.org/officeDocument/2006/relationships/hyperlink" Target="https://vanillabonds.com/dossier.html?c=katjes&amp;viewer=1&amp;item=F1032" TargetMode="External" Id="rId2064"/><Relationship Type="http://schemas.openxmlformats.org/officeDocument/2006/relationships/hyperlink" Target="https://vanillabonds.com/dossier-data/pdf/katjes/katjes-h1-2026-interim-report.pdf#page=24" TargetMode="External" Id="rId2065"/><Relationship Type="http://schemas.openxmlformats.org/officeDocument/2006/relationships/hyperlink" Target="https://vanillabonds.com/dossier.html?c=katjes&amp;viewer=1&amp;item=F1033" TargetMode="External" Id="rId2066"/><Relationship Type="http://schemas.openxmlformats.org/officeDocument/2006/relationships/hyperlink" Target="https://vanillabonds.com/dossier-data/pdf/katjes/katjes-h1-2026-interim-report.pdf#page=25" TargetMode="External" Id="rId2067"/><Relationship Type="http://schemas.openxmlformats.org/officeDocument/2006/relationships/hyperlink" Target="https://vanillabonds.com/dossier.html?c=katjes&amp;viewer=1&amp;item=F1034" TargetMode="External" Id="rId2068"/><Relationship Type="http://schemas.openxmlformats.org/officeDocument/2006/relationships/hyperlink" Target="https://vanillabonds.com/dossier-data/pdf/katjes/katjes-h1-2026-interim-report.pdf#page=29" TargetMode="External" Id="rId2069"/><Relationship Type="http://schemas.openxmlformats.org/officeDocument/2006/relationships/hyperlink" Target="https://vanillabonds.com/dossier.html?c=katjes&amp;viewer=1&amp;item=F1035" TargetMode="External" Id="rId2070"/><Relationship Type="http://schemas.openxmlformats.org/officeDocument/2006/relationships/hyperlink" Target="https://vanillabonds.com/dossier-data/pdf/katjes/katjes-h1-2026-interim-report.pdf#page=29" TargetMode="External" Id="rId2071"/><Relationship Type="http://schemas.openxmlformats.org/officeDocument/2006/relationships/hyperlink" Target="https://vanillabonds.com/dossier.html?c=katjes&amp;viewer=1&amp;item=F1036" TargetMode="External" Id="rId2072"/><Relationship Type="http://schemas.openxmlformats.org/officeDocument/2006/relationships/hyperlink" Target="https://vanillabonds.com/dossier-data/pdf/katjes/katjes-h1-2026-interim-report.pdf#page=30" TargetMode="External" Id="rId2073"/><Relationship Type="http://schemas.openxmlformats.org/officeDocument/2006/relationships/hyperlink" Target="https://vanillabonds.com/dossier.html?c=katjes&amp;viewer=1&amp;item=F1037" TargetMode="External" Id="rId2074"/><Relationship Type="http://schemas.openxmlformats.org/officeDocument/2006/relationships/hyperlink" Target="https://vanillabonds.com/dossier-data/pdf/katjes/katjes-h1-2026-interim-report.pdf#page=31" TargetMode="External" Id="rId2075"/><Relationship Type="http://schemas.openxmlformats.org/officeDocument/2006/relationships/hyperlink" Target="https://vanillabonds.com/dossier.html?c=katjes&amp;viewer=1&amp;item=F1038" TargetMode="External" Id="rId2076"/><Relationship Type="http://schemas.openxmlformats.org/officeDocument/2006/relationships/hyperlink" Target="https://vanillabonds.com/dossier-data/pdf/katjes/katjes-h1-2026-interim-report.pdf#page=31" TargetMode="External" Id="rId2077"/><Relationship Type="http://schemas.openxmlformats.org/officeDocument/2006/relationships/hyperlink" Target="https://vanillabonds.com/dossier.html?c=katjes&amp;viewer=1&amp;item=F1039" TargetMode="External" Id="rId2078"/><Relationship Type="http://schemas.openxmlformats.org/officeDocument/2006/relationships/hyperlink" Target="https://vanillabonds.com/dossier-data/pdf/katjes/katjes-h1-2026-interim-report.pdf#page=32" TargetMode="External" Id="rId2079"/><Relationship Type="http://schemas.openxmlformats.org/officeDocument/2006/relationships/hyperlink" Target="https://vanillabonds.com/dossier.html?c=katjes&amp;viewer=1&amp;item=F1040" TargetMode="External" Id="rId2080"/><Relationship Type="http://schemas.openxmlformats.org/officeDocument/2006/relationships/hyperlink" Target="https://vanillabonds.com/dossier-data/pdf/katjes/katjes-h1-2026-interim-report.pdf#page=32" TargetMode="External" Id="rId2081"/><Relationship Type="http://schemas.openxmlformats.org/officeDocument/2006/relationships/hyperlink" Target="https://vanillabonds.com/dossier.html?c=katjes&amp;viewer=1&amp;item=F1041" TargetMode="External" Id="rId2082"/><Relationship Type="http://schemas.openxmlformats.org/officeDocument/2006/relationships/hyperlink" Target="https://vanillabonds.com/dossier-data/pdf/katjes/katjes-h1-2026-interim-report.pdf#page=32" TargetMode="External" Id="rId2083"/><Relationship Type="http://schemas.openxmlformats.org/officeDocument/2006/relationships/hyperlink" Target="https://vanillabonds.com/dossier.html?c=katjes&amp;viewer=1&amp;item=F1042" TargetMode="External" Id="rId2084"/><Relationship Type="http://schemas.openxmlformats.org/officeDocument/2006/relationships/hyperlink" Target="https://vanillabonds.com/dossier-data/pdf/katjes/katjes-h1-2026-interim-report.pdf#page=34" TargetMode="External" Id="rId2085"/><Relationship Type="http://schemas.openxmlformats.org/officeDocument/2006/relationships/hyperlink" Target="https://vanillabonds.com/dossier.html?c=katjes&amp;viewer=1&amp;item=F1043" TargetMode="External" Id="rId2086"/><Relationship Type="http://schemas.openxmlformats.org/officeDocument/2006/relationships/hyperlink" Target="https://vanillabonds.com/dossier-data/pdf/katjes/katjes-h1-2026-interim-report.pdf#page=34" TargetMode="External" Id="rId2087"/><Relationship Type="http://schemas.openxmlformats.org/officeDocument/2006/relationships/hyperlink" Target="https://vanillabonds.com/dossier.html?c=katjes&amp;viewer=1&amp;item=F1044" TargetMode="External" Id="rId2088"/><Relationship Type="http://schemas.openxmlformats.org/officeDocument/2006/relationships/hyperlink" Target="https://vanillabonds.com/dossier-data/pdf/katjes/katjes-h1-2026-interim-report.pdf#page=34" TargetMode="External" Id="rId2089"/><Relationship Type="http://schemas.openxmlformats.org/officeDocument/2006/relationships/hyperlink" Target="https://vanillabonds.com/dossier.html?c=katjes&amp;viewer=1&amp;item=F1045" TargetMode="External" Id="rId2090"/><Relationship Type="http://schemas.openxmlformats.org/officeDocument/2006/relationships/hyperlink" Target="https://vanillabonds.com/dossier-data/pdf/katjes/katjes-h1-2026-interim-report.pdf#page=34" TargetMode="External" Id="rId2091"/><Relationship Type="http://schemas.openxmlformats.org/officeDocument/2006/relationships/hyperlink" Target="https://vanillabonds.com/dossier.html?c=katjes&amp;viewer=1&amp;item=F1046" TargetMode="External" Id="rId2092"/><Relationship Type="http://schemas.openxmlformats.org/officeDocument/2006/relationships/hyperlink" Target="https://vanillabonds.com/dossier-data/pdf/katjes/katjes-h1-2026-interim-report.pdf#page=34" TargetMode="External" Id="rId2093"/><Relationship Type="http://schemas.openxmlformats.org/officeDocument/2006/relationships/hyperlink" Target="https://vanillabonds.com/dossier.html?c=katjes&amp;viewer=1&amp;item=F1047" TargetMode="External" Id="rId2094"/><Relationship Type="http://schemas.openxmlformats.org/officeDocument/2006/relationships/hyperlink" Target="https://vanillabonds.com/dossier-data/pdf/katjes/katjes-h1-2026-interim-report.pdf#page=34" TargetMode="External" Id="rId2095"/><Relationship Type="http://schemas.openxmlformats.org/officeDocument/2006/relationships/hyperlink" Target="https://vanillabonds.com/dossier.html?c=katjes&amp;viewer=1&amp;item=F1048" TargetMode="External" Id="rId2096"/><Relationship Type="http://schemas.openxmlformats.org/officeDocument/2006/relationships/hyperlink" Target="https://vanillabonds.com/dossier-data/pdf/katjes/katjes-h1-2026-interim-report.pdf#page=38" TargetMode="External" Id="rId2097"/><Relationship Type="http://schemas.openxmlformats.org/officeDocument/2006/relationships/hyperlink" Target="https://vanillabonds.com/dossier.html?c=katjes&amp;viewer=1&amp;item=F1049" TargetMode="External" Id="rId2098"/><Relationship Type="http://schemas.openxmlformats.org/officeDocument/2006/relationships/hyperlink" Target="https://vanillabonds.com/dossier-data/pdf/katjes/katjes-h1-2026-interim-report.pdf#page=41" TargetMode="External" Id="rId2099"/><Relationship Type="http://schemas.openxmlformats.org/officeDocument/2006/relationships/hyperlink" Target="https://vanillabonds.com/dossier.html?c=katjes&amp;viewer=1&amp;item=F1050" TargetMode="External" Id="rId2100"/><Relationship Type="http://schemas.openxmlformats.org/officeDocument/2006/relationships/hyperlink" Target="https://vanillabonds.com/dossier-data/pdf/katjes/katjes-h1-2026-interim-report.pdf#page=43" TargetMode="External" Id="rId2101"/><Relationship Type="http://schemas.openxmlformats.org/officeDocument/2006/relationships/hyperlink" Target="https://vanillabonds.com/dossier.html?c=katjes&amp;viewer=1&amp;item=F1051" TargetMode="External" Id="rId2102"/><Relationship Type="http://schemas.openxmlformats.org/officeDocument/2006/relationships/hyperlink" Target="https://vanillabonds.com/dossier-data/pdf/katjes/katjes-h1-2026-interim-report.pdf#page=44" TargetMode="External" Id="rId2103"/><Relationship Type="http://schemas.openxmlformats.org/officeDocument/2006/relationships/hyperlink" Target="https://vanillabonds.com/dossier.html?c=katjes&amp;viewer=1&amp;item=F1052" TargetMode="External" Id="rId2104"/><Relationship Type="http://schemas.openxmlformats.org/officeDocument/2006/relationships/hyperlink" Target="https://vanillabonds.com/dossier-data/pdf/katjes/katjes-h1-2026-interim-report.pdf#page=4" TargetMode="External" Id="rId2105"/><Relationship Type="http://schemas.openxmlformats.org/officeDocument/2006/relationships/hyperlink" Target="https://vanillabonds.com/dossier.html?c=katjes&amp;viewer=1&amp;item=F1053" TargetMode="External" Id="rId2106"/><Relationship Type="http://schemas.openxmlformats.org/officeDocument/2006/relationships/hyperlink" Target="https://vanillabonds.com/dossier-data/pdf/katjes/katjes-h1-2026-interim-report.pdf#page=9" TargetMode="External" Id="rId2107"/><Relationship Type="http://schemas.openxmlformats.org/officeDocument/2006/relationships/hyperlink" Target="https://vanillabonds.com/dossier.html?c=katjes&amp;viewer=1&amp;item=F1054" TargetMode="External" Id="rId2108"/><Relationship Type="http://schemas.openxmlformats.org/officeDocument/2006/relationships/hyperlink" Target="https://vanillabonds.com/dossier-data/pdf/katjes/katjes-h1-2026-interim-report.pdf#page=12" TargetMode="External" Id="rId2109"/><Relationship Type="http://schemas.openxmlformats.org/officeDocument/2006/relationships/hyperlink" Target="https://vanillabonds.com/dossier.html?c=katjes&amp;viewer=1&amp;item=F1055" TargetMode="External" Id="rId2110"/><Relationship Type="http://schemas.openxmlformats.org/officeDocument/2006/relationships/hyperlink" Target="https://vanillabonds.com/dossier-data/pdf/katjes/katjes-h1-2026-interim-report.pdf#page=13" TargetMode="External" Id="rId2111"/><Relationship Type="http://schemas.openxmlformats.org/officeDocument/2006/relationships/hyperlink" Target="https://vanillabonds.com/dossier.html?c=katjes&amp;viewer=1&amp;item=F1056" TargetMode="External" Id="rId2112"/><Relationship Type="http://schemas.openxmlformats.org/officeDocument/2006/relationships/hyperlink" Target="https://vanillabonds.com/dossier-data/pdf/katjes/katjes-h1-2026-interim-report.pdf#page=14" TargetMode="External" Id="rId2113"/><Relationship Type="http://schemas.openxmlformats.org/officeDocument/2006/relationships/hyperlink" Target="https://vanillabonds.com/dossier.html?c=katjes&amp;viewer=1&amp;item=F1057" TargetMode="External" Id="rId2114"/><Relationship Type="http://schemas.openxmlformats.org/officeDocument/2006/relationships/hyperlink" Target="https://vanillabonds.com/dossier-data/pdf/katjes/katjes-h1-2026-interim-report.pdf#page=15" TargetMode="External" Id="rId2115"/><Relationship Type="http://schemas.openxmlformats.org/officeDocument/2006/relationships/hyperlink" Target="https://vanillabonds.com/dossier.html?c=katjes&amp;viewer=1&amp;item=F1058" TargetMode="External" Id="rId2116"/><Relationship Type="http://schemas.openxmlformats.org/officeDocument/2006/relationships/hyperlink" Target="https://vanillabonds.com/dossier-data/pdf/katjes/katjes-h1-2026-interim-report.pdf#page=15" TargetMode="External" Id="rId2117"/><Relationship Type="http://schemas.openxmlformats.org/officeDocument/2006/relationships/hyperlink" Target="https://vanillabonds.com/dossier.html?c=katjes&amp;viewer=1&amp;item=F1059" TargetMode="External" Id="rId2118"/><Relationship Type="http://schemas.openxmlformats.org/officeDocument/2006/relationships/hyperlink" Target="https://vanillabonds.com/dossier-data/pdf/katjes/katjes-h1-2026-interim-report.pdf#page=18" TargetMode="External" Id="rId2119"/><Relationship Type="http://schemas.openxmlformats.org/officeDocument/2006/relationships/hyperlink" Target="https://vanillabonds.com/dossier.html?c=katjes&amp;viewer=1&amp;item=F1060" TargetMode="External" Id="rId2120"/><Relationship Type="http://schemas.openxmlformats.org/officeDocument/2006/relationships/hyperlink" Target="https://vanillabonds.com/dossier-data/pdf/katjes/katjes-h1-2026-interim-report.pdf#page=21" TargetMode="External" Id="rId2121"/><Relationship Type="http://schemas.openxmlformats.org/officeDocument/2006/relationships/hyperlink" Target="https://vanillabonds.com/dossier.html?c=katjes&amp;viewer=1&amp;item=F1061" TargetMode="External" Id="rId2122"/><Relationship Type="http://schemas.openxmlformats.org/officeDocument/2006/relationships/hyperlink" Target="https://vanillabonds.com/dossier-data/pdf/katjes/katjes-h1-2026-interim-report.pdf#page=21" TargetMode="External" Id="rId2123"/><Relationship Type="http://schemas.openxmlformats.org/officeDocument/2006/relationships/hyperlink" Target="https://vanillabonds.com/dossier.html?c=katjes&amp;viewer=1&amp;item=F1062" TargetMode="External" Id="rId2124"/><Relationship Type="http://schemas.openxmlformats.org/officeDocument/2006/relationships/hyperlink" Target="https://vanillabonds.com/dossier-data/pdf/katjes/katjes-h1-2026-interim-report.pdf#page=49" TargetMode="External" Id="rId2125"/><Relationship Type="http://schemas.openxmlformats.org/officeDocument/2006/relationships/hyperlink" Target="https://vanillabonds.com/dossier.html?c=katjes&amp;viewer=1&amp;item=F1063" TargetMode="External" Id="rId2126"/><Relationship Type="http://schemas.openxmlformats.org/officeDocument/2006/relationships/hyperlink" Target="https://vanillabonds.com/dossier-data/pdf/katjes/katjes-h1-2026-interim-report.pdf#page=29" TargetMode="External" Id="rId2127"/><Relationship Type="http://schemas.openxmlformats.org/officeDocument/2006/relationships/hyperlink" Target="https://vanillabonds.com/dossier.html?c=katjes&amp;viewer=1&amp;item=F1064" TargetMode="External" Id="rId2128"/><Relationship Type="http://schemas.openxmlformats.org/officeDocument/2006/relationships/hyperlink" Target="https://vanillabonds.com/dossier-data/pdf/katjes/katjes-h1-2026-interim-report.pdf#page=29" TargetMode="External" Id="rId2129"/><Relationship Type="http://schemas.openxmlformats.org/officeDocument/2006/relationships/hyperlink" Target="https://vanillabonds.com/dossier.html?c=katjes&amp;viewer=1&amp;item=F1065" TargetMode="External" Id="rId2130"/><Relationship Type="http://schemas.openxmlformats.org/officeDocument/2006/relationships/hyperlink" Target="https://vanillabonds.com/dossier-data/pdf/katjes/katjes-h1-2026-interim-report.pdf#page=23" TargetMode="External" Id="rId2131"/><Relationship Type="http://schemas.openxmlformats.org/officeDocument/2006/relationships/hyperlink" Target="https://vanillabonds.com/dossier.html?c=katjes&amp;viewer=1&amp;item=F1066" TargetMode="External" Id="rId2132"/><Relationship Type="http://schemas.openxmlformats.org/officeDocument/2006/relationships/hyperlink" Target="https://vanillabonds.com/dossier-data/pdf/katjes/katjes-h1-2026-interim-report.pdf#page=23" TargetMode="External" Id="rId2133"/><Relationship Type="http://schemas.openxmlformats.org/officeDocument/2006/relationships/hyperlink" Target="https://vanillabonds.com/dossier.html?c=katjes&amp;viewer=1&amp;item=F1067" TargetMode="External" Id="rId2134"/><Relationship Type="http://schemas.openxmlformats.org/officeDocument/2006/relationships/hyperlink" Target="https://vanillabonds.com/dossier-data/pdf/katjes/katjes-h1-2026-interim-report.pdf#page=29" TargetMode="External" Id="rId2135"/><Relationship Type="http://schemas.openxmlformats.org/officeDocument/2006/relationships/hyperlink" Target="https://vanillabonds.com/dossier.html?c=katjes&amp;viewer=1&amp;item=F1068" TargetMode="External" Id="rId2136"/><Relationship Type="http://schemas.openxmlformats.org/officeDocument/2006/relationships/hyperlink" Target="https://vanillabonds.com/dossier-data/pdf/katjes/katjes-h1-2026-interim-report.pdf#page=29" TargetMode="External" Id="rId2137"/><Relationship Type="http://schemas.openxmlformats.org/officeDocument/2006/relationships/hyperlink" Target="https://vanillabonds.com/dossier.html?c=katjes&amp;viewer=1&amp;item=F1069" TargetMode="External" Id="rId2138"/><Relationship Type="http://schemas.openxmlformats.org/officeDocument/2006/relationships/hyperlink" Target="https://vanillabonds.com/dossier-data/pdf/katjes/katjes-h1-2026-interim-report.pdf#page=29" TargetMode="External" Id="rId2139"/><Relationship Type="http://schemas.openxmlformats.org/officeDocument/2006/relationships/hyperlink" Target="https://vanillabonds.com/dossier.html?c=katjes&amp;viewer=1&amp;item=F1070" TargetMode="External" Id="rId2140"/><Relationship Type="http://schemas.openxmlformats.org/officeDocument/2006/relationships/hyperlink" Target="https://vanillabonds.com/dossier-data/pdf/katjes/katjes-h1-2026-interim-report.pdf#page=29" TargetMode="External" Id="rId2141"/><Relationship Type="http://schemas.openxmlformats.org/officeDocument/2006/relationships/hyperlink" Target="https://vanillabonds.com/dossier.html?c=katjes&amp;viewer=1&amp;item=F1071" TargetMode="External" Id="rId2142"/><Relationship Type="http://schemas.openxmlformats.org/officeDocument/2006/relationships/hyperlink" Target="https://vanillabonds.com/dossier-data/pdf/katjes/katjes-h1-2026-interim-report.pdf#page=34" TargetMode="External" Id="rId2143"/><Relationship Type="http://schemas.openxmlformats.org/officeDocument/2006/relationships/hyperlink" Target="https://vanillabonds.com/dossier.html?c=katjes&amp;viewer=1&amp;item=F1072" TargetMode="External" Id="rId2144"/><Relationship Type="http://schemas.openxmlformats.org/officeDocument/2006/relationships/hyperlink" Target="https://vanillabonds.com/dossier-data/pdf/katjes/katjes-h1-2026-interim-report.pdf#page=34" TargetMode="External" Id="rId2145"/><Relationship Type="http://schemas.openxmlformats.org/officeDocument/2006/relationships/hyperlink" Target="https://vanillabonds.com/dossier.html?c=katjes&amp;viewer=1&amp;item=F1073" TargetMode="External" Id="rId2146"/><Relationship Type="http://schemas.openxmlformats.org/officeDocument/2006/relationships/hyperlink" Target="https://vanillabonds.com/dossier-data/pdf/katjes/katjes-h1-2026-interim-report.pdf#page=23" TargetMode="External" Id="rId2147"/><Relationship Type="http://schemas.openxmlformats.org/officeDocument/2006/relationships/hyperlink" Target="https://vanillabonds.com/dossier.html?c=katjes&amp;viewer=1&amp;item=F1074" TargetMode="External" Id="rId2148"/><Relationship Type="http://schemas.openxmlformats.org/officeDocument/2006/relationships/hyperlink" Target="https://vanillabonds.com/dossier-data/pdf/katjes/katjes-h1-2026-interim-report.pdf#page=23" TargetMode="External" Id="rId2149"/><Relationship Type="http://schemas.openxmlformats.org/officeDocument/2006/relationships/hyperlink" Target="https://vanillabonds.com/dossier.html?c=katjes&amp;viewer=1&amp;item=F1075" TargetMode="External" Id="rId2150"/><Relationship Type="http://schemas.openxmlformats.org/officeDocument/2006/relationships/hyperlink" Target="https://vanillabonds.com/dossier-data/pdf/katjes/katjes-h1-2026-interim-report.pdf#page=34" TargetMode="External" Id="rId2151"/><Relationship Type="http://schemas.openxmlformats.org/officeDocument/2006/relationships/hyperlink" Target="https://vanillabonds.com/dossier.html?c=katjes&amp;viewer=1&amp;item=F1076" TargetMode="External" Id="rId2152"/><Relationship Type="http://schemas.openxmlformats.org/officeDocument/2006/relationships/hyperlink" Target="https://vanillabonds.com/dossier-data/pdf/katjes/katjes-h1-2026-interim-report.pdf#page=34" TargetMode="External" Id="rId2153"/><Relationship Type="http://schemas.openxmlformats.org/officeDocument/2006/relationships/hyperlink" Target="https://vanillabonds.com/dossier.html?c=katjes&amp;viewer=1&amp;item=F1077" TargetMode="External" Id="rId2154"/><Relationship Type="http://schemas.openxmlformats.org/officeDocument/2006/relationships/hyperlink" Target="https://vanillabonds.com/dossier-data/pdf/katjes/katjes-h1-2026-interim-report.pdf#page=34" TargetMode="External" Id="rId2155"/><Relationship Type="http://schemas.openxmlformats.org/officeDocument/2006/relationships/hyperlink" Target="https://vanillabonds.com/dossier.html?c=katjes&amp;viewer=1&amp;item=F1078" TargetMode="External" Id="rId2156"/><Relationship Type="http://schemas.openxmlformats.org/officeDocument/2006/relationships/hyperlink" Target="https://vanillabonds.com/dossier-data/pdf/katjes/katjes-h1-2026-interim-report.pdf#page=34" TargetMode="External" Id="rId2157"/><Relationship Type="http://schemas.openxmlformats.org/officeDocument/2006/relationships/hyperlink" Target="https://vanillabonds.com/dossier.html?c=katjes&amp;viewer=1&amp;item=F1079" TargetMode="External" Id="rId2158"/><Relationship Type="http://schemas.openxmlformats.org/officeDocument/2006/relationships/hyperlink" Target="https://vanillabonds.com/dossier-data/pdf/katjes/katjes-h1-2026-interim-report.pdf#page=31" TargetMode="External" Id="rId2159"/><Relationship Type="http://schemas.openxmlformats.org/officeDocument/2006/relationships/hyperlink" Target="https://vanillabonds.com/dossier.html?c=katjes&amp;viewer=1&amp;item=F1080" TargetMode="External" Id="rId2160"/><Relationship Type="http://schemas.openxmlformats.org/officeDocument/2006/relationships/hyperlink" Target="https://vanillabonds.com/dossier-data/pdf/katjes/katjes-h1-2026-interim-report.pdf#page=34" TargetMode="External" Id="rId2161"/><Relationship Type="http://schemas.openxmlformats.org/officeDocument/2006/relationships/hyperlink" Target="https://vanillabonds.com/dossier.html?c=katjes&amp;viewer=1&amp;item=F1081" TargetMode="External" Id="rId2162"/><Relationship Type="http://schemas.openxmlformats.org/officeDocument/2006/relationships/hyperlink" Target="https://vanillabonds.com/dossier-data/pdf/katjes/katjes-h1-2026-interim-report.pdf#page=31" TargetMode="External" Id="rId2163"/><Relationship Type="http://schemas.openxmlformats.org/officeDocument/2006/relationships/hyperlink" Target="https://vanillabonds.com/dossier.html?c=katjes&amp;viewer=1&amp;item=F1082" TargetMode="External" Id="rId2164"/><Relationship Type="http://schemas.openxmlformats.org/officeDocument/2006/relationships/hyperlink" Target="https://vanillabonds.com/dossier-data/pdf/katjes/katjes-h1-2026-interim-report.pdf#page=42" TargetMode="External" Id="rId2165"/><Relationship Type="http://schemas.openxmlformats.org/officeDocument/2006/relationships/hyperlink" Target="https://vanillabonds.com/dossier.html?c=katjes&amp;viewer=1&amp;item=F1083" TargetMode="External" Id="rId2166"/><Relationship Type="http://schemas.openxmlformats.org/officeDocument/2006/relationships/hyperlink" Target="https://vanillabonds.com/dossier-data/pdf/katjes/katjes-h1-2026-interim-report.pdf#page=41" TargetMode="External" Id="rId2167"/><Relationship Type="http://schemas.openxmlformats.org/officeDocument/2006/relationships/hyperlink" Target="https://vanillabonds.com/dossier.html?c=katjes&amp;viewer=1&amp;item=F1084" TargetMode="External" Id="rId2168"/><Relationship Type="http://schemas.openxmlformats.org/officeDocument/2006/relationships/hyperlink" Target="https://vanillabonds.com/dossier-data/pdf/katjes/katjes-h1-2026-interim-report.pdf#page=41" TargetMode="External" Id="rId2169"/><Relationship Type="http://schemas.openxmlformats.org/officeDocument/2006/relationships/hyperlink" Target="https://vanillabonds.com/dossier.html?c=katjes&amp;viewer=1&amp;item=F1085" TargetMode="External" Id="rId2170"/><Relationship Type="http://schemas.openxmlformats.org/officeDocument/2006/relationships/hyperlink" Target="https://vanillabonds.com/dossier-data/pdf/katjes/katjes-h1-2026-interim-report.pdf#page=32" TargetMode="External" Id="rId2171"/><Relationship Type="http://schemas.openxmlformats.org/officeDocument/2006/relationships/hyperlink" Target="https://vanillabonds.com/dossier.html?c=katjes&amp;viewer=1&amp;item=F1086" TargetMode="External" Id="rId2172"/><Relationship Type="http://schemas.openxmlformats.org/officeDocument/2006/relationships/hyperlink" Target="https://vanillabonds.com/dossier-data/pdf/katjes/katjes-h1-2026-interim-report.pdf#page=33" TargetMode="External" Id="rId2173"/><Relationship Type="http://schemas.openxmlformats.org/officeDocument/2006/relationships/hyperlink" Target="https://vanillabonds.com/dossier.html?c=katjes&amp;viewer=1&amp;item=F1087" TargetMode="External" Id="rId2174"/><Relationship Type="http://schemas.openxmlformats.org/officeDocument/2006/relationships/hyperlink" Target="https://vanillabonds.com/dossier-data/pdf/katjes/katjes-h1-2026-interim-report.pdf#page=32" TargetMode="External" Id="rId2175"/><Relationship Type="http://schemas.openxmlformats.org/officeDocument/2006/relationships/hyperlink" Target="https://vanillabonds.com/dossier.html?c=katjes&amp;viewer=1&amp;item=F1088" TargetMode="External" Id="rId2176"/><Relationship Type="http://schemas.openxmlformats.org/officeDocument/2006/relationships/hyperlink" Target="https://vanillabonds.com/dossier-data/pdf/katjes/katjes-h1-2026-interim-report.pdf#page=31" TargetMode="External" Id="rId2177"/><Relationship Type="http://schemas.openxmlformats.org/officeDocument/2006/relationships/hyperlink" Target="https://vanillabonds.com/dossier.html?c=katjes&amp;viewer=1&amp;item=F1089" TargetMode="External" Id="rId2178"/><Relationship Type="http://schemas.openxmlformats.org/officeDocument/2006/relationships/hyperlink" Target="https://vanillabonds.com/dossier-data/pdf/katjes/katjes-h1-2026-interim-report.pdf#page=31" TargetMode="External" Id="rId2179"/><Relationship Type="http://schemas.openxmlformats.org/officeDocument/2006/relationships/hyperlink" Target="https://vanillabonds.com/dossier.html?c=katjes&amp;viewer=1&amp;item=F1090" TargetMode="External" Id="rId2180"/><Relationship Type="http://schemas.openxmlformats.org/officeDocument/2006/relationships/hyperlink" Target="https://vanillabonds.com/dossier-data/pdf/katjes/katjes-h1-2026-interim-report.pdf#page=21" TargetMode="External" Id="rId2181"/><Relationship Type="http://schemas.openxmlformats.org/officeDocument/2006/relationships/hyperlink" Target="https://vanillabonds.com/dossier.html?c=katjes&amp;viewer=1&amp;item=F1091" TargetMode="External" Id="rId2182"/><Relationship Type="http://schemas.openxmlformats.org/officeDocument/2006/relationships/hyperlink" Target="https://vanillabonds.com/dossier-data/pdf/katjes/katjes-h1-2026-interim-report.pdf#page=25" TargetMode="External" Id="rId2183"/><Relationship Type="http://schemas.openxmlformats.org/officeDocument/2006/relationships/hyperlink" Target="https://vanillabonds.com/dossier.html?c=katjes&amp;viewer=1&amp;item=F1092" TargetMode="External" Id="rId2184"/><Relationship Type="http://schemas.openxmlformats.org/officeDocument/2006/relationships/hyperlink" Target="https://vanillabonds.com/dossier-data/pdf/katjes/katjes-h1-2026-interim-report.pdf#page=42" TargetMode="External" Id="rId2185"/><Relationship Type="http://schemas.openxmlformats.org/officeDocument/2006/relationships/hyperlink" Target="https://vanillabonds.com/dossier.html?c=katjes&amp;viewer=1&amp;item=F1093" TargetMode="External" Id="rId2186"/><Relationship Type="http://schemas.openxmlformats.org/officeDocument/2006/relationships/hyperlink" Target="https://vanillabonds.com/dossier-data/pdf/katjes/katjes-h1-2026-interim-report.pdf#page=42" TargetMode="External" Id="rId2187"/><Relationship Type="http://schemas.openxmlformats.org/officeDocument/2006/relationships/hyperlink" Target="https://vanillabonds.com/dossier.html?c=katjes&amp;viewer=1&amp;item=F1094" TargetMode="External" Id="rId2188"/><Relationship Type="http://schemas.openxmlformats.org/officeDocument/2006/relationships/hyperlink" Target="https://vanillabonds.com/dossier-data/pdf/katjes/katjes-h1-2026-interim-report.pdf#page=22" TargetMode="External" Id="rId2189"/><Relationship Type="http://schemas.openxmlformats.org/officeDocument/2006/relationships/hyperlink" Target="https://vanillabonds.com/dossier.html?c=katjes&amp;viewer=1&amp;item=F1095" TargetMode="External" Id="rId2190"/><Relationship Type="http://schemas.openxmlformats.org/officeDocument/2006/relationships/hyperlink" Target="https://vanillabonds.com/dossier-data/pdf/katjes/katjes-h1-2026-interim-report.pdf#page=23" TargetMode="External" Id="rId2191"/><Relationship Type="http://schemas.openxmlformats.org/officeDocument/2006/relationships/hyperlink" Target="https://vanillabonds.com/dossier.html?c=katjes&amp;viewer=1&amp;item=F1096" TargetMode="External" Id="rId2192"/><Relationship Type="http://schemas.openxmlformats.org/officeDocument/2006/relationships/hyperlink" Target="https://vanillabonds.com/dossier-data/pdf/katjes/katjes-h1-2026-interim-report.pdf#page=23" TargetMode="External" Id="rId2193"/><Relationship Type="http://schemas.openxmlformats.org/officeDocument/2006/relationships/hyperlink" Target="https://vanillabonds.com/dossier.html?c=katjes&amp;viewer=1&amp;item=F1097" TargetMode="External" Id="rId2194"/><Relationship Type="http://schemas.openxmlformats.org/officeDocument/2006/relationships/hyperlink" Target="https://vanillabonds.com/dossier-data/pdf/katjes/katjes-h1-2026-interim-report.pdf#page=26" TargetMode="External" Id="rId2195"/><Relationship Type="http://schemas.openxmlformats.org/officeDocument/2006/relationships/hyperlink" Target="https://vanillabonds.com/dossier.html?c=katjes&amp;viewer=1&amp;item=F1098" TargetMode="External" Id="rId2196"/><Relationship Type="http://schemas.openxmlformats.org/officeDocument/2006/relationships/hyperlink" Target="https://vanillabonds.com/dossier-data/pdf/katjes/katjes-h1-2026-interim-report.pdf#page=26" TargetMode="External" Id="rId2197"/><Relationship Type="http://schemas.openxmlformats.org/officeDocument/2006/relationships/hyperlink" Target="https://vanillabonds.com/dossier.html?c=katjes&amp;viewer=1&amp;item=F1099" TargetMode="External" Id="rId2198"/><Relationship Type="http://schemas.openxmlformats.org/officeDocument/2006/relationships/hyperlink" Target="https://vanillabonds.com/dossier-data/pdf/katjes/katjes-h1-2026-interim-report.pdf#page=41" TargetMode="External" Id="rId2199"/><Relationship Type="http://schemas.openxmlformats.org/officeDocument/2006/relationships/hyperlink" Target="https://vanillabonds.com/dossier.html?c=katjes&amp;viewer=1&amp;item=F1100" TargetMode="External" Id="rId2200"/><Relationship Type="http://schemas.openxmlformats.org/officeDocument/2006/relationships/hyperlink" Target="https://vanillabonds.com/dossier-data/pdf/katjes/katjes-h1-2026-interim-report.pdf#page=6" TargetMode="External" Id="rId2201"/><Relationship Type="http://schemas.openxmlformats.org/officeDocument/2006/relationships/hyperlink" Target="https://vanillabonds.com/dossier.html?c=katjes&amp;viewer=1&amp;item=F1101" TargetMode="External" Id="rId2202"/><Relationship Type="http://schemas.openxmlformats.org/officeDocument/2006/relationships/hyperlink" Target="https://vanillabonds.com/dossier-data/pdf/katjes/katjes-h1-2026-interim-report.pdf#page=6" TargetMode="External" Id="rId2203"/><Relationship Type="http://schemas.openxmlformats.org/officeDocument/2006/relationships/hyperlink" Target="https://vanillabonds.com/dossier.html?c=katjes&amp;viewer=1&amp;item=F1102" TargetMode="External" Id="rId2204"/><Relationship Type="http://schemas.openxmlformats.org/officeDocument/2006/relationships/hyperlink" Target="https://vanillabonds.com/dossier-data/pdf/katjes/katjes-h1-2026-interim-report.pdf#page=6" TargetMode="External" Id="rId2205"/><Relationship Type="http://schemas.openxmlformats.org/officeDocument/2006/relationships/hyperlink" Target="https://vanillabonds.com/dossier.html?c=katjes&amp;viewer=1&amp;item=F1103" TargetMode="External" Id="rId2206"/><Relationship Type="http://schemas.openxmlformats.org/officeDocument/2006/relationships/hyperlink" Target="https://vanillabonds.com/dossier-data/pdf/katjes/katjes-h1-2026-interim-report.pdf#page=5" TargetMode="External" Id="rId2207"/><Relationship Type="http://schemas.openxmlformats.org/officeDocument/2006/relationships/hyperlink" Target="https://vanillabonds.com/dossier.html?c=katjes&amp;viewer=1&amp;item=F1104" TargetMode="External" Id="rId2208"/><Relationship Type="http://schemas.openxmlformats.org/officeDocument/2006/relationships/hyperlink" Target="https://vanillabonds.com/dossier-data/pdf/katjes/katjes-h1-2026-interim-report.pdf#page=17" TargetMode="External" Id="rId2209"/><Relationship Type="http://schemas.openxmlformats.org/officeDocument/2006/relationships/hyperlink" Target="https://vanillabonds.com/dossier.html?c=katjes&amp;viewer=1&amp;item=F1105" TargetMode="External" Id="rId2210"/><Relationship Type="http://schemas.openxmlformats.org/officeDocument/2006/relationships/hyperlink" Target="https://vanillabonds.com/dossier-data/pdf/katjes/katjes-h1-2026-interim-report.pdf#page=18" TargetMode="External" Id="rId2211"/><Relationship Type="http://schemas.openxmlformats.org/officeDocument/2006/relationships/hyperlink" Target="https://vanillabonds.com/dossier.html?c=katjes&amp;viewer=1&amp;item=F1106" TargetMode="External" Id="rId2212"/><Relationship Type="http://schemas.openxmlformats.org/officeDocument/2006/relationships/hyperlink" Target="https://vanillabonds.com/dossier-data/pdf/katjes/katjes-h1-2026-interim-report.pdf#page=18" TargetMode="External" Id="rId2213"/><Relationship Type="http://schemas.openxmlformats.org/officeDocument/2006/relationships/hyperlink" Target="https://vanillabonds.com/dossier.html?c=katjes&amp;viewer=1&amp;item=F1107" TargetMode="External" Id="rId2214"/><Relationship Type="http://schemas.openxmlformats.org/officeDocument/2006/relationships/hyperlink" Target="https://vanillabonds.com/dossier-data/pdf/katjes/katjes-h1-2026-interim-report.pdf#page=18" TargetMode="External" Id="rId2215"/><Relationship Type="http://schemas.openxmlformats.org/officeDocument/2006/relationships/hyperlink" Target="https://vanillabonds.com/dossier.html?c=katjes&amp;viewer=1&amp;item=F1108" TargetMode="External" Id="rId2216"/><Relationship Type="http://schemas.openxmlformats.org/officeDocument/2006/relationships/hyperlink" Target="https://vanillabonds.com/dossier-data/pdf/katjes/katjes-h1-2026-interim-report.pdf#page=18" TargetMode="External" Id="rId2217"/><Relationship Type="http://schemas.openxmlformats.org/officeDocument/2006/relationships/hyperlink" Target="https://vanillabonds.com/dossier.html?c=katjes&amp;viewer=1&amp;item=F1109" TargetMode="External" Id="rId2218"/><Relationship Type="http://schemas.openxmlformats.org/officeDocument/2006/relationships/hyperlink" Target="https://vanillabonds.com/dossier-data/pdf/katjes/katjes-h1-2026-interim-report.pdf#page=18" TargetMode="External" Id="rId2219"/><Relationship Type="http://schemas.openxmlformats.org/officeDocument/2006/relationships/hyperlink" Target="https://vanillabonds.com/dossier.html?c=katjes&amp;viewer=1&amp;item=F1110" TargetMode="External" Id="rId2220"/><Relationship Type="http://schemas.openxmlformats.org/officeDocument/2006/relationships/hyperlink" Target="https://vanillabonds.com/dossier-data/pdf/katjes/katjes-h1-2026-interim-report.pdf#page=18" TargetMode="External" Id="rId2221"/><Relationship Type="http://schemas.openxmlformats.org/officeDocument/2006/relationships/hyperlink" Target="https://vanillabonds.com/dossier.html?c=katjes&amp;viewer=1&amp;item=F1111" TargetMode="External" Id="rId2222"/><Relationship Type="http://schemas.openxmlformats.org/officeDocument/2006/relationships/hyperlink" Target="https://vanillabonds.com/dossier-data/pdf/katjes/katjes-h1-2026-interim-report.pdf#page=21" TargetMode="External" Id="rId2223"/><Relationship Type="http://schemas.openxmlformats.org/officeDocument/2006/relationships/hyperlink" Target="https://vanillabonds.com/dossier.html?c=katjes&amp;viewer=1&amp;item=F1112" TargetMode="External" Id="rId2224"/><Relationship Type="http://schemas.openxmlformats.org/officeDocument/2006/relationships/hyperlink" Target="https://vanillabonds.com/dossier-data/pdf/katjes/katjes-h1-2026-interim-report.pdf#page=38" TargetMode="External" Id="rId2225"/><Relationship Type="http://schemas.openxmlformats.org/officeDocument/2006/relationships/hyperlink" Target="https://vanillabonds.com/dossier.html?c=katjes&amp;viewer=1&amp;item=F1113" TargetMode="External" Id="rId2226"/><Relationship Type="http://schemas.openxmlformats.org/officeDocument/2006/relationships/hyperlink" Target="https://vanillabonds.com/dossier-data/pdf/katjes/katjes-h1-2026-interim-report.pdf#page=39" TargetMode="External" Id="rId2227"/><Relationship Type="http://schemas.openxmlformats.org/officeDocument/2006/relationships/hyperlink" Target="https://vanillabonds.com/dossier.html?c=katjes&amp;viewer=1&amp;item=F1114" TargetMode="External" Id="rId2228"/><Relationship Type="http://schemas.openxmlformats.org/officeDocument/2006/relationships/hyperlink" Target="https://vanillabonds.com/dossier-data/pdf/katjes/katjes-h1-2026-interim-report.pdf#page=6" TargetMode="External" Id="rId2229"/><Relationship Type="http://schemas.openxmlformats.org/officeDocument/2006/relationships/hyperlink" Target="https://vanillabonds.com/dossier.html?c=katjes&amp;viewer=1&amp;item=F1115" TargetMode="External" Id="rId2230"/><Relationship Type="http://schemas.openxmlformats.org/officeDocument/2006/relationships/hyperlink" Target="https://vanillabonds.com/dossier-data/pdf/katjes/katjes-h1-2026-interim-report.pdf#page=17" TargetMode="External" Id="rId2231"/><Relationship Type="http://schemas.openxmlformats.org/officeDocument/2006/relationships/hyperlink" Target="https://vanillabonds.com/dossier.html?c=katjes&amp;viewer=1&amp;item=F1116" TargetMode="External" Id="rId2232"/><Relationship Type="http://schemas.openxmlformats.org/officeDocument/2006/relationships/hyperlink" Target="https://vanillabonds.com/dossier-data/pdf/katjes/katjes-h1-2026-interim-report.pdf#page=18" TargetMode="External" Id="rId2233"/><Relationship Type="http://schemas.openxmlformats.org/officeDocument/2006/relationships/hyperlink" Target="https://vanillabonds.com/dossier.html?c=katjes&amp;viewer=1&amp;item=F1117" TargetMode="External" Id="rId2234"/><Relationship Type="http://schemas.openxmlformats.org/officeDocument/2006/relationships/hyperlink" Target="https://vanillabonds.com/dossier-data/pdf/katjes/katjes-h1-2026-interim-report.pdf#page=48" TargetMode="External" Id="rId2235"/><Relationship Type="http://schemas.openxmlformats.org/officeDocument/2006/relationships/hyperlink" Target="https://vanillabonds.com/dossier.html?c=katjes&amp;viewer=1&amp;item=F1118" TargetMode="External" Id="rId2236"/><Relationship Type="http://schemas.openxmlformats.org/officeDocument/2006/relationships/hyperlink" Target="https://vanillabonds.com/dossier-data/pdf/katjes/katjes-h1-2026-interim-report.pdf#page=48" TargetMode="External" Id="rId2237"/><Relationship Type="http://schemas.openxmlformats.org/officeDocument/2006/relationships/hyperlink" Target="https://vanillabonds.com/dossier.html?c=katjes&amp;viewer=1&amp;item=F1119" TargetMode="External" Id="rId2238"/><Relationship Type="http://schemas.openxmlformats.org/officeDocument/2006/relationships/hyperlink" Target="https://vanillabonds.com/dossier-data/pdf/katjes/katjes-h1-2026-interim-report.pdf#page=48" TargetMode="External" Id="rId2239"/><Relationship Type="http://schemas.openxmlformats.org/officeDocument/2006/relationships/hyperlink" Target="https://vanillabonds.com/dossier.html?c=katjes&amp;viewer=1&amp;item=F1120" TargetMode="External" Id="rId2240"/><Relationship Type="http://schemas.openxmlformats.org/officeDocument/2006/relationships/hyperlink" Target="https://vanillabonds.com/dossier-data/pdf/katjes/katjes-h1-2026-interim-report.pdf#page=18" TargetMode="External" Id="rId2241"/><Relationship Type="http://schemas.openxmlformats.org/officeDocument/2006/relationships/hyperlink" Target="https://vanillabonds.com/dossier.html?c=katjes&amp;viewer=1&amp;item=F1121" TargetMode="External" Id="rId2242"/><Relationship Type="http://schemas.openxmlformats.org/officeDocument/2006/relationships/hyperlink" Target="https://vanillabonds.com/dossier-data/pdf/katjes/katjes-h1-2026-interim-report.pdf#page=45" TargetMode="External" Id="rId2243"/><Relationship Type="http://schemas.openxmlformats.org/officeDocument/2006/relationships/hyperlink" Target="https://vanillabonds.com/dossier.html?c=katjes&amp;viewer=1&amp;item=F1122" TargetMode="External" Id="rId2244"/><Relationship Type="http://schemas.openxmlformats.org/officeDocument/2006/relationships/hyperlink" Target="https://vanillabonds.com/dossier-data/pdf/katjes/katjes-h1-2026-interim-report.pdf#page=15" TargetMode="External" Id="rId2245"/><Relationship Type="http://schemas.openxmlformats.org/officeDocument/2006/relationships/hyperlink" Target="https://vanillabonds.com/dossier.html?c=katjes&amp;viewer=1&amp;item=F1123" TargetMode="External" Id="rId2246"/><Relationship Type="http://schemas.openxmlformats.org/officeDocument/2006/relationships/hyperlink" Target="https://vanillabonds.com/dossier-data/pdf/katjes/katjes-h1-2026-interim-report.pdf#page=19" TargetMode="External" Id="rId2247"/><Relationship Type="http://schemas.openxmlformats.org/officeDocument/2006/relationships/hyperlink" Target="https://vanillabonds.com/dossier.html?c=katjes&amp;viewer=1&amp;item=F1124" TargetMode="External" Id="rId2248"/><Relationship Type="http://schemas.openxmlformats.org/officeDocument/2006/relationships/hyperlink" Target="https://vanillabonds.com/dossier-data/pdf/katjes/katjes-h1-2026-interim-report.pdf#page=19" TargetMode="External" Id="rId2249"/><Relationship Type="http://schemas.openxmlformats.org/officeDocument/2006/relationships/hyperlink" Target="https://vanillabonds.com/dossier.html?c=katjes&amp;viewer=1&amp;item=F1125" TargetMode="External" Id="rId2250"/><Relationship Type="http://schemas.openxmlformats.org/officeDocument/2006/relationships/hyperlink" Target="https://vanillabonds.com/dossier-data/pdf/katjes/katjes-h1-2026-interim-report.pdf#page=19" TargetMode="External" Id="rId2251"/><Relationship Type="http://schemas.openxmlformats.org/officeDocument/2006/relationships/hyperlink" Target="https://vanillabonds.com/dossier.html?c=katjes&amp;viewer=1&amp;item=F1126" TargetMode="External" Id="rId2252"/><Relationship Type="http://schemas.openxmlformats.org/officeDocument/2006/relationships/hyperlink" Target="https://vanillabonds.com/dossier-data/pdf/katjes/katjes-h1-2026-interim-report.pdf#page=22" TargetMode="External" Id="rId2253"/><Relationship Type="http://schemas.openxmlformats.org/officeDocument/2006/relationships/hyperlink" Target="https://vanillabonds.com/dossier.html?c=katjes&amp;viewer=1&amp;item=F1127" TargetMode="External" Id="rId2254"/><Relationship Type="http://schemas.openxmlformats.org/officeDocument/2006/relationships/hyperlink" Target="https://vanillabonds.com/dossier-data/pdf/katjes/katjes-h1-2026-interim-report.pdf#page=25" TargetMode="External" Id="rId2255"/><Relationship Type="http://schemas.openxmlformats.org/officeDocument/2006/relationships/hyperlink" Target="https://vanillabonds.com/dossier.html?c=katjes&amp;viewer=1&amp;item=F1128" TargetMode="External" Id="rId2256"/><Relationship Type="http://schemas.openxmlformats.org/officeDocument/2006/relationships/hyperlink" Target="https://vanillabonds.com/dossier-data/pdf/katjes/katjes-h1-2026-interim-report.pdf#page=25" TargetMode="External" Id="rId2257"/><Relationship Type="http://schemas.openxmlformats.org/officeDocument/2006/relationships/hyperlink" Target="https://vanillabonds.com/dossier.html?c=katjes&amp;viewer=1&amp;item=F1129" TargetMode="External" Id="rId2258"/><Relationship Type="http://schemas.openxmlformats.org/officeDocument/2006/relationships/hyperlink" Target="https://vanillabonds.com/dossier-data/pdf/katjes/katjes-h1-2026-interim-report.pdf#page=38" TargetMode="External" Id="rId2259"/><Relationship Type="http://schemas.openxmlformats.org/officeDocument/2006/relationships/hyperlink" Target="https://vanillabonds.com/dossier.html?c=katjes&amp;viewer=1&amp;item=F1130" TargetMode="External" Id="rId2260"/><Relationship Type="http://schemas.openxmlformats.org/officeDocument/2006/relationships/hyperlink" Target="https://vanillabonds.com/dossier-data/pdf/katjes/katjes-h1-2026-interim-report.pdf#page=38" TargetMode="External" Id="rId2261"/><Relationship Type="http://schemas.openxmlformats.org/officeDocument/2006/relationships/hyperlink" Target="https://vanillabonds.com/dossier.html?c=katjes&amp;viewer=1&amp;item=F1131" TargetMode="External" Id="rId2262"/><Relationship Type="http://schemas.openxmlformats.org/officeDocument/2006/relationships/hyperlink" Target="https://vanillabonds.com/dossier-data/pdf/katjes/katjes-h1-2026-interim-report.pdf#page=50" TargetMode="External" Id="rId2263"/><Relationship Type="http://schemas.openxmlformats.org/officeDocument/2006/relationships/hyperlink" Target="https://vanillabonds.com/dossier.html?c=katjes&amp;viewer=1&amp;item=F1132" TargetMode="External" Id="rId2264"/><Relationship Type="http://schemas.openxmlformats.org/officeDocument/2006/relationships/hyperlink" Target="https://vanillabonds.com/dossier-data/pdf/katjes/katjes-h1-2026-interim-report.pdf#page=50" TargetMode="External" Id="rId2265"/><Relationship Type="http://schemas.openxmlformats.org/officeDocument/2006/relationships/hyperlink" Target="https://vanillabonds.com/dossier.html?c=katjes&amp;viewer=1&amp;item=F1133" TargetMode="External" Id="rId2266"/><Relationship Type="http://schemas.openxmlformats.org/officeDocument/2006/relationships/hyperlink" Target="https://vanillabonds.com/dossier-data/pdf/katjes/katjes-h1-2026-interim-report.pdf#page=50" TargetMode="External" Id="rId2267"/><Relationship Type="http://schemas.openxmlformats.org/officeDocument/2006/relationships/hyperlink" Target="https://vanillabonds.com/dossier.html?c=katjes&amp;viewer=1&amp;item=F1134" TargetMode="External" Id="rId2268"/><Relationship Type="http://schemas.openxmlformats.org/officeDocument/2006/relationships/hyperlink" Target="https://vanillabonds.com/dossier-data/pdf/katjes/katjes-h1-2026-interim-report.pdf#page=50" TargetMode="External" Id="rId2269"/><Relationship Type="http://schemas.openxmlformats.org/officeDocument/2006/relationships/hyperlink" Target="https://vanillabonds.com/dossier.html?c=katjes&amp;viewer=1&amp;item=F1135" TargetMode="External" Id="rId2270"/><Relationship Type="http://schemas.openxmlformats.org/officeDocument/2006/relationships/hyperlink" Target="https://vanillabonds.com/dossier-data/pdf/katjes/katjes-h1-2026-interim-report.pdf#page=50" TargetMode="External" Id="rId2271"/><Relationship Type="http://schemas.openxmlformats.org/officeDocument/2006/relationships/hyperlink" Target="https://vanillabonds.com/dossier.html?c=katjes&amp;viewer=1&amp;item=F1136" TargetMode="External" Id="rId2272"/><Relationship Type="http://schemas.openxmlformats.org/officeDocument/2006/relationships/hyperlink" Target="https://vanillabonds.com/dossier-data/pdf/katjes/katjes-h1-2026-interim-report.pdf#page=50" TargetMode="External" Id="rId2273"/><Relationship Type="http://schemas.openxmlformats.org/officeDocument/2006/relationships/hyperlink" Target="https://vanillabonds.com/dossier.html?c=katjes&amp;viewer=1&amp;item=F1137" TargetMode="External" Id="rId2274"/><Relationship Type="http://schemas.openxmlformats.org/officeDocument/2006/relationships/hyperlink" Target="https://vanillabonds.com/dossier-data/pdf/katjes/katjes-h1-2026-interim-report.pdf#page=50" TargetMode="External" Id="rId2275"/><Relationship Type="http://schemas.openxmlformats.org/officeDocument/2006/relationships/hyperlink" Target="https://vanillabonds.com/dossier.html?c=katjes&amp;viewer=1&amp;item=F1138" TargetMode="External" Id="rId2276"/><Relationship Type="http://schemas.openxmlformats.org/officeDocument/2006/relationships/hyperlink" Target="https://vanillabonds.com/dossier-data/pdf/katjes/katjes-h1-2026-interim-report.pdf#page=51" TargetMode="External" Id="rId2277"/><Relationship Type="http://schemas.openxmlformats.org/officeDocument/2006/relationships/hyperlink" Target="https://vanillabonds.com/dossier.html?c=katjes&amp;viewer=1&amp;item=F1139" TargetMode="External" Id="rId2278"/><Relationship Type="http://schemas.openxmlformats.org/officeDocument/2006/relationships/hyperlink" Target="https://vanillabonds.com/dossier-data/pdf/katjes/katjes-h1-2026-interim-report.pdf#page=51" TargetMode="External" Id="rId2279"/><Relationship Type="http://schemas.openxmlformats.org/officeDocument/2006/relationships/hyperlink" Target="https://vanillabonds.com/dossier.html?c=katjes&amp;viewer=1&amp;item=F1140" TargetMode="External" Id="rId2280"/><Relationship Type="http://schemas.openxmlformats.org/officeDocument/2006/relationships/hyperlink" Target="https://vanillabonds.com/dossier-data/pdf/katjes/katjes-h1-2026-interim-report.pdf#page=51" TargetMode="External" Id="rId2281"/><Relationship Type="http://schemas.openxmlformats.org/officeDocument/2006/relationships/hyperlink" Target="https://vanillabonds.com/dossier.html?c=katjes&amp;viewer=1&amp;item=F1141" TargetMode="External" Id="rId2282"/><Relationship Type="http://schemas.openxmlformats.org/officeDocument/2006/relationships/hyperlink" Target="https://vanillabonds.com/dossier-data/pdf/katjes/katjes-h1-2026-interim-report.pdf#page=51" TargetMode="External" Id="rId2283"/><Relationship Type="http://schemas.openxmlformats.org/officeDocument/2006/relationships/hyperlink" Target="https://vanillabonds.com/dossier.html?c=katjes&amp;viewer=1&amp;item=F1142" TargetMode="External" Id="rId2284"/><Relationship Type="http://schemas.openxmlformats.org/officeDocument/2006/relationships/hyperlink" Target="https://vanillabonds.com/dossier-data/pdf/katjes/katjes-h1-2026-interim-report.pdf#page=51" TargetMode="External" Id="rId2285"/><Relationship Type="http://schemas.openxmlformats.org/officeDocument/2006/relationships/hyperlink" Target="https://vanillabonds.com/dossier.html?c=katjes&amp;viewer=1&amp;item=F1143" TargetMode="External" Id="rId2286"/><Relationship Type="http://schemas.openxmlformats.org/officeDocument/2006/relationships/hyperlink" Target="https://vanillabonds.com/dossier-data/pdf/katjes/katjes-h1-2026-interim-report.pdf#page=51" TargetMode="External" Id="rId2287"/><Relationship Type="http://schemas.openxmlformats.org/officeDocument/2006/relationships/hyperlink" Target="https://vanillabonds.com/dossier.html?c=katjes&amp;viewer=1&amp;item=F1144" TargetMode="External" Id="rId2288"/><Relationship Type="http://schemas.openxmlformats.org/officeDocument/2006/relationships/hyperlink" Target="https://vanillabonds.com/dossier-data/pdf/katjes/katjes-h1-2026-interim-report.pdf#page=51" TargetMode="External" Id="rId2289"/><Relationship Type="http://schemas.openxmlformats.org/officeDocument/2006/relationships/hyperlink" Target="https://vanillabonds.com/dossier.html?c=katjes&amp;viewer=1&amp;item=F1145" TargetMode="External" Id="rId2290"/><Relationship Type="http://schemas.openxmlformats.org/officeDocument/2006/relationships/hyperlink" Target="https://vanillabonds.com/dossier-data/pdf/katjes/katjes-h1-2026-interim-report.pdf#page=51" TargetMode="External" Id="rId2291"/><Relationship Type="http://schemas.openxmlformats.org/officeDocument/2006/relationships/hyperlink" Target="https://vanillabonds.com/dossier.html?c=katjes&amp;viewer=1&amp;item=F1146" TargetMode="External" Id="rId2292"/><Relationship Type="http://schemas.openxmlformats.org/officeDocument/2006/relationships/hyperlink" Target="https://vanillabonds.com/dossier-data/pdf/katjes/katjes-h1-2026-interim-report.pdf#page=51" TargetMode="External" Id="rId2293"/><Relationship Type="http://schemas.openxmlformats.org/officeDocument/2006/relationships/hyperlink" Target="https://vanillabonds.com/dossier.html?c=katjes&amp;viewer=1&amp;item=F1147" TargetMode="External" Id="rId2294"/><Relationship Type="http://schemas.openxmlformats.org/officeDocument/2006/relationships/hyperlink" Target="https://vanillabonds.com/dossier-data/pdf/katjes/katjes-h1-2026-interim-report.pdf#page=51" TargetMode="External" Id="rId2295"/><Relationship Type="http://schemas.openxmlformats.org/officeDocument/2006/relationships/hyperlink" Target="https://vanillabonds.com/dossier.html?c=katjes&amp;viewer=1&amp;item=F1148" TargetMode="External" Id="rId2296"/><Relationship Type="http://schemas.openxmlformats.org/officeDocument/2006/relationships/hyperlink" Target="https://vanillabonds.com/dossier-data/pdf/katjes/katjes-h1-2026-interim-report.pdf#page=51" TargetMode="External" Id="rId2297"/><Relationship Type="http://schemas.openxmlformats.org/officeDocument/2006/relationships/hyperlink" Target="https://vanillabonds.com/dossier.html?c=katjes&amp;viewer=1&amp;item=F1149" TargetMode="External" Id="rId2298"/><Relationship Type="http://schemas.openxmlformats.org/officeDocument/2006/relationships/hyperlink" Target="https://vanillabonds.com/dossier-data/pdf/katjes/katjes-h1-2026-interim-report.pdf#page=51" TargetMode="External" Id="rId2299"/><Relationship Type="http://schemas.openxmlformats.org/officeDocument/2006/relationships/hyperlink" Target="https://vanillabonds.com/dossier.html?c=katjes&amp;viewer=1&amp;item=F1150" TargetMode="External" Id="rId2300"/><Relationship Type="http://schemas.openxmlformats.org/officeDocument/2006/relationships/hyperlink" Target="https://vanillabonds.com/dossier-data/pdf/katjes/katjes-h1-2026-interim-report.pdf#page=51" TargetMode="External" Id="rId2301"/><Relationship Type="http://schemas.openxmlformats.org/officeDocument/2006/relationships/hyperlink" Target="https://vanillabonds.com/dossier.html?c=katjes&amp;viewer=1&amp;item=F1151" TargetMode="External" Id="rId2302"/><Relationship Type="http://schemas.openxmlformats.org/officeDocument/2006/relationships/hyperlink" Target="https://vanillabonds.com/dossier-data/pdf/katjes/katjes-h1-2026-interim-report.pdf#page=51" TargetMode="External" Id="rId2303"/><Relationship Type="http://schemas.openxmlformats.org/officeDocument/2006/relationships/hyperlink" Target="https://vanillabonds.com/dossier.html?c=katjes&amp;viewer=1&amp;item=F1152" TargetMode="External" Id="rId2304"/><Relationship Type="http://schemas.openxmlformats.org/officeDocument/2006/relationships/hyperlink" Target="https://vanillabonds.com/dossier-data/pdf/katjes/katjes-h1-2026-interim-report.pdf#page=51" TargetMode="External" Id="rId2305"/><Relationship Type="http://schemas.openxmlformats.org/officeDocument/2006/relationships/hyperlink" Target="https://vanillabonds.com/dossier.html?c=katjes&amp;viewer=1&amp;item=F1153" TargetMode="External" Id="rId2306"/><Relationship Type="http://schemas.openxmlformats.org/officeDocument/2006/relationships/hyperlink" Target="https://vanillabonds.com/dossier-data/pdf/katjes/katjes-h1-2026-interim-report.pdf#page=6" TargetMode="External" Id="rId2307"/><Relationship Type="http://schemas.openxmlformats.org/officeDocument/2006/relationships/hyperlink" Target="https://vanillabonds.com/dossier.html?c=katjes&amp;viewer=1&amp;item=F1154" TargetMode="External" Id="rId2308"/><Relationship Type="http://schemas.openxmlformats.org/officeDocument/2006/relationships/hyperlink" Target="https://vanillabonds.com/dossier-data/pdf/katjes/katjes-h1-2026-interim-report.pdf#page=6" TargetMode="External" Id="rId2309"/><Relationship Type="http://schemas.openxmlformats.org/officeDocument/2006/relationships/hyperlink" Target="https://vanillabonds.com/dossier.html?c=katjes&amp;viewer=1&amp;item=F1155" TargetMode="External" Id="rId2310"/><Relationship Type="http://schemas.openxmlformats.org/officeDocument/2006/relationships/hyperlink" Target="https://vanillabonds.com/dossier-data/pdf/katjes/katjes-h1-2026-interim-report.pdf#page=6" TargetMode="External" Id="rId2311"/><Relationship Type="http://schemas.openxmlformats.org/officeDocument/2006/relationships/hyperlink" Target="https://vanillabonds.com/dossier.html?c=katjes&amp;viewer=1&amp;item=F1156" TargetMode="External" Id="rId2312"/><Relationship Type="http://schemas.openxmlformats.org/officeDocument/2006/relationships/hyperlink" Target="https://vanillabonds.com/dossier-data/pdf/katjes/katjes-h1-2026-interim-report.pdf#page=48" TargetMode="External" Id="rId2313"/><Relationship Type="http://schemas.openxmlformats.org/officeDocument/2006/relationships/hyperlink" Target="https://vanillabonds.com/dossier.html?c=katjes&amp;viewer=1&amp;item=F1157" TargetMode="External" Id="rId2314"/><Relationship Type="http://schemas.openxmlformats.org/officeDocument/2006/relationships/hyperlink" Target="https://vanillabonds.com/dossier-data/pdf/katjes/katjes-h1-2026-interim-report.pdf#page=48" TargetMode="External" Id="rId2315"/><Relationship Type="http://schemas.openxmlformats.org/officeDocument/2006/relationships/hyperlink" Target="https://vanillabonds.com/dossier.html?c=katjes&amp;viewer=1&amp;item=F1158" TargetMode="External" Id="rId2316"/><Relationship Type="http://schemas.openxmlformats.org/officeDocument/2006/relationships/hyperlink" Target="https://vanillabonds.com/dossier-data/pdf/katjes/katjes-h1-2026-interim-report.pdf#page=48" TargetMode="External" Id="rId2317"/><Relationship Type="http://schemas.openxmlformats.org/officeDocument/2006/relationships/hyperlink" Target="https://vanillabonds.com/dossier.html?c=katjes&amp;viewer=1&amp;item=F1159" TargetMode="External" Id="rId2318"/><Relationship Type="http://schemas.openxmlformats.org/officeDocument/2006/relationships/hyperlink" Target="https://vanillabonds.com/dossier-data/pdf/katjes/katjes-h1-2026-interim-report.pdf#page=48" TargetMode="External" Id="rId2319"/><Relationship Type="http://schemas.openxmlformats.org/officeDocument/2006/relationships/hyperlink" Target="https://vanillabonds.com/dossier.html?c=katjes&amp;viewer=1&amp;item=F1160" TargetMode="External" Id="rId2320"/><Relationship Type="http://schemas.openxmlformats.org/officeDocument/2006/relationships/hyperlink" Target="https://vanillabonds.com/dossier-data/pdf/katjes/katjes-h1-2026-interim-report.pdf#page=48" TargetMode="External" Id="rId2321"/><Relationship Type="http://schemas.openxmlformats.org/officeDocument/2006/relationships/hyperlink" Target="https://vanillabonds.com/dossier.html?c=katjes&amp;viewer=1&amp;item=F1161" TargetMode="External" Id="rId2322"/><Relationship Type="http://schemas.openxmlformats.org/officeDocument/2006/relationships/hyperlink" Target="https://vanillabonds.com/dossier-data/pdf/katjes/katjes-h1-2026-interim-report.pdf#page=48" TargetMode="External" Id="rId2323"/><Relationship Type="http://schemas.openxmlformats.org/officeDocument/2006/relationships/hyperlink" Target="https://vanillabonds.com/dossier.html?c=katjes&amp;viewer=1&amp;item=F1162" TargetMode="External" Id="rId2324"/><Relationship Type="http://schemas.openxmlformats.org/officeDocument/2006/relationships/hyperlink" Target="https://vanillabonds.com/dossier-data/pdf/katjes/katjes-h1-2026-interim-report.pdf#page=48" TargetMode="External" Id="rId2325"/><Relationship Type="http://schemas.openxmlformats.org/officeDocument/2006/relationships/hyperlink" Target="https://vanillabonds.com/dossier.html?c=katjes&amp;viewer=1&amp;item=F1163" TargetMode="External" Id="rId2326"/><Relationship Type="http://schemas.openxmlformats.org/officeDocument/2006/relationships/hyperlink" Target="https://vanillabonds.com/dossier-data/pdf/katjes/katjes-h1-2026-interim-report.pdf#page=19" TargetMode="External" Id="rId2327"/><Relationship Type="http://schemas.openxmlformats.org/officeDocument/2006/relationships/hyperlink" Target="https://vanillabonds.com/dossier.html?c=katjes&amp;viewer=1&amp;item=F1164" TargetMode="External" Id="rId2328"/><Relationship Type="http://schemas.openxmlformats.org/officeDocument/2006/relationships/hyperlink" Target="https://vanillabonds.com/dossier-data/pdf/katjes/katjes-h1-2026-interim-report.pdf#page=19" TargetMode="External" Id="rId2329"/><Relationship Type="http://schemas.openxmlformats.org/officeDocument/2006/relationships/hyperlink" Target="https://vanillabonds.com/dossier.html?c=katjes&amp;viewer=1&amp;item=F1165" TargetMode="External" Id="rId2330"/><Relationship Type="http://schemas.openxmlformats.org/officeDocument/2006/relationships/hyperlink" Target="https://vanillabonds.com/dossier-data/pdf/katjes/katjes-h1-2026-interim-report.pdf#page=19" TargetMode="External" Id="rId2331"/><Relationship Type="http://schemas.openxmlformats.org/officeDocument/2006/relationships/hyperlink" Target="https://vanillabonds.com/dossier.html?c=katjes&amp;viewer=1&amp;item=F1166" TargetMode="External" Id="rId2332"/><Relationship Type="http://schemas.openxmlformats.org/officeDocument/2006/relationships/hyperlink" Target="https://vanillabonds.com/dossier-data/pdf/katjes/katjes-h1-2026-interim-report.pdf#page=19" TargetMode="External" Id="rId2333"/><Relationship Type="http://schemas.openxmlformats.org/officeDocument/2006/relationships/hyperlink" Target="https://vanillabonds.com/dossier.html?c=katjes&amp;viewer=1&amp;item=F1167" TargetMode="External" Id="rId2334"/><Relationship Type="http://schemas.openxmlformats.org/officeDocument/2006/relationships/hyperlink" Target="https://vanillabonds.com/dossier-data/pdf/katjes/katjes-h1-2026-interim-report.pdf#page=19" TargetMode="External" Id="rId2335"/><Relationship Type="http://schemas.openxmlformats.org/officeDocument/2006/relationships/hyperlink" Target="https://vanillabonds.com/dossier.html?c=katjes&amp;viewer=1&amp;item=F1168" TargetMode="External" Id="rId2336"/><Relationship Type="http://schemas.openxmlformats.org/officeDocument/2006/relationships/hyperlink" Target="https://vanillabonds.com/dossier-data/pdf/katjes/katjes-h1-2026-interim-report.pdf#page=19" TargetMode="External" Id="rId2337"/><Relationship Type="http://schemas.openxmlformats.org/officeDocument/2006/relationships/hyperlink" Target="https://vanillabonds.com/dossier.html?c=katjes&amp;viewer=1&amp;item=F1169" TargetMode="External" Id="rId2338"/><Relationship Type="http://schemas.openxmlformats.org/officeDocument/2006/relationships/hyperlink" Target="https://vanillabonds.com/dossier-data/pdf/katjes/katjes-h1-2026-interim-report.pdf#page=19" TargetMode="External" Id="rId2339"/><Relationship Type="http://schemas.openxmlformats.org/officeDocument/2006/relationships/hyperlink" Target="https://vanillabonds.com/dossier.html?c=katjes&amp;viewer=1&amp;item=F1170" TargetMode="External" Id="rId2340"/><Relationship Type="http://schemas.openxmlformats.org/officeDocument/2006/relationships/hyperlink" Target="https://vanillabonds.com/dossier-data/pdf/katjes/katjes-h1-2026-interim-report.pdf#page=19" TargetMode="External" Id="rId2341"/><Relationship Type="http://schemas.openxmlformats.org/officeDocument/2006/relationships/hyperlink" Target="https://vanillabonds.com/dossier.html?c=katjes&amp;viewer=1&amp;item=F1171" TargetMode="External" Id="rId2342"/><Relationship Type="http://schemas.openxmlformats.org/officeDocument/2006/relationships/hyperlink" Target="https://vanillabonds.com/dossier-data/pdf/katjes/katjes-h1-2026-interim-report.pdf#page=19" TargetMode="External" Id="rId2343"/><Relationship Type="http://schemas.openxmlformats.org/officeDocument/2006/relationships/hyperlink" Target="https://vanillabonds.com/dossier.html?c=katjes&amp;viewer=1&amp;item=F1172" TargetMode="External" Id="rId2344"/><Relationship Type="http://schemas.openxmlformats.org/officeDocument/2006/relationships/hyperlink" Target="https://vanillabonds.com/dossier-data/pdf/katjes/katjes-h1-2026-interim-report.pdf#page=19" TargetMode="External" Id="rId2345"/><Relationship Type="http://schemas.openxmlformats.org/officeDocument/2006/relationships/hyperlink" Target="https://vanillabonds.com/dossier.html?c=katjes&amp;viewer=1&amp;item=F1173" TargetMode="External" Id="rId2346"/><Relationship Type="http://schemas.openxmlformats.org/officeDocument/2006/relationships/hyperlink" Target="https://vanillabonds.com/dossier-data/pdf/katjes/katjes-h1-2026-interim-report.pdf#page=20" TargetMode="External" Id="rId2347"/><Relationship Type="http://schemas.openxmlformats.org/officeDocument/2006/relationships/hyperlink" Target="https://vanillabonds.com/dossier.html?c=katjes&amp;viewer=1&amp;item=F1174" TargetMode="External" Id="rId2348"/><Relationship Type="http://schemas.openxmlformats.org/officeDocument/2006/relationships/hyperlink" Target="https://vanillabonds.com/dossier-data/pdf/katjes/katjes-h1-2026-interim-report.pdf#page=20" TargetMode="External" Id="rId2349"/><Relationship Type="http://schemas.openxmlformats.org/officeDocument/2006/relationships/hyperlink" Target="https://vanillabonds.com/dossier.html?c=katjes&amp;viewer=1&amp;item=F1175" TargetMode="External" Id="rId2350"/><Relationship Type="http://schemas.openxmlformats.org/officeDocument/2006/relationships/hyperlink" Target="https://vanillabonds.com/dossier-data/pdf/katjes/katjes-h1-2026-interim-report.pdf#page=20" TargetMode="External" Id="rId2351"/><Relationship Type="http://schemas.openxmlformats.org/officeDocument/2006/relationships/hyperlink" Target="https://vanillabonds.com/dossier.html?c=katjes&amp;viewer=1&amp;item=F1176" TargetMode="External" Id="rId2352"/><Relationship Type="http://schemas.openxmlformats.org/officeDocument/2006/relationships/hyperlink" Target="https://vanillabonds.com/dossier-data/pdf/katjes/katjes-h1-2026-interim-report.pdf#page=37" TargetMode="External" Id="rId2353"/><Relationship Type="http://schemas.openxmlformats.org/officeDocument/2006/relationships/hyperlink" Target="https://vanillabonds.com/dossier.html?c=katjes&amp;viewer=1&amp;item=F1177" TargetMode="External" Id="rId2354"/><Relationship Type="http://schemas.openxmlformats.org/officeDocument/2006/relationships/hyperlink" Target="https://vanillabonds.com/dossier-data/pdf/katjes/katjes-h1-2026-interim-report.pdf#page=9" TargetMode="External" Id="rId2355"/><Relationship Type="http://schemas.openxmlformats.org/officeDocument/2006/relationships/hyperlink" Target="https://vanillabonds.com/dossier.html?c=katjes&amp;viewer=1&amp;item=F1178" TargetMode="External" Id="rId2356"/><Relationship Type="http://schemas.openxmlformats.org/officeDocument/2006/relationships/hyperlink" Target="https://vanillabonds.com/dossier-data/pdf/katjes/katjes-h1-2026-interim-report.pdf#page=12" TargetMode="External" Id="rId2357"/><Relationship Type="http://schemas.openxmlformats.org/officeDocument/2006/relationships/hyperlink" Target="https://vanillabonds.com/dossier.html?c=katjes&amp;viewer=1&amp;item=F1179" TargetMode="External" Id="rId2358"/><Relationship Type="http://schemas.openxmlformats.org/officeDocument/2006/relationships/hyperlink" Target="https://vanillabonds.com/dossier-data/pdf/katjes/katjes-h1-2026-interim-report.pdf#page=23" TargetMode="External" Id="rId2359"/><Relationship Type="http://schemas.openxmlformats.org/officeDocument/2006/relationships/hyperlink" Target="https://vanillabonds.com/dossier.html?c=katjes&amp;viewer=1&amp;item=F1180" TargetMode="External" Id="rId2360"/><Relationship Type="http://schemas.openxmlformats.org/officeDocument/2006/relationships/hyperlink" Target="https://vanillabonds.com/dossier-data/pdf/katjes/katjes-h1-2026-interim-report.pdf#page=23" TargetMode="External" Id="rId2361"/><Relationship Type="http://schemas.openxmlformats.org/officeDocument/2006/relationships/hyperlink" Target="https://vanillabonds.com/dossier.html?c=katjes&amp;viewer=1&amp;item=F1181" TargetMode="External" Id="rId2362"/><Relationship Type="http://schemas.openxmlformats.org/officeDocument/2006/relationships/hyperlink" Target="https://vanillabonds.com/dossier-data/pdf/katjes/katjes-h1-2026-interim-report.pdf#page=23" TargetMode="External" Id="rId2363"/><Relationship Type="http://schemas.openxmlformats.org/officeDocument/2006/relationships/hyperlink" Target="https://vanillabonds.com/dossier.html?c=katjes&amp;viewer=1&amp;item=F1182" TargetMode="External" Id="rId2364"/><Relationship Type="http://schemas.openxmlformats.org/officeDocument/2006/relationships/hyperlink" Target="https://vanillabonds.com/dossier-data/pdf/katjes/katjes-h1-2026-interim-report.pdf#page=38" TargetMode="External" Id="rId2365"/><Relationship Type="http://schemas.openxmlformats.org/officeDocument/2006/relationships/hyperlink" Target="https://vanillabonds.com/dossier.html?c=katjes&amp;viewer=1&amp;item=F1183" TargetMode="External" Id="rId2366"/><Relationship Type="http://schemas.openxmlformats.org/officeDocument/2006/relationships/hyperlink" Target="https://vanillabonds.com/dossier-data/pdf/katjes/katjes-h1-2026-interim-report.pdf#page=39" TargetMode="External" Id="rId2367"/><Relationship Type="http://schemas.openxmlformats.org/officeDocument/2006/relationships/hyperlink" Target="https://vanillabonds.com/dossier.html?c=katjes&amp;viewer=1&amp;item=F1184" TargetMode="External" Id="rId2368"/><Relationship Type="http://schemas.openxmlformats.org/officeDocument/2006/relationships/hyperlink" Target="https://vanillabonds.com/dossier-data/pdf/katjes/katjes-h1-2026-interim-report.pdf#page=41" TargetMode="External" Id="rId2369"/><Relationship Type="http://schemas.openxmlformats.org/officeDocument/2006/relationships/hyperlink" Target="https://vanillabonds.com/dossier.html?c=katjes&amp;viewer=1&amp;item=F1185" TargetMode="External" Id="rId2370"/><Relationship Type="http://schemas.openxmlformats.org/officeDocument/2006/relationships/hyperlink" Target="https://vanillabonds.com/dossier-data/pdf/katjes/katjes-h1-2026-interim-report.pdf#page=25" TargetMode="External" Id="rId2371"/><Relationship Type="http://schemas.openxmlformats.org/officeDocument/2006/relationships/hyperlink" Target="https://vanillabonds.com/dossier.html?c=katjes&amp;viewer=1&amp;item=F1186" TargetMode="External" Id="rId2372"/><Relationship Type="http://schemas.openxmlformats.org/officeDocument/2006/relationships/hyperlink" Target="https://vanillabonds.com/dossier-data/pdf/katjes/katjes-h1-2026-interim-report.pdf#page=25" TargetMode="External" Id="rId2373"/><Relationship Type="http://schemas.openxmlformats.org/officeDocument/2006/relationships/hyperlink" Target="https://vanillabonds.com/dossier.html?c=katjes&amp;viewer=1&amp;item=F1187" TargetMode="External" Id="rId2374"/><Relationship Type="http://schemas.openxmlformats.org/officeDocument/2006/relationships/hyperlink" Target="https://vanillabonds.com/dossier-data/pdf/katjes/katjes-h1-2026-interim-report.pdf#page=25" TargetMode="External" Id="rId2375"/><Relationship Type="http://schemas.openxmlformats.org/officeDocument/2006/relationships/hyperlink" Target="https://vanillabonds.com/dossier.html?c=katjes&amp;viewer=1&amp;item=F1188" TargetMode="External" Id="rId2376"/><Relationship Type="http://schemas.openxmlformats.org/officeDocument/2006/relationships/hyperlink" Target="https://vanillabonds.com/dossier-data/pdf/katjes/katjes-h1-2026-interim-report.pdf#page=47" TargetMode="External" Id="rId2377"/><Relationship Type="http://schemas.openxmlformats.org/officeDocument/2006/relationships/hyperlink" Target="https://vanillabonds.com/dossier.html?c=katjes&amp;viewer=1&amp;item=F1189" TargetMode="External" Id="rId2378"/><Relationship Type="http://schemas.openxmlformats.org/officeDocument/2006/relationships/hyperlink" Target="https://vanillabonds.com/dossier-data/pdf/katjes/katjes-h1-2026-interim-report.pdf#page=49" TargetMode="External" Id="rId2379"/><Relationship Type="http://schemas.openxmlformats.org/officeDocument/2006/relationships/hyperlink" Target="https://vanillabonds.com/dossier.html?c=katjes&amp;viewer=1&amp;item=F1190" TargetMode="External" Id="rId2380"/><Relationship Type="http://schemas.openxmlformats.org/officeDocument/2006/relationships/hyperlink" Target="https://vanillabonds.com/dossier-data/pdf/katjes/katjes-h1-2026-interim-report.pdf#page=25" TargetMode="External" Id="rId2381"/><Relationship Type="http://schemas.openxmlformats.org/officeDocument/2006/relationships/hyperlink" Target="https://vanillabonds.com/dossier.html?c=katjes&amp;viewer=1&amp;item=F1191" TargetMode="External" Id="rId2382"/><Relationship Type="http://schemas.openxmlformats.org/officeDocument/2006/relationships/hyperlink" Target="https://vanillabonds.com/dossier-data/pdf/katjes/katjes-h1-2026-interim-report.pdf#page=40" TargetMode="External" Id="rId2383"/><Relationship Type="http://schemas.openxmlformats.org/officeDocument/2006/relationships/hyperlink" Target="https://vanillabonds.com/dossier.html?c=katjes&amp;viewer=1&amp;item=F1192" TargetMode="External" Id="rId2384"/><Relationship Type="http://schemas.openxmlformats.org/officeDocument/2006/relationships/hyperlink" Target="https://vanillabonds.com/dossier-data/pdf/katjes/katjes-h1-2026-interim-report.pdf#page=46" TargetMode="External" Id="rId2385"/><Relationship Type="http://schemas.openxmlformats.org/officeDocument/2006/relationships/hyperlink" Target="https://vanillabonds.com/dossier.html?c=katjes&amp;viewer=1&amp;item=F1193" TargetMode="External" Id="rId2386"/><Relationship Type="http://schemas.openxmlformats.org/officeDocument/2006/relationships/hyperlink" Target="https://vanillabonds.com/dossier-data/pdf/katjes/katjes-h1-2026-interim-report.pdf#page=46" TargetMode="External" Id="rId2387"/><Relationship Type="http://schemas.openxmlformats.org/officeDocument/2006/relationships/hyperlink" Target="https://vanillabonds.com/dossier.html?c=katjes&amp;viewer=1&amp;item=F1194" TargetMode="External" Id="rId2388"/><Relationship Type="http://schemas.openxmlformats.org/officeDocument/2006/relationships/hyperlink" Target="https://vanillabonds.com/dossier-data/pdf/katjes/katjes-h1-2026-interim-report.pdf#page=46" TargetMode="External" Id="rId2389"/><Relationship Type="http://schemas.openxmlformats.org/officeDocument/2006/relationships/hyperlink" Target="https://vanillabonds.com/dossier.html?c=katjes&amp;viewer=1&amp;item=F1195" TargetMode="External" Id="rId2390"/><Relationship Type="http://schemas.openxmlformats.org/officeDocument/2006/relationships/hyperlink" Target="https://vanillabonds.com/dossier-data/pdf/katjes/katjes-h1-2026-interim-report.pdf#page=46" TargetMode="External" Id="rId2391"/><Relationship Type="http://schemas.openxmlformats.org/officeDocument/2006/relationships/hyperlink" Target="https://vanillabonds.com/dossier.html?c=katjes&amp;viewer=1&amp;item=F1196" TargetMode="External" Id="rId2392"/><Relationship Type="http://schemas.openxmlformats.org/officeDocument/2006/relationships/hyperlink" Target="https://vanillabonds.com/dossier-data/pdf/katjes/katjes-h1-2026-interim-report.pdf#page=46" TargetMode="External" Id="rId2393"/><Relationship Type="http://schemas.openxmlformats.org/officeDocument/2006/relationships/hyperlink" Target="https://vanillabonds.com/dossier.html?c=katjes&amp;viewer=1&amp;item=F1197" TargetMode="External" Id="rId2394"/><Relationship Type="http://schemas.openxmlformats.org/officeDocument/2006/relationships/hyperlink" Target="https://vanillabonds.com/dossier-data/pdf/katjes/katjes-h1-2026-interim-report.pdf#page=46" TargetMode="External" Id="rId2395"/><Relationship Type="http://schemas.openxmlformats.org/officeDocument/2006/relationships/hyperlink" Target="https://vanillabonds.com/dossier.html?c=katjes&amp;viewer=1&amp;item=F1198" TargetMode="External" Id="rId2396"/><Relationship Type="http://schemas.openxmlformats.org/officeDocument/2006/relationships/hyperlink" Target="https://vanillabonds.com/dossier-data/pdf/katjes/katjes-h1-2026-interim-report.pdf#page=46" TargetMode="External" Id="rId2397"/><Relationship Type="http://schemas.openxmlformats.org/officeDocument/2006/relationships/hyperlink" Target="https://vanillabonds.com/dossier.html?c=katjes&amp;viewer=1&amp;item=F1199" TargetMode="External" Id="rId2398"/><Relationship Type="http://schemas.openxmlformats.org/officeDocument/2006/relationships/hyperlink" Target="https://vanillabonds.com/dossier-data/pdf/katjes/katjes-h1-2026-interim-report.pdf#page=46" TargetMode="External" Id="rId2399"/><Relationship Type="http://schemas.openxmlformats.org/officeDocument/2006/relationships/hyperlink" Target="https://vanillabonds.com/dossier.html?c=katjes&amp;viewer=1&amp;item=F1200" TargetMode="External" Id="rId2400"/><Relationship Type="http://schemas.openxmlformats.org/officeDocument/2006/relationships/hyperlink" Target="https://vanillabonds.com/dossier-data/pdf/katjes/katjes-h1-2026-interim-report.pdf#page=45" TargetMode="External" Id="rId2401"/><Relationship Type="http://schemas.openxmlformats.org/officeDocument/2006/relationships/hyperlink" Target="https://vanillabonds.com/dossier.html?c=katjes&amp;viewer=1&amp;item=F1201" TargetMode="External" Id="rId2402"/><Relationship Type="http://schemas.openxmlformats.org/officeDocument/2006/relationships/hyperlink" Target="https://vanillabonds.com/dossier-data/pdf/katjes/katjes-h1-2026-interim-report.pdf#page=45" TargetMode="External" Id="rId2403"/><Relationship Type="http://schemas.openxmlformats.org/officeDocument/2006/relationships/hyperlink" Target="https://vanillabonds.com/dossier.html?c=katjes&amp;viewer=1&amp;item=F1202" TargetMode="External" Id="rId2404"/><Relationship Type="http://schemas.openxmlformats.org/officeDocument/2006/relationships/hyperlink" Target="https://vanillabonds.com/dossier-data/pdf/katjes/katjes-h1-2026-interim-report.pdf#page=45" TargetMode="External" Id="rId2405"/><Relationship Type="http://schemas.openxmlformats.org/officeDocument/2006/relationships/hyperlink" Target="https://vanillabonds.com/dossier.html?c=katjes&amp;viewer=1&amp;item=F1203" TargetMode="External" Id="rId2406"/><Relationship Type="http://schemas.openxmlformats.org/officeDocument/2006/relationships/hyperlink" Target="https://vanillabonds.com/dossier-data/pdf/katjes/katjes-h1-2026-interim-report.pdf#page=45" TargetMode="External" Id="rId2407"/><Relationship Type="http://schemas.openxmlformats.org/officeDocument/2006/relationships/hyperlink" Target="https://vanillabonds.com/dossier.html?c=katjes&amp;viewer=1&amp;item=F1204" TargetMode="External" Id="rId2408"/><Relationship Type="http://schemas.openxmlformats.org/officeDocument/2006/relationships/hyperlink" Target="https://vanillabonds.com/dossier-data/pdf/katjes/katjes-h1-2026-interim-report.pdf#page=45" TargetMode="External" Id="rId2409"/><Relationship Type="http://schemas.openxmlformats.org/officeDocument/2006/relationships/hyperlink" Target="https://vanillabonds.com/dossier.html?c=katjes&amp;viewer=1&amp;item=F1205" TargetMode="External" Id="rId2410"/><Relationship Type="http://schemas.openxmlformats.org/officeDocument/2006/relationships/hyperlink" Target="https://vanillabonds.com/dossier-data/pdf/katjes/katjes-h1-2026-interim-report.pdf#page=45" TargetMode="External" Id="rId2411"/><Relationship Type="http://schemas.openxmlformats.org/officeDocument/2006/relationships/hyperlink" Target="https://vanillabonds.com/dossier.html?c=katjes&amp;viewer=1&amp;item=F1206" TargetMode="External" Id="rId2412"/><Relationship Type="http://schemas.openxmlformats.org/officeDocument/2006/relationships/hyperlink" Target="https://vanillabonds.com/dossier-data/pdf/katjes/katjes-h1-2026-interim-report.pdf#page=45" TargetMode="External" Id="rId2413"/><Relationship Type="http://schemas.openxmlformats.org/officeDocument/2006/relationships/hyperlink" Target="https://vanillabonds.com/dossier.html?c=katjes&amp;viewer=1&amp;item=F1207" TargetMode="External" Id="rId2414"/><Relationship Type="http://schemas.openxmlformats.org/officeDocument/2006/relationships/hyperlink" Target="https://vanillabonds.com/dossier-data/pdf/katjes/katjes-h1-2026-interim-report.pdf#page=45" TargetMode="External" Id="rId2415"/><Relationship Type="http://schemas.openxmlformats.org/officeDocument/2006/relationships/hyperlink" Target="https://vanillabonds.com/dossier.html?c=katjes&amp;viewer=1&amp;item=F1208" TargetMode="External" Id="rId2416"/><Relationship Type="http://schemas.openxmlformats.org/officeDocument/2006/relationships/hyperlink" Target="https://vanillabonds.com/dossier-data/pdf/katjes/katjes-h1-2026-interim-report.pdf#page=45" TargetMode="External" Id="rId2417"/><Relationship Type="http://schemas.openxmlformats.org/officeDocument/2006/relationships/hyperlink" Target="https://vanillabonds.com/dossier.html?c=katjes&amp;viewer=1&amp;item=F1209" TargetMode="External" Id="rId2418"/><Relationship Type="http://schemas.openxmlformats.org/officeDocument/2006/relationships/hyperlink" Target="https://vanillabonds.com/dossier-data/pdf/katjes/katjes-h1-2026-interim-report.pdf#page=22" TargetMode="External" Id="rId2419"/><Relationship Type="http://schemas.openxmlformats.org/officeDocument/2006/relationships/hyperlink" Target="https://vanillabonds.com/dossier.html?c=katjes&amp;viewer=1&amp;item=F1210" TargetMode="External" Id="rId2420"/><Relationship Type="http://schemas.openxmlformats.org/officeDocument/2006/relationships/hyperlink" Target="https://vanillabonds.com/dossier-data/pdf/katjes/katjes-h1-2026-interim-report.pdf#page=22" TargetMode="External" Id="rId2421"/><Relationship Type="http://schemas.openxmlformats.org/officeDocument/2006/relationships/hyperlink" Target="https://vanillabonds.com/dossier.html?c=katjes&amp;viewer=1&amp;item=F1211" TargetMode="External" Id="rId2422"/><Relationship Type="http://schemas.openxmlformats.org/officeDocument/2006/relationships/hyperlink" Target="https://vanillabonds.com/dossier-data/pdf/katjes/katjes-h1-2026-interim-report.pdf#page=22" TargetMode="External" Id="rId2423"/><Relationship Type="http://schemas.openxmlformats.org/officeDocument/2006/relationships/hyperlink" Target="https://vanillabonds.com/dossier.html?c=katjes&amp;viewer=1&amp;item=F1212" TargetMode="External" Id="rId2424"/><Relationship Type="http://schemas.openxmlformats.org/officeDocument/2006/relationships/hyperlink" Target="https://vanillabonds.com/dossier-data/pdf/katjes/katjes-h1-2026-interim-report.pdf#page=22" TargetMode="External" Id="rId2425"/><Relationship Type="http://schemas.openxmlformats.org/officeDocument/2006/relationships/hyperlink" Target="https://vanillabonds.com/dossier.html?c=katjes&amp;viewer=1&amp;item=F1213" TargetMode="External" Id="rId2426"/><Relationship Type="http://schemas.openxmlformats.org/officeDocument/2006/relationships/hyperlink" Target="https://vanillabonds.com/dossier-data/pdf/katjes/katjes-h1-2026-interim-report.pdf#page=45" TargetMode="External" Id="rId2427"/><Relationship Type="http://schemas.openxmlformats.org/officeDocument/2006/relationships/hyperlink" Target="https://vanillabonds.com/dossier.html?c=katjes&amp;viewer=1&amp;item=F1214" TargetMode="External" Id="rId2428"/><Relationship Type="http://schemas.openxmlformats.org/officeDocument/2006/relationships/hyperlink" Target="https://vanillabonds.com/dossier-data/pdf/katjes/katjes-h1-2026-interim-report.pdf#page=45" TargetMode="External" Id="rId2429"/><Relationship Type="http://schemas.openxmlformats.org/officeDocument/2006/relationships/hyperlink" Target="https://vanillabonds.com/dossier.html?c=katjes&amp;viewer=1&amp;item=F1215" TargetMode="External" Id="rId2430"/><Relationship Type="http://schemas.openxmlformats.org/officeDocument/2006/relationships/hyperlink" Target="https://vanillabonds.com/dossier-data/pdf/katjes/katjes-h1-2026-interim-report.pdf#page=45" TargetMode="External" Id="rId2431"/><Relationship Type="http://schemas.openxmlformats.org/officeDocument/2006/relationships/hyperlink" Target="https://vanillabonds.com/dossier.html?c=katjes&amp;viewer=1&amp;item=F1216" TargetMode="External" Id="rId2432"/><Relationship Type="http://schemas.openxmlformats.org/officeDocument/2006/relationships/hyperlink" Target="https://vanillabonds.com/dossier-data/pdf/katjes/katjes-h1-2026-interim-report.pdf#page=45" TargetMode="External" Id="rId2433"/><Relationship Type="http://schemas.openxmlformats.org/officeDocument/2006/relationships/hyperlink" Target="https://vanillabonds.com/dossier.html?c=katjes&amp;viewer=1&amp;item=F1217" TargetMode="External" Id="rId2434"/><Relationship Type="http://schemas.openxmlformats.org/officeDocument/2006/relationships/hyperlink" Target="https://vanillabonds.com/dossier-data/pdf/katjes/katjes-h1-2026-interim-report.pdf#page=45" TargetMode="External" Id="rId2435"/><Relationship Type="http://schemas.openxmlformats.org/officeDocument/2006/relationships/hyperlink" Target="https://vanillabonds.com/dossier.html?c=katjes&amp;viewer=1&amp;item=F1218" TargetMode="External" Id="rId2436"/><Relationship Type="http://schemas.openxmlformats.org/officeDocument/2006/relationships/hyperlink" Target="https://vanillabonds.com/dossier-data/pdf/katjes/katjes-h1-2026-interim-report.pdf#page=45" TargetMode="External" Id="rId2437"/><Relationship Type="http://schemas.openxmlformats.org/officeDocument/2006/relationships/hyperlink" Target="https://vanillabonds.com/dossier.html?c=katjes&amp;viewer=1&amp;item=F1219" TargetMode="External" Id="rId2438"/><Relationship Type="http://schemas.openxmlformats.org/officeDocument/2006/relationships/hyperlink" Target="https://vanillabonds.com/dossier-data/pdf/katjes/katjes-h1-2026-interim-report.pdf#page=45" TargetMode="External" Id="rId2439"/><Relationship Type="http://schemas.openxmlformats.org/officeDocument/2006/relationships/hyperlink" Target="https://vanillabonds.com/dossier.html?c=katjes&amp;viewer=1&amp;item=F1220" TargetMode="External" Id="rId2440"/><Relationship Type="http://schemas.openxmlformats.org/officeDocument/2006/relationships/hyperlink" Target="https://vanillabonds.com/dossier-data/pdf/katjes/katjes-h1-2026-interim-report.pdf#page=45" TargetMode="External" Id="rId2441"/><Relationship Type="http://schemas.openxmlformats.org/officeDocument/2006/relationships/hyperlink" Target="https://vanillabonds.com/dossier.html?c=katjes&amp;viewer=1&amp;item=F1221" TargetMode="External" Id="rId2442"/><Relationship Type="http://schemas.openxmlformats.org/officeDocument/2006/relationships/hyperlink" Target="https://vanillabonds.com/dossier-data/pdf/katjes/katjes-h1-2026-interim-report.pdf#page=45" TargetMode="External" Id="rId2443"/><Relationship Type="http://schemas.openxmlformats.org/officeDocument/2006/relationships/hyperlink" Target="https://vanillabonds.com/dossier.html?c=katjes&amp;viewer=1&amp;item=F1222" TargetMode="External" Id="rId2444"/><Relationship Type="http://schemas.openxmlformats.org/officeDocument/2006/relationships/hyperlink" Target="https://vanillabonds.com/dossier-data/pdf/katjes/katjes-h1-2026-interim-report.pdf#page=45" TargetMode="External" Id="rId2445"/><Relationship Type="http://schemas.openxmlformats.org/officeDocument/2006/relationships/hyperlink" Target="https://vanillabonds.com/dossier.html?c=katjes&amp;viewer=1&amp;item=F1223" TargetMode="External" Id="rId2446"/><Relationship Type="http://schemas.openxmlformats.org/officeDocument/2006/relationships/hyperlink" Target="https://vanillabonds.com/dossier-data/pdf/katjes/katjes-h1-2026-interim-report.pdf#page=46" TargetMode="External" Id="rId2447"/><Relationship Type="http://schemas.openxmlformats.org/officeDocument/2006/relationships/hyperlink" Target="https://vanillabonds.com/dossier.html?c=katjes&amp;viewer=1&amp;item=F1224" TargetMode="External" Id="rId2448"/><Relationship Type="http://schemas.openxmlformats.org/officeDocument/2006/relationships/hyperlink" Target="https://vanillabonds.com/dossier-data/pdf/katjes/katjes-h1-2026-interim-report.pdf#page=46" TargetMode="External" Id="rId2449"/><Relationship Type="http://schemas.openxmlformats.org/officeDocument/2006/relationships/hyperlink" Target="https://vanillabonds.com/dossier.html?c=katjes&amp;viewer=1&amp;item=F1225" TargetMode="External" Id="rId2450"/><Relationship Type="http://schemas.openxmlformats.org/officeDocument/2006/relationships/hyperlink" Target="https://vanillabonds.com/dossier-data/pdf/katjes/katjes-h1-2026-interim-report.pdf#page=46" TargetMode="External" Id="rId2451"/><Relationship Type="http://schemas.openxmlformats.org/officeDocument/2006/relationships/hyperlink" Target="https://vanillabonds.com/dossier.html?c=katjes&amp;viewer=1&amp;item=F1226" TargetMode="External" Id="rId2452"/><Relationship Type="http://schemas.openxmlformats.org/officeDocument/2006/relationships/hyperlink" Target="https://vanillabonds.com/dossier-data/pdf/katjes/katjes-h1-2026-interim-report.pdf#page=46" TargetMode="External" Id="rId2453"/><Relationship Type="http://schemas.openxmlformats.org/officeDocument/2006/relationships/hyperlink" Target="https://vanillabonds.com/dossier.html?c=katjes&amp;viewer=1&amp;item=F1227" TargetMode="External" Id="rId2454"/><Relationship Type="http://schemas.openxmlformats.org/officeDocument/2006/relationships/hyperlink" Target="https://vanillabonds.com/dossier-data/pdf/katjes/katjes-h1-2026-interim-report.pdf#page=46" TargetMode="External" Id="rId2455"/><Relationship Type="http://schemas.openxmlformats.org/officeDocument/2006/relationships/hyperlink" Target="https://vanillabonds.com/dossier.html?c=katjes&amp;viewer=1&amp;item=F1228" TargetMode="External" Id="rId2456"/><Relationship Type="http://schemas.openxmlformats.org/officeDocument/2006/relationships/hyperlink" Target="https://vanillabonds.com/dossier-data/pdf/katjes/katjes-h1-2026-interim-report.pdf#page=46" TargetMode="External" Id="rId2457"/><Relationship Type="http://schemas.openxmlformats.org/officeDocument/2006/relationships/hyperlink" Target="https://vanillabonds.com/dossier.html?c=katjes&amp;viewer=1&amp;item=F1229" TargetMode="External" Id="rId2458"/><Relationship Type="http://schemas.openxmlformats.org/officeDocument/2006/relationships/hyperlink" Target="https://vanillabonds.com/dossier-data/pdf/katjes/katjes-h1-2026-interim-report.pdf#page=46" TargetMode="External" Id="rId2459"/><Relationship Type="http://schemas.openxmlformats.org/officeDocument/2006/relationships/hyperlink" Target="https://vanillabonds.com/dossier.html?c=katjes&amp;viewer=1&amp;item=F1230" TargetMode="External" Id="rId2460"/><Relationship Type="http://schemas.openxmlformats.org/officeDocument/2006/relationships/hyperlink" Target="https://vanillabonds.com/dossier-data/pdf/katjes/katjes-h1-2026-interim-report.pdf#page=46" TargetMode="External" Id="rId2461"/><Relationship Type="http://schemas.openxmlformats.org/officeDocument/2006/relationships/hyperlink" Target="https://vanillabonds.com/dossier.html?c=katjes&amp;viewer=1&amp;item=F1231" TargetMode="External" Id="rId2462"/><Relationship Type="http://schemas.openxmlformats.org/officeDocument/2006/relationships/hyperlink" Target="https://vanillabonds.com/dossier-data/pdf/katjes/katjes-h1-2026-interim-report.pdf#page=34" TargetMode="External" Id="rId2463"/><Relationship Type="http://schemas.openxmlformats.org/officeDocument/2006/relationships/hyperlink" Target="https://vanillabonds.com/dossier.html?c=katjes&amp;viewer=1&amp;item=F1232" TargetMode="External" Id="rId2464"/><Relationship Type="http://schemas.openxmlformats.org/officeDocument/2006/relationships/hyperlink" Target="https://vanillabonds.com/dossier-data/pdf/katjes/katjes-h1-2026-interim-report.pdf#page=34" TargetMode="External" Id="rId2465"/><Relationship Type="http://schemas.openxmlformats.org/officeDocument/2006/relationships/hyperlink" Target="https://vanillabonds.com/dossier.html?c=katjes&amp;viewer=1&amp;item=F1233" TargetMode="External" Id="rId2466"/><Relationship Type="http://schemas.openxmlformats.org/officeDocument/2006/relationships/hyperlink" Target="https://vanillabonds.com/dossier-data/pdf/katjes/katjes-h1-2026-interim-report.pdf#page=43" TargetMode="External" Id="rId2467"/><Relationship Type="http://schemas.openxmlformats.org/officeDocument/2006/relationships/hyperlink" Target="https://vanillabonds.com/dossier.html?c=katjes&amp;viewer=1&amp;item=F1234" TargetMode="External" Id="rId2468"/><Relationship Type="http://schemas.openxmlformats.org/officeDocument/2006/relationships/hyperlink" Target="https://vanillabonds.com/dossier-data/pdf/katjes/katjes-h1-2026-interim-report.pdf#page=44" TargetMode="External" Id="rId2469"/><Relationship Type="http://schemas.openxmlformats.org/officeDocument/2006/relationships/hyperlink" Target="https://vanillabonds.com/dossier.html?c=katjes&amp;viewer=1&amp;item=F1235" TargetMode="External" Id="rId2470"/><Relationship Type="http://schemas.openxmlformats.org/officeDocument/2006/relationships/hyperlink" Target="https://vanillabonds.com/dossier-data/pdf/katjes/katjes-h1-2026-interim-report.pdf#page=17" TargetMode="External" Id="rId2471"/><Relationship Type="http://schemas.openxmlformats.org/officeDocument/2006/relationships/hyperlink" Target="https://vanillabonds.com/dossier.html?c=katjes&amp;viewer=1&amp;item=F1236" TargetMode="External" Id="rId2472"/><Relationship Type="http://schemas.openxmlformats.org/officeDocument/2006/relationships/hyperlink" Target="https://vanillabonds.com/dossier-data/pdf/katjes/katjes-h1-2026-interim-report.pdf#page=27" TargetMode="External" Id="rId2473"/><Relationship Type="http://schemas.openxmlformats.org/officeDocument/2006/relationships/hyperlink" Target="https://vanillabonds.com/dossier.html?c=katjes&amp;viewer=1&amp;item=F1237" TargetMode="External" Id="rId2474"/><Relationship Type="http://schemas.openxmlformats.org/officeDocument/2006/relationships/hyperlink" Target="https://vanillabonds.com/dossier-data/pdf/katjes/katjes-h1-2026-interim-report.pdf#page=27" TargetMode="External" Id="rId2475"/><Relationship Type="http://schemas.openxmlformats.org/officeDocument/2006/relationships/hyperlink" Target="https://vanillabonds.com/dossier.html?c=katjes&amp;viewer=1&amp;item=F1238" TargetMode="External" Id="rId2476"/><Relationship Type="http://schemas.openxmlformats.org/officeDocument/2006/relationships/hyperlink" Target="https://vanillabonds.com/dossier-data/pdf/katjes/katjes-h1-2026-interim-report.pdf#page=5" TargetMode="External" Id="rId2477"/><Relationship Type="http://schemas.openxmlformats.org/officeDocument/2006/relationships/hyperlink" Target="https://vanillabonds.com/dossier.html?c=katjes&amp;viewer=1&amp;item=F1239" TargetMode="External" Id="rId2478"/><Relationship Type="http://schemas.openxmlformats.org/officeDocument/2006/relationships/hyperlink" Target="https://vanillabonds.com/dossier-data/pdf/katjes/katjes-h1-2026-interim-report.pdf#page=23" TargetMode="External" Id="rId2479"/><Relationship Type="http://schemas.openxmlformats.org/officeDocument/2006/relationships/hyperlink" Target="https://vanillabonds.com/dossier.html?c=katjes&amp;viewer=1&amp;item=F1240" TargetMode="External" Id="rId2480"/><Relationship Type="http://schemas.openxmlformats.org/officeDocument/2006/relationships/hyperlink" Target="https://vanillabonds.com/dossier-data/pdf/katjes/katjes-h1-2026-interim-report.pdf#page=23" TargetMode="External" Id="rId2481"/><Relationship Type="http://schemas.openxmlformats.org/officeDocument/2006/relationships/hyperlink" Target="https://vanillabonds.com/dossier.html?c=katjes&amp;viewer=1&amp;item=F1241" TargetMode="External" Id="rId2482"/><Relationship Type="http://schemas.openxmlformats.org/officeDocument/2006/relationships/hyperlink" Target="https://vanillabonds.com/dossier-data/pdf/katjes/katjes-h1-2026-interim-report.pdf#page=15" TargetMode="External" Id="rId2483"/><Relationship Type="http://schemas.openxmlformats.org/officeDocument/2006/relationships/hyperlink" Target="https://vanillabonds.com/dossier.html?c=katjes&amp;viewer=1&amp;item=F1242" TargetMode="External" Id="rId2484"/><Relationship Type="http://schemas.openxmlformats.org/officeDocument/2006/relationships/hyperlink" Target="https://vanillabonds.com/dossier-data/pdf/katjes/katjes-h1-2026-interim-report.pdf#page=48" TargetMode="External" Id="rId2485"/><Relationship Type="http://schemas.openxmlformats.org/officeDocument/2006/relationships/hyperlink" Target="https://vanillabonds.com/dossier.html?c=katjes&amp;viewer=1&amp;item=F1243" TargetMode="External" Id="rId2486"/><Relationship Type="http://schemas.openxmlformats.org/officeDocument/2006/relationships/hyperlink" Target="https://vanillabonds.com/dossier-data/pdf/katjes/katjes-h1-2026-interim-report.pdf#page=5" TargetMode="External" Id="rId2487"/><Relationship Type="http://schemas.openxmlformats.org/officeDocument/2006/relationships/hyperlink" Target="https://vanillabonds.com/dossier.html?c=katjes&amp;viewer=1&amp;item=F1244" TargetMode="External" Id="rId2488"/><Relationship Type="http://schemas.openxmlformats.org/officeDocument/2006/relationships/hyperlink" Target="https://vanillabonds.com/dossier-data/pdf/katjes/katjes-h1-2026-interim-report.pdf#page=27" TargetMode="External" Id="rId2489"/><Relationship Type="http://schemas.openxmlformats.org/officeDocument/2006/relationships/hyperlink" Target="https://vanillabonds.com/dossier.html?c=katjes&amp;viewer=1&amp;item=F1245" TargetMode="External" Id="rId2490"/><Relationship Type="http://schemas.openxmlformats.org/officeDocument/2006/relationships/hyperlink" Target="https://vanillabonds.com/dossier-data/pdf/katjes/katjes-h1-2026-interim-report.pdf#page=9" TargetMode="External" Id="rId2491"/><Relationship Type="http://schemas.openxmlformats.org/officeDocument/2006/relationships/hyperlink" Target="https://vanillabonds.com/dossier.html?c=katjes&amp;viewer=1&amp;item=F1246" TargetMode="External" Id="rId2492"/><Relationship Type="http://schemas.openxmlformats.org/officeDocument/2006/relationships/hyperlink" Target="https://vanillabonds.com/dossier-data/pdf/katjes/katjes-h1-2026-interim-report.pdf#page=40" TargetMode="External" Id="rId2493"/><Relationship Type="http://schemas.openxmlformats.org/officeDocument/2006/relationships/hyperlink" Target="https://vanillabonds.com/dossier.html?c=katjes&amp;viewer=1&amp;item=F1247" TargetMode="External" Id="rId2494"/><Relationship Type="http://schemas.openxmlformats.org/officeDocument/2006/relationships/hyperlink" Target="https://vanillabonds.com/dossier-data/pdf/katjes/katjes-h1-2026-interim-report.pdf#page=40" TargetMode="External" Id="rId2495"/><Relationship Type="http://schemas.openxmlformats.org/officeDocument/2006/relationships/hyperlink" Target="https://vanillabonds.com/dossier.html?c=katjes&amp;viewer=1&amp;item=F1248" TargetMode="External" Id="rId2496"/><Relationship Type="http://schemas.openxmlformats.org/officeDocument/2006/relationships/hyperlink" Target="https://vanillabonds.com/dossier-data/pdf/katjes/katjes-h1-2026-interim-report.pdf#page=23" TargetMode="External" Id="rId2497"/><Relationship Type="http://schemas.openxmlformats.org/officeDocument/2006/relationships/hyperlink" Target="https://vanillabonds.com/dossier.html?c=katjes&amp;viewer=1&amp;item=F1249" TargetMode="External" Id="rId2498"/><Relationship Type="http://schemas.openxmlformats.org/officeDocument/2006/relationships/hyperlink" Target="https://vanillabonds.com/dossier-data/pdf/katjes/katjes-h1-2026-interim-report.pdf#page=34" TargetMode="External" Id="rId2499"/><Relationship Type="http://schemas.openxmlformats.org/officeDocument/2006/relationships/hyperlink" Target="https://vanillabonds.com/dossier.html?c=katjes&amp;viewer=1&amp;item=F1250" TargetMode="External" Id="rId2500"/><Relationship Type="http://schemas.openxmlformats.org/officeDocument/2006/relationships/hyperlink" Target="https://vanillabonds.com/dossier-data/pdf/katjes/katjes-h1-2026-interim-report.pdf#page=42" TargetMode="External" Id="rId2501"/><Relationship Type="http://schemas.openxmlformats.org/officeDocument/2006/relationships/hyperlink" Target="https://vanillabonds.com/dossier.html?c=katjes&amp;viewer=1&amp;item=F1251" TargetMode="External" Id="rId2502"/><Relationship Type="http://schemas.openxmlformats.org/officeDocument/2006/relationships/hyperlink" Target="https://vanillabonds.com/dossier-data/pdf/katjes/katjes-2025-annual-report.pdf#page=68" TargetMode="External" Id="rId2503"/><Relationship Type="http://schemas.openxmlformats.org/officeDocument/2006/relationships/hyperlink" Target="https://vanillabonds.com/dossier.html?c=katjes&amp;viewer=1&amp;item=F1252" TargetMode="External" Id="rId2504"/><Relationship Type="http://schemas.openxmlformats.org/officeDocument/2006/relationships/hyperlink" Target="https://vanillabonds.com/dossier-data/pdf/katjes/katjes-2025-annual-report.pdf#page=77" TargetMode="External" Id="rId2505"/><Relationship Type="http://schemas.openxmlformats.org/officeDocument/2006/relationships/hyperlink" Target="https://vanillabonds.com/dossier.html?c=katjes&amp;viewer=1&amp;item=F1253" TargetMode="External" Id="rId2506"/><Relationship Type="http://schemas.openxmlformats.org/officeDocument/2006/relationships/hyperlink" Target="https://vanillabonds.com/dossier-data/pdf/katjes/katjes-2024-annual-report.pdf#page=38" TargetMode="External" Id="rId2507"/><Relationship Type="http://schemas.openxmlformats.org/officeDocument/2006/relationships/hyperlink" Target="https://vanillabonds.com/dossier.html?c=katjes&amp;viewer=1&amp;item=F1254" TargetMode="External" Id="rId2508"/><Relationship Type="http://schemas.openxmlformats.org/officeDocument/2006/relationships/hyperlink" Target="https://vanillabonds.com/dossier-data/pdf/katjes/katjes-2025-annual-report.pdf#page=35" TargetMode="External" Id="rId2509"/><Relationship Type="http://schemas.openxmlformats.org/officeDocument/2006/relationships/hyperlink" Target="https://vanillabonds.com/dossier.html?c=katjes&amp;viewer=1&amp;item=F1255" TargetMode="External" Id="rId2510"/><Relationship Type="http://schemas.openxmlformats.org/officeDocument/2006/relationships/hyperlink" Target="https://api.gleif.org/api/v1/lei-records?filter[entity.legalName]=Katjes International" TargetMode="External" Id="rId2511"/><Relationship Type="http://schemas.openxmlformats.org/officeDocument/2006/relationships/hyperlink" Target="https://api.gleif.org/api/v1/lei-records?filter[entity.legalName]=Katjes International" TargetMode="External" Id="rId2512"/><Relationship Type="http://schemas.openxmlformats.org/officeDocument/2006/relationships/hyperlink" Target="https://api.gleif.org/api/v1/lei-records?filter[entity.legalName]=Katjes International" TargetMode="External" Id="rId2513"/><Relationship Type="http://schemas.openxmlformats.org/officeDocument/2006/relationships/hyperlink" Target="https://api.gleif.org/api/v1/lei-records?filter[entity.legalName]=Katjes International" TargetMode="External" Id="rId2514"/><Relationship Type="http://schemas.openxmlformats.org/officeDocument/2006/relationships/hyperlink" Target="https://www.onvista.de/anleihen/KATJES-INT-IHS-23-28-Anleihe-NO0012888769" TargetMode="External" Id="rId2515"/><Relationship Type="http://schemas.openxmlformats.org/officeDocument/2006/relationships/hyperlink" Target="https://www.onvista.de/anleihen/KATJES-INT-IHS-23-28-Anleihe-NO0012888769" TargetMode="External" Id="rId2516"/><Relationship Type="http://schemas.openxmlformats.org/officeDocument/2006/relationships/hyperlink" Target="https://www.onvista.de/anleihen/KATJES-INT-IHS-23-28-Anleihe-NO0012888769" TargetMode="External" Id="rId2517"/><Relationship Type="http://schemas.openxmlformats.org/officeDocument/2006/relationships/hyperlink" Target="https://www.onvista.de/anleihen/KATJES-INT-IHS-23-28-Anleihe-NO0012888769" TargetMode="External" Id="rId2518"/><Relationship Type="http://schemas.openxmlformats.org/officeDocument/2006/relationships/hyperlink" Target="https://www.placera.se/pressmeddelanden/katjes-international-successfully-taps-its-corporate-bond-by-eur-70-million-20250805" TargetMode="External" Id="rId2519"/><Relationship Type="http://schemas.openxmlformats.org/officeDocument/2006/relationships/hyperlink" Target="https://www.placera.se/pressmeddelanden/katjes-international-successfully-taps-its-corporate-bond-by-eur-70-million-20250805" TargetMode="External" Id="rId2520"/><Relationship Type="http://schemas.openxmlformats.org/officeDocument/2006/relationships/hyperlink" Target="https://www.placera.se/pressmeddelanden/katjes-international-successfully-taps-its-corporate-bond-by-eur-70-million-20250805" TargetMode="External" Id="rId2521"/><Relationship Type="http://schemas.openxmlformats.org/officeDocument/2006/relationships/hyperlink" Target="https://www.placera.se/pressmeddelanden/katjes-international-successfully-taps-its-corporate-bond-by-eur-70-million-20250805" TargetMode="External" Id="rId2522"/><Relationship Type="http://schemas.openxmlformats.org/officeDocument/2006/relationships/hyperlink" Target="https://www.hlc.com/de/news/hogan-lovells-beraet-katjes-bei-aufstockung-ihrer-nordic-bonds" TargetMode="External" Id="rId2523"/><Relationship Type="http://schemas.openxmlformats.org/officeDocument/2006/relationships/hyperlink" Target="https://www.hlc.com/de/news/hogan-lovells-beraet-katjes-bei-aufstockung-ihrer-nordic-bonds" TargetMode="External" Id="rId2524"/><Relationship Type="http://schemas.openxmlformats.org/officeDocument/2006/relationships/hyperlink" Target="https://www.yumda.com/de/news/1188448/katjes-mit-rekord-bei-umsatz-und-ergebnis.html" TargetMode="External" Id="rId2525"/><Relationship Type="http://schemas.openxmlformats.org/officeDocument/2006/relationships/hyperlink" Target="https://www.yumda.com/de/news/1188448/katjes-mit-rekord-bei-umsatz-und-ergebnis.html" TargetMode="External" Id="rId2526"/><Relationship Type="http://schemas.openxmlformats.org/officeDocument/2006/relationships/hyperlink" Target="https://www.yumda.com/de/news/1147058/katjes-und-zuckerproduzenten-streiten-vor-gericht-um-schadensersatz.html" TargetMode="External" Id="rId2527"/><Relationship Type="http://schemas.openxmlformats.org/officeDocument/2006/relationships/hyperlink" Target="https://www.yumda.com/de/news/1147058/katjes-und-zuckerproduzenten-streiten-vor-gericht-um-schadensersatz.html" TargetMode="External" Id="rId2528"/><Relationship Type="http://schemas.openxmlformats.org/officeDocument/2006/relationships/hyperlink" Target="https://en.wikipedia.org/wiki/Katjes_International" TargetMode="External" Id="rId2529"/><Relationship Type="http://schemas.openxmlformats.org/officeDocument/2006/relationships/hyperlink" Target="https://en.wikipedia.org/wiki/Katjes_International" TargetMode="External" Id="rId2530"/><Relationship Type="http://schemas.openxmlformats.org/officeDocument/2006/relationships/hyperlink" Target="https://vanillabonds.com/dossier-data/pdf/katjes/katjes-bond-2023-2028-bond-terms-signed.pdf#page=3" TargetMode="External" Id="rId2531"/><Relationship Type="http://schemas.openxmlformats.org/officeDocument/2006/relationships/hyperlink" Target="https://vanillabonds.com/dossier.html?c=katjes&amp;viewer=1&amp;item=F1266" TargetMode="External" Id="rId2532"/><Relationship Type="http://schemas.openxmlformats.org/officeDocument/2006/relationships/hyperlink" Target="https://vanillabonds.com/dossier-data/pdf/katjes/katjes-bond-2023-2028-bond-terms-signed.pdf#page=3" TargetMode="External" Id="rId2533"/><Relationship Type="http://schemas.openxmlformats.org/officeDocument/2006/relationships/hyperlink" Target="https://vanillabonds.com/dossier.html?c=katjes&amp;viewer=1&amp;item=F1267" TargetMode="External" Id="rId2534"/><Relationship Type="http://schemas.openxmlformats.org/officeDocument/2006/relationships/hyperlink" Target="https://vanillabonds.com/dossier-data/pdf/katjes/katjes-bond-2023-2028-bond-terms-signed.pdf#page=3" TargetMode="External" Id="rId2535"/><Relationship Type="http://schemas.openxmlformats.org/officeDocument/2006/relationships/hyperlink" Target="https://vanillabonds.com/dossier.html?c=katjes&amp;viewer=1&amp;item=F1268" TargetMode="External" Id="rId2536"/><Relationship Type="http://schemas.openxmlformats.org/officeDocument/2006/relationships/hyperlink" Target="https://vanillabonds.com/dossier-data/pdf/katjes/katjes-bond-2023-2028-bond-terms-signed.pdf#page=3" TargetMode="External" Id="rId2537"/><Relationship Type="http://schemas.openxmlformats.org/officeDocument/2006/relationships/hyperlink" Target="https://vanillabonds.com/dossier.html?c=katjes&amp;viewer=1&amp;item=F1269" TargetMode="External" Id="rId2538"/><Relationship Type="http://schemas.openxmlformats.org/officeDocument/2006/relationships/hyperlink" Target="https://vanillabonds.com/dossier-data/pdf/katjes/katjes-bond-2023-2028-bond-terms-signed.pdf#page=3" TargetMode="External" Id="rId2539"/><Relationship Type="http://schemas.openxmlformats.org/officeDocument/2006/relationships/hyperlink" Target="https://vanillabonds.com/dossier.html?c=katjes&amp;viewer=1&amp;item=F1270" TargetMode="External" Id="rId2540"/><Relationship Type="http://schemas.openxmlformats.org/officeDocument/2006/relationships/hyperlink" Target="https://vanillabonds.com/dossier-data/pdf/katjes/katjes-bond-2023-2028-bond-terms-signed.pdf#page=3" TargetMode="External" Id="rId2541"/><Relationship Type="http://schemas.openxmlformats.org/officeDocument/2006/relationships/hyperlink" Target="https://vanillabonds.com/dossier.html?c=katjes&amp;viewer=1&amp;item=F1271" TargetMode="External" Id="rId2542"/><Relationship Type="http://schemas.openxmlformats.org/officeDocument/2006/relationships/hyperlink" Target="https://vanillabonds.com/dossier-data/pdf/katjes/katjes-bond-2023-2028-bond-terms-signed.pdf#page=8" TargetMode="External" Id="rId2543"/><Relationship Type="http://schemas.openxmlformats.org/officeDocument/2006/relationships/hyperlink" Target="https://vanillabonds.com/dossier.html?c=katjes&amp;viewer=1&amp;item=F1272" TargetMode="External" Id="rId2544"/><Relationship Type="http://schemas.openxmlformats.org/officeDocument/2006/relationships/hyperlink" Target="https://vanillabonds.com/dossier-data/pdf/katjes/katjes-bond-2023-2028-bond-terms-signed.pdf#page=9" TargetMode="External" Id="rId2545"/><Relationship Type="http://schemas.openxmlformats.org/officeDocument/2006/relationships/hyperlink" Target="https://vanillabonds.com/dossier.html?c=katjes&amp;viewer=1&amp;item=F1273" TargetMode="External" Id="rId2546"/><Relationship Type="http://schemas.openxmlformats.org/officeDocument/2006/relationships/hyperlink" Target="https://vanillabonds.com/dossier-data/pdf/katjes/katjes-bond-2023-2028-bond-terms-signed.pdf#page=19" TargetMode="External" Id="rId2547"/><Relationship Type="http://schemas.openxmlformats.org/officeDocument/2006/relationships/hyperlink" Target="https://vanillabonds.com/dossier.html?c=katjes&amp;viewer=1&amp;item=F1274" TargetMode="External" Id="rId2548"/><Relationship Type="http://schemas.openxmlformats.org/officeDocument/2006/relationships/hyperlink" Target="https://vanillabonds.com/dossier-data/pdf/katjes/katjes-bond-2023-2028-bond-terms-signed.pdf#page=13" TargetMode="External" Id="rId2549"/><Relationship Type="http://schemas.openxmlformats.org/officeDocument/2006/relationships/hyperlink" Target="https://vanillabonds.com/dossier.html?c=katjes&amp;viewer=1&amp;item=F1275" TargetMode="External" Id="rId2550"/><Relationship Type="http://schemas.openxmlformats.org/officeDocument/2006/relationships/hyperlink" Target="https://vanillabonds.com/dossier-data/pdf/katjes/katjes-bond-2023-2028-bond-terms-signed.pdf#page=17" TargetMode="External" Id="rId2551"/><Relationship Type="http://schemas.openxmlformats.org/officeDocument/2006/relationships/hyperlink" Target="https://vanillabonds.com/dossier.html?c=katjes&amp;viewer=1&amp;item=F1276" TargetMode="External" Id="rId2552"/><Relationship Type="http://schemas.openxmlformats.org/officeDocument/2006/relationships/hyperlink" Target="https://vanillabonds.com/dossier-data/pdf/katjes/katjes-bond-2023-2028-bond-terms-signed.pdf#page=6" TargetMode="External" Id="rId2553"/><Relationship Type="http://schemas.openxmlformats.org/officeDocument/2006/relationships/hyperlink" Target="https://vanillabonds.com/dossier.html?c=katjes&amp;viewer=1&amp;item=F1277" TargetMode="External" Id="rId2554"/><Relationship Type="http://schemas.openxmlformats.org/officeDocument/2006/relationships/hyperlink" Target="https://vanillabonds.com/dossier-data/pdf/katjes/katjes-bond-2023-2028-bond-terms-signed.pdf#page=17" TargetMode="External" Id="rId2555"/><Relationship Type="http://schemas.openxmlformats.org/officeDocument/2006/relationships/hyperlink" Target="https://vanillabonds.com/dossier.html?c=katjes&amp;viewer=1&amp;item=F1278" TargetMode="External" Id="rId2556"/><Relationship Type="http://schemas.openxmlformats.org/officeDocument/2006/relationships/hyperlink" Target="https://vanillabonds.com/dossier-data/pdf/katjes/katjes-bond-2023-2028-bond-terms-signed.pdf#page=1" TargetMode="External" Id="rId2557"/><Relationship Type="http://schemas.openxmlformats.org/officeDocument/2006/relationships/hyperlink" Target="https://vanillabonds.com/dossier.html?c=katjes&amp;viewer=1&amp;item=F1279" TargetMode="External" Id="rId2558"/><Relationship Type="http://schemas.openxmlformats.org/officeDocument/2006/relationships/hyperlink" Target="https://vanillabonds.com/dossier-data/pdf/katjes/katjes-bond-2023-2028-bond-terms-signed.pdf#page=9" TargetMode="External" Id="rId2559"/><Relationship Type="http://schemas.openxmlformats.org/officeDocument/2006/relationships/hyperlink" Target="https://vanillabonds.com/dossier.html?c=katjes&amp;viewer=1&amp;item=F1280" TargetMode="External" Id="rId2560"/><Relationship Type="http://schemas.openxmlformats.org/officeDocument/2006/relationships/hyperlink" Target="https://vanillabonds.com/dossier-data/pdf/katjes/katjes-bond-2023-2028-bond-terms-signed.pdf#page=9" TargetMode="External" Id="rId2561"/><Relationship Type="http://schemas.openxmlformats.org/officeDocument/2006/relationships/hyperlink" Target="https://vanillabonds.com/dossier.html?c=katjes&amp;viewer=1&amp;item=F1281" TargetMode="External" Id="rId2562"/><Relationship Type="http://schemas.openxmlformats.org/officeDocument/2006/relationships/hyperlink" Target="https://vanillabonds.com/dossier-data/pdf/katjes/katjes-bond-2023-2028-bond-terms-signed.pdf#page=10" TargetMode="External" Id="rId2563"/><Relationship Type="http://schemas.openxmlformats.org/officeDocument/2006/relationships/hyperlink" Target="https://vanillabonds.com/dossier.html?c=katjes&amp;viewer=1&amp;item=F1282" TargetMode="External" Id="rId2564"/><Relationship Type="http://schemas.openxmlformats.org/officeDocument/2006/relationships/hyperlink" Target="https://vanillabonds.com/dossier-data/pdf/katjes/katjes-bond-2023-2028-bond-terms-signed.pdf#page=9" TargetMode="External" Id="rId2565"/><Relationship Type="http://schemas.openxmlformats.org/officeDocument/2006/relationships/hyperlink" Target="https://vanillabonds.com/dossier.html?c=katjes&amp;viewer=1&amp;item=F1283" TargetMode="External" Id="rId2566"/><Relationship Type="http://schemas.openxmlformats.org/officeDocument/2006/relationships/hyperlink" Target="https://vanillabonds.com/dossier-data/pdf/katjes/katjes-bond-2023-2028-bond-terms-signed.pdf#page=18" TargetMode="External" Id="rId2567"/><Relationship Type="http://schemas.openxmlformats.org/officeDocument/2006/relationships/hyperlink" Target="https://vanillabonds.com/dossier.html?c=katjes&amp;viewer=1&amp;item=F1284" TargetMode="External" Id="rId2568"/><Relationship Type="http://schemas.openxmlformats.org/officeDocument/2006/relationships/hyperlink" Target="https://vanillabonds.com/dossier-data/pdf/katjes/katjes-bond-2023-2028-bond-terms-signed.pdf#page=27" TargetMode="External" Id="rId2569"/><Relationship Type="http://schemas.openxmlformats.org/officeDocument/2006/relationships/hyperlink" Target="https://vanillabonds.com/dossier.html?c=katjes&amp;viewer=1&amp;item=F1285" TargetMode="External" Id="rId2570"/><Relationship Type="http://schemas.openxmlformats.org/officeDocument/2006/relationships/hyperlink" Target="https://vanillabonds.com/dossier-data/pdf/katjes/katjes-bond-2023-2028-bond-terms-signed.pdf#page=9" TargetMode="External" Id="rId2571"/><Relationship Type="http://schemas.openxmlformats.org/officeDocument/2006/relationships/hyperlink" Target="https://vanillabonds.com/dossier.html?c=katjes&amp;viewer=1&amp;item=F1286" TargetMode="External" Id="rId2572"/><Relationship Type="http://schemas.openxmlformats.org/officeDocument/2006/relationships/hyperlink" Target="https://vanillabonds.com/dossier-data/pdf/katjes/katjes-bond-2023-2028-bond-terms-signed.pdf#page=28" TargetMode="External" Id="rId2573"/><Relationship Type="http://schemas.openxmlformats.org/officeDocument/2006/relationships/hyperlink" Target="https://vanillabonds.com/dossier.html?c=katjes&amp;viewer=1&amp;item=F1287" TargetMode="External" Id="rId2574"/><Relationship Type="http://schemas.openxmlformats.org/officeDocument/2006/relationships/hyperlink" Target="https://vanillabonds.com/dossier-data/pdf/katjes/katjes-bond-2023-2028-bond-terms-signed.pdf#page=28" TargetMode="External" Id="rId2575"/><Relationship Type="http://schemas.openxmlformats.org/officeDocument/2006/relationships/hyperlink" Target="https://vanillabonds.com/dossier.html?c=katjes&amp;viewer=1&amp;item=F1288" TargetMode="External" Id="rId2576"/><Relationship Type="http://schemas.openxmlformats.org/officeDocument/2006/relationships/hyperlink" Target="https://vanillabonds.com/dossier-data/pdf/katjes/katjes-bond-2023-2028-bond-terms-signed.pdf#page=10" TargetMode="External" Id="rId2577"/><Relationship Type="http://schemas.openxmlformats.org/officeDocument/2006/relationships/hyperlink" Target="https://vanillabonds.com/dossier.html?c=katjes&amp;viewer=1&amp;item=F1289" TargetMode="External" Id="rId2578"/><Relationship Type="http://schemas.openxmlformats.org/officeDocument/2006/relationships/hyperlink" Target="https://vanillabonds.com/dossier-data/pdf/katjes/katjes-bond-2023-2028-bond-terms-signed.pdf#page=19" TargetMode="External" Id="rId2579"/><Relationship Type="http://schemas.openxmlformats.org/officeDocument/2006/relationships/hyperlink" Target="https://vanillabonds.com/dossier.html?c=katjes&amp;viewer=1&amp;item=F1290" TargetMode="External" Id="rId2580"/><Relationship Type="http://schemas.openxmlformats.org/officeDocument/2006/relationships/hyperlink" Target="https://vanillabonds.com/dossier-data/pdf/katjes/katjes-bond-2023-2028-bond-terms-signed.pdf#page=5" TargetMode="External" Id="rId2581"/><Relationship Type="http://schemas.openxmlformats.org/officeDocument/2006/relationships/hyperlink" Target="https://vanillabonds.com/dossier.html?c=katjes&amp;viewer=1&amp;item=F1291" TargetMode="External" Id="rId2582"/><Relationship Type="http://schemas.openxmlformats.org/officeDocument/2006/relationships/hyperlink" Target="https://vanillabonds.com/dossier-data/pdf/katjes/katjes-bond-2023-2028-bond-terms-signed.pdf#page=24" TargetMode="External" Id="rId2583"/><Relationship Type="http://schemas.openxmlformats.org/officeDocument/2006/relationships/hyperlink" Target="https://vanillabonds.com/dossier.html?c=katjes&amp;viewer=1&amp;item=F1292" TargetMode="External" Id="rId2584"/><Relationship Type="http://schemas.openxmlformats.org/officeDocument/2006/relationships/hyperlink" Target="https://vanillabonds.com/dossier-data/pdf/katjes/katjes-bond-2023-2028-bond-terms-signed.pdf#page=3" TargetMode="External" Id="rId2585"/><Relationship Type="http://schemas.openxmlformats.org/officeDocument/2006/relationships/hyperlink" Target="https://vanillabonds.com/dossier.html?c=katjes&amp;viewer=1&amp;item=F1293" TargetMode="External" Id="rId2586"/><Relationship Type="http://schemas.openxmlformats.org/officeDocument/2006/relationships/hyperlink" Target="https://vanillabonds.com/dossier-data/pdf/katjes/katjes-bond-2023-2028-bond-terms-signed.pdf#page=10" TargetMode="External" Id="rId2587"/><Relationship Type="http://schemas.openxmlformats.org/officeDocument/2006/relationships/hyperlink" Target="https://vanillabonds.com/dossier.html?c=katjes&amp;viewer=1&amp;item=F1294" TargetMode="External" Id="rId2588"/><Relationship Type="http://schemas.openxmlformats.org/officeDocument/2006/relationships/hyperlink" Target="https://vanillabonds.com/dossier-data/pdf/katjes/katjes-bond-2023-2028-bond-terms-signed.pdf#page=15" TargetMode="External" Id="rId2589"/><Relationship Type="http://schemas.openxmlformats.org/officeDocument/2006/relationships/hyperlink" Target="https://vanillabonds.com/dossier.html?c=katjes&amp;viewer=1&amp;item=F1295" TargetMode="External" Id="rId2590"/><Relationship Type="http://schemas.openxmlformats.org/officeDocument/2006/relationships/hyperlink" Target="https://vanillabonds.com/dossier-data/pdf/katjes/katjes-bond-2023-2028-bond-terms-signed.pdf#page=21" TargetMode="External" Id="rId2591"/><Relationship Type="http://schemas.openxmlformats.org/officeDocument/2006/relationships/hyperlink" Target="https://vanillabonds.com/dossier.html?c=katjes&amp;viewer=1&amp;item=F1296" TargetMode="External" Id="rId2592"/><Relationship Type="http://schemas.openxmlformats.org/officeDocument/2006/relationships/hyperlink" Target="https://vanillabonds.com/dossier-data/pdf/katjes/katjes-bond-2023-2028-bond-terms-signed.pdf#page=18" TargetMode="External" Id="rId2593"/><Relationship Type="http://schemas.openxmlformats.org/officeDocument/2006/relationships/hyperlink" Target="https://vanillabonds.com/dossier.html?c=katjes&amp;viewer=1&amp;item=F1297" TargetMode="External" Id="rId2594"/><Relationship Type="http://schemas.openxmlformats.org/officeDocument/2006/relationships/hyperlink" Target="https://vanillabonds.com/dossier-data/pdf/katjes/katjes-bond-2023-2028-bond-terms-signed.pdf#page=15" TargetMode="External" Id="rId2595"/><Relationship Type="http://schemas.openxmlformats.org/officeDocument/2006/relationships/hyperlink" Target="https://vanillabonds.com/dossier.html?c=katjes&amp;viewer=1&amp;item=F1298" TargetMode="External" Id="rId2596"/><Relationship Type="http://schemas.openxmlformats.org/officeDocument/2006/relationships/hyperlink" Target="https://vanillabonds.com/dossier-data/pdf/katjes/katjes-bond-2023-2028-bond-terms-signed.pdf#page=34" TargetMode="External" Id="rId2597"/><Relationship Type="http://schemas.openxmlformats.org/officeDocument/2006/relationships/hyperlink" Target="https://vanillabonds.com/dossier.html?c=katjes&amp;viewer=1&amp;item=F1299" TargetMode="External" Id="rId2598"/><Relationship Type="http://schemas.openxmlformats.org/officeDocument/2006/relationships/hyperlink" Target="https://vanillabonds.com/dossier-data/pdf/katjes/katjes-bond-2023-2028-bond-terms-signed.pdf#page=9" TargetMode="External" Id="rId2599"/><Relationship Type="http://schemas.openxmlformats.org/officeDocument/2006/relationships/hyperlink" Target="https://vanillabonds.com/dossier.html?c=katjes&amp;viewer=1&amp;item=F1300" TargetMode="External" Id="rId2600"/><Relationship Type="http://schemas.openxmlformats.org/officeDocument/2006/relationships/hyperlink" Target="https://vanillabonds.com/dossier-data/pdf/katjes/katjes-bond-2023-2028-bond-terms-signed.pdf#page=16" TargetMode="External" Id="rId2601"/><Relationship Type="http://schemas.openxmlformats.org/officeDocument/2006/relationships/hyperlink" Target="https://vanillabonds.com/dossier.html?c=katjes&amp;viewer=1&amp;item=F1301" TargetMode="External" Id="rId2602"/><Relationship Type="http://schemas.openxmlformats.org/officeDocument/2006/relationships/hyperlink" Target="https://vanillabonds.com/dossier-data/pdf/katjes/katjes-bond-2023-2028-bond-terms-signed.pdf#page=6" TargetMode="External" Id="rId2603"/><Relationship Type="http://schemas.openxmlformats.org/officeDocument/2006/relationships/hyperlink" Target="https://vanillabonds.com/dossier.html?c=katjes&amp;viewer=1&amp;item=F1302" TargetMode="External" Id="rId2604"/><Relationship Type="http://schemas.openxmlformats.org/officeDocument/2006/relationships/hyperlink" Target="https://vanillabonds.com/dossier-data/pdf/katjes/katjes-bond-2023-2028-bond-terms-signed.pdf#page=12" TargetMode="External" Id="rId2605"/><Relationship Type="http://schemas.openxmlformats.org/officeDocument/2006/relationships/hyperlink" Target="https://vanillabonds.com/dossier.html?c=katjes&amp;viewer=1&amp;item=F1303" TargetMode="External" Id="rId2606"/><Relationship Type="http://schemas.openxmlformats.org/officeDocument/2006/relationships/hyperlink" Target="https://vanillabonds.com/dossier-data/pdf/katjes/katjes-bond-2023-2028-bond-terms-signed.pdf#page=11" TargetMode="External" Id="rId2607"/><Relationship Type="http://schemas.openxmlformats.org/officeDocument/2006/relationships/hyperlink" Target="https://vanillabonds.com/dossier.html?c=katjes&amp;viewer=1&amp;item=F1304" TargetMode="External" Id="rId2608"/><Relationship Type="http://schemas.openxmlformats.org/officeDocument/2006/relationships/hyperlink" Target="https://vanillabonds.com/dossier-data/pdf/katjes/katjes-bond-2023-2028-bond-terms-signed.pdf#page=11" TargetMode="External" Id="rId2609"/><Relationship Type="http://schemas.openxmlformats.org/officeDocument/2006/relationships/hyperlink" Target="https://vanillabonds.com/dossier.html?c=katjes&amp;viewer=1&amp;item=F1305" TargetMode="External" Id="rId2610"/><Relationship Type="http://schemas.openxmlformats.org/officeDocument/2006/relationships/hyperlink" Target="https://vanillabonds.com/dossier-data/pdf/katjes/katjes-bond-2023-2028-bond-terms-signed.pdf#page=12" TargetMode="External" Id="rId2611"/><Relationship Type="http://schemas.openxmlformats.org/officeDocument/2006/relationships/hyperlink" Target="https://vanillabonds.com/dossier.html?c=katjes&amp;viewer=1&amp;item=F1306" TargetMode="External" Id="rId2612"/><Relationship Type="http://schemas.openxmlformats.org/officeDocument/2006/relationships/hyperlink" Target="https://vanillabonds.com/dossier-data/pdf/katjes/katjes-bond-2023-2028-bond-terms-signed.pdf#page=12" TargetMode="External" Id="rId2613"/><Relationship Type="http://schemas.openxmlformats.org/officeDocument/2006/relationships/hyperlink" Target="https://vanillabonds.com/dossier.html?c=katjes&amp;viewer=1&amp;item=F1307" TargetMode="External" Id="rId2614"/><Relationship Type="http://schemas.openxmlformats.org/officeDocument/2006/relationships/hyperlink" Target="https://vanillabonds.com/dossier-data/pdf/katjes/katjes-bond-2023-2028-bond-terms-signed.pdf#page=13" TargetMode="External" Id="rId2615"/><Relationship Type="http://schemas.openxmlformats.org/officeDocument/2006/relationships/hyperlink" Target="https://vanillabonds.com/dossier.html?c=katjes&amp;viewer=1&amp;item=F1308" TargetMode="External" Id="rId2616"/><Relationship Type="http://schemas.openxmlformats.org/officeDocument/2006/relationships/hyperlink" Target="https://vanillabonds.com/dossier-data/pdf/katjes/katjes-bond-2023-2028-bond-terms-signed.pdf#page=32" TargetMode="External" Id="rId2617"/><Relationship Type="http://schemas.openxmlformats.org/officeDocument/2006/relationships/hyperlink" Target="https://vanillabonds.com/dossier.html?c=katjes&amp;viewer=1&amp;item=F1309" TargetMode="External" Id="rId2618"/><Relationship Type="http://schemas.openxmlformats.org/officeDocument/2006/relationships/hyperlink" Target="https://vanillabonds.com/dossier-data/pdf/katjes/katjes-bond-2023-2028-bond-terms-signed.pdf#page=32" TargetMode="External" Id="rId2619"/><Relationship Type="http://schemas.openxmlformats.org/officeDocument/2006/relationships/hyperlink" Target="https://vanillabonds.com/dossier.html?c=katjes&amp;viewer=1&amp;item=F1310" TargetMode="External" Id="rId2620"/><Relationship Type="http://schemas.openxmlformats.org/officeDocument/2006/relationships/hyperlink" Target="https://vanillabonds.com/dossier-data/pdf/katjes/katjes-bond-2023-2028-bond-terms-signed.pdf#page=32" TargetMode="External" Id="rId2621"/><Relationship Type="http://schemas.openxmlformats.org/officeDocument/2006/relationships/hyperlink" Target="https://vanillabonds.com/dossier.html?c=katjes&amp;viewer=1&amp;item=F1311" TargetMode="External" Id="rId2622"/><Relationship Type="http://schemas.openxmlformats.org/officeDocument/2006/relationships/hyperlink" Target="https://vanillabonds.com/dossier-data/pdf/katjes/katjes-bond-2023-2028-bond-terms-signed.pdf#page=34" TargetMode="External" Id="rId2623"/><Relationship Type="http://schemas.openxmlformats.org/officeDocument/2006/relationships/hyperlink" Target="https://vanillabonds.com/dossier.html?c=katjes&amp;viewer=1&amp;item=F1312" TargetMode="External" Id="rId2624"/><Relationship Type="http://schemas.openxmlformats.org/officeDocument/2006/relationships/hyperlink" Target="https://vanillabonds.com/dossier-data/pdf/katjes/katjes-bond-2023-2028-bond-terms-signed.pdf#page=33" TargetMode="External" Id="rId2625"/><Relationship Type="http://schemas.openxmlformats.org/officeDocument/2006/relationships/hyperlink" Target="https://vanillabonds.com/dossier.html?c=katjes&amp;viewer=1&amp;item=F1313" TargetMode="External" Id="rId2626"/><Relationship Type="http://schemas.openxmlformats.org/officeDocument/2006/relationships/hyperlink" Target="https://vanillabonds.com/dossier-data/pdf/katjes/katjes-bond-2023-2028-bond-terms-signed.pdf#page=33" TargetMode="External" Id="rId2627"/><Relationship Type="http://schemas.openxmlformats.org/officeDocument/2006/relationships/hyperlink" Target="https://vanillabonds.com/dossier.html?c=katjes&amp;viewer=1&amp;item=F1314" TargetMode="External" Id="rId2628"/><Relationship Type="http://schemas.openxmlformats.org/officeDocument/2006/relationships/hyperlink" Target="https://vanillabonds.com/dossier-data/pdf/katjes/katjes-bond-2023-2028-bond-terms-signed.pdf#page=33" TargetMode="External" Id="rId2629"/><Relationship Type="http://schemas.openxmlformats.org/officeDocument/2006/relationships/hyperlink" Target="https://vanillabonds.com/dossier.html?c=katjes&amp;viewer=1&amp;item=F1315" TargetMode="External" Id="rId2630"/><Relationship Type="http://schemas.openxmlformats.org/officeDocument/2006/relationships/hyperlink" Target="https://vanillabonds.com/dossier-data/pdf/katjes/katjes-bond-2023-2028-bond-terms-signed.pdf#page=36" TargetMode="External" Id="rId2631"/><Relationship Type="http://schemas.openxmlformats.org/officeDocument/2006/relationships/hyperlink" Target="https://vanillabonds.com/dossier.html?c=katjes&amp;viewer=1&amp;item=F1316" TargetMode="External" Id="rId2632"/><Relationship Type="http://schemas.openxmlformats.org/officeDocument/2006/relationships/hyperlink" Target="https://vanillabonds.com/dossier-data/pdf/katjes/katjes-bond-2023-2028-bond-terms-signed.pdf#page=12" TargetMode="External" Id="rId2633"/><Relationship Type="http://schemas.openxmlformats.org/officeDocument/2006/relationships/hyperlink" Target="https://vanillabonds.com/dossier.html?c=katjes&amp;viewer=1&amp;item=F1317" TargetMode="External" Id="rId2634"/><Relationship Type="http://schemas.openxmlformats.org/officeDocument/2006/relationships/hyperlink" Target="https://vanillabonds.com/dossier-data/pdf/katjes/katjes-bond-2023-2028-bond-terms-signed.pdf#page=13" TargetMode="External" Id="rId2635"/><Relationship Type="http://schemas.openxmlformats.org/officeDocument/2006/relationships/hyperlink" Target="https://vanillabonds.com/dossier.html?c=katjes&amp;viewer=1&amp;item=F1318" TargetMode="External" Id="rId2636"/><Relationship Type="http://schemas.openxmlformats.org/officeDocument/2006/relationships/hyperlink" Target="https://vanillabonds.com/dossier-data/pdf/katjes/katjes-bond-2023-2028-bond-terms-signed.pdf#page=4" TargetMode="External" Id="rId2637"/><Relationship Type="http://schemas.openxmlformats.org/officeDocument/2006/relationships/hyperlink" Target="https://vanillabonds.com/dossier.html?c=katjes&amp;viewer=1&amp;item=F1319" TargetMode="External" Id="rId2638"/><Relationship Type="http://schemas.openxmlformats.org/officeDocument/2006/relationships/hyperlink" Target="https://vanillabonds.com/dossier-data/pdf/katjes/katjes-bond-2023-2028-bond-terms-signed.pdf#page=29" TargetMode="External" Id="rId2639"/><Relationship Type="http://schemas.openxmlformats.org/officeDocument/2006/relationships/hyperlink" Target="https://vanillabonds.com/dossier.html?c=katjes&amp;viewer=1&amp;item=F1320" TargetMode="External" Id="rId2640"/><Relationship Type="http://schemas.openxmlformats.org/officeDocument/2006/relationships/hyperlink" Target="https://vanillabonds.com/dossier-data/pdf/katjes/katjes-bond-2023-2028-bond-terms-signed.pdf#page=29" TargetMode="External" Id="rId2641"/><Relationship Type="http://schemas.openxmlformats.org/officeDocument/2006/relationships/hyperlink" Target="https://vanillabonds.com/dossier.html?c=katjes&amp;viewer=1&amp;item=F1321" TargetMode="External" Id="rId2642"/><Relationship Type="http://schemas.openxmlformats.org/officeDocument/2006/relationships/hyperlink" Target="https://vanillabonds.com/dossier-data/pdf/katjes/katjes-bond-2023-2028-bond-terms-signed.pdf#page=18" TargetMode="External" Id="rId2643"/><Relationship Type="http://schemas.openxmlformats.org/officeDocument/2006/relationships/hyperlink" Target="https://vanillabonds.com/dossier.html?c=katjes&amp;viewer=1&amp;item=F1322" TargetMode="External" Id="rId2644"/><Relationship Type="http://schemas.openxmlformats.org/officeDocument/2006/relationships/hyperlink" Target="https://vanillabonds.com/dossier-data/pdf/katjes/katjes-bond-2023-2028-bond-terms-signed.pdf#page=18" TargetMode="External" Id="rId2645"/><Relationship Type="http://schemas.openxmlformats.org/officeDocument/2006/relationships/hyperlink" Target="https://vanillabonds.com/dossier.html?c=katjes&amp;viewer=1&amp;item=F1323" TargetMode="External" Id="rId2646"/><Relationship Type="http://schemas.openxmlformats.org/officeDocument/2006/relationships/hyperlink" Target="https://vanillabonds.com/dossier-data/pdf/katjes/katjes-bond-2023-2028-bond-terms-signed.pdf#page=18" TargetMode="External" Id="rId2647"/><Relationship Type="http://schemas.openxmlformats.org/officeDocument/2006/relationships/hyperlink" Target="https://vanillabonds.com/dossier.html?c=katjes&amp;viewer=1&amp;item=F1324" TargetMode="External" Id="rId2648"/><Relationship Type="http://schemas.openxmlformats.org/officeDocument/2006/relationships/hyperlink" Target="https://vanillabonds.com/dossier-data/pdf/katjes/katjes-bond-2023-2028-bond-terms-signed.pdf#page=18" TargetMode="External" Id="rId2649"/><Relationship Type="http://schemas.openxmlformats.org/officeDocument/2006/relationships/hyperlink" Target="https://vanillabonds.com/dossier.html?c=katjes&amp;viewer=1&amp;item=F1325" TargetMode="External" Id="rId2650"/><Relationship Type="http://schemas.openxmlformats.org/officeDocument/2006/relationships/hyperlink" Target="https://vanillabonds.com/dossier-data/pdf/katjes/katjes-bond-2023-2028-bond-terms-signed.pdf#page=3" TargetMode="External" Id="rId2651"/><Relationship Type="http://schemas.openxmlformats.org/officeDocument/2006/relationships/hyperlink" Target="https://vanillabonds.com/dossier.html?c=katjes&amp;viewer=1&amp;item=F1326" TargetMode="External" Id="rId2652"/><Relationship Type="http://schemas.openxmlformats.org/officeDocument/2006/relationships/hyperlink" Target="https://vanillabonds.com/dossier-data/pdf/katjes/katjes-bond-2023-2028-bond-terms-signed.pdf#page=21" TargetMode="External" Id="rId2653"/><Relationship Type="http://schemas.openxmlformats.org/officeDocument/2006/relationships/hyperlink" Target="https://vanillabonds.com/dossier.html?c=katjes&amp;viewer=1&amp;item=F1327" TargetMode="External" Id="rId2654"/><Relationship Type="http://schemas.openxmlformats.org/officeDocument/2006/relationships/hyperlink" Target="https://vanillabonds.com/dossier-data/pdf/katjes/katjes-bond-2023-2028-bond-terms-signed.pdf#page=7" TargetMode="External" Id="rId2655"/><Relationship Type="http://schemas.openxmlformats.org/officeDocument/2006/relationships/hyperlink" Target="https://vanillabonds.com/dossier.html?c=katjes&amp;viewer=1&amp;item=F1328" TargetMode="External" Id="rId2656"/><Relationship Type="http://schemas.openxmlformats.org/officeDocument/2006/relationships/hyperlink" Target="https://vanillabonds.com/dossier-data/pdf/katjes/katjes-bond-2023-2028-bond-terms-signed.pdf#page=26" TargetMode="External" Id="rId2657"/><Relationship Type="http://schemas.openxmlformats.org/officeDocument/2006/relationships/hyperlink" Target="https://vanillabonds.com/dossier.html?c=katjes&amp;viewer=1&amp;item=F1329" TargetMode="External" Id="rId2658"/><Relationship Type="http://schemas.openxmlformats.org/officeDocument/2006/relationships/hyperlink" Target="https://vanillabonds.com/dossier-data/pdf/katjes/katjes-bond-2023-2028-bond-terms-signed.pdf#page=21" TargetMode="External" Id="rId2659"/><Relationship Type="http://schemas.openxmlformats.org/officeDocument/2006/relationships/hyperlink" Target="https://vanillabonds.com/dossier.html?c=katjes&amp;viewer=1&amp;item=F1330" TargetMode="External" Id="rId2660"/><Relationship Type="http://schemas.openxmlformats.org/officeDocument/2006/relationships/hyperlink" Target="https://vanillabonds.com/dossier-data/pdf/katjes/katjes-bond-2023-2028-bond-terms-signed.pdf#page=24" TargetMode="External" Id="rId2661"/><Relationship Type="http://schemas.openxmlformats.org/officeDocument/2006/relationships/hyperlink" Target="https://vanillabonds.com/dossier.html?c=katjes&amp;viewer=1&amp;item=F1331" TargetMode="External" Id="rId2662"/><Relationship Type="http://schemas.openxmlformats.org/officeDocument/2006/relationships/hyperlink" Target="https://vanillabonds.com/dossier-data/pdf/katjes/katjes-bond-2023-2028-bond-terms-signed.pdf#page=34" TargetMode="External" Id="rId2663"/><Relationship Type="http://schemas.openxmlformats.org/officeDocument/2006/relationships/hyperlink" Target="https://vanillabonds.com/dossier.html?c=katjes&amp;viewer=1&amp;item=F1332" TargetMode="External" Id="rId2664"/><Relationship Type="http://schemas.openxmlformats.org/officeDocument/2006/relationships/hyperlink" Target="https://vanillabonds.com/dossier-data/pdf/katjes/katjes-bond-2023-2028-bond-terms-signed.pdf#page=4" TargetMode="External" Id="rId2665"/><Relationship Type="http://schemas.openxmlformats.org/officeDocument/2006/relationships/hyperlink" Target="https://vanillabonds.com/dossier.html?c=katjes&amp;viewer=1&amp;item=F1333" TargetMode="External" Id="rId2666"/><Relationship Type="http://schemas.openxmlformats.org/officeDocument/2006/relationships/hyperlink" Target="https://vanillabonds.com/dossier-data/pdf/katjes/katjes-bond-2023-2028-bond-terms-signed.pdf#page=52" TargetMode="External" Id="rId2667"/><Relationship Type="http://schemas.openxmlformats.org/officeDocument/2006/relationships/hyperlink" Target="https://vanillabonds.com/dossier.html?c=katjes&amp;viewer=1&amp;item=F1334" TargetMode="External" Id="rId2668"/><Relationship Type="http://schemas.openxmlformats.org/officeDocument/2006/relationships/hyperlink" Target="https://vanillabonds.com/dossier-data/pdf/katjes/katjes-bond-2023-2028-bond-terms-signed.pdf#page=6" TargetMode="External" Id="rId2669"/><Relationship Type="http://schemas.openxmlformats.org/officeDocument/2006/relationships/hyperlink" Target="https://vanillabonds.com/dossier.html?c=katjes&amp;viewer=1&amp;item=F1335" TargetMode="External" Id="rId2670"/><Relationship Type="http://schemas.openxmlformats.org/officeDocument/2006/relationships/hyperlink" Target="https://vanillabonds.com/dossier-data/pdf/katjes/katjes-bond-2023-2028-bond-terms-signed.pdf#page=6" TargetMode="External" Id="rId2671"/><Relationship Type="http://schemas.openxmlformats.org/officeDocument/2006/relationships/hyperlink" Target="https://vanillabonds.com/dossier.html?c=katjes&amp;viewer=1&amp;item=F1336" TargetMode="External" Id="rId2672"/><Relationship Type="http://schemas.openxmlformats.org/officeDocument/2006/relationships/hyperlink" Target="https://vanillabonds.com/dossier-data/pdf/katjes/katjes-bond-2023-2028-bond-terms-signed.pdf#page=6" TargetMode="External" Id="rId2673"/><Relationship Type="http://schemas.openxmlformats.org/officeDocument/2006/relationships/hyperlink" Target="https://vanillabonds.com/dossier.html?c=katjes&amp;viewer=1&amp;item=F1337" TargetMode="External" Id="rId2674"/><Relationship Type="http://schemas.openxmlformats.org/officeDocument/2006/relationships/hyperlink" Target="https://vanillabonds.com/dossier-data/pdf/katjes/katjes-bond-2023-2028-bond-terms-signed.pdf#page=16" TargetMode="External" Id="rId2675"/><Relationship Type="http://schemas.openxmlformats.org/officeDocument/2006/relationships/hyperlink" Target="https://vanillabonds.com/dossier.html?c=katjes&amp;viewer=1&amp;item=F1338" TargetMode="External" Id="rId2676"/><Relationship Type="http://schemas.openxmlformats.org/officeDocument/2006/relationships/hyperlink" Target="https://vanillabonds.com/dossier-data/pdf/katjes/katjes-bond-2023-2028-bond-terms-signed.pdf#page=35" TargetMode="External" Id="rId2677"/><Relationship Type="http://schemas.openxmlformats.org/officeDocument/2006/relationships/hyperlink" Target="https://vanillabonds.com/dossier.html?c=katjes&amp;viewer=1&amp;item=F1339" TargetMode="External" Id="rId2678"/><Relationship Type="http://schemas.openxmlformats.org/officeDocument/2006/relationships/hyperlink" Target="https://vanillabonds.com/dossier-data/pdf/katjes/katjes-bond-2023-2028-bond-terms-signed.pdf#page=35" TargetMode="External" Id="rId2679"/><Relationship Type="http://schemas.openxmlformats.org/officeDocument/2006/relationships/hyperlink" Target="https://vanillabonds.com/dossier.html?c=katjes&amp;viewer=1&amp;item=F1340" TargetMode="External" Id="rId2680"/><Relationship Type="http://schemas.openxmlformats.org/officeDocument/2006/relationships/hyperlink" Target="https://vanillabonds.com/dossier-data/pdf/katjes/katjes-bond-2023-2028-bond-terms-signed.pdf#page=35" TargetMode="External" Id="rId2681"/><Relationship Type="http://schemas.openxmlformats.org/officeDocument/2006/relationships/hyperlink" Target="https://vanillabonds.com/dossier.html?c=katjes&amp;viewer=1&amp;item=F1341" TargetMode="External" Id="rId2682"/><Relationship Type="http://schemas.openxmlformats.org/officeDocument/2006/relationships/hyperlink" Target="https://vanillabonds.com/dossier-data/pdf/katjes/katjes-bond-2023-2028-bond-terms-signed.pdf#page=32" TargetMode="External" Id="rId2683"/><Relationship Type="http://schemas.openxmlformats.org/officeDocument/2006/relationships/hyperlink" Target="https://vanillabonds.com/dossier.html?c=katjes&amp;viewer=1&amp;item=F1342" TargetMode="External" Id="rId2684"/><Relationship Type="http://schemas.openxmlformats.org/officeDocument/2006/relationships/hyperlink" Target="https://vanillabonds.com/dossier-data/pdf/katjes/katjes-bond-2023-2028-bond-terms-signed.pdf#page=12" TargetMode="External" Id="rId2685"/><Relationship Type="http://schemas.openxmlformats.org/officeDocument/2006/relationships/hyperlink" Target="https://vanillabonds.com/dossier.html?c=katjes&amp;viewer=1&amp;item=F1343" TargetMode="External" Id="rId2686"/><Relationship Type="http://schemas.openxmlformats.org/officeDocument/2006/relationships/hyperlink" Target="https://vanillabonds.com/dossier-data/pdf/katjes/katjes-bond-2023-2028-bond-terms-signed.pdf#page=13" TargetMode="External" Id="rId2687"/><Relationship Type="http://schemas.openxmlformats.org/officeDocument/2006/relationships/hyperlink" Target="https://vanillabonds.com/dossier.html?c=katjes&amp;viewer=1&amp;item=F1344" TargetMode="External" Id="rId2688"/><Relationship Type="http://schemas.openxmlformats.org/officeDocument/2006/relationships/hyperlink" Target="https://vanillabonds.com/dossier-data/pdf/katjes/katjes-bond-2023-2028-bond-terms-signed.pdf#page=14" TargetMode="External" Id="rId2689"/><Relationship Type="http://schemas.openxmlformats.org/officeDocument/2006/relationships/hyperlink" Target="https://vanillabonds.com/dossier.html?c=katjes&amp;viewer=1&amp;item=F1345" TargetMode="External" Id="rId2690"/><Relationship Type="http://schemas.openxmlformats.org/officeDocument/2006/relationships/hyperlink" Target="https://vanillabonds.com/dossier-data/pdf/katjes/katjes-bond-2023-2028-bond-terms-signed.pdf#page=36" TargetMode="External" Id="rId2691"/><Relationship Type="http://schemas.openxmlformats.org/officeDocument/2006/relationships/hyperlink" Target="https://vanillabonds.com/dossier.html?c=katjes&amp;viewer=1&amp;item=F1346" TargetMode="External" Id="rId2692"/><Relationship Type="http://schemas.openxmlformats.org/officeDocument/2006/relationships/hyperlink" Target="https://vanillabonds.com/dossier-data/pdf/katjes/katjes-bond-2023-2028-bond-terms-signed.pdf#page=38" TargetMode="External" Id="rId2693"/><Relationship Type="http://schemas.openxmlformats.org/officeDocument/2006/relationships/hyperlink" Target="https://vanillabonds.com/dossier.html?c=katjes&amp;viewer=1&amp;item=F1347" TargetMode="External" Id="rId2694"/><Relationship Type="http://schemas.openxmlformats.org/officeDocument/2006/relationships/hyperlink" Target="https://vanillabonds.com/dossier-data/pdf/katjes/katjes-bond-2023-2028-bond-terms-signed.pdf#page=39" TargetMode="External" Id="rId2695"/><Relationship Type="http://schemas.openxmlformats.org/officeDocument/2006/relationships/hyperlink" Target="https://vanillabonds.com/dossier.html?c=katjes&amp;viewer=1&amp;item=F1348" TargetMode="External" Id="rId2696"/><Relationship Type="http://schemas.openxmlformats.org/officeDocument/2006/relationships/hyperlink" Target="https://vanillabonds.com/dossier-data/pdf/katjes/katjes-bond-2023-2028-bond-terms-signed.pdf#page=39" TargetMode="External" Id="rId2697"/><Relationship Type="http://schemas.openxmlformats.org/officeDocument/2006/relationships/hyperlink" Target="https://vanillabonds.com/dossier.html?c=katjes&amp;viewer=1&amp;item=F1349" TargetMode="External" Id="rId2698"/><Relationship Type="http://schemas.openxmlformats.org/officeDocument/2006/relationships/hyperlink" Target="https://vanillabonds.com/dossier-data/pdf/katjes/katjes-bond-2023-2028-bond-terms-signed.pdf#page=39" TargetMode="External" Id="rId2699"/><Relationship Type="http://schemas.openxmlformats.org/officeDocument/2006/relationships/hyperlink" Target="https://vanillabonds.com/dossier.html?c=katjes&amp;viewer=1&amp;item=F1350" TargetMode="External" Id="rId2700"/><Relationship Type="http://schemas.openxmlformats.org/officeDocument/2006/relationships/hyperlink" Target="https://vanillabonds.com/dossier-data/pdf/katjes/katjes-bond-2023-2028-bond-terms-signed.pdf#page=41" TargetMode="External" Id="rId2701"/><Relationship Type="http://schemas.openxmlformats.org/officeDocument/2006/relationships/hyperlink" Target="https://vanillabonds.com/dossier.html?c=katjes&amp;viewer=1&amp;item=F1351" TargetMode="External" Id="rId2702"/><Relationship Type="http://schemas.openxmlformats.org/officeDocument/2006/relationships/hyperlink" Target="https://vanillabonds.com/dossier-data/pdf/katjes/katjes-bond-2023-2028-bond-terms-signed.pdf#page=42" TargetMode="External" Id="rId2703"/><Relationship Type="http://schemas.openxmlformats.org/officeDocument/2006/relationships/hyperlink" Target="https://vanillabonds.com/dossier.html?c=katjes&amp;viewer=1&amp;item=F1352" TargetMode="External" Id="rId2704"/><Relationship Type="http://schemas.openxmlformats.org/officeDocument/2006/relationships/hyperlink" Target="https://vanillabonds.com/dossier-data/pdf/katjes/katjes-bond-2023-2028-bond-terms-signed.pdf#page=42" TargetMode="External" Id="rId2705"/><Relationship Type="http://schemas.openxmlformats.org/officeDocument/2006/relationships/hyperlink" Target="https://vanillabonds.com/dossier.html?c=katjes&amp;viewer=1&amp;item=F1353" TargetMode="External" Id="rId2706"/><Relationship Type="http://schemas.openxmlformats.org/officeDocument/2006/relationships/hyperlink" Target="https://vanillabonds.com/dossier-data/pdf/katjes/katjes-2025-annual-report.pdf#page=44" TargetMode="External" Id="rId2707"/><Relationship Type="http://schemas.openxmlformats.org/officeDocument/2006/relationships/hyperlink" Target="https://vanillabonds.com/dossier.html?c=katjes&amp;viewer=1&amp;item=F1354" TargetMode="External" Id="rId2708"/><Relationship Type="http://schemas.openxmlformats.org/officeDocument/2006/relationships/hyperlink" Target="https://vanillabonds.com/dossier-data/pdf/katjes/katjes-2025-annual-report.pdf#page=44" TargetMode="External" Id="rId2709"/><Relationship Type="http://schemas.openxmlformats.org/officeDocument/2006/relationships/hyperlink" Target="https://vanillabonds.com/dossier.html?c=katjes&amp;viewer=1&amp;item=F1355" TargetMode="External" Id="rId2710"/><Relationship Type="http://schemas.openxmlformats.org/officeDocument/2006/relationships/hyperlink" Target="https://vanillabonds.com/dossier-data/pdf/katjes/katjes-2025-annual-report.pdf#page=44" TargetMode="External" Id="rId2711"/><Relationship Type="http://schemas.openxmlformats.org/officeDocument/2006/relationships/hyperlink" Target="https://vanillabonds.com/dossier.html?c=katjes&amp;viewer=1&amp;item=F1356" TargetMode="External" Id="rId2712"/><Relationship Type="http://schemas.openxmlformats.org/officeDocument/2006/relationships/hyperlink" Target="https://vanillabonds.com/dossier-data/pdf/katjes/katjes-2025-annual-report.pdf#page=44" TargetMode="External" Id="rId2713"/><Relationship Type="http://schemas.openxmlformats.org/officeDocument/2006/relationships/hyperlink" Target="https://vanillabonds.com/dossier.html?c=katjes&amp;viewer=1&amp;item=F1357" TargetMode="External" Id="rId2714"/><Relationship Type="http://schemas.openxmlformats.org/officeDocument/2006/relationships/hyperlink" Target="https://vanillabonds.com/dossier-data/pdf/katjes/katjes-2025-annual-report.pdf#page=9" TargetMode="External" Id="rId2715"/><Relationship Type="http://schemas.openxmlformats.org/officeDocument/2006/relationships/hyperlink" Target="https://vanillabonds.com/dossier.html?c=katjes&amp;viewer=1&amp;item=F1358" TargetMode="External" Id="rId2716"/><Relationship Type="http://schemas.openxmlformats.org/officeDocument/2006/relationships/hyperlink" Target="https://vanillabonds.com/dossier-data/pdf/katjes/katjes-2025-annual-report.pdf#page=9" TargetMode="External" Id="rId2717"/><Relationship Type="http://schemas.openxmlformats.org/officeDocument/2006/relationships/hyperlink" Target="https://vanillabonds.com/dossier.html?c=katjes&amp;viewer=1&amp;item=F1359" TargetMode="External" Id="rId2718"/><Relationship Type="http://schemas.openxmlformats.org/officeDocument/2006/relationships/hyperlink" Target="https://vanillabonds.com/dossier-data/pdf/katjes/katjes-bond-2023-2028-bond-terms-signed.pdf#page=9" TargetMode="External" Id="rId2719"/><Relationship Type="http://schemas.openxmlformats.org/officeDocument/2006/relationships/hyperlink" Target="https://vanillabonds.com/dossier.html?c=katjes&amp;viewer=1&amp;item=F1360" TargetMode="External" Id="rId2720"/><Relationship Type="http://schemas.openxmlformats.org/officeDocument/2006/relationships/hyperlink" Target="https://vanillabonds.com/dossier-data/pdf/katjes/katjes-bond-2023-2028-bond-terms-signed.pdf#page=4" TargetMode="External" Id="rId2721"/><Relationship Type="http://schemas.openxmlformats.org/officeDocument/2006/relationships/hyperlink" Target="https://vanillabonds.com/dossier.html?c=katjes&amp;viewer=1&amp;item=F1361" TargetMode="External" Id="rId2722"/><Relationship Type="http://schemas.openxmlformats.org/officeDocument/2006/relationships/hyperlink" Target="https://vanillabonds.com/dossier-data/pdf/katjes/katjes-bond-2023-2028-bond-terms-signed.pdf#page=13" TargetMode="External" Id="rId2723"/><Relationship Type="http://schemas.openxmlformats.org/officeDocument/2006/relationships/hyperlink" Target="https://vanillabonds.com/dossier.html?c=katjes&amp;viewer=1&amp;item=F1362" TargetMode="External" Id="rId2724"/><Relationship Type="http://schemas.openxmlformats.org/officeDocument/2006/relationships/hyperlink" Target="https://vanillabonds.com/dossier-data/pdf/katjes/katjes-2024-annual-report.pdf#page=47" TargetMode="External" Id="rId2725"/><Relationship Type="http://schemas.openxmlformats.org/officeDocument/2006/relationships/hyperlink" Target="https://vanillabonds.com/dossier.html?c=katjes&amp;viewer=1&amp;item=F1363" TargetMode="External" Id="rId2726"/><Relationship Type="http://schemas.openxmlformats.org/officeDocument/2006/relationships/hyperlink" Target="https://vanillabonds.com/dossier-data/pdf/katjes/katjes-2025-annual-report.pdf#page=44" TargetMode="External" Id="rId2727"/><Relationship Type="http://schemas.openxmlformats.org/officeDocument/2006/relationships/hyperlink" Target="https://vanillabonds.com/dossier.html?c=katjes&amp;viewer=1&amp;item=F1364" TargetMode="External" Id="rId2728"/><Relationship Type="http://schemas.openxmlformats.org/officeDocument/2006/relationships/hyperlink" Target="https://vanillabonds.com/dossier-data/pdf/katjes/katjes-2025-annual-report.pdf#page=68" TargetMode="External" Id="rId2729"/><Relationship Type="http://schemas.openxmlformats.org/officeDocument/2006/relationships/hyperlink" Target="https://vanillabonds.com/dossier.html?c=katjes&amp;viewer=1&amp;item=F1365" TargetMode="External" Id="rId2730"/><Relationship Type="http://schemas.openxmlformats.org/officeDocument/2006/relationships/hyperlink" Target="https://vanillabonds.com/dossier-data/pdf/katjes/katjes-2025-annual-report.pdf#page=24" TargetMode="External" Id="rId2731"/><Relationship Type="http://schemas.openxmlformats.org/officeDocument/2006/relationships/hyperlink" Target="https://vanillabonds.com/dossier.html?c=katjes&amp;viewer=1&amp;item=F1366" TargetMode="External" Id="rId2732"/><Relationship Type="http://schemas.openxmlformats.org/officeDocument/2006/relationships/hyperlink" Target="https://vanillabonds.com/dossier-data/pdf/katjes/katjes-2025-annual-report.pdf#page=24" TargetMode="External" Id="rId2733"/><Relationship Type="http://schemas.openxmlformats.org/officeDocument/2006/relationships/hyperlink" Target="https://vanillabonds.com/dossier.html?c=katjes&amp;viewer=1&amp;item=F1367" TargetMode="External" Id="rId2734"/><Relationship Type="http://schemas.openxmlformats.org/officeDocument/2006/relationships/hyperlink" Target="https://vanillabonds.com/dossier-data/pdf/katjes/katjes-2025-annual-report.pdf#page=81" TargetMode="External" Id="rId2735"/><Relationship Type="http://schemas.openxmlformats.org/officeDocument/2006/relationships/hyperlink" Target="https://vanillabonds.com/dossier.html?c=katjes&amp;viewer=1&amp;item=F1368" TargetMode="External" Id="rId2736"/><Relationship Type="http://schemas.openxmlformats.org/officeDocument/2006/relationships/hyperlink" Target="https://vanillabonds.com/dossier-data/pdf/katjes/katjes-2025-annual-report.pdf#page=81" TargetMode="External" Id="rId2737"/><Relationship Type="http://schemas.openxmlformats.org/officeDocument/2006/relationships/hyperlink" Target="https://vanillabonds.com/dossier.html?c=katjes&amp;viewer=1&amp;item=F1369" TargetMode="External" Id="rId2738"/><Relationship Type="http://schemas.openxmlformats.org/officeDocument/2006/relationships/hyperlink" Target="https://vanillabonds.com/dossier-data/pdf/katjes/katjes-2025-annual-report.pdf#page=81" TargetMode="External" Id="rId2739"/><Relationship Type="http://schemas.openxmlformats.org/officeDocument/2006/relationships/hyperlink" Target="https://vanillabonds.com/dossier.html?c=katjes&amp;viewer=1&amp;item=F1370" TargetMode="External" Id="rId2740"/><Relationship Type="http://schemas.openxmlformats.org/officeDocument/2006/relationships/hyperlink" Target="https://vanillabonds.com/dossier-data/pdf/katjes/katjes-bond-2023-2028-bond-terms-signed.pdf#page=3" TargetMode="External" Id="rId2741"/><Relationship Type="http://schemas.openxmlformats.org/officeDocument/2006/relationships/hyperlink" Target="https://vanillabonds.com/dossier.html?c=katjes&amp;viewer=1&amp;item=F1371" TargetMode="External" Id="rId2742"/><Relationship Type="http://schemas.openxmlformats.org/officeDocument/2006/relationships/hyperlink" Target="https://vanillabonds.com/dossier-data/pdf/katjes/katjes-bond-2023-2028-bond-terms-signed.pdf#page=3" TargetMode="External" Id="rId2743"/><Relationship Type="http://schemas.openxmlformats.org/officeDocument/2006/relationships/hyperlink" Target="https://vanillabonds.com/dossier.html?c=katjes&amp;viewer=1&amp;item=F1372" TargetMode="External" Id="rId2744"/><Relationship Type="http://schemas.openxmlformats.org/officeDocument/2006/relationships/hyperlink" Target="https://vanillabonds.com/dossier-data/pdf/katjes/katjes-bond-2023-2028-bond-terms-signed.pdf#page=52" TargetMode="External" Id="rId2745"/><Relationship Type="http://schemas.openxmlformats.org/officeDocument/2006/relationships/hyperlink" Target="https://vanillabonds.com/dossier.html?c=katjes&amp;viewer=1&amp;item=F1373" TargetMode="External" Id="rId2746"/><Relationship Type="http://schemas.openxmlformats.org/officeDocument/2006/relationships/hyperlink" Target="https://vanillabonds.com/dossier-data/pdf/katjes/katjes-bond-2023-2028-bond-terms-signed.pdf#page=52" TargetMode="External" Id="rId2747"/><Relationship Type="http://schemas.openxmlformats.org/officeDocument/2006/relationships/hyperlink" Target="https://vanillabonds.com/dossier.html?c=katjes&amp;viewer=1&amp;item=F1374" TargetMode="External" Id="rId2748"/><Relationship Type="http://schemas.openxmlformats.org/officeDocument/2006/relationships/hyperlink" Target="https://vanillabonds.com/dossier-data/pdf/katjes/katjes-bond-2023-2028-bond-terms-signed.pdf#page=10" TargetMode="External" Id="rId2749"/><Relationship Type="http://schemas.openxmlformats.org/officeDocument/2006/relationships/hyperlink" Target="https://vanillabonds.com/dossier.html?c=katjes&amp;viewer=1&amp;item=F1375" TargetMode="External" Id="rId2750"/><Relationship Type="http://schemas.openxmlformats.org/officeDocument/2006/relationships/hyperlink" Target="https://vanillabonds.com/dossier-data/pdf/katjes/katjes-bond-2023-2028-bond-terms-signed.pdf#page=10" TargetMode="External" Id="rId2751"/><Relationship Type="http://schemas.openxmlformats.org/officeDocument/2006/relationships/hyperlink" Target="https://vanillabonds.com/dossier.html?c=katjes&amp;viewer=1&amp;item=F1376" TargetMode="External" Id="rId2752"/><Relationship Type="http://schemas.openxmlformats.org/officeDocument/2006/relationships/hyperlink" Target="https://vanillabonds.com/dossier-data/pdf/katjes/katjes-bond-2023-2028-bond-terms-signed.pdf#page=5" TargetMode="External" Id="rId2753"/><Relationship Type="http://schemas.openxmlformats.org/officeDocument/2006/relationships/hyperlink" Target="https://vanillabonds.com/dossier.html?c=katjes&amp;viewer=1&amp;item=F1377" TargetMode="External" Id="rId2754"/><Relationship Type="http://schemas.openxmlformats.org/officeDocument/2006/relationships/hyperlink" Target="https://vanillabonds.com/dossier-data/pdf/katjes/katjes-bond-2023-2028-bond-terms-signed.pdf#page=10" TargetMode="External" Id="rId2755"/><Relationship Type="http://schemas.openxmlformats.org/officeDocument/2006/relationships/hyperlink" Target="https://vanillabonds.com/dossier.html?c=katjes&amp;viewer=1&amp;item=F1378" TargetMode="External" Id="rId2756"/><Relationship Type="http://schemas.openxmlformats.org/officeDocument/2006/relationships/hyperlink" Target="https://vanillabonds.com/dossier-data/pdf/katjes/katjes-bond-2023-2028-bond-terms-signed.pdf#page=6" TargetMode="External" Id="rId2757"/><Relationship Type="http://schemas.openxmlformats.org/officeDocument/2006/relationships/hyperlink" Target="https://vanillabonds.com/dossier.html?c=katjes&amp;viewer=1&amp;item=F1379" TargetMode="External" Id="rId2758"/><Relationship Type="http://schemas.openxmlformats.org/officeDocument/2006/relationships/hyperlink" Target="https://vanillabonds.com/dossier-data/pdf/katjes/katjes-bond-2023-2028-bond-terms-signed.pdf#page=19" TargetMode="External" Id="rId2759"/><Relationship Type="http://schemas.openxmlformats.org/officeDocument/2006/relationships/hyperlink" Target="https://vanillabonds.com/dossier.html?c=katjes&amp;viewer=1&amp;item=F1380" TargetMode="External" Id="rId2760"/><Relationship Type="http://schemas.openxmlformats.org/officeDocument/2006/relationships/hyperlink" Target="https://vanillabonds.com/dossier-data/pdf/katjes/katjes-2023-annual-report.pdf#page=85" TargetMode="External" Id="rId2761"/><Relationship Type="http://schemas.openxmlformats.org/officeDocument/2006/relationships/hyperlink" Target="https://vanillabonds.com/dossier.html?c=katjes&amp;viewer=1&amp;item=F1381" TargetMode="External" Id="rId2762"/><Relationship Type="http://schemas.openxmlformats.org/officeDocument/2006/relationships/hyperlink" Target="https://vanillabonds.com/dossier-data/pdf/katjes/katjes-bond-2023-2028-terms.pdf#page=2" TargetMode="External" Id="rId2763"/><Relationship Type="http://schemas.openxmlformats.org/officeDocument/2006/relationships/hyperlink" Target="https://vanillabonds.com/dossier.html?c=katjes&amp;viewer=1&amp;item=F1382" TargetMode="External" Id="rId2764"/><Relationship Type="http://schemas.openxmlformats.org/officeDocument/2006/relationships/hyperlink" Target="https://live.euronext.com/sites/default/files/contributions_live/2024-01/1706518108_25703_Katjes%20International%20GmbH%20%26amp%3B%20Co.%20KG-%20Loan%20description%2818671930.1%29.pdf" TargetMode="External" Id="rId2765"/><Relationship Type="http://schemas.openxmlformats.org/officeDocument/2006/relationships/hyperlink" Target="https://live.euronext.com/sites/default/files/contributions_live/2024-01/1706518108_25703_Katjes%20International%20GmbH%20%26amp%3B%20Co.%20KG-%20Loan%20description%2818671930.1%29.pdf" TargetMode="External" Id="rId2766"/><Relationship Type="http://schemas.openxmlformats.org/officeDocument/2006/relationships/hyperlink" Target="https://live.euronext.com/sites/default/files/contributions_live/2024-01/1706518108_25703_Katjes%20International%20GmbH%20%26amp%3B%20Co.%20KG-%20Loan%20description%2818671930.1%29.pdf" TargetMode="External" Id="rId2767"/><Relationship Type="http://schemas.openxmlformats.org/officeDocument/2006/relationships/hyperlink" Target="https://live.euronext.com/sites/default/files/contributions_live/2024-01/1706518108_25703_Katjes%20International%20GmbH%20%26amp%3B%20Co.%20KG-%20Loan%20description%2818671930.1%29.pdf" TargetMode="External" Id="rId2768"/><Relationship Type="http://schemas.openxmlformats.org/officeDocument/2006/relationships/hyperlink" Target="https://live.euronext.com/sites/default/files/contributions_live/2024-01/1706518108_25703_Katjes%20International%20GmbH%20%26amp%3B%20Co.%20KG-%20Loan%20description%2818671930.1%29.pdf" TargetMode="External" Id="rId2769"/><Relationship Type="http://schemas.openxmlformats.org/officeDocument/2006/relationships/hyperlink" Target="https://live.euronext.com/sites/default/files/contributions_live/2024-01/1706518108_25703_Katjes%20International%20GmbH%20%26amp%3B%20Co.%20KG-%20Loan%20description%2818671930.1%29.pdf" TargetMode="External" Id="rId2770"/><Relationship Type="http://schemas.openxmlformats.org/officeDocument/2006/relationships/hyperlink" Target="https://live.euronext.com/sites/default/files/contributions_live/2024-01/1706518108_25703_Katjes%20International%20GmbH%20%26amp%3B%20Co.%20KG-%20Loan%20description%2818671930.1%29.pdf" TargetMode="External" Id="rId2771"/><Relationship Type="http://schemas.openxmlformats.org/officeDocument/2006/relationships/hyperlink" Target="https://live.euronext.com/sites/default/files/contributions_live/2024-01/1706518108_25703_Katjes%20International%20GmbH%20%26amp%3B%20Co.%20KG-%20Loan%20description%2818671930.1%29.pdf" TargetMode="External" Id="rId2772"/><Relationship Type="http://schemas.openxmlformats.org/officeDocument/2006/relationships/hyperlink" Target="https://live.euronext.com/sites/default/files/contributions_live/2024-01/1706518108_25703_Katjes%20International%20GmbH%20%26amp%3B%20Co.%20KG-%20Loan%20description%2818671930.1%29.pdf" TargetMode="External" Id="rId2773"/><Relationship Type="http://schemas.openxmlformats.org/officeDocument/2006/relationships/hyperlink" Target="https://live.euronext.com/sites/default/files/contributions_live/2024-01/1706518108_25703_Katjes%20International%20GmbH%20%26amp%3B%20Co.%20KG-%20Loan%20description%2818671930.1%29.pdf" TargetMode="External" Id="rId2774"/><Relationship Type="http://schemas.openxmlformats.org/officeDocument/2006/relationships/hyperlink" Target="https://hlc.com/en/news/hogan-lovells-beraet-katjes-bei-anleiheumtausch-und--rueckkauf-sowie-oeffentlichem-angebot-und-platzierung-eines-115-mio-euro-nordic-bonds" TargetMode="External" Id="rId2775"/><Relationship Type="http://schemas.openxmlformats.org/officeDocument/2006/relationships/hyperlink" Target="https://hlc.com/en/news/hogan-lovells-beraet-katjes-bei-anleiheumtausch-und--rueckkauf-sowie-oeffentlichem-angebot-und-platzierung-eines-115-mio-euro-nordic-bonds" TargetMode="External" Id="rId2776"/><Relationship Type="http://schemas.openxmlformats.org/officeDocument/2006/relationships/hyperlink" Target="https://hlc.com/en/news/hogan-lovells-beraet-katjes-bei-anleiheumtausch-und--rueckkauf-sowie-oeffentlichem-angebot-und-platzierung-eines-115-mio-euro-nordic-bonds" TargetMode="External" Id="rId2777"/><Relationship Type="http://schemas.openxmlformats.org/officeDocument/2006/relationships/hyperlink" Target="https://hlc.com/en/news/hogan-lovells-beraet-katjes-bei-anleiheumtausch-und--rueckkauf-sowie-oeffentlichem-angebot-und-platzierung-eines-115-mio-euro-nordic-bonds" TargetMode="External" Id="rId2778"/><Relationship Type="http://schemas.openxmlformats.org/officeDocument/2006/relationships/hyperlink" Target="https://hlc.com/en/news/hogan-lovells-beraet-katjes-bei-anleiheumtausch-und--rueckkauf-sowie-oeffentlichem-angebot-und-platzierung-eines-115-mio-euro-nordic-bonds" TargetMode="External" Id="rId2779"/><Relationship Type="http://schemas.openxmlformats.org/officeDocument/2006/relationships/hyperlink" Target="https://hlc.com/en/news/hogan-lovells-beraet-katjes-bei-anleiheumtausch-und--rueckkauf-sowie-oeffentlichem-angebot-und-platzierung-eines-115-mio-euro-nordic-bonds" TargetMode="External" Id="rId2780"/><Relationship Type="http://schemas.openxmlformats.org/officeDocument/2006/relationships/hyperlink" Target="https://www.hlc.com/de/news/hogan-lovells-beraet-katjes-bei-aufstockung-ihrer-nordic-bonds" TargetMode="External" Id="rId2781"/><Relationship Type="http://schemas.openxmlformats.org/officeDocument/2006/relationships/hyperlink" Target="https://www.hlc.com/de/news/hogan-lovells-beraet-katjes-bei-aufstockung-ihrer-nordic-bonds" TargetMode="External" Id="rId2782"/><Relationship Type="http://schemas.openxmlformats.org/officeDocument/2006/relationships/hyperlink" Target="https://vanillabonds.com/dossier-data/pdf/katjes/katjes-2023-annual-report.pdf#page=94" TargetMode="External" Id="rId2783"/><Relationship Type="http://schemas.openxmlformats.org/officeDocument/2006/relationships/hyperlink" Target="https://vanillabonds.com/dossier.html?c=katjes&amp;viewer=1&amp;item=F1392" TargetMode="External" Id="rId2784"/><Relationship Type="http://schemas.openxmlformats.org/officeDocument/2006/relationships/hyperlink" Target="https://vanillabonds.com/dossier-data/pdf/katjes/katjes-2024-annual-report.pdf#page=90" TargetMode="External" Id="rId2785"/><Relationship Type="http://schemas.openxmlformats.org/officeDocument/2006/relationships/hyperlink" Target="https://vanillabonds.com/dossier.html?c=katjes&amp;viewer=1&amp;item=F1393" TargetMode="External" Id="rId2786"/><Relationship Type="http://schemas.openxmlformats.org/officeDocument/2006/relationships/hyperlink" Target="https://vanillabonds.com/dossier-data/pdf/katjes/katjes-2025-annual-report.pdf#page=91" TargetMode="External" Id="rId2787"/><Relationship Type="http://schemas.openxmlformats.org/officeDocument/2006/relationships/hyperlink" Target="https://vanillabonds.com/dossier.html?c=katjes&amp;viewer=1&amp;item=F1394" TargetMode="External" Id="rId2788"/><Relationship Type="http://schemas.openxmlformats.org/officeDocument/2006/relationships/hyperlink" Target="https://vanillabonds.com/dossier-data/pdf/katjes/katjes-h1-2026-interim-report.pdf#page=37" TargetMode="External" Id="rId2789"/><Relationship Type="http://schemas.openxmlformats.org/officeDocument/2006/relationships/hyperlink" Target="https://vanillabonds.com/dossier.html?c=katjes&amp;viewer=1&amp;item=F1395" TargetMode="External" Id="rId2790"/><Relationship Type="http://schemas.openxmlformats.org/officeDocument/2006/relationships/hyperlink" Target="https://vanillabonds.com/dossier-data/pdf/katjes/katjes-2025-annual-report.pdf#page=63" TargetMode="External" Id="rId2791"/><Relationship Type="http://schemas.openxmlformats.org/officeDocument/2006/relationships/hyperlink" Target="https://vanillabonds.com/dossier.html?c=katjes&amp;viewer=1&amp;item=F1396" TargetMode="External" Id="rId2792"/><Relationship Type="http://schemas.openxmlformats.org/officeDocument/2006/relationships/hyperlink" Target="https://vanillabonds.com/dossier-data/pdf/katjes/katjes-2025-annual-report.pdf#page=63" TargetMode="External" Id="rId2793"/><Relationship Type="http://schemas.openxmlformats.org/officeDocument/2006/relationships/hyperlink" Target="https://vanillabonds.com/dossier.html?c=katjes&amp;viewer=1&amp;item=F1397" TargetMode="External" Id="rId2794"/><Relationship Type="http://schemas.openxmlformats.org/officeDocument/2006/relationships/hyperlink" Target="https://vanillabonds.com/dossier-data/pdf/katjes/katjes-2025-annual-report.pdf#page=56" TargetMode="External" Id="rId2795"/><Relationship Type="http://schemas.openxmlformats.org/officeDocument/2006/relationships/hyperlink" Target="https://vanillabonds.com/dossier.html?c=katjes&amp;viewer=1&amp;item=F1398" TargetMode="External" Id="rId2796"/><Relationship Type="http://schemas.openxmlformats.org/officeDocument/2006/relationships/hyperlink" Target="https://vanillabonds.com/dossier-data/pdf/katjes/katjes-2025-annual-report.pdf#page=83" TargetMode="External" Id="rId2797"/><Relationship Type="http://schemas.openxmlformats.org/officeDocument/2006/relationships/hyperlink" Target="https://vanillabonds.com/dossier.html?c=katjes&amp;viewer=1&amp;item=F1399" TargetMode="External" Id="rId2798"/><Relationship Type="http://schemas.openxmlformats.org/officeDocument/2006/relationships/hyperlink" Target="https://vanillabonds.com/dossier-data/pdf/katjes/katjes-2025-annual-report.pdf#page=83" TargetMode="External" Id="rId2799"/><Relationship Type="http://schemas.openxmlformats.org/officeDocument/2006/relationships/hyperlink" Target="https://vanillabonds.com/dossier.html?c=katjes&amp;viewer=1&amp;item=F1400" TargetMode="External" Id="rId2800"/><Relationship Type="http://schemas.openxmlformats.org/officeDocument/2006/relationships/hyperlink" Target="https://vanillabonds.com/dossier-data/pdf/katjes/katjes-2025-annual-report.pdf#page=83" TargetMode="External" Id="rId2801"/><Relationship Type="http://schemas.openxmlformats.org/officeDocument/2006/relationships/hyperlink" Target="https://vanillabonds.com/dossier.html?c=katjes&amp;viewer=1&amp;item=F1401" TargetMode="External" Id="rId2802"/><Relationship Type="http://schemas.openxmlformats.org/officeDocument/2006/relationships/hyperlink" Target="https://vanillabonds.com/dossier-data/pdf/katjes/katjes-2025-annual-report.pdf#page=83" TargetMode="External" Id="rId2803"/><Relationship Type="http://schemas.openxmlformats.org/officeDocument/2006/relationships/hyperlink" Target="https://vanillabonds.com/dossier.html?c=katjes&amp;viewer=1&amp;item=F1402" TargetMode="External" Id="rId2804"/><Relationship Type="http://schemas.openxmlformats.org/officeDocument/2006/relationships/hyperlink" Target="https://vanillabonds.com/dossier-data/pdf/katjes/katjes-2025-annual-report.pdf#page=83" TargetMode="External" Id="rId2805"/><Relationship Type="http://schemas.openxmlformats.org/officeDocument/2006/relationships/hyperlink" Target="https://vanillabonds.com/dossier.html?c=katjes&amp;viewer=1&amp;item=F1403" TargetMode="External" Id="rId2806"/><Relationship Type="http://schemas.openxmlformats.org/officeDocument/2006/relationships/hyperlink" Target="https://vanillabonds.com/dossier-data/pdf/katjes/katjes-2025-annual-report.pdf#page=83" TargetMode="External" Id="rId2807"/><Relationship Type="http://schemas.openxmlformats.org/officeDocument/2006/relationships/hyperlink" Target="https://vanillabonds.com/dossier.html?c=katjes&amp;viewer=1&amp;item=F1404" TargetMode="External" Id="rId2808"/><Relationship Type="http://schemas.openxmlformats.org/officeDocument/2006/relationships/hyperlink" Target="https://vanillabonds.com/dossier-data/pdf/katjes/katjes-2025-annual-report.pdf#page=83" TargetMode="External" Id="rId2809"/><Relationship Type="http://schemas.openxmlformats.org/officeDocument/2006/relationships/hyperlink" Target="https://vanillabonds.com/dossier.html?c=katjes&amp;viewer=1&amp;item=F1405" TargetMode="External" Id="rId2810"/><Relationship Type="http://schemas.openxmlformats.org/officeDocument/2006/relationships/hyperlink" Target="https://vanillabonds.com/dossier-data/pdf/katjes/katjes-2025-annual-report.pdf#page=83" TargetMode="External" Id="rId2811"/><Relationship Type="http://schemas.openxmlformats.org/officeDocument/2006/relationships/hyperlink" Target="https://vanillabonds.com/dossier.html?c=katjes&amp;viewer=1&amp;item=F1406" TargetMode="External" Id="rId2812"/><Relationship Type="http://schemas.openxmlformats.org/officeDocument/2006/relationships/hyperlink" Target="https://vanillabonds.com/dossier-data/pdf/katjes/katjes-2025-annual-report.pdf#page=83" TargetMode="External" Id="rId2813"/><Relationship Type="http://schemas.openxmlformats.org/officeDocument/2006/relationships/hyperlink" Target="https://vanillabonds.com/dossier.html?c=katjes&amp;viewer=1&amp;item=F1407" TargetMode="External" Id="rId2814"/><Relationship Type="http://schemas.openxmlformats.org/officeDocument/2006/relationships/hyperlink" Target="https://vanillabonds.com/dossier-data/pdf/katjes/katjes-2025-annual-report.pdf#page=83" TargetMode="External" Id="rId2815"/><Relationship Type="http://schemas.openxmlformats.org/officeDocument/2006/relationships/hyperlink" Target="https://vanillabonds.com/dossier.html?c=katjes&amp;viewer=1&amp;item=F1408" TargetMode="External" Id="rId2816"/><Relationship Type="http://schemas.openxmlformats.org/officeDocument/2006/relationships/hyperlink" Target="https://vanillabonds.com/dossier-data/pdf/katjes/katjes-2025-annual-report.pdf#page=83" TargetMode="External" Id="rId2817"/><Relationship Type="http://schemas.openxmlformats.org/officeDocument/2006/relationships/hyperlink" Target="https://vanillabonds.com/dossier.html?c=katjes&amp;viewer=1&amp;item=F1409" TargetMode="External" Id="rId2818"/><Relationship Type="http://schemas.openxmlformats.org/officeDocument/2006/relationships/hyperlink" Target="https://vanillabonds.com/dossier-data/pdf/katjes/katjes-2025-annual-report.pdf#page=83" TargetMode="External" Id="rId2819"/><Relationship Type="http://schemas.openxmlformats.org/officeDocument/2006/relationships/hyperlink" Target="https://vanillabonds.com/dossier.html?c=katjes&amp;viewer=1&amp;item=F1410" TargetMode="External" Id="rId2820"/><Relationship Type="http://schemas.openxmlformats.org/officeDocument/2006/relationships/hyperlink" Target="https://vanillabonds.com/dossier-data/pdf/katjes/katjes-2025-annual-report.pdf#page=83" TargetMode="External" Id="rId2821"/><Relationship Type="http://schemas.openxmlformats.org/officeDocument/2006/relationships/hyperlink" Target="https://vanillabonds.com/dossier.html?c=katjes&amp;viewer=1&amp;item=F1411" TargetMode="External" Id="rId2822"/><Relationship Type="http://schemas.openxmlformats.org/officeDocument/2006/relationships/hyperlink" Target="https://vanillabonds.com/dossier-data/pdf/katjes/katjes-2025-annual-report.pdf#page=83" TargetMode="External" Id="rId2823"/><Relationship Type="http://schemas.openxmlformats.org/officeDocument/2006/relationships/hyperlink" Target="https://vanillabonds.com/dossier.html?c=katjes&amp;viewer=1&amp;item=F1412" TargetMode="External" Id="rId2824"/><Relationship Type="http://schemas.openxmlformats.org/officeDocument/2006/relationships/hyperlink" Target="https://vanillabonds.com/dossier-data/pdf/katjes/katjes-2025-annual-report.pdf#page=83" TargetMode="External" Id="rId2825"/><Relationship Type="http://schemas.openxmlformats.org/officeDocument/2006/relationships/hyperlink" Target="https://vanillabonds.com/dossier.html?c=katjes&amp;viewer=1&amp;item=F1413" TargetMode="External" Id="rId2826"/><Relationship Type="http://schemas.openxmlformats.org/officeDocument/2006/relationships/hyperlink" Target="https://vanillabonds.com/dossier-data/pdf/katjes/katjes-2025-annual-report.pdf#page=83" TargetMode="External" Id="rId2827"/><Relationship Type="http://schemas.openxmlformats.org/officeDocument/2006/relationships/hyperlink" Target="https://vanillabonds.com/dossier.html?c=katjes&amp;viewer=1&amp;item=F1414" TargetMode="External" Id="rId2828"/><Relationship Type="http://schemas.openxmlformats.org/officeDocument/2006/relationships/hyperlink" Target="https://vanillabonds.com/dossier-data/pdf/katjes/katjes-2025-annual-report.pdf#page=83" TargetMode="External" Id="rId2829"/><Relationship Type="http://schemas.openxmlformats.org/officeDocument/2006/relationships/hyperlink" Target="https://vanillabonds.com/dossier.html?c=katjes&amp;viewer=1&amp;item=F1415" TargetMode="External" Id="rId2830"/><Relationship Type="http://schemas.openxmlformats.org/officeDocument/2006/relationships/hyperlink" Target="https://vanillabonds.com/dossier-data/pdf/katjes/katjes-2025-annual-report.pdf#page=83" TargetMode="External" Id="rId2831"/><Relationship Type="http://schemas.openxmlformats.org/officeDocument/2006/relationships/hyperlink" Target="https://vanillabonds.com/dossier.html?c=katjes&amp;viewer=1&amp;item=F1416" TargetMode="External" Id="rId2832"/><Relationship Type="http://schemas.openxmlformats.org/officeDocument/2006/relationships/hyperlink" Target="https://vanillabonds.com/dossier-data/pdf/katjes/katjes-2025-annual-report.pdf#page=83" TargetMode="External" Id="rId2833"/><Relationship Type="http://schemas.openxmlformats.org/officeDocument/2006/relationships/hyperlink" Target="https://vanillabonds.com/dossier.html?c=katjes&amp;viewer=1&amp;item=F1417" TargetMode="External" Id="rId2834"/><Relationship Type="http://schemas.openxmlformats.org/officeDocument/2006/relationships/hyperlink" Target="https://vanillabonds.com/dossier-data/pdf/katjes/katjes-2025-annual-report.pdf#page=83" TargetMode="External" Id="rId2835"/><Relationship Type="http://schemas.openxmlformats.org/officeDocument/2006/relationships/hyperlink" Target="https://vanillabonds.com/dossier.html?c=katjes&amp;viewer=1&amp;item=F1418" TargetMode="External" Id="rId2836"/><Relationship Type="http://schemas.openxmlformats.org/officeDocument/2006/relationships/hyperlink" Target="https://vanillabonds.com/dossier-data/pdf/katjes/katjes-2025-annual-report.pdf#page=83" TargetMode="External" Id="rId2837"/><Relationship Type="http://schemas.openxmlformats.org/officeDocument/2006/relationships/hyperlink" Target="https://vanillabonds.com/dossier.html?c=katjes&amp;viewer=1&amp;item=F1419" TargetMode="External" Id="rId2838"/><Relationship Type="http://schemas.openxmlformats.org/officeDocument/2006/relationships/hyperlink" Target="https://vanillabonds.com/dossier-data/pdf/katjes/katjes-2025-annual-report.pdf#page=83" TargetMode="External" Id="rId2839"/><Relationship Type="http://schemas.openxmlformats.org/officeDocument/2006/relationships/hyperlink" Target="https://vanillabonds.com/dossier.html?c=katjes&amp;viewer=1&amp;item=F1420" TargetMode="External" Id="rId2840"/><Relationship Type="http://schemas.openxmlformats.org/officeDocument/2006/relationships/hyperlink" Target="https://vanillabonds.com/dossier-data/pdf/katjes/katjes-2025-annual-report.pdf#page=83" TargetMode="External" Id="rId2841"/><Relationship Type="http://schemas.openxmlformats.org/officeDocument/2006/relationships/hyperlink" Target="https://vanillabonds.com/dossier.html?c=katjes&amp;viewer=1&amp;item=F1421" TargetMode="External" Id="rId2842"/><Relationship Type="http://schemas.openxmlformats.org/officeDocument/2006/relationships/hyperlink" Target="https://vanillabonds.com/dossier-data/pdf/katjes/katjes-2025-annual-report.pdf#page=83" TargetMode="External" Id="rId2843"/><Relationship Type="http://schemas.openxmlformats.org/officeDocument/2006/relationships/hyperlink" Target="https://vanillabonds.com/dossier.html?c=katjes&amp;viewer=1&amp;item=F1422" TargetMode="External" Id="rId2844"/><Relationship Type="http://schemas.openxmlformats.org/officeDocument/2006/relationships/hyperlink" Target="https://vanillabonds.com/dossier-data/pdf/katjes/katjes-2025-annual-report.pdf#page=83" TargetMode="External" Id="rId2845"/><Relationship Type="http://schemas.openxmlformats.org/officeDocument/2006/relationships/hyperlink" Target="https://vanillabonds.com/dossier.html?c=katjes&amp;viewer=1&amp;item=F1423" TargetMode="External" Id="rId2846"/><Relationship Type="http://schemas.openxmlformats.org/officeDocument/2006/relationships/hyperlink" Target="https://vanillabonds.com/dossier-data/pdf/katjes/katjes-2025-annual-report.pdf#page=83" TargetMode="External" Id="rId2847"/><Relationship Type="http://schemas.openxmlformats.org/officeDocument/2006/relationships/hyperlink" Target="https://vanillabonds.com/dossier.html?c=katjes&amp;viewer=1&amp;item=F1424" TargetMode="External" Id="rId2848"/><Relationship Type="http://schemas.openxmlformats.org/officeDocument/2006/relationships/hyperlink" Target="https://vanillabonds.com/dossier-data/pdf/katjes/katjes-2025-annual-report.pdf#page=83" TargetMode="External" Id="rId2849"/><Relationship Type="http://schemas.openxmlformats.org/officeDocument/2006/relationships/hyperlink" Target="https://vanillabonds.com/dossier.html?c=katjes&amp;viewer=1&amp;item=F1425" TargetMode="External" Id="rId2850"/><Relationship Type="http://schemas.openxmlformats.org/officeDocument/2006/relationships/hyperlink" Target="https://vanillabonds.com/dossier-data/pdf/katjes/katjes-2025-annual-report.pdf#page=83" TargetMode="External" Id="rId2851"/><Relationship Type="http://schemas.openxmlformats.org/officeDocument/2006/relationships/hyperlink" Target="https://vanillabonds.com/dossier.html?c=katjes&amp;viewer=1&amp;item=F1426" TargetMode="External" Id="rId2852"/><Relationship Type="http://schemas.openxmlformats.org/officeDocument/2006/relationships/hyperlink" Target="https://vanillabonds.com/dossier-data/pdf/katjes/katjes-2025-annual-report.pdf#page=83" TargetMode="External" Id="rId2853"/><Relationship Type="http://schemas.openxmlformats.org/officeDocument/2006/relationships/hyperlink" Target="https://vanillabonds.com/dossier.html?c=katjes&amp;viewer=1&amp;item=F1427" TargetMode="External" Id="rId2854"/><Relationship Type="http://schemas.openxmlformats.org/officeDocument/2006/relationships/hyperlink" Target="https://vanillabonds.com/dossier-data/pdf/katjes/katjes-2025-annual-report.pdf#page=83" TargetMode="External" Id="rId2855"/><Relationship Type="http://schemas.openxmlformats.org/officeDocument/2006/relationships/hyperlink" Target="https://vanillabonds.com/dossier.html?c=katjes&amp;viewer=1&amp;item=F1428" TargetMode="External" Id="rId2856"/><Relationship Type="http://schemas.openxmlformats.org/officeDocument/2006/relationships/hyperlink" Target="https://vanillabonds.com/dossier-data/pdf/katjes/katjes-2025-annual-report.pdf#page=83" TargetMode="External" Id="rId2857"/><Relationship Type="http://schemas.openxmlformats.org/officeDocument/2006/relationships/hyperlink" Target="https://vanillabonds.com/dossier.html?c=katjes&amp;viewer=1&amp;item=F1429" TargetMode="External" Id="rId2858"/><Relationship Type="http://schemas.openxmlformats.org/officeDocument/2006/relationships/hyperlink" Target="https://vanillabonds.com/dossier-data/pdf/katjes/katjes-2025-annual-report.pdf#page=83" TargetMode="External" Id="rId2859"/><Relationship Type="http://schemas.openxmlformats.org/officeDocument/2006/relationships/hyperlink" Target="https://vanillabonds.com/dossier.html?c=katjes&amp;viewer=1&amp;item=F1430" TargetMode="External" Id="rId2860"/><Relationship Type="http://schemas.openxmlformats.org/officeDocument/2006/relationships/hyperlink" Target="https://vanillabonds.com/dossier-data/pdf/katjes/katjes-2025-annual-report.pdf#page=84" TargetMode="External" Id="rId2861"/><Relationship Type="http://schemas.openxmlformats.org/officeDocument/2006/relationships/hyperlink" Target="https://vanillabonds.com/dossier.html?c=katjes&amp;viewer=1&amp;item=F1431" TargetMode="External" Id="rId2862"/><Relationship Type="http://schemas.openxmlformats.org/officeDocument/2006/relationships/hyperlink" Target="https://vanillabonds.com/dossier-data/pdf/katjes/katjes-2025-annual-report.pdf#page=84" TargetMode="External" Id="rId2863"/><Relationship Type="http://schemas.openxmlformats.org/officeDocument/2006/relationships/hyperlink" Target="https://vanillabonds.com/dossier.html?c=katjes&amp;viewer=1&amp;item=F1432" TargetMode="External" Id="rId2864"/><Relationship Type="http://schemas.openxmlformats.org/officeDocument/2006/relationships/hyperlink" Target="https://vanillabonds.com/dossier-data/pdf/katjes/katjes-2025-annual-report.pdf#page=84" TargetMode="External" Id="rId2865"/><Relationship Type="http://schemas.openxmlformats.org/officeDocument/2006/relationships/hyperlink" Target="https://vanillabonds.com/dossier.html?c=katjes&amp;viewer=1&amp;item=F1433" TargetMode="External" Id="rId2866"/><Relationship Type="http://schemas.openxmlformats.org/officeDocument/2006/relationships/hyperlink" Target="https://vanillabonds.com/dossier-data/pdf/katjes/katjes-2025-annual-report.pdf#page=84" TargetMode="External" Id="rId2867"/><Relationship Type="http://schemas.openxmlformats.org/officeDocument/2006/relationships/hyperlink" Target="https://vanillabonds.com/dossier.html?c=katjes&amp;viewer=1&amp;item=F1434" TargetMode="External" Id="rId2868"/><Relationship Type="http://schemas.openxmlformats.org/officeDocument/2006/relationships/hyperlink" Target="https://vanillabonds.com/dossier-data/pdf/katjes/katjes-2025-annual-report.pdf#page=84" TargetMode="External" Id="rId2869"/><Relationship Type="http://schemas.openxmlformats.org/officeDocument/2006/relationships/hyperlink" Target="https://vanillabonds.com/dossier.html?c=katjes&amp;viewer=1&amp;item=F1435" TargetMode="External" Id="rId2870"/><Relationship Type="http://schemas.openxmlformats.org/officeDocument/2006/relationships/hyperlink" Target="https://vanillabonds.com/dossier-data/pdf/katjes/katjes-2025-annual-report.pdf#page=84" TargetMode="External" Id="rId2871"/><Relationship Type="http://schemas.openxmlformats.org/officeDocument/2006/relationships/hyperlink" Target="https://vanillabonds.com/dossier.html?c=katjes&amp;viewer=1&amp;item=F1436" TargetMode="External" Id="rId2872"/><Relationship Type="http://schemas.openxmlformats.org/officeDocument/2006/relationships/hyperlink" Target="https://vanillabonds.com/dossier-data/pdf/katjes/katjes-2025-annual-report.pdf#page=84" TargetMode="External" Id="rId2873"/><Relationship Type="http://schemas.openxmlformats.org/officeDocument/2006/relationships/hyperlink" Target="https://vanillabonds.com/dossier.html?c=katjes&amp;viewer=1&amp;item=F1437" TargetMode="External" Id="rId2874"/><Relationship Type="http://schemas.openxmlformats.org/officeDocument/2006/relationships/hyperlink" Target="https://vanillabonds.com/dossier-data/pdf/katjes/katjes-2025-annual-report.pdf#page=84" TargetMode="External" Id="rId2875"/><Relationship Type="http://schemas.openxmlformats.org/officeDocument/2006/relationships/hyperlink" Target="https://vanillabonds.com/dossier.html?c=katjes&amp;viewer=1&amp;item=F1438" TargetMode="External" Id="rId2876"/><Relationship Type="http://schemas.openxmlformats.org/officeDocument/2006/relationships/hyperlink" Target="https://vanillabonds.com/dossier-data/pdf/katjes/katjes-2025-annual-report.pdf#page=84" TargetMode="External" Id="rId2877"/><Relationship Type="http://schemas.openxmlformats.org/officeDocument/2006/relationships/hyperlink" Target="https://vanillabonds.com/dossier.html?c=katjes&amp;viewer=1&amp;item=F1439" TargetMode="External" Id="rId2878"/><Relationship Type="http://schemas.openxmlformats.org/officeDocument/2006/relationships/hyperlink" Target="https://vanillabonds.com/dossier-data/pdf/katjes/katjes-2025-annual-report.pdf#page=84" TargetMode="External" Id="rId2879"/><Relationship Type="http://schemas.openxmlformats.org/officeDocument/2006/relationships/hyperlink" Target="https://vanillabonds.com/dossier.html?c=katjes&amp;viewer=1&amp;item=F1440" TargetMode="External" Id="rId2880"/><Relationship Type="http://schemas.openxmlformats.org/officeDocument/2006/relationships/hyperlink" Target="https://vanillabonds.com/dossier-data/pdf/katjes/katjes-2025-annual-report.pdf#page=84" TargetMode="External" Id="rId2881"/><Relationship Type="http://schemas.openxmlformats.org/officeDocument/2006/relationships/hyperlink" Target="https://vanillabonds.com/dossier.html?c=katjes&amp;viewer=1&amp;item=F1441" TargetMode="External" Id="rId2882"/><Relationship Type="http://schemas.openxmlformats.org/officeDocument/2006/relationships/hyperlink" Target="https://vanillabonds.com/dossier-data/pdf/katjes/katjes-2025-annual-report.pdf#page=84" TargetMode="External" Id="rId2883"/><Relationship Type="http://schemas.openxmlformats.org/officeDocument/2006/relationships/hyperlink" Target="https://vanillabonds.com/dossier.html?c=katjes&amp;viewer=1&amp;item=F1442" TargetMode="External" Id="rId2884"/><Relationship Type="http://schemas.openxmlformats.org/officeDocument/2006/relationships/hyperlink" Target="https://vanillabonds.com/dossier-data/pdf/katjes/katjes-2025-annual-report.pdf#page=84" TargetMode="External" Id="rId2885"/><Relationship Type="http://schemas.openxmlformats.org/officeDocument/2006/relationships/hyperlink" Target="https://vanillabonds.com/dossier.html?c=katjes&amp;viewer=1&amp;item=F1443" TargetMode="External" Id="rId2886"/><Relationship Type="http://schemas.openxmlformats.org/officeDocument/2006/relationships/hyperlink" Target="https://vanillabonds.com/dossier-data/pdf/katjes/katjes-2025-annual-report.pdf#page=84" TargetMode="External" Id="rId2887"/><Relationship Type="http://schemas.openxmlformats.org/officeDocument/2006/relationships/hyperlink" Target="https://vanillabonds.com/dossier.html?c=katjes&amp;viewer=1&amp;item=F1444" TargetMode="External" Id="rId2888"/><Relationship Type="http://schemas.openxmlformats.org/officeDocument/2006/relationships/hyperlink" Target="https://vanillabonds.com/dossier-data/pdf/katjes/katjes-2025-annual-report.pdf#page=84" TargetMode="External" Id="rId2889"/><Relationship Type="http://schemas.openxmlformats.org/officeDocument/2006/relationships/hyperlink" Target="https://vanillabonds.com/dossier.html?c=katjes&amp;viewer=1&amp;item=F1445" TargetMode="External" Id="rId2890"/><Relationship Type="http://schemas.openxmlformats.org/officeDocument/2006/relationships/hyperlink" Target="https://vanillabonds.com/dossier-data/pdf/katjes/katjes-2025-annual-report.pdf#page=84" TargetMode="External" Id="rId2891"/><Relationship Type="http://schemas.openxmlformats.org/officeDocument/2006/relationships/hyperlink" Target="https://vanillabonds.com/dossier.html?c=katjes&amp;viewer=1&amp;item=F1446" TargetMode="External" Id="rId2892"/><Relationship Type="http://schemas.openxmlformats.org/officeDocument/2006/relationships/hyperlink" Target="https://vanillabonds.com/dossier-data/pdf/katjes/katjes-2025-annual-report.pdf#page=84" TargetMode="External" Id="rId2893"/><Relationship Type="http://schemas.openxmlformats.org/officeDocument/2006/relationships/hyperlink" Target="https://vanillabonds.com/dossier.html?c=katjes&amp;viewer=1&amp;item=F1447" TargetMode="External" Id="rId2894"/><Relationship Type="http://schemas.openxmlformats.org/officeDocument/2006/relationships/hyperlink" Target="https://vanillabonds.com/dossier-data/pdf/katjes/katjes-2025-annual-report.pdf#page=84" TargetMode="External" Id="rId2895"/><Relationship Type="http://schemas.openxmlformats.org/officeDocument/2006/relationships/hyperlink" Target="https://vanillabonds.com/dossier.html?c=katjes&amp;viewer=1&amp;item=F1448" TargetMode="External" Id="rId2896"/><Relationship Type="http://schemas.openxmlformats.org/officeDocument/2006/relationships/hyperlink" Target="https://vanillabonds.com/dossier-data/pdf/katjes/katjes-2025-annual-report.pdf#page=84" TargetMode="External" Id="rId2897"/><Relationship Type="http://schemas.openxmlformats.org/officeDocument/2006/relationships/hyperlink" Target="https://vanillabonds.com/dossier.html?c=katjes&amp;viewer=1&amp;item=F1449" TargetMode="External" Id="rId2898"/><Relationship Type="http://schemas.openxmlformats.org/officeDocument/2006/relationships/hyperlink" Target="https://vanillabonds.com/dossier-data/pdf/katjes/katjes-2025-annual-report.pdf#page=84" TargetMode="External" Id="rId2899"/><Relationship Type="http://schemas.openxmlformats.org/officeDocument/2006/relationships/hyperlink" Target="https://vanillabonds.com/dossier.html?c=katjes&amp;viewer=1&amp;item=F1450" TargetMode="External" Id="rId2900"/><Relationship Type="http://schemas.openxmlformats.org/officeDocument/2006/relationships/hyperlink" Target="https://vanillabonds.com/dossier-data/pdf/katjes/katjes-2025-annual-report.pdf#page=81" TargetMode="External" Id="rId2901"/><Relationship Type="http://schemas.openxmlformats.org/officeDocument/2006/relationships/hyperlink" Target="https://vanillabonds.com/dossier.html?c=katjes&amp;viewer=1&amp;item=F1451" TargetMode="External" Id="rId2902"/><Relationship Type="http://schemas.openxmlformats.org/officeDocument/2006/relationships/hyperlink" Target="https://vanillabonds.com/dossier-data/pdf/katjes/katjes-2025-annual-report.pdf#page=81" TargetMode="External" Id="rId2903"/><Relationship Type="http://schemas.openxmlformats.org/officeDocument/2006/relationships/hyperlink" Target="https://vanillabonds.com/dossier.html?c=katjes&amp;viewer=1&amp;item=F1452" TargetMode="External" Id="rId2904"/><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hyperlink" Target="https://vanillabonds.com/dossier-data/pdf/katjes/katjes-2023-annual-report.pdf" TargetMode="External" Id="rId1"/><Relationship Type="http://schemas.openxmlformats.org/officeDocument/2006/relationships/hyperlink" Target="https://vanillabonds.com/dossier-data/pdf/katjes/katjes-2024-annual-report.pdf" TargetMode="External" Id="rId2"/><Relationship Type="http://schemas.openxmlformats.org/officeDocument/2006/relationships/hyperlink" Target="https://vanillabonds.com/dossier-data/pdf/katjes/katjes-2025-annual-report.pdf" TargetMode="External" Id="rId3"/><Relationship Type="http://schemas.openxmlformats.org/officeDocument/2006/relationships/hyperlink" Target="https://vanillabonds.com/dossier-data/pdf/katjes/katjes-bond-2023-2028-terms.pdf" TargetMode="External" Id="rId4"/><Relationship Type="http://schemas.openxmlformats.org/officeDocument/2006/relationships/hyperlink" Target="https://vanillabonds.com/dossier-data/pdf/katjes/katjes-h1-2026-interim-report.pdf" TargetMode="External" Id="rId5"/><Relationship Type="http://schemas.openxmlformats.org/officeDocument/2006/relationships/hyperlink" Target="https://api.gleif.org/api/v1/lei-records?filter[entity.legalName]=Katjes International" TargetMode="External" Id="rId6"/><Relationship Type="http://schemas.openxmlformats.org/officeDocument/2006/relationships/hyperlink" Target="https://www.onvista.de/anleihen/KATJES-INT-IHS-23-28-Anleihe-NO0012888769" TargetMode="External" Id="rId7"/><Relationship Type="http://schemas.openxmlformats.org/officeDocument/2006/relationships/hyperlink" Target="https://www.placera.se/pressmeddelanden/katjes-international-successfully-taps-its-corporate-bond-by-eur-70-million-20250805" TargetMode="External" Id="rId8"/><Relationship Type="http://schemas.openxmlformats.org/officeDocument/2006/relationships/hyperlink" Target="https://www.hlc.com/de/news/hogan-lovells-beraet-katjes-bei-aufstockung-ihrer-nordic-bonds" TargetMode="External" Id="rId9"/><Relationship Type="http://schemas.openxmlformats.org/officeDocument/2006/relationships/hyperlink" Target="https://www.yumda.com/de/news/1188448/katjes-mit-rekord-bei-umsatz-und-ergebnis.html" TargetMode="External" Id="rId10"/><Relationship Type="http://schemas.openxmlformats.org/officeDocument/2006/relationships/hyperlink" Target="https://www.yumda.com/de/news/1147058/katjes-und-zuckerproduzenten-streiten-vor-gericht-um-schadensersatz.html" TargetMode="External" Id="rId11"/><Relationship Type="http://schemas.openxmlformats.org/officeDocument/2006/relationships/hyperlink" Target="https://en.wikipedia.org/wiki/Katjes_International" TargetMode="External" Id="rId12"/><Relationship Type="http://schemas.openxmlformats.org/officeDocument/2006/relationships/hyperlink" Target="https://vanillabonds.com/dossier-data/pdf/katjes/katjes-bond-2023-2028-bond-terms-signed.pdf" TargetMode="External" Id="rId13"/><Relationship Type="http://schemas.openxmlformats.org/officeDocument/2006/relationships/hyperlink" Target="https://hlc.com/en/news/hogan-lovells-beraet-katjes-bei-anleiheumtausch-und--rueckkauf-sowie-oeffentlichem-angebot-und-platzierung-eines-115-mio-euro-nordic-bonds" TargetMode="External" Id="rId14"/><Relationship Type="http://schemas.openxmlformats.org/officeDocument/2006/relationships/hyperlink" Target="https://live.euronext.com/sites/default/files/contributions_live/2024-01/1706518108_25703_Katjes%20International%20GmbH%20%26amp%3B%20Co.%20KG-%20Loan%20description%2818671930.1%29.pdf" TargetMode="External" Id="rId15"/></Relationships>
</file>

<file path=xl/worksheets/sheet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0" customWidth="1" min="2" max="2"/>
  </cols>
  <sheetData>
    <row r="1">
      <c r="A1" s="1" t="inlineStr">
        <is>
          <t>Item</t>
        </is>
      </c>
      <c r="B1" s="1" t="inlineStr">
        <is>
          <t>Value</t>
        </is>
      </c>
    </row>
    <row r="2">
      <c r="A2" s="2" t="inlineStr">
        <is>
          <t>Issuer</t>
        </is>
      </c>
      <c r="B2" s="2" t="inlineStr">
        <is>
          <t>Katjes International GmbH &amp; Co. KG</t>
        </is>
      </c>
    </row>
    <row r="3">
      <c r="A3" s="2" t="inlineStr">
        <is>
          <t>Data as of</t>
        </is>
      </c>
      <c r="B3" s="2" t="inlineStr">
        <is>
          <t>H1-2026</t>
        </is>
      </c>
    </row>
    <row r="4">
      <c r="A4" s="2" t="inlineStr">
        <is>
          <t>Written</t>
        </is>
      </c>
      <c r="B4" s="2" t="inlineStr">
        <is>
          <t>2026-10-26</t>
        </is>
      </c>
    </row>
    <row r="5">
      <c r="A5" s="2" t="inlineStr">
        <is>
          <t>Units</t>
        </is>
      </c>
      <c r="B5" s="3" t="inlineStr">
        <is>
          <t>EUR m unless stated; days and headcount as counts; ratios as decimals</t>
        </is>
      </c>
    </row>
    <row r="6">
      <c r="A6" s="2" t="inlineStr">
        <is>
          <t>Signs</t>
        </is>
      </c>
      <c r="B6" s="3" t="inlineStr">
        <is>
          <t>profits positive, losses negative; net interest = net finance cost, positive; capex and D&amp;A positive</t>
        </is>
      </c>
    </row>
    <row r="7">
      <c r="A7" s="2" t="inlineStr">
        <is>
          <t>Periods</t>
        </is>
      </c>
      <c r="B7" s="3" t="inlineStr">
        <is>
          <t>FY2025 = fiscal year ending in 2025; H1-2026 = half-year to 30 June 2026; FY2026E = a year after the last one reported: the company's budget or plan for it, or an amount falling due then. One column per year: debt falling due in a year since reported sits in that year (as the report before states it), a plan figure for such a year in its budget row; a band of years (FY2027E-FY2029E) stays in Facts</t>
        </is>
      </c>
    </row>
    <row r="8">
      <c r="A8" s="2" t="inlineStr">
        <is>
          <t>Record</t>
        </is>
      </c>
      <c r="B8" s="3" t="inlineStr">
        <is>
          <t>one value per field and period: approved before pending, the source the fact agent named primary in a conflict, a document before a web source, audited before unaudited, the later report wins where restated (mvp/screen.py)</t>
        </is>
      </c>
    </row>
    <row r="9">
      <c r="A9" s="2" t="inlineStr">
        <is>
          <t>Status</t>
        </is>
      </c>
      <c r="B9" s="3" t="inlineStr">
        <is>
          <t>ok = approved by a named reviewer; rep = management representation, attested by a named officer; pend = extracted, pending review; rej = rejected; grey cell = pending, gold cell = management representation</t>
        </is>
      </c>
    </row>
    <row r="10">
      <c r="A10" s="2" t="inlineStr">
        <is>
          <t>Sources</t>
        </is>
      </c>
      <c r="B10" s="3" t="inlineStr">
        <is>
          <t>every number links to its row in Facts; the row links to the page of the published PDF or to the web source</t>
        </is>
      </c>
    </row>
    <row r="11">
      <c r="A11" s="2" t="inlineStr">
        <is>
          <t>Notes</t>
        </is>
      </c>
      <c r="B11" s="3" t="inlineStr">
        <is>
          <t>every cell copied from a fact carries an Excel note: the fact, its document, page, the quote (up to 40 words), status, approver and date, and the proof link; every computed cell a note with its formula and the facts it uses. A note travels with the cell on copy and paste, the link to Facts does not</t>
        </is>
      </c>
    </row>
    <row r="12">
      <c r="A12" s="2" t="inlineStr">
        <is>
          <t>Proof</t>
        </is>
      </c>
      <c r="B12" s="3" t="inlineStr">
        <is>
          <t>column proof in Facts and in the CSV: the dossier viewer on that one fact, its quote highlighted on the page of the document; a web fact's proof is its URL</t>
        </is>
      </c>
    </row>
    <row r="13">
      <c r="A13" s="2" t="inlineStr">
        <is>
          <t>Selected</t>
        </is>
      </c>
      <c r="B13" s="3" t="inlineStr">
        <is>
          <t>column selected in Facts and in the CSV, where a field and period carry more than one value: yes = the value the record uses (see Record), no = another value on file; empty = the only value, or a list field (instruments, risks, people), where every item stays</t>
        </is>
      </c>
    </row>
    <row r="14">
      <c r="A14" s="2" t="inlineStr">
        <is>
          <t>Formulas</t>
        </is>
      </c>
      <c r="B14" s="3" t="inlineStr">
        <is>
          <t>Ratios are live Excel formulas on the Financials cells, the same formulas as the platform; one-off income = the items in Bridge</t>
        </is>
      </c>
    </row>
    <row r="15">
      <c r="A15" s="2" t="inlineStr">
        <is>
          <t>Scope</t>
        </is>
      </c>
      <c r="B15" s="3" t="inlineStr">
        <is>
          <t>facts and arithmetic on printed formulas only: no rating, no score, no recommendation. Demo built from the company's public reports.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EUR m unless stated</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H1-2025</t>
        </is>
      </c>
      <c r="J1" s="1" t="inlineStr">
        <is>
          <t>H1-2026</t>
        </is>
      </c>
      <c r="K1" s="1" t="inlineStr">
        <is>
          <t>FY2026E</t>
        </is>
      </c>
      <c r="L1" s="1" t="inlineStr">
        <is>
          <t>FY2027E</t>
        </is>
      </c>
      <c r="M1" s="1" t="inlineStr">
        <is>
          <t>FY2028E</t>
        </is>
      </c>
    </row>
    <row r="2">
      <c r="A2" s="4" t="inlineStr">
        <is>
          <t>Identity</t>
        </is>
      </c>
    </row>
    <row r="3">
      <c r="A3" t="inlineStr">
        <is>
          <t>Employees (FTE, period end)</t>
        </is>
      </c>
      <c r="E3" s="5" t="n">
        <v>980</v>
      </c>
      <c r="F3" s="5" t="n">
        <v>998</v>
      </c>
      <c r="G3" s="5" t="n">
        <v>1097</v>
      </c>
      <c r="H3" s="5" t="n">
        <v>1648</v>
      </c>
      <c r="I3" s="5" t="n">
        <v>1118</v>
      </c>
      <c r="J3" s="5" t="n">
        <v>1787</v>
      </c>
    </row>
    <row r="4">
      <c r="A4" s="4" t="inlineStr">
        <is>
          <t>Historical financials and quality of earnings</t>
        </is>
      </c>
    </row>
    <row r="5">
      <c r="A5" t="inlineStr">
        <is>
          <t>Revenue</t>
        </is>
      </c>
      <c r="B5" s="5" t="n">
        <v>210</v>
      </c>
      <c r="C5" s="5" t="n">
        <v>218</v>
      </c>
      <c r="D5" s="5" t="n">
        <v>255</v>
      </c>
      <c r="E5" s="5" t="n">
        <v>295</v>
      </c>
      <c r="F5" s="5" t="n">
        <v>377</v>
      </c>
      <c r="G5" s="5" t="n">
        <v>392.6</v>
      </c>
      <c r="H5" s="5" t="n">
        <v>503</v>
      </c>
      <c r="I5" s="5" t="n">
        <v>164.8</v>
      </c>
      <c r="J5" s="5" t="n">
        <v>256</v>
      </c>
    </row>
    <row r="6">
      <c r="A6" t="inlineStr">
        <is>
          <t>EBITDA (as reported)</t>
        </is>
      </c>
      <c r="B6" s="5" t="n">
        <v>23</v>
      </c>
      <c r="C6" s="5" t="n">
        <v>25</v>
      </c>
      <c r="D6" s="6" t="n">
        <v>41</v>
      </c>
      <c r="E6" s="5" t="n">
        <v>37</v>
      </c>
      <c r="F6" s="6" t="n">
        <v>40.8</v>
      </c>
      <c r="G6" s="5" t="n">
        <v>44.8</v>
      </c>
      <c r="H6" s="5" t="n">
        <v>98.8</v>
      </c>
      <c r="I6" s="5" t="n">
        <v>13.9</v>
      </c>
      <c r="J6" s="5" t="n">
        <v>15.8</v>
      </c>
    </row>
    <row r="7">
      <c r="A7" t="inlineStr">
        <is>
          <t>EBIT / operating result</t>
        </is>
      </c>
      <c r="E7" s="5" t="n">
        <v>22.2</v>
      </c>
      <c r="F7" s="5" t="n">
        <v>22.5</v>
      </c>
      <c r="G7" s="5" t="n">
        <v>25</v>
      </c>
      <c r="H7" s="5" t="n">
        <v>71.09999999999999</v>
      </c>
      <c r="I7" s="5" t="n">
        <v>3.7</v>
      </c>
      <c r="J7" s="5" t="n">
        <v>-6.8</v>
      </c>
    </row>
    <row r="8">
      <c r="A8" t="inlineStr">
        <is>
          <t>Net result</t>
        </is>
      </c>
      <c r="E8" s="5" t="n">
        <v>14.8</v>
      </c>
      <c r="F8" s="5" t="n">
        <v>10.2</v>
      </c>
      <c r="G8" s="5" t="n">
        <v>3.2</v>
      </c>
      <c r="H8" s="5" t="n">
        <v>53.2</v>
      </c>
      <c r="I8" s="5" t="n">
        <v>-1</v>
      </c>
      <c r="J8" s="5" t="n">
        <v>-15.9</v>
      </c>
    </row>
    <row r="9">
      <c r="A9" t="inlineStr">
        <is>
          <t>Depreciation &amp; amortisation</t>
        </is>
      </c>
      <c r="E9" s="5" t="n">
        <v>15.1</v>
      </c>
      <c r="F9" s="5" t="n">
        <v>18.1</v>
      </c>
      <c r="G9" s="6" t="n">
        <v>19.8</v>
      </c>
      <c r="H9" s="5" t="n">
        <v>27.2</v>
      </c>
    </row>
    <row r="10">
      <c r="A10" t="inlineStr">
        <is>
          <t>Net finance cost</t>
        </is>
      </c>
      <c r="E10" s="5" t="n">
        <v>6.4</v>
      </c>
      <c r="F10" s="5" t="n">
        <v>11.4</v>
      </c>
      <c r="G10" s="5" t="n">
        <v>11.6</v>
      </c>
      <c r="H10" s="5" t="n">
        <v>19.2</v>
      </c>
      <c r="I10" s="5" t="n">
        <v>4.1</v>
      </c>
      <c r="J10" s="5" t="n">
        <v>11.2</v>
      </c>
    </row>
    <row r="11">
      <c r="A11" t="inlineStr">
        <is>
          <t>Cash flow from operating activities</t>
        </is>
      </c>
      <c r="E11" s="5" t="n">
        <v>10.4</v>
      </c>
      <c r="F11" s="5" t="n">
        <v>31.8</v>
      </c>
      <c r="G11" s="5" t="n">
        <v>45.6</v>
      </c>
      <c r="H11" s="5" t="n">
        <v>19.1</v>
      </c>
      <c r="I11" s="5" t="n">
        <v>-9.800000000000001</v>
      </c>
      <c r="J11" s="5" t="n">
        <v>1.1</v>
      </c>
    </row>
    <row r="12">
      <c r="A12" t="inlineStr">
        <is>
          <t>Capex (PP&amp;E + intangibles)</t>
        </is>
      </c>
      <c r="E12" s="5" t="n">
        <v>8</v>
      </c>
      <c r="F12" s="6" t="n">
        <v>14.6</v>
      </c>
      <c r="G12" s="6" t="n">
        <v>18.8</v>
      </c>
      <c r="H12" s="5" t="n">
        <v>19.6</v>
      </c>
      <c r="I12" s="5" t="n">
        <v>7</v>
      </c>
      <c r="J12" s="5" t="n">
        <v>8.300000000000001</v>
      </c>
    </row>
    <row r="13">
      <c r="A13" t="inlineStr">
        <is>
          <t>Cash &amp; equivalents</t>
        </is>
      </c>
      <c r="E13" s="5" t="n">
        <v>35.5</v>
      </c>
      <c r="F13" s="5" t="n">
        <v>58.4</v>
      </c>
      <c r="G13" s="5" t="n">
        <v>54</v>
      </c>
      <c r="H13" s="5" t="n">
        <v>146.8</v>
      </c>
      <c r="I13" s="5" t="n">
        <v>38.4</v>
      </c>
      <c r="J13" s="5" t="n">
        <v>74.09999999999999</v>
      </c>
    </row>
    <row r="14">
      <c r="A14" t="inlineStr">
        <is>
          <t>Gross financial debt (bonds + loans, excl. leases)</t>
        </is>
      </c>
      <c r="E14" s="5" t="n">
        <v>173.5</v>
      </c>
      <c r="F14" s="6" t="n">
        <v>185.1</v>
      </c>
      <c r="G14" s="5" t="n">
        <v>176.2</v>
      </c>
    </row>
    <row r="15">
      <c r="A15" t="inlineStr">
        <is>
          <t>Lease liabilities</t>
        </is>
      </c>
      <c r="E15" s="5" t="n">
        <v>6.4</v>
      </c>
      <c r="F15" s="5" t="n">
        <v>6.8</v>
      </c>
      <c r="G15" s="5" t="n">
        <v>13.2</v>
      </c>
      <c r="H15" s="5" t="n">
        <v>74.7</v>
      </c>
      <c r="J15" s="5" t="n">
        <v>85.8</v>
      </c>
    </row>
    <row r="16">
      <c r="A16" t="inlineStr">
        <is>
          <t>Net debt (as reported)</t>
        </is>
      </c>
      <c r="E16" s="5" t="n">
        <v>138</v>
      </c>
      <c r="F16" s="5" t="n">
        <v>133.5</v>
      </c>
      <c r="G16" s="5" t="n">
        <v>135.4</v>
      </c>
      <c r="H16" s="5" t="n">
        <v>206</v>
      </c>
    </row>
    <row r="17">
      <c r="A17" t="inlineStr">
        <is>
          <t>Total equity</t>
        </is>
      </c>
      <c r="B17" s="5" t="n">
        <v>137.9</v>
      </c>
      <c r="C17" s="5" t="n">
        <v>139.5</v>
      </c>
      <c r="D17" s="5" t="n">
        <v>141.4</v>
      </c>
      <c r="E17" s="5" t="n">
        <v>167</v>
      </c>
      <c r="F17" s="5" t="n">
        <v>176</v>
      </c>
      <c r="G17" s="5" t="n">
        <v>176.2</v>
      </c>
      <c r="H17" s="5" t="n">
        <v>266.9</v>
      </c>
      <c r="I17" s="5" t="n">
        <v>175.3</v>
      </c>
      <c r="J17" s="5" t="n">
        <v>255.1</v>
      </c>
    </row>
    <row r="18">
      <c r="A18" t="inlineStr">
        <is>
          <t>Total assets</t>
        </is>
      </c>
      <c r="E18" s="5" t="n">
        <v>441.4</v>
      </c>
      <c r="F18" s="5" t="n">
        <v>477.6</v>
      </c>
      <c r="G18" s="5" t="n">
        <v>491.7</v>
      </c>
      <c r="H18" s="5" t="n">
        <v>812.3</v>
      </c>
      <c r="J18" s="5" t="n">
        <v>850.9</v>
      </c>
    </row>
    <row r="19">
      <c r="A19" t="inlineStr">
        <is>
          <t>Days from year end to filing of the accounts</t>
        </is>
      </c>
      <c r="F19" s="5" t="n">
        <v>87</v>
      </c>
      <c r="G19" s="5" t="n">
        <v>99</v>
      </c>
      <c r="H19" s="5" t="n">
        <v>92</v>
      </c>
      <c r="J19" s="5" t="n">
        <v>70</v>
      </c>
    </row>
    <row r="20">
      <c r="A20" t="inlineStr">
        <is>
          <t>Income taxes paid (cash flow statement)</t>
        </is>
      </c>
      <c r="E20" s="5" t="n">
        <v>2.6</v>
      </c>
      <c r="F20" s="5" t="n">
        <v>2.5</v>
      </c>
      <c r="G20" s="5" t="n">
        <v>2.5</v>
      </c>
      <c r="H20" s="5" t="n">
        <v>0.6</v>
      </c>
      <c r="I20" s="5" t="n">
        <v>0.3</v>
      </c>
      <c r="J20" s="5" t="n">
        <v>0.9</v>
      </c>
    </row>
    <row r="21">
      <c r="A21" s="4" t="inlineStr">
        <is>
          <t>Management</t>
        </is>
      </c>
    </row>
    <row r="22">
      <c r="A22" t="inlineStr">
        <is>
          <t>Revenue as budgeted for that year (management plan at the time)</t>
        </is>
      </c>
      <c r="H22" s="5" t="n">
        <v>400</v>
      </c>
      <c r="K22" s="5" t="n">
        <v>650</v>
      </c>
    </row>
    <row r="23">
      <c r="A23" s="4" t="inlineStr">
        <is>
          <t>Transaction, plan, projections and downside</t>
        </is>
      </c>
    </row>
    <row r="24">
      <c r="A24" t="inlineStr">
        <is>
          <t>Debt principal falling due in the period</t>
        </is>
      </c>
      <c r="G24" s="5" t="n">
        <v>35.2</v>
      </c>
      <c r="H24" s="6" t="n">
        <v>37.4</v>
      </c>
      <c r="K24" s="6" t="n">
        <v>74.3</v>
      </c>
      <c r="L24" s="5" t="n">
        <v>30.7</v>
      </c>
      <c r="M24" s="5" t="n">
        <v>185</v>
      </c>
    </row>
  </sheetData>
  <hyperlinks>
    <hyperlink ref="E3" location="Facts!A10"/>
    <hyperlink ref="F3" location="Facts!A333"/>
    <hyperlink ref="G3" location="Facts!A627"/>
    <hyperlink ref="H3" location="Facts!A628"/>
    <hyperlink ref="I3" location="Facts!A1011"/>
    <hyperlink ref="J3" location="Facts!A1012"/>
    <hyperlink ref="B5" location="Facts!A41"/>
    <hyperlink ref="C5" location="Facts!A42"/>
    <hyperlink ref="D5" location="Facts!A653"/>
    <hyperlink ref="E5" location="Facts!A654"/>
    <hyperlink ref="F5" location="Facts!A655"/>
    <hyperlink ref="G5" location="Facts!A656"/>
    <hyperlink ref="H5" location="Facts!A657"/>
    <hyperlink ref="I5" location="Facts!A1065"/>
    <hyperlink ref="J5" location="Facts!A1066"/>
    <hyperlink ref="B6" location="Facts!A47"/>
    <hyperlink ref="C6" location="Facts!A48"/>
    <hyperlink ref="D6" location="Facts!A658"/>
    <hyperlink ref="E6" location="Facts!A659"/>
    <hyperlink ref="F6" location="Facts!A369"/>
    <hyperlink ref="G6" location="Facts!A661"/>
    <hyperlink ref="H6" location="Facts!A662"/>
    <hyperlink ref="I6" location="Facts!A1067"/>
    <hyperlink ref="J6" location="Facts!A1068"/>
    <hyperlink ref="E7" location="Facts!A53"/>
    <hyperlink ref="F7" location="Facts!A371"/>
    <hyperlink ref="G7" location="Facts!A663"/>
    <hyperlink ref="H7" location="Facts!A664"/>
    <hyperlink ref="I7" location="Facts!A1069"/>
    <hyperlink ref="J7" location="Facts!A1070"/>
    <hyperlink ref="E8" location="Facts!A55"/>
    <hyperlink ref="F8" location="Facts!A373"/>
    <hyperlink ref="G8" location="Facts!A665"/>
    <hyperlink ref="H8" location="Facts!A666"/>
    <hyperlink ref="I8" location="Facts!A1071"/>
    <hyperlink ref="J8" location="Facts!A1072"/>
    <hyperlink ref="E9" location="Facts!A57"/>
    <hyperlink ref="F9" location="Facts!A375"/>
    <hyperlink ref="G9" location="Facts!A376"/>
    <hyperlink ref="H9" location="Facts!A668"/>
    <hyperlink ref="E10" location="Facts!A59"/>
    <hyperlink ref="F10" location="Facts!A377"/>
    <hyperlink ref="G10" location="Facts!A669"/>
    <hyperlink ref="H10" location="Facts!A670"/>
    <hyperlink ref="I10" location="Facts!A1075"/>
    <hyperlink ref="J10" location="Facts!A1076"/>
    <hyperlink ref="E11" location="Facts!A61"/>
    <hyperlink ref="F11" location="Facts!A379"/>
    <hyperlink ref="G11" location="Facts!A671"/>
    <hyperlink ref="H11" location="Facts!A672"/>
    <hyperlink ref="I11" location="Facts!A1077"/>
    <hyperlink ref="J11" location="Facts!A1078"/>
    <hyperlink ref="E12" location="Facts!A63"/>
    <hyperlink ref="F12" location="Facts!A381"/>
    <hyperlink ref="G12" location="Facts!A673"/>
    <hyperlink ref="H12" location="Facts!A674"/>
    <hyperlink ref="I12" location="Facts!A1079"/>
    <hyperlink ref="J12" location="Facts!A1080"/>
    <hyperlink ref="E13" location="Facts!A65"/>
    <hyperlink ref="F13" location="Facts!A675"/>
    <hyperlink ref="G13" location="Facts!A676"/>
    <hyperlink ref="H13" location="Facts!A677"/>
    <hyperlink ref="I13" location="Facts!A1082"/>
    <hyperlink ref="J13" location="Facts!A1083"/>
    <hyperlink ref="E14" location="Facts!A67"/>
    <hyperlink ref="F14" location="Facts!A385"/>
    <hyperlink ref="G14" location="Facts!A386"/>
    <hyperlink ref="E15" location="Facts!A69"/>
    <hyperlink ref="F15" location="Facts!A387"/>
    <hyperlink ref="G15" location="Facts!A678"/>
    <hyperlink ref="H15" location="Facts!A679"/>
    <hyperlink ref="J15" location="Facts!A1086"/>
    <hyperlink ref="E16" location="Facts!A71"/>
    <hyperlink ref="F16" location="Facts!A389"/>
    <hyperlink ref="G16" location="Facts!A680"/>
    <hyperlink ref="H16" location="Facts!A681"/>
    <hyperlink ref="B17" location="Facts!A73"/>
    <hyperlink ref="C17" location="Facts!A74"/>
    <hyperlink ref="D17" location="Facts!A75"/>
    <hyperlink ref="E17" location="Facts!A76"/>
    <hyperlink ref="F17" location="Facts!A682"/>
    <hyperlink ref="G17" location="Facts!A683"/>
    <hyperlink ref="H17" location="Facts!A684"/>
    <hyperlink ref="I17" location="Facts!A1088"/>
    <hyperlink ref="J17" location="Facts!A1089"/>
    <hyperlink ref="E18" location="Facts!A78"/>
    <hyperlink ref="F18" location="Facts!A393"/>
    <hyperlink ref="G18" location="Facts!A685"/>
    <hyperlink ref="H18" location="Facts!A686"/>
    <hyperlink ref="J18" location="Facts!A1091"/>
    <hyperlink ref="F19" location="Facts!A242"/>
    <hyperlink ref="G19" location="Facts!A543"/>
    <hyperlink ref="H19" location="Facts!A849"/>
    <hyperlink ref="J19" location="Facts!A1191"/>
    <hyperlink ref="E20" location="Facts!A278"/>
    <hyperlink ref="F20" location="Facts!A580"/>
    <hyperlink ref="G20" location="Facts!A899"/>
    <hyperlink ref="H20" location="Facts!A900"/>
    <hyperlink ref="I20" location="Facts!A1233"/>
    <hyperlink ref="J20" location="Facts!A1234"/>
    <hyperlink ref="H22" location="Facts!A717"/>
    <hyperlink ref="K22" location="Facts!A718"/>
    <hyperlink ref="G24" location="Facts!A471"/>
    <hyperlink ref="H24" location="Facts!A472"/>
    <hyperlink ref="K24" location="Facts!A755"/>
    <hyperlink ref="L24" location="Facts!A756"/>
    <hyperlink ref="M24" location="Facts!A757"/>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0" customWidth="1" min="2" max="2"/>
    <col width="12" customWidth="1" min="3" max="3"/>
    <col width="8" customWidth="1" min="4" max="4"/>
    <col width="50" customWidth="1" min="5" max="5"/>
  </cols>
  <sheetData>
    <row r="1">
      <c r="A1" s="1" t="inlineStr">
        <is>
          <t>Period</t>
        </is>
      </c>
      <c r="B1" s="1" t="inlineStr">
        <is>
          <t>One-off income inside EBITDA, as itemised in the reports</t>
        </is>
      </c>
      <c r="C1" s="1" t="inlineStr">
        <is>
          <t>EUR m counted</t>
        </is>
      </c>
      <c r="D1" s="1" t="inlineStr">
        <is>
          <t>Fact</t>
        </is>
      </c>
      <c r="E1" s="1" t="inlineStr">
        <is>
          <t>Rule</t>
        </is>
      </c>
    </row>
    <row r="2">
      <c r="A2" s="2" t="inlineStr">
        <is>
          <t>FY2022</t>
        </is>
      </c>
      <c r="B2" s="3" t="inlineStr">
        <is>
          <t>item: purchase price allocation effect (negative goodwill) oral care business recognised in other operating income at initial consolidation 7 Dec 2022; amount: 10.3; recurrence: 2022</t>
        </is>
      </c>
      <c r="C2" s="2" t="n"/>
      <c r="D2" s="2" t="inlineStr">
        <is>
          <t>F227</t>
        </is>
      </c>
      <c r="E2" s="3" t="inlineStr">
        <is>
          <t>listed, not counted (10.3): may be part of the larger item counted</t>
        </is>
      </c>
    </row>
    <row r="3">
      <c r="A3" s="2" t="inlineStr">
        <is>
          <t>FY2022</t>
        </is>
      </c>
      <c r="B3" s="3" t="inlineStr">
        <is>
          <t>item: recognition of negative goodwill in profit or loss (other operating income); amount: 24.4; recurrence: 2022 only (2023: 0.0)</t>
        </is>
      </c>
      <c r="C3" s="2" t="n">
        <v>24.4</v>
      </c>
      <c r="D3" s="2" t="inlineStr">
        <is>
          <t>F228</t>
        </is>
      </c>
      <c r="E3" s="2" t="inlineStr">
        <is>
          <t>counted</t>
        </is>
      </c>
    </row>
    <row r="4">
      <c r="A4" s="2" t="inlineStr">
        <is>
          <t>FY2025</t>
        </is>
      </c>
      <c r="B4" s="3" t="inlineStr">
        <is>
          <t>item: badwill from initial consolidation of Bogner (other operating income); amount: 35.1; recurrence: none</t>
        </is>
      </c>
      <c r="C4" s="2" t="n">
        <v>35.1</v>
      </c>
      <c r="D4" s="2" t="inlineStr">
        <is>
          <t>F837</t>
        </is>
      </c>
      <c r="E4" s="2" t="inlineStr">
        <is>
          <t>counted</t>
        </is>
      </c>
    </row>
    <row r="5">
      <c r="A5" s="2" t="inlineStr">
        <is>
          <t>FY2025</t>
        </is>
      </c>
      <c r="B5" s="3" t="inlineStr">
        <is>
          <t>item: gain on disposal of the 23% CPK minority interest (other operating income); amount: 20.1; recurrence: none</t>
        </is>
      </c>
      <c r="C5" s="2" t="n">
        <v>20.1</v>
      </c>
      <c r="D5" s="2" t="inlineStr">
        <is>
          <t>F838</t>
        </is>
      </c>
      <c r="E5" s="2" t="inlineStr">
        <is>
          <t>counted</t>
        </is>
      </c>
    </row>
    <row r="6">
      <c r="A6" s="2" t="inlineStr">
        <is>
          <t>H1-2026</t>
        </is>
      </c>
      <c r="B6" s="3" t="inlineStr">
        <is>
          <t>item: positive results from purchase price allocations in other operating result; amount: 13.8; recurrence: none in H1-2025</t>
        </is>
      </c>
      <c r="C6" s="2" t="n"/>
      <c r="D6" s="2" t="inlineStr">
        <is>
          <t>F1180</t>
        </is>
      </c>
      <c r="E6" s="3" t="inlineStr">
        <is>
          <t>listed, not counted (13.8): total of the items counted</t>
        </is>
      </c>
    </row>
    <row r="7">
      <c r="A7" s="2" t="inlineStr">
        <is>
          <t>H1-2026</t>
        </is>
      </c>
      <c r="B7" s="3" t="inlineStr">
        <is>
          <t>item: badwill on the Graze acquisition, recognised in other operating income (preliminary PPA); amount: 11.2; recurrence: none stated</t>
        </is>
      </c>
      <c r="C7" s="2" t="n">
        <v>11.2</v>
      </c>
      <c r="D7" s="2" t="inlineStr">
        <is>
          <t>F1183</t>
        </is>
      </c>
      <c r="E7" s="2" t="inlineStr">
        <is>
          <t>counted</t>
        </is>
      </c>
    </row>
    <row r="8">
      <c r="A8" s="2" t="inlineStr">
        <is>
          <t>H1-2026</t>
        </is>
      </c>
      <c r="B8" s="3" t="inlineStr">
        <is>
          <t>item: badwill on the Pastificio Plin acquisition, recognised in other operating income; amount: 2.6; recurrence: none stated</t>
        </is>
      </c>
      <c r="C8" s="2" t="n">
        <v>2.6</v>
      </c>
      <c r="D8" s="2" t="inlineStr">
        <is>
          <t>F1184</t>
        </is>
      </c>
      <c r="E8" s="2" t="inlineStr">
        <is>
          <t>counted</t>
        </is>
      </c>
    </row>
  </sheetData>
  <hyperlinks>
    <hyperlink ref="D2" location="Facts!A228"/>
    <hyperlink ref="D3" location="Facts!A229"/>
    <hyperlink ref="D4" location="Facts!A838"/>
    <hyperlink ref="D5" location="Facts!A839"/>
    <hyperlink ref="D6" location="Facts!A1181"/>
    <hyperlink ref="D7" location="Facts!A1184"/>
    <hyperlink ref="D8" location="Facts!A118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70" customWidth="1" min="11" max="11"/>
  </cols>
  <sheetData>
    <row r="1">
      <c r="A1" s="1" t="inlineStr">
        <is>
          <t>Live formulas on Financials</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H1-2025</t>
        </is>
      </c>
      <c r="J1" s="1" t="inlineStr">
        <is>
          <t>H1-2026</t>
        </is>
      </c>
      <c r="K1" s="1" t="inlineStr">
        <is>
          <t>Formula</t>
        </is>
      </c>
    </row>
    <row r="2">
      <c r="A2" t="inlineStr">
        <is>
          <t>One-off income inside EBITDA</t>
        </is>
      </c>
      <c r="B2" s="5">
        <f>SUMIF(Bridge!$A:$A,"FY2019",Bridge!$C:$C)</f>
        <v/>
      </c>
      <c r="C2" s="5">
        <f>SUMIF(Bridge!$A:$A,"FY2020",Bridge!$C:$C)</f>
        <v/>
      </c>
      <c r="D2" s="5">
        <f>SUMIF(Bridge!$A:$A,"FY2021",Bridge!$C:$C)</f>
        <v/>
      </c>
      <c r="E2" s="5">
        <f>SUMIF(Bridge!$A:$A,"FY2022",Bridge!$C:$C)</f>
        <v/>
      </c>
      <c r="F2" s="5">
        <f>SUMIF(Bridge!$A:$A,"FY2023",Bridge!$C:$C)</f>
        <v/>
      </c>
      <c r="G2" s="5">
        <f>SUMIF(Bridge!$A:$A,"FY2024",Bridge!$C:$C)</f>
        <v/>
      </c>
      <c r="H2" s="5">
        <f>SUMIF(Bridge!$A:$A,"FY2025",Bridge!$C:$C)</f>
        <v/>
      </c>
      <c r="I2" s="5">
        <f>SUMIF(Bridge!$A:$A,"H1-2025",Bridge!$C:$C)</f>
        <v/>
      </c>
      <c r="J2" s="5">
        <f>SUMIF(Bridge!$A:$A,"H1-2026",Bridge!$C:$C)</f>
        <v/>
      </c>
      <c r="K2" t="inlineStr">
        <is>
          <t>SUM of Bridge for the period</t>
        </is>
      </c>
    </row>
    <row r="3">
      <c r="A3" t="inlineStr">
        <is>
          <t>EBITDA excluding one-off income</t>
        </is>
      </c>
      <c r="B3" s="5">
        <f>(Financials!B6-SUMIF(Bridge!$A:$A,"FY2019",Bridge!$C:$C))</f>
        <v/>
      </c>
      <c r="C3" s="5">
        <f>(Financials!C6-SUMIF(Bridge!$A:$A,"FY2020",Bridge!$C:$C))</f>
        <v/>
      </c>
      <c r="D3" s="5">
        <f>(Financials!D6-SUMIF(Bridge!$A:$A,"FY2021",Bridge!$C:$C))</f>
        <v/>
      </c>
      <c r="E3" s="5">
        <f>(Financials!E6-SUMIF(Bridge!$A:$A,"FY2022",Bridge!$C:$C))</f>
        <v/>
      </c>
      <c r="F3" s="5">
        <f>(Financials!F6-SUMIF(Bridge!$A:$A,"FY2023",Bridge!$C:$C))</f>
        <v/>
      </c>
      <c r="G3" s="5">
        <f>(Financials!G6-SUMIF(Bridge!$A:$A,"FY2024",Bridge!$C:$C))</f>
        <v/>
      </c>
      <c r="H3" s="5">
        <f>(Financials!H6-SUMIF(Bridge!$A:$A,"FY2025",Bridge!$C:$C))</f>
        <v/>
      </c>
      <c r="I3" s="5">
        <f>(Financials!I6-SUMIF(Bridge!$A:$A,"H1-2025",Bridge!$C:$C))</f>
        <v/>
      </c>
      <c r="J3" s="5">
        <f>(Financials!J6-SUMIF(Bridge!$A:$A,"H1-2026",Bridge!$C:$C))</f>
        <v/>
      </c>
      <c r="K3" t="inlineStr">
        <is>
          <t>EBITDA as reported − one-off income</t>
        </is>
      </c>
    </row>
    <row r="4">
      <c r="A4" t="inlineStr">
        <is>
          <t>EBITDA margin excluding one-off income</t>
        </is>
      </c>
      <c r="B4" s="7">
        <f>IFERROR((Financials!B6-SUMIF(Bridge!$A:$A,"FY2019",Bridge!$C:$C))/Financials!B5,"")</f>
        <v/>
      </c>
      <c r="C4" s="7">
        <f>IFERROR((Financials!C6-SUMIF(Bridge!$A:$A,"FY2020",Bridge!$C:$C))/Financials!C5,"")</f>
        <v/>
      </c>
      <c r="D4" s="7">
        <f>IFERROR((Financials!D6-SUMIF(Bridge!$A:$A,"FY2021",Bridge!$C:$C))/Financials!D5,"")</f>
        <v/>
      </c>
      <c r="E4" s="7">
        <f>IFERROR((Financials!E6-SUMIF(Bridge!$A:$A,"FY2022",Bridge!$C:$C))/Financials!E5,"")</f>
        <v/>
      </c>
      <c r="F4" s="7">
        <f>IFERROR((Financials!F6-SUMIF(Bridge!$A:$A,"FY2023",Bridge!$C:$C))/Financials!F5,"")</f>
        <v/>
      </c>
      <c r="G4" s="7">
        <f>IFERROR((Financials!G6-SUMIF(Bridge!$A:$A,"FY2024",Bridge!$C:$C))/Financials!G5,"")</f>
        <v/>
      </c>
      <c r="H4" s="7">
        <f>IFERROR((Financials!H6-SUMIF(Bridge!$A:$A,"FY2025",Bridge!$C:$C))/Financials!H5,"")</f>
        <v/>
      </c>
      <c r="I4" s="7">
        <f>IFERROR((Financials!I6-SUMIF(Bridge!$A:$A,"H1-2025",Bridge!$C:$C))/Financials!I5,"")</f>
        <v/>
      </c>
      <c r="J4" s="7">
        <f>IFERROR((Financials!J6-SUMIF(Bridge!$A:$A,"H1-2026",Bridge!$C:$C))/Financials!J5,"")</f>
        <v/>
      </c>
      <c r="K4" t="inlineStr">
        <is>
          <t>EBITDA excluding one-off income / revenue</t>
        </is>
      </c>
    </row>
    <row r="5">
      <c r="A5" t="inlineStr">
        <is>
          <t>EBITDA margin, on EBITDA as reported</t>
        </is>
      </c>
      <c r="B5" s="7">
        <f>IFERROR(Financials!B6/Financials!B5,"")</f>
        <v/>
      </c>
      <c r="C5" s="7">
        <f>IFERROR(Financials!C6/Financials!C5,"")</f>
        <v/>
      </c>
      <c r="D5" s="7">
        <f>IFERROR(Financials!D6/Financials!D5,"")</f>
        <v/>
      </c>
      <c r="E5" s="7">
        <f>IFERROR(Financials!E6/Financials!E5,"")</f>
        <v/>
      </c>
      <c r="F5" s="7">
        <f>IFERROR(Financials!F6/Financials!F5,"")</f>
        <v/>
      </c>
      <c r="G5" s="7">
        <f>IFERROR(Financials!G6/Financials!G5,"")</f>
        <v/>
      </c>
      <c r="H5" s="7">
        <f>IFERROR(Financials!H6/Financials!H5,"")</f>
        <v/>
      </c>
      <c r="I5" s="7">
        <f>IFERROR(Financials!I6/Financials!I5,"")</f>
        <v/>
      </c>
      <c r="J5" s="7">
        <f>IFERROR(Financials!J6/Financials!J5,"")</f>
        <v/>
      </c>
      <c r="K5" t="inlineStr">
        <is>
          <t>EBITDA as reported / revenue, one-off income included</t>
        </is>
      </c>
    </row>
    <row r="6">
      <c r="A6" t="inlineStr">
        <is>
          <t>Free cash flow</t>
        </is>
      </c>
      <c r="E6" s="5">
        <f>IFERROR(Financials!E11-Financials!E12,"")</f>
        <v/>
      </c>
      <c r="F6" s="5">
        <f>IFERROR(Financials!F11-Financials!F12,"")</f>
        <v/>
      </c>
      <c r="G6" s="5">
        <f>IFERROR(Financials!G11-Financials!G12,"")</f>
        <v/>
      </c>
      <c r="H6" s="5">
        <f>IFERROR(Financials!H11-Financials!H12,"")</f>
        <v/>
      </c>
      <c r="I6" s="5">
        <f>IFERROR(Financials!I11-Financials!I12,"")</f>
        <v/>
      </c>
      <c r="J6" s="5">
        <f>IFERROR(Financials!J11-Financials!J12,"")</f>
        <v/>
      </c>
      <c r="K6" t="inlineStr">
        <is>
          <t>operating cash flow − capex</t>
        </is>
      </c>
    </row>
    <row r="7">
      <c r="A7" t="inlineStr">
        <is>
          <t>Gross debt excluding leases, calculated</t>
        </is>
      </c>
      <c r="H7" s="5">
        <f>(Financials!H16+Financials!H13-Financials!H15)</f>
        <v/>
      </c>
      <c r="K7" t="inlineStr">
        <is>
          <t>net debt as reported + cash − lease liabilities, where the report states no total (as mvp/schema.py derive)</t>
        </is>
      </c>
    </row>
    <row r="8">
      <c r="A8" t="inlineStr">
        <is>
          <t>Net debt excluding leases</t>
        </is>
      </c>
      <c r="E8" s="5">
        <f>(Financials!E14-Financials!E13)</f>
        <v/>
      </c>
      <c r="F8" s="5">
        <f>(Financials!F14-Financials!F13)</f>
        <v/>
      </c>
      <c r="G8" s="5">
        <f>(Financials!G14-Financials!G13)</f>
        <v/>
      </c>
      <c r="H8" s="5">
        <f>((Financials!H16+Financials!H13-Financials!H15)-Financials!H13)</f>
        <v/>
      </c>
      <c r="K8" t="inlineStr">
        <is>
          <t>gross debt excluding leases − cash</t>
        </is>
      </c>
    </row>
    <row r="9">
      <c r="A9" t="inlineStr">
        <is>
          <t>Net debt / EBITDA excluding one-off income</t>
        </is>
      </c>
      <c r="E9" s="8">
        <f>IFERROR((Financials!E14-Financials!E13)/(Financials!E6-SUMIF(Bridge!$A:$A,"FY2022",Bridge!$C:$C)),"")</f>
        <v/>
      </c>
      <c r="F9" s="8">
        <f>IFERROR((Financials!F14-Financials!F13)/(Financials!F6-SUMIF(Bridge!$A:$A,"FY2023",Bridge!$C:$C)),"")</f>
        <v/>
      </c>
      <c r="G9" s="8">
        <f>IFERROR((Financials!G14-Financials!G13)/(Financials!G6-SUMIF(Bridge!$A:$A,"FY2024",Bridge!$C:$C)),"")</f>
        <v/>
      </c>
      <c r="H9" s="8">
        <f>IFERROR(((Financials!H16+Financials!H13-Financials!H15)-Financials!H13)/(Financials!H6-SUMIF(Bridge!$A:$A,"FY2025",Bridge!$C:$C)),"")</f>
        <v/>
      </c>
      <c r="K9" t="inlineStr">
        <is>
          <t>net debt excluding leases / EBITDA excluding one-off income; fiscal years</t>
        </is>
      </c>
    </row>
    <row r="10">
      <c r="A10" t="inlineStr">
        <is>
          <t>Net debt / EBITDA, on EBITDA as reported</t>
        </is>
      </c>
      <c r="E10" s="8">
        <f>IFERROR((Financials!E14-Financials!E13)/Financials!E6,"")</f>
        <v/>
      </c>
      <c r="F10" s="8">
        <f>IFERROR((Financials!F14-Financials!F13)/Financials!F6,"")</f>
        <v/>
      </c>
      <c r="G10" s="8">
        <f>IFERROR((Financials!G14-Financials!G13)/Financials!G6,"")</f>
        <v/>
      </c>
      <c r="H10" s="8">
        <f>IFERROR(((Financials!H16+Financials!H13-Financials!H15)-Financials!H13)/Financials!H6,"")</f>
        <v/>
      </c>
      <c r="K10" t="inlineStr">
        <is>
          <t>net debt excluding leases / EBITDA as reported, one-off income included; fiscal years</t>
        </is>
      </c>
    </row>
    <row r="11">
      <c r="A11" t="inlineStr">
        <is>
          <t>EBITDA excluding one-off income / net interest</t>
        </is>
      </c>
      <c r="E11" s="8">
        <f>IFERROR((Financials!E6-SUMIF(Bridge!$A:$A,"FY2022",Bridge!$C:$C))/Financials!E10,"")</f>
        <v/>
      </c>
      <c r="F11" s="8">
        <f>IFERROR((Financials!F6-SUMIF(Bridge!$A:$A,"FY2023",Bridge!$C:$C))/Financials!F10,"")</f>
        <v/>
      </c>
      <c r="G11" s="8">
        <f>IFERROR((Financials!G6-SUMIF(Bridge!$A:$A,"FY2024",Bridge!$C:$C))/Financials!G10,"")</f>
        <v/>
      </c>
      <c r="H11" s="8">
        <f>IFERROR((Financials!H6-SUMIF(Bridge!$A:$A,"FY2025",Bridge!$C:$C))/Financials!H10,"")</f>
        <v/>
      </c>
      <c r="K11" t="inlineStr">
        <is>
          <t>EBITDA excluding one-off income / net finance cost; fiscal years</t>
        </is>
      </c>
    </row>
    <row r="12">
      <c r="A12" t="inlineStr">
        <is>
          <t>EBITDA / net interest, on EBITDA as reported</t>
        </is>
      </c>
      <c r="E12" s="8">
        <f>IFERROR(Financials!E6/Financials!E10,"")</f>
        <v/>
      </c>
      <c r="F12" s="8">
        <f>IFERROR(Financials!F6/Financials!F10,"")</f>
        <v/>
      </c>
      <c r="G12" s="8">
        <f>IFERROR(Financials!G6/Financials!G10,"")</f>
        <v/>
      </c>
      <c r="H12" s="8">
        <f>IFERROR(Financials!H6/Financials!H10,"")</f>
        <v/>
      </c>
      <c r="K12" t="inlineStr">
        <is>
          <t>EBITDA as reported / net finance cost, one-off income included; fiscal years</t>
        </is>
      </c>
    </row>
    <row r="13">
      <c r="A13" t="inlineStr">
        <is>
          <t>Equity ratio</t>
        </is>
      </c>
      <c r="E13" s="7">
        <f>IFERROR(Financials!E17/Financials!E18,"")</f>
        <v/>
      </c>
      <c r="F13" s="7">
        <f>IFERROR(Financials!F17/Financials!F18,"")</f>
        <v/>
      </c>
      <c r="G13" s="7">
        <f>IFERROR(Financials!G17/Financials!G18,"")</f>
        <v/>
      </c>
      <c r="H13" s="7">
        <f>IFERROR(Financials!H17/Financials!H18,"")</f>
        <v/>
      </c>
      <c r="J13" s="7">
        <f>IFERROR(Financials!J17/Financials!J18,"")</f>
        <v/>
      </c>
      <c r="K13" t="inlineStr">
        <is>
          <t>equity / total assets</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11" customWidth="1" min="4" max="4"/>
    <col width="24" customWidth="1" min="5" max="5"/>
    <col width="100" customWidth="1" min="6" max="6"/>
  </cols>
  <sheetData>
    <row r="1">
      <c r="A1" s="1" t="inlineStr">
        <is>
          <t>Falls due</t>
        </is>
      </c>
      <c r="B1" s="1" t="inlineStr">
        <is>
          <t>Principal</t>
        </is>
      </c>
      <c r="C1" s="1" t="inlineStr">
        <is>
          <t>Leases</t>
        </is>
      </c>
      <c r="D1" s="1" t="inlineStr">
        <is>
          <t>Interest</t>
        </is>
      </c>
      <c r="E1" s="1" t="inlineStr">
        <is>
          <t>Facts</t>
        </is>
      </c>
      <c r="F1" s="1" t="inlineStr">
        <is>
          <t>Note</t>
        </is>
      </c>
    </row>
    <row r="2">
      <c r="A2" s="2" t="inlineStr">
        <is>
          <t>2026</t>
        </is>
      </c>
      <c r="B2" s="2" t="n">
        <v>53.8</v>
      </c>
      <c r="C2" s="2" t="n">
        <v>16.7</v>
      </c>
      <c r="D2" s="2" t="n">
        <v>3.8</v>
      </c>
      <c r="E2" s="2" t="inlineStr">
        <is>
          <t>F754</t>
        </is>
      </c>
      <c r="F2" s="2" t="inlineStr"/>
    </row>
    <row r="3">
      <c r="A3" s="2" t="inlineStr">
        <is>
          <t>2027</t>
        </is>
      </c>
      <c r="B3" s="2" t="n">
        <v>14.9</v>
      </c>
      <c r="C3" s="2" t="n">
        <v>15.8</v>
      </c>
      <c r="D3" s="2" t="n"/>
      <c r="E3" s="2" t="inlineStr">
        <is>
          <t>F755</t>
        </is>
      </c>
      <c r="F3" s="2" t="inlineStr"/>
    </row>
    <row r="4">
      <c r="A4" s="2" t="inlineStr">
        <is>
          <t>2028</t>
        </is>
      </c>
      <c r="B4" s="2" t="n">
        <v>200</v>
      </c>
      <c r="C4" s="2" t="n"/>
      <c r="D4" s="2" t="n"/>
      <c r="E4" s="2" t="inlineStr">
        <is>
          <t>F756, F1091, F691</t>
        </is>
      </c>
      <c r="F4" s="3" t="inlineStr">
        <is>
          <t>2023/2028 corporate bond, 6.75% fixed: 185.0 at FY2025, 200.0 at H1-2026</t>
        </is>
      </c>
    </row>
    <row r="5">
      <c r="A5" s="2" t="inlineStr">
        <is>
          <t>later or not dated by year</t>
        </is>
      </c>
      <c r="B5" s="2" t="n">
        <v>20.6</v>
      </c>
      <c r="C5" s="2" t="n">
        <v>42.2</v>
      </c>
      <c r="D5" s="2" t="n"/>
      <c r="E5" s="2" t="inlineStr">
        <is>
          <t>F1252, F680, F676, F678</t>
        </is>
      </c>
      <c r="F5" s="3" t="inlineStr">
        <is>
          <t>gross debt excluding leases at FY2025 (278.1) less the interest (3.8) and the principal dated above at FY2025 (253.7); lease liabilities at FY2025 (74.7) less those dated above (32.5)</t>
        </is>
      </c>
    </row>
    <row r="6">
      <c r="A6" s="2" t="n"/>
      <c r="B6" s="2" t="n"/>
      <c r="C6" s="2" t="n"/>
      <c r="D6" s="2" t="n"/>
      <c r="E6" s="2" t="n"/>
      <c r="F6" s="3" t="inlineStr">
        <is>
          <t>per year of maturity, the maturity table of the FY2025 report (S3 p57): the amount less the leases and the interest it names = principal</t>
        </is>
      </c>
    </row>
    <row r="7">
      <c r="A7" s="2" t="n"/>
      <c r="B7" s="2" t="n"/>
      <c r="C7" s="2" t="n"/>
      <c r="D7" s="2" t="n"/>
      <c r="E7" s="2" t="n"/>
      <c r="F7" s="3" t="inlineStr">
        <is>
          <t>principal dated at FY2025 253.7 + interest 3.8 + later or not dated 20.6 = gross debt excluding leases 278.1</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10" customWidth="1" min="2" max="2"/>
    <col width="8" customWidth="1" min="3" max="3"/>
    <col width="6" customWidth="1" min="4" max="4"/>
    <col width="8" customWidth="1" min="5" max="5"/>
  </cols>
  <sheetData>
    <row r="1">
      <c r="A1" s="1" t="inlineStr">
        <is>
          <t>Period</t>
        </is>
      </c>
      <c r="B1" s="1" t="inlineStr">
        <is>
          <t>Item</t>
        </is>
      </c>
      <c r="C1" s="1" t="inlineStr">
        <is>
          <t>Source</t>
        </is>
      </c>
      <c r="D1" s="1" t="inlineStr">
        <is>
          <t>Page</t>
        </is>
      </c>
      <c r="E1" s="1" t="inlineStr">
        <is>
          <t>Fact</t>
        </is>
      </c>
    </row>
    <row r="2">
      <c r="A2" s="2" t="n"/>
      <c r="B2" s="2" t="inlineStr">
        <is>
          <t>INSTRUMENTS</t>
        </is>
      </c>
      <c r="C2" s="2" t="n"/>
      <c r="D2" s="2" t="n"/>
      <c r="E2" s="2" t="n"/>
    </row>
    <row r="3">
      <c r="A3" s="2" t="n"/>
      <c r="B3" s="3" t="inlineStr">
        <is>
          <t>Corporate bond 2023/2028, EUR 200.0m nominal after the EUR 15m increase in May 2026 (Missoni); carrying amount 200.0, fair value 191.3 at 30 June 2026; coupon not stated in this report.</t>
        </is>
      </c>
      <c r="C3" s="2" t="inlineStr">
        <is>
          <t>S5</t>
        </is>
      </c>
      <c r="D3" s="2" t="n">
        <v>21</v>
      </c>
      <c r="E3" s="2" t="inlineStr">
        <is>
          <t>F1091</t>
        </is>
      </c>
    </row>
    <row r="4">
      <c r="A4" s="2" t="n"/>
      <c r="B4" s="3" t="inlineStr">
        <is>
          <t>Acquisition financing (long-term bank loans) for part of the Graze purchase price, amount not stated separately.</t>
        </is>
      </c>
      <c r="C4" s="2" t="inlineStr">
        <is>
          <t>S5</t>
        </is>
      </c>
      <c r="D4" s="2" t="n">
        <v>25</v>
      </c>
      <c r="E4" s="2" t="inlineStr">
        <is>
          <t>F1092</t>
        </is>
      </c>
    </row>
    <row r="5">
      <c r="A5" s="2" t="n"/>
      <c r="B5" s="3" t="inlineStr">
        <is>
          <t>Non-current interest-bearing loans EUR 51.0m at 30 June 2026 (amortised cost, fair value 51.0); includes acquisition financing for part of the Graze purchase price.</t>
        </is>
      </c>
      <c r="C5" s="2" t="inlineStr">
        <is>
          <t>S5</t>
        </is>
      </c>
      <c r="D5" s="2" t="n">
        <v>42</v>
      </c>
      <c r="E5" s="2" t="inlineStr">
        <is>
          <t>F1093</t>
        </is>
      </c>
    </row>
    <row r="6">
      <c r="A6" s="2" t="n"/>
      <c r="B6" s="3" t="inlineStr">
        <is>
          <t>Current interest-bearing loans EUR 68.1m at 30 June 2026, increased by new short-term credit lines drawn during the period.</t>
        </is>
      </c>
      <c r="C6" s="2" t="inlineStr">
        <is>
          <t>S5</t>
        </is>
      </c>
      <c r="D6" s="2" t="n">
        <v>42</v>
      </c>
      <c r="E6" s="2" t="inlineStr">
        <is>
          <t>F1094</t>
        </is>
      </c>
    </row>
    <row r="7">
      <c r="A7" s="2" t="n"/>
      <c r="B7" s="3" t="inlineStr">
        <is>
          <t>Liabilities to banks total EUR 72.0m at 31 Dec 2025 (2024: 50.4) within financial liabilities of 352.8.</t>
        </is>
      </c>
      <c r="C7" s="2" t="inlineStr">
        <is>
          <t>S3</t>
        </is>
      </c>
      <c r="D7" s="2" t="n">
        <v>58</v>
      </c>
      <c r="E7" s="2" t="inlineStr">
        <is>
          <t>F686</t>
        </is>
      </c>
    </row>
    <row r="8">
      <c r="A8" s="2" t="n"/>
      <c r="B8" s="3" t="inlineStr">
        <is>
          <t>Accrued interest liabilities relating to the bond EUR 3.5m at 31 Dec 2025 (2024: 2.1).</t>
        </is>
      </c>
      <c r="C8" s="2" t="inlineStr">
        <is>
          <t>S3</t>
        </is>
      </c>
      <c r="D8" s="2" t="n">
        <v>58</v>
      </c>
      <c r="E8" s="2" t="inlineStr">
        <is>
          <t>F687</t>
        </is>
      </c>
    </row>
    <row r="9">
      <c r="A9" s="2" t="n"/>
      <c r="B9" s="3" t="inlineStr">
        <is>
          <t>Hire purchase liabilities EUR 8.2m at 31 Dec 2025, of which current 2.4 (2024: 6.7, current 5.5); interest expense hire purchases 0.3.</t>
        </is>
      </c>
      <c r="C9" s="2" t="inlineStr">
        <is>
          <t>S3</t>
        </is>
      </c>
      <c r="D9" s="2" t="n">
        <v>58</v>
      </c>
      <c r="E9" s="2" t="inlineStr">
        <is>
          <t>F688</t>
        </is>
      </c>
    </row>
    <row r="10">
      <c r="A10" s="2" t="n"/>
      <c r="B10" s="3" t="inlineStr">
        <is>
          <t>Liability from the purchase option on the remaining 25% of Dulcioliva EUR 1.6m, fully recognised as exercise probability unchanged.</t>
        </is>
      </c>
      <c r="C10" s="2" t="inlineStr">
        <is>
          <t>S3</t>
        </is>
      </c>
      <c r="D10" s="2" t="n">
        <v>58</v>
      </c>
      <c r="E10" s="2" t="inlineStr">
        <is>
          <t>F689</t>
        </is>
      </c>
    </row>
    <row r="11">
      <c r="A11" s="2" t="n"/>
      <c r="B11" s="3" t="inlineStr">
        <is>
          <t>Put option granted to Bogner non-controlling shareholders recognised as financial liability of EUR 5.5m since initial consolidation.</t>
        </is>
      </c>
      <c r="C11" s="2" t="inlineStr">
        <is>
          <t>S3</t>
        </is>
      </c>
      <c r="D11" s="2" t="n">
        <v>58</v>
      </c>
      <c r="E11" s="2" t="inlineStr">
        <is>
          <t>F690</t>
        </is>
      </c>
    </row>
    <row r="12">
      <c r="A12" s="2" t="n"/>
      <c r="B12" s="3" t="inlineStr">
        <is>
          <t>2023/2028 corporate bond, 6.75% fixed, issued September 2023 at EUR 115m, increased by EUR 70m in August 2025 to EUR 185.0m outstanding at 31 Dec 2025 (2024: 115.0); interest expense 2025 EUR 9.5m; no ISIN or security stated.</t>
        </is>
      </c>
      <c r="C12" s="2" t="inlineStr">
        <is>
          <t>S3</t>
        </is>
      </c>
      <c r="D12" s="2" t="n">
        <v>63</v>
      </c>
      <c r="E12" s="2" t="inlineStr">
        <is>
          <t>F691</t>
        </is>
      </c>
    </row>
    <row r="13">
      <c r="A13" s="2" t="n"/>
      <c r="B13" s="3" t="inlineStr">
        <is>
          <t>Bank loan of kEUR 24,000 at 5.6%, EUR 16.8m outstanding at 31 Dec 2025 (2024: 20.9).</t>
        </is>
      </c>
      <c r="C13" s="2" t="inlineStr">
        <is>
          <t>S3</t>
        </is>
      </c>
      <c r="D13" s="2" t="n">
        <v>63</v>
      </c>
      <c r="E13" s="2" t="inlineStr">
        <is>
          <t>F692</t>
        </is>
      </c>
    </row>
    <row r="14">
      <c r="A14" s="2" t="n"/>
      <c r="B14" s="3" t="inlineStr">
        <is>
          <t>Bank loan of kEUR 11,700 at 2.9%, EUR 0.0m outstanding at 31 Dec 2025 (2024: 3.7), i.e. repaid in 2025.</t>
        </is>
      </c>
      <c r="C14" s="2" t="inlineStr">
        <is>
          <t>S3</t>
        </is>
      </c>
      <c r="D14" s="2" t="n">
        <v>63</v>
      </c>
      <c r="E14" s="2" t="inlineStr">
        <is>
          <t>F693</t>
        </is>
      </c>
    </row>
    <row r="15">
      <c r="A15" s="2" t="n"/>
      <c r="B15" s="3" t="inlineStr">
        <is>
          <t>Revolving line of up to kEUR 40,000 at 6.65%, EUR 16.3m drawn at 31 Dec 2025 (2024: 0.0).</t>
        </is>
      </c>
      <c r="C15" s="2" t="inlineStr">
        <is>
          <t>S3</t>
        </is>
      </c>
      <c r="D15" s="2" t="n">
        <v>63</v>
      </c>
      <c r="E15" s="2" t="inlineStr">
        <is>
          <t>F694</t>
        </is>
      </c>
    </row>
    <row r="16">
      <c r="A16" s="2" t="n"/>
      <c r="B16" s="3" t="inlineStr">
        <is>
          <t>Bank loan of kEUR 5,000 at 4.98%, EUR 3.6m outstanding at 31 Dec 2025 (2024: 5.0).</t>
        </is>
      </c>
      <c r="C16" s="2" t="inlineStr">
        <is>
          <t>S3</t>
        </is>
      </c>
      <c r="D16" s="2" t="n">
        <v>63</v>
      </c>
      <c r="E16" s="2" t="inlineStr">
        <is>
          <t>F695</t>
        </is>
      </c>
    </row>
    <row r="17">
      <c r="A17" s="2" t="n"/>
      <c r="B17" s="3" t="inlineStr">
        <is>
          <t>Bank loan of kEUR 5,000 at 8.5%, EUR 1.9m outstanding at 31 Dec 2025 (2024: 3.1).</t>
        </is>
      </c>
      <c r="C17" s="2" t="inlineStr">
        <is>
          <t>S3</t>
        </is>
      </c>
      <c r="D17" s="2" t="n">
        <v>63</v>
      </c>
      <c r="E17" s="2" t="inlineStr">
        <is>
          <t>F696</t>
        </is>
      </c>
    </row>
    <row r="18">
      <c r="A18" s="2" t="n"/>
      <c r="B18" s="3" t="inlineStr">
        <is>
          <t>Bank loan of kEUR 3,000 at 2.0%, EUR 0.0m outstanding at 31 Dec 2025 (2024: 0.4).</t>
        </is>
      </c>
      <c r="C18" s="2" t="inlineStr">
        <is>
          <t>S3</t>
        </is>
      </c>
      <c r="D18" s="2" t="n">
        <v>63</v>
      </c>
      <c r="E18" s="2" t="inlineStr">
        <is>
          <t>F697</t>
        </is>
      </c>
    </row>
    <row r="19">
      <c r="A19" s="2" t="n"/>
      <c r="B19" s="3" t="inlineStr">
        <is>
          <t>Other loans, variable and fixed rate, EUR 42.8m at 31 Dec 2025 (2024: 24.0).</t>
        </is>
      </c>
      <c r="C19" s="2" t="inlineStr">
        <is>
          <t>S3</t>
        </is>
      </c>
      <c r="D19" s="2" t="n">
        <v>63</v>
      </c>
      <c r="E19" s="2" t="inlineStr">
        <is>
          <t>F698</t>
        </is>
      </c>
    </row>
    <row r="20">
      <c r="A20" s="2" t="n"/>
      <c r="B20" s="3" t="inlineStr">
        <is>
          <t>Other financial interest-bearing liabilities, variable and fixed, EUR 82.4m at 31 Dec 2025 (2024: 14.7); per note 6.2 mainly lease liabilities and the option liabilities for Dulcioliva and Bogner minorities.</t>
        </is>
      </c>
      <c r="C20" s="2" t="inlineStr">
        <is>
          <t>S3</t>
        </is>
      </c>
      <c r="D20" s="2" t="n">
        <v>63</v>
      </c>
      <c r="E20" s="2" t="inlineStr">
        <is>
          <t>F699</t>
        </is>
      </c>
    </row>
    <row r="21">
      <c r="A21" s="2" t="n"/>
      <c r="B21" s="3" t="inlineStr">
        <is>
          <t>Hire purchase liabilities EUR 6.7m at 31 Dec 2024, of which 5.5 current (2023: 3.0, of which 1.8 current).</t>
        </is>
      </c>
      <c r="C21" s="2" t="inlineStr">
        <is>
          <t>S2</t>
        </is>
      </c>
      <c r="D21" s="2" t="n">
        <v>60</v>
      </c>
      <c r="E21" s="2" t="inlineStr">
        <is>
          <t>F394</t>
        </is>
      </c>
    </row>
    <row r="22">
      <c r="A22" s="2" t="n"/>
      <c r="B22" s="3" t="inlineStr">
        <is>
          <t>Liabilities to financial institutions EUR 50.4m at 31 Dec 2024 (2023: 56.3); accrued bond interest 2.1 (2023: 2.1).</t>
        </is>
      </c>
      <c r="C22" s="2" t="inlineStr">
        <is>
          <t>S2</t>
        </is>
      </c>
      <c r="D22" s="2" t="n">
        <v>60</v>
      </c>
      <c r="E22" s="2" t="inlineStr">
        <is>
          <t>F395</t>
        </is>
      </c>
    </row>
    <row r="23">
      <c r="A23" s="2" t="n"/>
      <c r="B23" s="3" t="inlineStr">
        <is>
          <t>Corporate bond 2023/2028, EUR 115.0m outstanding at 31 Dec 2024 and 2023, fixed coupon 6.75%, issued September 2023, no security or ranking stated.</t>
        </is>
      </c>
      <c r="C23" s="2" t="inlineStr">
        <is>
          <t>S2</t>
        </is>
      </c>
      <c r="D23" s="2" t="n">
        <v>65</v>
      </c>
      <c r="E23" s="2" t="inlineStr">
        <is>
          <t>F396</t>
        </is>
      </c>
    </row>
    <row r="24">
      <c r="A24" s="2" t="n"/>
      <c r="B24" s="3" t="inlineStr">
        <is>
          <t>Bank loan with original amount kEUR 24,000, interest 5.6%, EUR 20.9m outstanding at 31 Dec 2024 (2023: 24.0); lender and maturity not named.</t>
        </is>
      </c>
      <c r="C24" s="2" t="inlineStr">
        <is>
          <t>S2</t>
        </is>
      </c>
      <c r="D24" s="2" t="n">
        <v>65</v>
      </c>
      <c r="E24" s="2" t="inlineStr">
        <is>
          <t>F397</t>
        </is>
      </c>
    </row>
    <row r="25">
      <c r="A25" s="2" t="n"/>
      <c r="B25" s="3" t="inlineStr">
        <is>
          <t>Bank loan with original amount kEUR 11,700, interest 2.9%, EUR 3.7m outstanding at 31 Dec 2024 (2023: 6.0).</t>
        </is>
      </c>
      <c r="C25" s="2" t="inlineStr">
        <is>
          <t>S2</t>
        </is>
      </c>
      <c r="D25" s="2" t="n">
        <v>65</v>
      </c>
      <c r="E25" s="2" t="inlineStr">
        <is>
          <t>F398</t>
        </is>
      </c>
    </row>
    <row r="26">
      <c r="A26" s="2" t="n"/>
      <c r="B26" s="3" t="inlineStr">
        <is>
          <t>Bank loan with original amount kEUR 5,000, interest 4.98%, EUR 5.0m outstanding at 31 Dec 2024 (2023: 5.0).</t>
        </is>
      </c>
      <c r="C26" s="2" t="inlineStr">
        <is>
          <t>S2</t>
        </is>
      </c>
      <c r="D26" s="2" t="n">
        <v>65</v>
      </c>
      <c r="E26" s="2" t="inlineStr">
        <is>
          <t>F399</t>
        </is>
      </c>
    </row>
    <row r="27">
      <c r="A27" s="2" t="n"/>
      <c r="B27" s="3" t="inlineStr">
        <is>
          <t>Bank loan with original amount kEUR 5,000, interest 8.5%, EUR 3.1m outstanding at 31 Dec 2024 (2023: 4.4).</t>
        </is>
      </c>
      <c r="C27" s="2" t="inlineStr">
        <is>
          <t>S2</t>
        </is>
      </c>
      <c r="D27" s="2" t="n">
        <v>65</v>
      </c>
      <c r="E27" s="2" t="inlineStr">
        <is>
          <t>F400</t>
        </is>
      </c>
    </row>
    <row r="28">
      <c r="A28" s="2" t="n"/>
      <c r="B28" s="3" t="inlineStr">
        <is>
          <t>Bank loan with original amount kEUR 5,000, interest 0.7%, fully repaid: EUR 0.0m at 31 Dec 2024 (2023: 1.7).</t>
        </is>
      </c>
      <c r="C28" s="2" t="inlineStr">
        <is>
          <t>S2</t>
        </is>
      </c>
      <c r="D28" s="2" t="n">
        <v>65</v>
      </c>
      <c r="E28" s="2" t="inlineStr">
        <is>
          <t>F401</t>
        </is>
      </c>
    </row>
    <row r="29">
      <c r="A29" s="2" t="n"/>
      <c r="B29" s="3" t="inlineStr">
        <is>
          <t>Bank loan with original amount kEUR 3,000, interest 2.0%, EUR 0.4m outstanding at 31 Dec 2024 (2023: 1.1).</t>
        </is>
      </c>
      <c r="C29" s="2" t="inlineStr">
        <is>
          <t>S2</t>
        </is>
      </c>
      <c r="D29" s="2" t="n">
        <v>65</v>
      </c>
      <c r="E29" s="2" t="inlineStr">
        <is>
          <t>F402</t>
        </is>
      </c>
    </row>
    <row r="30">
      <c r="A30" s="2" t="n"/>
      <c r="B30" s="3" t="inlineStr">
        <is>
          <t>Bank loan with original amount kEUR 3,000, interest 1.8%, fully repaid: EUR 0.0m at 31 Dec 2024 (2023: 0.3).</t>
        </is>
      </c>
      <c r="C30" s="2" t="inlineStr">
        <is>
          <t>S2</t>
        </is>
      </c>
      <c r="D30" s="2" t="n">
        <v>65</v>
      </c>
      <c r="E30" s="2" t="inlineStr">
        <is>
          <t>F403</t>
        </is>
      </c>
    </row>
    <row r="31">
      <c r="A31" s="2" t="n"/>
      <c r="B31" s="3" t="inlineStr">
        <is>
          <t>Other loans, variable and fixed rates, EUR 24.0m at 31 Dec 2024 (2023: 16.9).</t>
        </is>
      </c>
      <c r="C31" s="2" t="inlineStr">
        <is>
          <t>S2</t>
        </is>
      </c>
      <c r="D31" s="2" t="n">
        <v>65</v>
      </c>
      <c r="E31" s="2" t="inlineStr">
        <is>
          <t>F404</t>
        </is>
      </c>
    </row>
    <row r="32">
      <c r="A32" s="2" t="n"/>
      <c r="B32" s="3" t="inlineStr">
        <is>
          <t>Other financial interest-bearing liabilities, variable and fixed rates, EUR 14.7m at 31 Dec 2024 (2023: 15.3).</t>
        </is>
      </c>
      <c r="C32" s="2" t="inlineStr">
        <is>
          <t>S2</t>
        </is>
      </c>
      <c r="D32" s="2" t="n">
        <v>65</v>
      </c>
      <c r="E32" s="2" t="inlineStr">
        <is>
          <t>F405</t>
        </is>
      </c>
    </row>
    <row r="33">
      <c r="A33" s="2" t="n"/>
      <c r="B33" s="3" t="inlineStr">
        <is>
          <t>Supplier financing arrangement with a bank: EUR 3.0m recognised as liability to banks at 31 Dec 2024, of which 2.7 already paid out to suppliers; average payment term about 60 to 75 days.</t>
        </is>
      </c>
      <c r="C33" s="2" t="inlineStr">
        <is>
          <t>S2</t>
        </is>
      </c>
      <c r="D33" s="2" t="n">
        <v>69</v>
      </c>
      <c r="E33" s="2" t="inlineStr">
        <is>
          <t>F406</t>
        </is>
      </c>
    </row>
    <row r="34">
      <c r="A34" s="2" t="n"/>
      <c r="B34" s="3" t="inlineStr">
        <is>
          <t>Liabilities to banks total EUR 56.3m at 31 Dec 2023 (2022: EUR 42.5m); fair value equals carrying amount.</t>
        </is>
      </c>
      <c r="C34" s="2" t="inlineStr">
        <is>
          <t>S1</t>
        </is>
      </c>
      <c r="D34" s="2" t="n">
        <v>64</v>
      </c>
      <c r="E34" s="2" t="inlineStr">
        <is>
          <t>F079</t>
        </is>
      </c>
    </row>
    <row r="35">
      <c r="A35" s="2" t="n"/>
      <c r="B35" s="3" t="inlineStr">
        <is>
          <t>Liability from the takeover of the Viersen production site (oral care division) EUR 6.4m, remaining purchase price due 2 January 2024.</t>
        </is>
      </c>
      <c r="C35" s="2" t="inlineStr">
        <is>
          <t>S1</t>
        </is>
      </c>
      <c r="D35" s="2" t="n">
        <v>64</v>
      </c>
      <c r="E35" s="2" t="inlineStr">
        <is>
          <t>F080</t>
        </is>
      </c>
    </row>
    <row r="36">
      <c r="A36" s="2" t="n"/>
      <c r="B36" s="3" t="inlineStr">
        <is>
          <t>Hire-purchase contract liabilities EUR 3.0m (2022: 2.7).</t>
        </is>
      </c>
      <c r="C36" s="2" t="inlineStr">
        <is>
          <t>S1</t>
        </is>
      </c>
      <c r="D36" s="2" t="n">
        <v>64</v>
      </c>
      <c r="E36" s="2" t="inlineStr">
        <is>
          <t>F081</t>
        </is>
      </c>
    </row>
    <row r="37">
      <c r="A37" s="2" t="n"/>
      <c r="B37" s="3" t="inlineStr">
        <is>
          <t>Corporate bond 2023/2028, EUR 115.0m, fixed 6.75% (previous bond 4.25%), issued September 2023, maturity 2028, Nordic bond format, unsecured per reported terms not stated; carrying 115.0, fair value 123.1; accrued interest 2.1; bond interest expense 6.5 in 2023.</t>
        </is>
      </c>
      <c r="C37" s="2" t="inlineStr">
        <is>
          <t>S1</t>
        </is>
      </c>
      <c r="D37" s="2" t="n">
        <v>69</v>
      </c>
      <c r="E37" s="2" t="inlineStr">
        <is>
          <t>F082</t>
        </is>
      </c>
    </row>
    <row r="38">
      <c r="A38" s="2" t="n"/>
      <c r="B38" s="3" t="inlineStr">
        <is>
          <t>Bank loan facility kEUR 24,000 at 5.6%, EUR 24.0m outstanding at 31 Dec 2023 (2022: 15.0); management report attributes the increase to the acquisition loan for the oral care business (Viersen production facility).</t>
        </is>
      </c>
      <c r="C38" s="2" t="inlineStr">
        <is>
          <t>S1</t>
        </is>
      </c>
      <c r="D38" s="2" t="n">
        <v>69</v>
      </c>
      <c r="E38" s="2" t="inlineStr">
        <is>
          <t>F083</t>
        </is>
      </c>
    </row>
    <row r="39">
      <c r="A39" s="2" t="n"/>
      <c r="B39" s="3" t="inlineStr">
        <is>
          <t>Bank loan kEUR 11,700 at 2.9%, EUR 6.0m outstanding (2022: 8.2).</t>
        </is>
      </c>
      <c r="C39" s="2" t="inlineStr">
        <is>
          <t>S1</t>
        </is>
      </c>
      <c r="D39" s="2" t="n">
        <v>69</v>
      </c>
      <c r="E39" s="2" t="inlineStr">
        <is>
          <t>F084</t>
        </is>
      </c>
    </row>
    <row r="40">
      <c r="A40" s="2" t="n"/>
      <c r="B40" s="3" t="inlineStr">
        <is>
          <t>Bank loan kEUR 5,000 at 4.98%, EUR 5.0m outstanding (2022: 0.0), new in 2023.</t>
        </is>
      </c>
      <c r="C40" s="2" t="inlineStr">
        <is>
          <t>S1</t>
        </is>
      </c>
      <c r="D40" s="2" t="n">
        <v>69</v>
      </c>
      <c r="E40" s="2" t="inlineStr">
        <is>
          <t>F085</t>
        </is>
      </c>
    </row>
    <row r="41">
      <c r="A41" s="2" t="n"/>
      <c r="B41" s="3" t="inlineStr">
        <is>
          <t>Bank loan kEUR 5,000 at 8.5%, EUR 4.4m outstanding (2022: 0.0), new in 2023.</t>
        </is>
      </c>
      <c r="C41" s="2" t="inlineStr">
        <is>
          <t>S1</t>
        </is>
      </c>
      <c r="D41" s="2" t="n">
        <v>69</v>
      </c>
      <c r="E41" s="2" t="inlineStr">
        <is>
          <t>F086</t>
        </is>
      </c>
    </row>
    <row r="42">
      <c r="A42" s="2" t="n"/>
      <c r="B42" s="3" t="inlineStr">
        <is>
          <t>Bank loan kEUR 5,000 at 0.7%, EUR 1.7m outstanding (2022: 3.3); p72 reports a 2020 liquidity-support loan of EUR 5.0m with EUR 1.7m outstanding, secured by a state guarantee for the majority of the amount.</t>
        </is>
      </c>
      <c r="C42" s="2" t="inlineStr">
        <is>
          <t>S1</t>
        </is>
      </c>
      <c r="D42" s="2" t="n">
        <v>69</v>
      </c>
      <c r="E42" s="2" t="inlineStr">
        <is>
          <t>F087</t>
        </is>
      </c>
    </row>
    <row r="43">
      <c r="A43" s="2" t="n"/>
      <c r="B43" s="3" t="inlineStr">
        <is>
          <t>Bank loan kEUR 3,000 at 2.0%, EUR 1.1m outstanding (2022: 1.9).</t>
        </is>
      </c>
      <c r="C43" s="2" t="inlineStr">
        <is>
          <t>S1</t>
        </is>
      </c>
      <c r="D43" s="2" t="n">
        <v>69</v>
      </c>
      <c r="E43" s="2" t="inlineStr">
        <is>
          <t>F088</t>
        </is>
      </c>
    </row>
    <row r="44">
      <c r="A44" s="2" t="n"/>
      <c r="B44" s="3" t="inlineStr">
        <is>
          <t>Bank loan kEUR 3,000 at 1.8%, EUR 0.3m outstanding (2022: 0.9).</t>
        </is>
      </c>
      <c r="C44" s="2" t="inlineStr">
        <is>
          <t>S1</t>
        </is>
      </c>
      <c r="D44" s="2" t="n">
        <v>69</v>
      </c>
      <c r="E44" s="2" t="inlineStr">
        <is>
          <t>F089</t>
        </is>
      </c>
    </row>
    <row r="45">
      <c r="A45" s="2" t="n"/>
      <c r="B45" s="3" t="inlineStr">
        <is>
          <t>Bank loan kEUR 1,500 at 5.6%, EUR 0.0m outstanding at 31 Dec 2023 (2022: 1.5), repaid during 2023.</t>
        </is>
      </c>
      <c r="C45" s="2" t="inlineStr">
        <is>
          <t>S1</t>
        </is>
      </c>
      <c r="D45" s="2" t="n">
        <v>69</v>
      </c>
      <c r="E45" s="2" t="inlineStr">
        <is>
          <t>F090</t>
        </is>
      </c>
    </row>
    <row r="46">
      <c r="A46" s="2" t="n"/>
      <c r="B46" s="3" t="inlineStr">
        <is>
          <t>Other loans, variable and fixed rates, EUR 12.5m (2022: 11.7).</t>
        </is>
      </c>
      <c r="C46" s="2" t="inlineStr">
        <is>
          <t>S1</t>
        </is>
      </c>
      <c r="D46" s="2" t="n">
        <v>69</v>
      </c>
      <c r="E46" s="2" t="inlineStr">
        <is>
          <t>F091</t>
        </is>
      </c>
    </row>
    <row r="47">
      <c r="A47" s="2" t="n"/>
      <c r="B47" s="3" t="inlineStr">
        <is>
          <t>Other financial interest-bearing liabilities, variable and fixed, EUR 8.9m (2022: 10.7, adjusted).</t>
        </is>
      </c>
      <c r="C47" s="2" t="inlineStr">
        <is>
          <t>S1</t>
        </is>
      </c>
      <c r="D47" s="2" t="n">
        <v>69</v>
      </c>
      <c r="E47" s="2" t="inlineStr">
        <is>
          <t>F092</t>
        </is>
      </c>
    </row>
    <row r="48">
      <c r="A48" s="2" t="n"/>
      <c r="B48" s="3" t="inlineStr">
        <is>
          <t>2020 liquidity-support bank loan: total EUR 5.0m, EUR 1.7m outstanding at 31 Dec 2023, not from a development bank, majority secured by a state guarantee.</t>
        </is>
      </c>
      <c r="C48" s="2" t="inlineStr">
        <is>
          <t>S1</t>
        </is>
      </c>
      <c r="D48" s="2" t="n">
        <v>72</v>
      </c>
      <c r="E48" s="2" t="inlineStr">
        <is>
          <t>F093</t>
        </is>
      </c>
    </row>
    <row r="49">
      <c r="A49" s="2" t="n"/>
      <c r="B49" s="3" t="inlineStr">
        <is>
          <t>Bond 2023/2028: senior unsecured bearer bond, target EUR 110m (minimum EUR 80m), fixed coupon marketed at 6.25-7.50% p.a. paid semi-annually, issued 21 September 2023, due 21 September 2028, ISIN NO0012888769, denomination EUR 1,000.</t>
        </is>
      </c>
      <c r="C49" s="2" t="inlineStr">
        <is>
          <t>S4</t>
        </is>
      </c>
      <c r="D49" s="2" t="n">
        <v>1</v>
      </c>
      <c r="E49" s="2" t="inlineStr">
        <is>
          <t>F950</t>
        </is>
      </c>
    </row>
    <row r="50">
      <c r="A50" s="2" t="n"/>
      <c r="B50" s="3" t="inlineStr">
        <is>
          <t>Bond 2019/2024 (ISIN DE000A2TST99): outstanding at the time of the term sheet and to be refinanced from the proceeds of the 2023/2028 bond; amount and coupon not stated here.</t>
        </is>
      </c>
      <c r="C50" s="2" t="inlineStr">
        <is>
          <t>S4</t>
        </is>
      </c>
      <c r="D50" s="2" t="n">
        <v>1</v>
      </c>
      <c r="E50" s="2" t="inlineStr">
        <is>
          <t>F951</t>
        </is>
      </c>
    </row>
    <row r="51">
      <c r="A51" s="2" t="n"/>
      <c r="B51" s="3" t="inlineStr">
        <is>
          <t>Senior unsecured bonds 2023/2028, initial issue EUR 115.0m of a EUR 200.0m maximum, 6.75% fixed, maturing 21 September 2028, unsecured, ISIN NO0012888769.</t>
        </is>
      </c>
      <c r="C51" s="2" t="inlineStr">
        <is>
          <t>S13</t>
        </is>
      </c>
      <c r="D51" s="2" t="n">
        <v>17</v>
      </c>
      <c r="E51" s="2" t="inlineStr">
        <is>
          <t>F1276</t>
        </is>
      </c>
    </row>
    <row r="52">
      <c r="A52" s="2" t="n"/>
      <c r="B52" s="3" t="inlineStr">
        <is>
          <t>Existing Bonds: EUR 110.0m Katjes International 4.25% senior unsecured bonds 2019/2024, maturing 12 April 2024, ISIN DE000A2TST99.</t>
        </is>
      </c>
      <c r="C52" s="2" t="inlineStr">
        <is>
          <t>S13</t>
        </is>
      </c>
      <c r="D52" s="2" t="n">
        <v>6</v>
      </c>
      <c r="E52" s="2" t="inlineStr">
        <is>
          <t>F1277</t>
        </is>
      </c>
    </row>
    <row r="53">
      <c r="A53" s="2" t="n"/>
      <c r="B53" s="2" t="inlineStr">
        <is>
          <t>COVENANTS AND TERMS</t>
        </is>
      </c>
      <c r="C53" s="2" t="n"/>
      <c r="D53" s="2" t="n"/>
      <c r="E53" s="2" t="n"/>
    </row>
    <row r="54">
      <c r="A54" s="2" t="n"/>
      <c r="B54" s="3" t="inlineStr">
        <is>
          <t>covenant: debt incurrence test; formula: Nettoverschuldung (Net Debt) / EBITDA; threshold: 3.75x; direction: max; test frequency: on each incurrence of additional debt</t>
        </is>
      </c>
      <c r="C54" s="2" t="inlineStr">
        <is>
          <t>S4</t>
        </is>
      </c>
      <c r="D54" s="2" t="n">
        <v>2</v>
      </c>
      <c r="E54" s="2" t="inlineStr">
        <is>
          <t>F970</t>
        </is>
      </c>
    </row>
    <row r="55">
      <c r="A55" s="2" t="n"/>
      <c r="B55" s="3" t="inlineStr">
        <is>
          <t>covenant: distribution test; formula: Nettoverschuldung (Net Debt) / EBITDA after the distribution; threshold: 3.75x; direction: max; test frequency: on each distribution to shareholders</t>
        </is>
      </c>
      <c r="C55" s="2" t="inlineStr">
        <is>
          <t>S4</t>
        </is>
      </c>
      <c r="D55" s="2" t="n">
        <v>2</v>
      </c>
      <c r="E55" s="2" t="inlineStr">
        <is>
          <t>F971</t>
        </is>
      </c>
    </row>
    <row r="56">
      <c r="A56" s="2" t="n"/>
      <c r="B56" s="3" t="inlineStr">
        <is>
          <t>covenant: negative pledge basket; formula: liabilities secured on the assets of the issuer or group; threshold: EUR 1.0m or, if greater, 5% of EBITDA; direction: max</t>
        </is>
      </c>
      <c r="C56" s="2" t="inlineStr">
        <is>
          <t>S4</t>
        </is>
      </c>
      <c r="D56" s="2" t="n">
        <v>2</v>
      </c>
      <c r="E56" s="2" t="inlineStr">
        <is>
          <t>F972</t>
        </is>
      </c>
    </row>
    <row r="57">
      <c r="A57" s="2" t="n"/>
      <c r="B57" s="3" t="inlineStr">
        <is>
          <t>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t>
        </is>
      </c>
      <c r="C57" s="2" t="inlineStr">
        <is>
          <t>S13</t>
        </is>
      </c>
      <c r="D57" s="2" t="n">
        <v>34</v>
      </c>
      <c r="E57" s="2" t="inlineStr">
        <is>
          <t>F1299</t>
        </is>
      </c>
    </row>
    <row r="58">
      <c r="A58" s="2" t="n"/>
      <c r="B58" s="3" t="inlineStr">
        <is>
          <t>covenant: Leverage; formula as defined: ratio of Total Net Debt on the last day of the Relevant Period to EBITDA for that Relevant Period</t>
        </is>
      </c>
      <c r="C58" s="2" t="inlineStr">
        <is>
          <t>S13</t>
        </is>
      </c>
      <c r="D58" s="2" t="n">
        <v>9</v>
      </c>
      <c r="E58" s="2" t="inlineStr">
        <is>
          <t>F1300</t>
        </is>
      </c>
    </row>
    <row r="59">
      <c r="A59" s="2" t="n"/>
      <c r="B59" s="3" t="inlineStr">
        <is>
          <t>covenant: Total Net Debt; formula as defined: Financial Indebtedness excluding derivatives, intra-group, Shareholder Loans, Subordinated Loans and Issuer-held Bonds, including capitalised finance leases, less unencumbered freely available cash and cash equivalents</t>
        </is>
      </c>
      <c r="C59" s="2" t="inlineStr">
        <is>
          <t>S13</t>
        </is>
      </c>
      <c r="D59" s="2" t="n">
        <v>16</v>
      </c>
      <c r="E59" s="2" t="inlineStr">
        <is>
          <t>F1301</t>
        </is>
      </c>
    </row>
    <row r="60">
      <c r="A60" s="2" t="n"/>
      <c r="B60" s="3" t="inlineStr">
        <is>
          <t>covenant: EBITDA; formula as defined: consolidated operating profit before tax, finance items and D&amp;A, excluding discontinued operations, with exceptional/one-off items (not acquisition costs) added back only up to 10.00% of EBITDA, adjusted for badwill, minorities, associates, unrealised derivative gains, revaluations, pension items and stock options</t>
        </is>
      </c>
      <c r="C60" s="2" t="inlineStr">
        <is>
          <t>S13</t>
        </is>
      </c>
      <c r="D60" s="2" t="n">
        <v>6</v>
      </c>
      <c r="E60" s="2" t="inlineStr">
        <is>
          <t>F1302</t>
        </is>
      </c>
    </row>
    <row r="61">
      <c r="A61" s="2" t="n"/>
      <c r="B61" s="3" t="inlineStr">
        <is>
          <t>covenant: EBITDA, paragraph (e) badwill; formula as defined: badwill from a purchase of a company outside the Group for less than its fair market value during the Relevant Period is added to EBITDA</t>
        </is>
      </c>
      <c r="C61" s="2" t="inlineStr">
        <is>
          <t>S13</t>
        </is>
      </c>
      <c r="D61" s="2" t="n">
        <v>6</v>
      </c>
      <c r="E61" s="2" t="inlineStr">
        <is>
          <t>F1335</t>
        </is>
      </c>
    </row>
    <row r="62">
      <c r="A62" s="2" t="n"/>
      <c r="B62" s="3" t="inlineStr">
        <is>
          <t>covenant: EBITDA, paragraph (g) minority interests; formula as defined: the profit of Group Companies attributable to minority interests is deducted, a loss attributable to them added back</t>
        </is>
      </c>
      <c r="C62" s="2" t="inlineStr">
        <is>
          <t>S13</t>
        </is>
      </c>
      <c r="D62" s="2" t="n">
        <v>6</v>
      </c>
      <c r="E62" s="2" t="inlineStr">
        <is>
          <t>F1336</t>
        </is>
      </c>
    </row>
    <row r="63">
      <c r="A63" s="2" t="n"/>
      <c r="B63" s="3" t="inlineStr">
        <is>
          <t>covenant: EBITDA, paragraph (h) associates and joint ventures; formula as defined: plus or minus the Group's share of the profits or losses, after finance costs and tax, of entities that are not Group Companies, associates and joint ventures included</t>
        </is>
      </c>
      <c r="C63" s="2" t="inlineStr">
        <is>
          <t>S13</t>
        </is>
      </c>
      <c r="D63" s="2" t="n">
        <v>6</v>
      </c>
      <c r="E63" s="2" t="inlineStr">
        <is>
          <t>F1337</t>
        </is>
      </c>
    </row>
    <row r="64">
      <c r="A64" s="2" t="n"/>
      <c r="B64" s="3" t="inlineStr">
        <is>
          <t>covenant: Total Net Debt, paragraph (d) leases; formula as defined: finance leases and hire purchase contracts count in Total Net Debt at their capitalised value</t>
        </is>
      </c>
      <c r="C64" s="2" t="inlineStr">
        <is>
          <t>S13</t>
        </is>
      </c>
      <c r="D64" s="2" t="n">
        <v>16</v>
      </c>
      <c r="E64" s="2" t="inlineStr">
        <is>
          <t>F1338</t>
        </is>
      </c>
    </row>
    <row r="65">
      <c r="A65" s="2" t="n"/>
      <c r="B65" s="3" t="inlineStr">
        <is>
          <t>covenant: Incurrence Test, pro forma Total Net Debt (cl. 13.19(d)(A)(1)); formula as defined: Total Net Debt at the testing date plus the full commitment, drawn and undrawn, of the new Financial Indebtedness, less the debt it refinances</t>
        </is>
      </c>
      <c r="C65" s="2" t="inlineStr">
        <is>
          <t>S13</t>
        </is>
      </c>
      <c r="D65" s="2" t="n">
        <v>35</v>
      </c>
      <c r="E65" s="2" t="inlineStr">
        <is>
          <t>F1339</t>
        </is>
      </c>
    </row>
    <row r="66">
      <c r="A66" s="2" t="n"/>
      <c r="B66" s="3" t="inlineStr">
        <is>
          <t>covenant: Incurrence Test, cash from the new debt (cl. 13.19(d)(A)(2)); formula as defined: cash raised by the new Financial Indebtedness is not deducted from Total Net Debt</t>
        </is>
      </c>
      <c r="C66" s="2" t="inlineStr">
        <is>
          <t>S13</t>
        </is>
      </c>
      <c r="D66" s="2" t="n">
        <v>35</v>
      </c>
      <c r="E66" s="2" t="inlineStr">
        <is>
          <t>F1340</t>
        </is>
      </c>
    </row>
    <row r="67">
      <c r="A67" s="2" t="n"/>
      <c r="B67" s="3" t="inlineStr">
        <is>
          <t>covenant: Incurrence Test, pro forma EBITDA (cl. 13.19(d)(B)); formula as defined: EBITDA of the Relevant Period from the Financial Report, with any business acquired, disposed of or discontinued during the period or up to the testing date included or excluded for the entire period, and a business bought with the new debt included</t>
        </is>
      </c>
      <c r="C67" s="2" t="inlineStr">
        <is>
          <t>S13</t>
        </is>
      </c>
      <c r="D67" s="2" t="n">
        <v>35</v>
      </c>
      <c r="E67" s="2" t="inlineStr">
        <is>
          <t>F1341</t>
        </is>
      </c>
    </row>
    <row r="68">
      <c r="A68" s="2" t="n"/>
      <c r="B68" s="3" t="inlineStr">
        <is>
          <t>Certain subsidiaries must comply with financial covenants under existing financing agreements; a breach could lead to higher financing costs or early repayment obligations; no covenant definitions or thresholds disclosed.</t>
        </is>
      </c>
      <c r="C68" s="2" t="inlineStr">
        <is>
          <t>S3</t>
        </is>
      </c>
      <c r="D68" s="2" t="n">
        <v>32</v>
      </c>
      <c r="E68" s="2" t="inlineStr">
        <is>
          <t>F700</t>
        </is>
      </c>
    </row>
    <row r="69">
      <c r="A69" s="2" t="n"/>
      <c r="B69" s="3" t="inlineStr">
        <is>
          <t>Breach of the issuer's undertakings, or events such as non-compliance with certain financial ratios, gives bondholders termination rights, subject to cure periods and the further conditions of the bond terms.</t>
        </is>
      </c>
      <c r="C69" s="2" t="inlineStr">
        <is>
          <t>S4</t>
        </is>
      </c>
      <c r="D69" s="2" t="n">
        <v>1</v>
      </c>
      <c r="E69" s="2" t="inlineStr">
        <is>
          <t>F952</t>
        </is>
      </c>
    </row>
    <row r="70">
      <c r="A70" s="2" t="n"/>
      <c r="B70" s="3" t="inlineStr">
        <is>
          <t>Undertakings restrict mergers or similar business combinations.</t>
        </is>
      </c>
      <c r="C70" s="2" t="inlineStr">
        <is>
          <t>S4</t>
        </is>
      </c>
      <c r="D70" s="2" t="n">
        <v>1</v>
      </c>
      <c r="E70" s="2" t="inlineStr">
        <is>
          <t>F953</t>
        </is>
      </c>
    </row>
    <row r="71">
      <c r="A71" s="2" t="n"/>
      <c r="B71" s="3" t="inlineStr">
        <is>
          <t>Undertakings restrict disposals of assets.</t>
        </is>
      </c>
      <c r="C71" s="2" t="inlineStr">
        <is>
          <t>S4</t>
        </is>
      </c>
      <c r="D71" s="2" t="n">
        <v>1</v>
      </c>
      <c r="E71" s="2" t="inlineStr">
        <is>
          <t>F954</t>
        </is>
      </c>
    </row>
    <row r="72">
      <c r="A72" s="2" t="n"/>
      <c r="B72" s="3" t="inlineStr">
        <is>
          <t>Undertakings restrict financial indebtedness (Financial Indebtedness).</t>
        </is>
      </c>
      <c r="C72" s="2" t="inlineStr">
        <is>
          <t>S4</t>
        </is>
      </c>
      <c r="D72" s="2" t="n">
        <v>1</v>
      </c>
      <c r="E72" s="2" t="inlineStr">
        <is>
          <t>F955</t>
        </is>
      </c>
    </row>
    <row r="73">
      <c r="A73" s="2" t="n"/>
      <c r="B73" s="3" t="inlineStr">
        <is>
          <t>Debt incurrence test: additional financial indebtedness of the issuer is permitted only if Net Debt / EBITDA is below 3.75x.</t>
        </is>
      </c>
      <c r="C73" s="2" t="inlineStr">
        <is>
          <t>S4</t>
        </is>
      </c>
      <c r="D73" s="2" t="n">
        <v>2</v>
      </c>
      <c r="E73" s="2" t="inlineStr">
        <is>
          <t>F956</t>
        </is>
      </c>
    </row>
    <row r="74">
      <c r="A74" s="2" t="n"/>
      <c r="B74" s="3" t="inlineStr">
        <is>
          <t>Distributions to shareholders, including repayments of and interest on shareholder loans, are permitted only if Net Debt / EBITDA remains below 3.75x after the distribution.</t>
        </is>
      </c>
      <c r="C74" s="2" t="inlineStr">
        <is>
          <t>S4</t>
        </is>
      </c>
      <c r="D74" s="2" t="n">
        <v>2</v>
      </c>
      <c r="E74" s="2" t="inlineStr">
        <is>
          <t>F957</t>
        </is>
      </c>
    </row>
    <row r="75">
      <c r="A75" s="2" t="n"/>
      <c r="B75" s="3" t="inlineStr">
        <is>
          <t>Distributions remain permitted to the extent the shareholder bears a tax charge from its participation in the issuer.</t>
        </is>
      </c>
      <c r="C75" s="2" t="inlineStr">
        <is>
          <t>S4</t>
        </is>
      </c>
      <c r="D75" s="2" t="n">
        <v>2</v>
      </c>
      <c r="E75" s="2" t="inlineStr">
        <is>
          <t>F958</t>
        </is>
      </c>
    </row>
    <row r="76">
      <c r="A76" s="2" t="n"/>
      <c r="B76" s="3" t="inlineStr">
        <is>
          <t>Negative pledge: the issuer and group may not grant security over their assets, with exceptions including secured liabilities of up to EUR 1m or, if greater, 5% of EBITDA.</t>
        </is>
      </c>
      <c r="C76" s="2" t="inlineStr">
        <is>
          <t>S4</t>
        </is>
      </c>
      <c r="D76" s="2" t="n">
        <v>2</v>
      </c>
      <c r="E76" s="2" t="inlineStr">
        <is>
          <t>F959</t>
        </is>
      </c>
    </row>
    <row r="77">
      <c r="A77" s="2" t="n"/>
      <c r="B77" s="3" t="inlineStr">
        <is>
          <t>Cross default: the bonds become callable if financial liabilities of EUR 7.5m in aggregate are not paid by the issuer or group or become callable because of insolvency.</t>
        </is>
      </c>
      <c r="C77" s="2" t="inlineStr">
        <is>
          <t>S4</t>
        </is>
      </c>
      <c r="D77" s="2" t="n">
        <v>2</v>
      </c>
      <c r="E77" s="2" t="inlineStr">
        <is>
          <t>F960</t>
        </is>
      </c>
    </row>
    <row r="78">
      <c r="A78" s="2" t="n"/>
      <c r="B78" s="3" t="inlineStr">
        <is>
          <t>Change of control put: bondholders may sell their bonds to the issuer at 101% of nominal plus accrued interest.</t>
        </is>
      </c>
      <c r="C78" s="2" t="inlineStr">
        <is>
          <t>S4</t>
        </is>
      </c>
      <c r="D78" s="2" t="n">
        <v>2</v>
      </c>
      <c r="E78" s="2" t="inlineStr">
        <is>
          <t>F961</t>
        </is>
      </c>
    </row>
    <row r="79">
      <c r="A79" s="2" t="n"/>
      <c r="B79" s="3" t="inlineStr">
        <is>
          <t>Before an IPO, a change of control occurs if Bastian Fassin and Tobias Bachmüller together no longer own and control, directly or indirectly, more than 50.0% of the shares and votes, or lose the power to appoint or remove the majority of the management.</t>
        </is>
      </c>
      <c r="C79" s="2" t="inlineStr">
        <is>
          <t>S4</t>
        </is>
      </c>
      <c r="D79" s="2" t="n">
        <v>2</v>
      </c>
      <c r="E79" s="2" t="inlineStr">
        <is>
          <t>F962</t>
        </is>
      </c>
    </row>
    <row r="80">
      <c r="A80" s="2" t="n"/>
      <c r="B80" s="3" t="inlineStr">
        <is>
          <t>After an IPO, a change of control occurs if a person or a group acting together, other than Bastian Fassin and Tobias Bachmüller, owns or controls 50.0% or more of the shares or votes.</t>
        </is>
      </c>
      <c r="C80" s="2" t="inlineStr">
        <is>
          <t>S4</t>
        </is>
      </c>
      <c r="D80" s="2" t="n">
        <v>2</v>
      </c>
      <c r="E80" s="2" t="inlineStr">
        <is>
          <t>F963</t>
        </is>
      </c>
    </row>
    <row r="81">
      <c r="A81" s="2" t="n"/>
      <c r="B81" s="3" t="inlineStr">
        <is>
          <t>A change of control also occurs at any time on a disposal of the material assets of the issuer or its subsidiaries.</t>
        </is>
      </c>
      <c r="C81" s="2" t="inlineStr">
        <is>
          <t>S4</t>
        </is>
      </c>
      <c r="D81" s="2" t="n">
        <v>2</v>
      </c>
      <c r="E81" s="2" t="inlineStr">
        <is>
          <t>F964</t>
        </is>
      </c>
    </row>
    <row r="82">
      <c r="A82" s="2" t="n"/>
      <c r="B82" s="3" t="inlineStr">
        <is>
          <t>Incurrence test: new Financial Indebtedness by the Issuer (Tap Issue or Subordinated Loan) only if Leverage is below 3.75x pro forma and no Event of Default is continuing.</t>
        </is>
      </c>
      <c r="C82" s="2" t="inlineStr">
        <is>
          <t>S13</t>
        </is>
      </c>
      <c r="D82" s="2" t="n">
        <v>12</v>
      </c>
      <c r="E82" s="2" t="inlineStr">
        <is>
          <t>F1303</t>
        </is>
      </c>
    </row>
    <row r="83">
      <c r="A83" s="2" t="n"/>
      <c r="B83" s="3" t="inlineStr">
        <is>
          <t>Distributions by the Issuer are limited to 50.00% of the Group's consolidated net income after tax of the previous Financial Year, subject to the 3.75x Incurrence Test, with no carry-forward of unused amounts.</t>
        </is>
      </c>
      <c r="C83" s="2" t="inlineStr">
        <is>
          <t>S13</t>
        </is>
      </c>
      <c r="D83" s="2" t="n">
        <v>11</v>
      </c>
      <c r="E83" s="2" t="inlineStr">
        <is>
          <t>F1304</t>
        </is>
      </c>
    </row>
    <row r="84">
      <c r="A84" s="2" t="n"/>
      <c r="B84" s="3" t="inlineStr">
        <is>
          <t>Distributions to the Investors are additionally permitted up to the tax payable by each Investor attributable to being a shareholder of the Issuer.</t>
        </is>
      </c>
      <c r="C84" s="2" t="inlineStr">
        <is>
          <t>S13</t>
        </is>
      </c>
      <c r="D84" s="2" t="n">
        <v>11</v>
      </c>
      <c r="E84" s="2" t="inlineStr">
        <is>
          <t>F1305</t>
        </is>
      </c>
    </row>
    <row r="85">
      <c r="A85" s="2" t="n"/>
      <c r="B85" s="3" t="inlineStr">
        <is>
          <t>Secured Subsidiary Indebtedness (debt of Group Companies other than the Issuer, guaranteed or secured) is capped at the higher of EUR 25.0m and 15.00% of Total Assets.</t>
        </is>
      </c>
      <c r="C85" s="2" t="inlineStr">
        <is>
          <t>S13</t>
        </is>
      </c>
      <c r="D85" s="2" t="n">
        <v>12</v>
      </c>
      <c r="E85" s="2" t="inlineStr">
        <is>
          <t>F1306</t>
        </is>
      </c>
    </row>
    <row r="86">
      <c r="A86" s="2" t="n"/>
      <c r="B86" s="3" t="inlineStr">
        <is>
          <t>Finance leases or hire purchase contracts of the Issuer are capped at the higher of EUR 1.0m and 5.00% of EBITDA.</t>
        </is>
      </c>
      <c r="C86" s="2" t="inlineStr">
        <is>
          <t>S13</t>
        </is>
      </c>
      <c r="D86" s="2" t="n">
        <v>12</v>
      </c>
      <c r="E86" s="2" t="inlineStr">
        <is>
          <t>F1307</t>
        </is>
      </c>
    </row>
    <row r="87">
      <c r="A87" s="2" t="n"/>
      <c r="B87" s="3" t="inlineStr">
        <is>
          <t>General basket for other Financial Indebtedness, financial support and security is each capped at the higher of EUR 1.0m and 5.00% of EBITDA.</t>
        </is>
      </c>
      <c r="C87" s="2" t="inlineStr">
        <is>
          <t>S13</t>
        </is>
      </c>
      <c r="D87" s="2" t="n">
        <v>13</v>
      </c>
      <c r="E87" s="2" t="inlineStr">
        <is>
          <t>F1308</t>
        </is>
      </c>
    </row>
    <row r="88">
      <c r="A88" s="2" t="n"/>
      <c r="B88" s="3" t="inlineStr">
        <is>
          <t>Negative pledge: no Group Company may create security over its assets other than Permitted Security.</t>
        </is>
      </c>
      <c r="C88" s="2" t="inlineStr">
        <is>
          <t>S13</t>
        </is>
      </c>
      <c r="D88" s="2" t="n">
        <v>32</v>
      </c>
      <c r="E88" s="2" t="inlineStr">
        <is>
          <t>F1309</t>
        </is>
      </c>
    </row>
    <row r="89">
      <c r="A89" s="2" t="n"/>
      <c r="B89" s="3" t="inlineStr">
        <is>
          <t>Financial support: no loans, credits, guarantees or indemnities to any person other than Permitted Financial Support.</t>
        </is>
      </c>
      <c r="C89" s="2" t="inlineStr">
        <is>
          <t>S13</t>
        </is>
      </c>
      <c r="D89" s="2" t="n">
        <v>32</v>
      </c>
      <c r="E89" s="2" t="inlineStr">
        <is>
          <t>F1310</t>
        </is>
      </c>
    </row>
    <row r="90">
      <c r="A90" s="2" t="n"/>
      <c r="B90" s="3" t="inlineStr">
        <is>
          <t>Disposal proceeds of EUR 15.0m or more must be applied within 18-24 months to non-current assets or to redemption of Bonds at the applicable Call Price.</t>
        </is>
      </c>
      <c r="C90" s="2" t="inlineStr">
        <is>
          <t>S13</t>
        </is>
      </c>
      <c r="D90" s="2" t="n">
        <v>32</v>
      </c>
      <c r="E90" s="2" t="inlineStr">
        <is>
          <t>F1311</t>
        </is>
      </c>
    </row>
    <row r="91">
      <c r="A91" s="2" t="n"/>
      <c r="B91" s="3" t="inlineStr">
        <is>
          <t>Within three Business Days after the Issue Date the Issuer must call the Existing Bonds for at least EUR 80.0m, with the remainder (max EUR 30.0m) repaid at the 12 April 2024 maturity.</t>
        </is>
      </c>
      <c r="C91" s="2" t="inlineStr">
        <is>
          <t>S13</t>
        </is>
      </c>
      <c r="D91" s="2" t="n">
        <v>34</v>
      </c>
      <c r="E91" s="2" t="inlineStr">
        <is>
          <t>F1312</t>
        </is>
      </c>
    </row>
    <row r="92">
      <c r="A92" s="2" t="n"/>
      <c r="B92" s="3" t="inlineStr">
        <is>
          <t>No repayment, interest payment or discharge of Subordinated Loans except as allowed under a Subordination Agreement.</t>
        </is>
      </c>
      <c r="C92" s="2" t="inlineStr">
        <is>
          <t>S13</t>
        </is>
      </c>
      <c r="D92" s="2" t="n">
        <v>33</v>
      </c>
      <c r="E92" s="2" t="inlineStr">
        <is>
          <t>F1313</t>
        </is>
      </c>
    </row>
    <row r="93">
      <c r="A93" s="2" t="n"/>
      <c r="B93" s="3" t="inlineStr">
        <is>
          <t>No substantial change to the nature of the business, jurisdiction of incorporation, type of organisation or COMI of the Issuer.</t>
        </is>
      </c>
      <c r="C93" s="2" t="inlineStr">
        <is>
          <t>S13</t>
        </is>
      </c>
      <c r="D93" s="2" t="n">
        <v>33</v>
      </c>
      <c r="E93" s="2" t="inlineStr">
        <is>
          <t>F1314</t>
        </is>
      </c>
    </row>
    <row r="94">
      <c r="A94" s="2" t="n"/>
      <c r="B94" s="3" t="inlineStr">
        <is>
          <t>All Group transactions must be on arm's length terms.</t>
        </is>
      </c>
      <c r="C94" s="2" t="inlineStr">
        <is>
          <t>S13</t>
        </is>
      </c>
      <c r="D94" s="2" t="n">
        <v>33</v>
      </c>
      <c r="E94" s="2" t="inlineStr">
        <is>
          <t>F1315</t>
        </is>
      </c>
    </row>
    <row r="95">
      <c r="A95" s="2" t="n"/>
      <c r="B95" s="3" t="inlineStr">
        <is>
          <t>Cross default and cross acceleration apply to Group Financial Indebtedness exceeding EUR 7.5m in aggregate.</t>
        </is>
      </c>
      <c r="C95" s="2" t="inlineStr">
        <is>
          <t>S13</t>
        </is>
      </c>
      <c r="D95" s="2" t="n">
        <v>36</v>
      </c>
      <c r="E95" s="2" t="inlineStr">
        <is>
          <t>F1316</t>
        </is>
      </c>
    </row>
    <row r="96">
      <c r="A96" s="2" t="n"/>
      <c r="B96" s="3" t="inlineStr">
        <is>
          <t>Acquisitions must be made at fair market value, on normal commercial terms and without a Material Adverse Effect; seller's credits or earn-outs permitted only if at least 50.00% of consideration is paid in cash at closing.</t>
        </is>
      </c>
      <c r="C96" s="2" t="inlineStr">
        <is>
          <t>S13</t>
        </is>
      </c>
      <c r="D96" s="2" t="n">
        <v>12</v>
      </c>
      <c r="E96" s="2" t="inlineStr">
        <is>
          <t>F1317</t>
        </is>
      </c>
    </row>
    <row r="97">
      <c r="A97" s="2" t="n"/>
      <c r="B97" s="3" t="inlineStr">
        <is>
          <t>The Issuer and every Group Company may incur or maintain Financial Indebtedness only as Permitted Financial Indebtedness (cl. 13.5).</t>
        </is>
      </c>
      <c r="C97" s="2" t="inlineStr">
        <is>
          <t>S13</t>
        </is>
      </c>
      <c r="D97" s="2" t="n">
        <v>32</v>
      </c>
      <c r="E97" s="2" t="inlineStr">
        <is>
          <t>F1342</t>
        </is>
      </c>
    </row>
    <row r="98">
      <c r="A98" s="2" t="n"/>
      <c r="B98" s="3" t="inlineStr">
        <is>
          <t>Debt of Group Companies other than the Issuer that no Group Company guarantees or secures is permitted with no amount limit (Permitted Financial Indebtedness (g)).</t>
        </is>
      </c>
      <c r="C98" s="2" t="inlineStr">
        <is>
          <t>S13</t>
        </is>
      </c>
      <c r="D98" s="2" t="n">
        <v>12</v>
      </c>
      <c r="E98" s="2" t="inlineStr">
        <is>
          <t>F1343</t>
        </is>
      </c>
    </row>
    <row r="99">
      <c r="A99" s="2" t="n"/>
      <c r="B99" s="3" t="inlineStr">
        <is>
          <t>Debt whose proceeds refinance the Bonds in part or in full is permitted if the proceeds sit in a blocked escrow account, closed to the Group until the refinancing takes place (Permitted Financial Indebtedness (m)).</t>
        </is>
      </c>
      <c r="C99" s="2" t="inlineStr">
        <is>
          <t>S13</t>
        </is>
      </c>
      <c r="D99" s="2" t="n">
        <v>13</v>
      </c>
      <c r="E99" s="2" t="inlineStr">
        <is>
          <t>F1344</t>
        </is>
      </c>
    </row>
    <row r="100">
      <c r="A100" s="2" t="n"/>
      <c r="B100" s="3" t="inlineStr">
        <is>
          <t>Security beyond the listed Permitted Security may secure indebtedness of at most the higher of EUR 1.0m and 5.00% of EBITDA in aggregate for the Group (Permitted Security (j)).</t>
        </is>
      </c>
      <c r="C100" s="2" t="inlineStr">
        <is>
          <t>S13</t>
        </is>
      </c>
      <c r="D100" s="2" t="n">
        <v>14</v>
      </c>
      <c r="E100" s="2" t="inlineStr">
        <is>
          <t>F1345</t>
        </is>
      </c>
    </row>
    <row r="101">
      <c r="A101" s="2" t="n"/>
      <c r="B101" s="3" t="inlineStr">
        <is>
          <t>term: maturity; value: 2028 (bond named '2023/2028 bond')</t>
        </is>
      </c>
      <c r="C101" s="2" t="inlineStr">
        <is>
          <t>S5</t>
        </is>
      </c>
      <c r="D101" s="2" t="n">
        <v>23</v>
      </c>
      <c r="E101" s="2" t="inlineStr">
        <is>
          <t>F1249</t>
        </is>
      </c>
    </row>
    <row r="102">
      <c r="A102" s="2" t="n"/>
      <c r="B102" s="3" t="inlineStr">
        <is>
          <t>term: tap; value: increase of the 2023/2028 bond, EUR 14.8m net of transaction costs received in H1-2026</t>
        </is>
      </c>
      <c r="C102" s="2" t="inlineStr">
        <is>
          <t>S5</t>
        </is>
      </c>
      <c r="D102" s="2" t="n">
        <v>34</v>
      </c>
      <c r="E102" s="2" t="inlineStr">
        <is>
          <t>F1250</t>
        </is>
      </c>
    </row>
    <row r="103">
      <c r="A103" s="2" t="n"/>
      <c r="B103" s="3" t="inlineStr">
        <is>
          <t>term: fair value; value: EUR 191.3m fair value (level II) vs 200.0 carrying amount at 30 June 2026, amortised cost</t>
        </is>
      </c>
      <c r="C103" s="2" t="inlineStr">
        <is>
          <t>S5</t>
        </is>
      </c>
      <c r="D103" s="2" t="n">
        <v>42</v>
      </c>
      <c r="E103" s="2" t="inlineStr">
        <is>
          <t>F1251</t>
        </is>
      </c>
    </row>
    <row r="104">
      <c r="A104" s="2" t="n"/>
      <c r="B104" s="3" t="inlineStr">
        <is>
          <t>term: tap; value: increased by EUR 70m at the beginning of August 2025, placement multiple times oversubscribed; net of transaction costs 68.4 per cash flow statement</t>
        </is>
      </c>
      <c r="C104" s="2" t="inlineStr">
        <is>
          <t>S3</t>
        </is>
      </c>
      <c r="D104" s="2" t="n">
        <v>4</v>
      </c>
      <c r="E104" s="2" t="inlineStr">
        <is>
          <t>F937</t>
        </is>
      </c>
    </row>
    <row r="105">
      <c r="A105" s="2" t="n"/>
      <c r="B105" s="3" t="inlineStr">
        <is>
          <t>term: maturity; value: 2028 (five-year term from issue in September 2023)</t>
        </is>
      </c>
      <c r="C105" s="2" t="inlineStr">
        <is>
          <t>S3</t>
        </is>
      </c>
      <c r="D105" s="2" t="n">
        <v>26</v>
      </c>
      <c r="E105" s="2" t="inlineStr">
        <is>
          <t>F938</t>
        </is>
      </c>
    </row>
    <row r="106">
      <c r="A106" s="2" t="n"/>
      <c r="B106" s="3" t="inlineStr">
        <is>
          <t>term: fair value; value: 193.3 vs carrying amount 185.0 at 31 Dec 2025 (level II, amortised cost)</t>
        </is>
      </c>
      <c r="C106" s="2" t="inlineStr">
        <is>
          <t>S3</t>
        </is>
      </c>
      <c r="D106" s="2" t="n">
        <v>62</v>
      </c>
      <c r="E106" s="2" t="inlineStr">
        <is>
          <t>F939</t>
        </is>
      </c>
    </row>
    <row r="107">
      <c r="A107" s="2" t="n"/>
      <c r="B107" s="3" t="inlineStr">
        <is>
          <t>term: rate type; value: fixed 6.75% coupon, 2023/2028 bond</t>
        </is>
      </c>
      <c r="C107" s="2" t="inlineStr">
        <is>
          <t>S3</t>
        </is>
      </c>
      <c r="D107" s="2" t="n">
        <v>68</v>
      </c>
      <c r="E107" s="2" t="inlineStr">
        <is>
          <t>F940</t>
        </is>
      </c>
    </row>
    <row r="108">
      <c r="A108" s="2" t="n"/>
      <c r="B108" s="3" t="inlineStr">
        <is>
          <t>term: tap; value: increased by EUR 15m to EUR 200m in March 2026 alongside the Missoni signing (event after the balance sheet date)</t>
        </is>
      </c>
      <c r="C108" s="2" t="inlineStr">
        <is>
          <t>S3</t>
        </is>
      </c>
      <c r="D108" s="2" t="n">
        <v>81</v>
      </c>
      <c r="E108" s="2" t="inlineStr">
        <is>
          <t>F941</t>
        </is>
      </c>
    </row>
    <row r="109">
      <c r="A109" s="2" t="n"/>
      <c r="B109" s="3" t="inlineStr">
        <is>
          <t>term: maturity; value: 2028 (bond 2023/2028, issued September 2023)</t>
        </is>
      </c>
      <c r="C109" s="2" t="inlineStr">
        <is>
          <t>S2</t>
        </is>
      </c>
      <c r="D109" s="2" t="n">
        <v>45</v>
      </c>
      <c r="E109" s="2" t="inlineStr">
        <is>
          <t>F615</t>
        </is>
      </c>
    </row>
    <row r="110">
      <c r="A110" s="2" t="n"/>
      <c r="B110" s="3" t="inlineStr">
        <is>
          <t>term: fair value at 31 Dec 2024 (level II); value: EUR 123.7m against carrying amount 115.0</t>
        </is>
      </c>
      <c r="C110" s="2" t="inlineStr">
        <is>
          <t>S2</t>
        </is>
      </c>
      <c r="D110" s="2" t="n">
        <v>64</v>
      </c>
      <c r="E110" s="2" t="inlineStr">
        <is>
          <t>F616</t>
        </is>
      </c>
    </row>
    <row r="111">
      <c r="A111" s="2" t="n"/>
      <c r="B111" s="3" t="inlineStr">
        <is>
          <t>term: coupon / rate type; value: 6.75% fixed (2023/2028 corporate bond, EUR 115m)</t>
        </is>
      </c>
      <c r="C111" s="2" t="inlineStr">
        <is>
          <t>S2</t>
        </is>
      </c>
      <c r="D111" s="2" t="n">
        <v>68</v>
      </c>
      <c r="E111" s="2" t="inlineStr">
        <is>
          <t>F617</t>
        </is>
      </c>
    </row>
    <row r="112">
      <c r="A112" s="2" t="n"/>
      <c r="B112" s="3" t="inlineStr">
        <is>
          <t>term: format; value: issued for the first time as a 'Nordic Bond'</t>
        </is>
      </c>
      <c r="C112" s="2" t="inlineStr">
        <is>
          <t>S1</t>
        </is>
      </c>
      <c r="D112" s="2" t="n">
        <v>4</v>
      </c>
      <c r="E112" s="2" t="inlineStr">
        <is>
          <t>F317</t>
        </is>
      </c>
    </row>
    <row r="113">
      <c r="A113" s="2" t="n"/>
      <c r="B113" s="3" t="inlineStr">
        <is>
          <t>term: holders; value: exchange offer to existing 2019 bondholders, first-time subscription via company website, international private placement to institutional investors</t>
        </is>
      </c>
      <c r="C113" s="2" t="inlineStr">
        <is>
          <t>S1</t>
        </is>
      </c>
      <c r="D113" s="2" t="n">
        <v>4</v>
      </c>
      <c r="E113" s="2" t="inlineStr">
        <is>
          <t>F318</t>
        </is>
      </c>
    </row>
    <row r="114">
      <c r="A114" s="2" t="n"/>
      <c r="B114" s="3" t="inlineStr">
        <is>
          <t>term: maturity; value: 2028 (bond labelled 2023/2028); undiscounted financial liabilities due in two to five years EUR 137.4m</t>
        </is>
      </c>
      <c r="C114" s="2" t="inlineStr">
        <is>
          <t>S1</t>
        </is>
      </c>
      <c r="D114" s="2" t="n">
        <v>48</v>
      </c>
      <c r="E114" s="2" t="inlineStr">
        <is>
          <t>F319</t>
        </is>
      </c>
    </row>
    <row r="115">
      <c r="A115" s="2" t="n"/>
      <c r="B115" s="3" t="inlineStr">
        <is>
          <t>term: fair value 31 Dec 2023; value: 123.1 (level II) vs carrying amount 115.0</t>
        </is>
      </c>
      <c r="C115" s="2" t="inlineStr">
        <is>
          <t>S1</t>
        </is>
      </c>
      <c r="D115" s="2" t="n">
        <v>68</v>
      </c>
      <c r="E115" s="2" t="inlineStr">
        <is>
          <t>F320</t>
        </is>
      </c>
    </row>
    <row r="116">
      <c r="A116" s="2" t="n"/>
      <c r="B116" s="3" t="inlineStr">
        <is>
          <t>term: rate type; value: fixed 6.75% coupon, EUR 115m, issued September 2023 to redeem the 2019/2024 bond</t>
        </is>
      </c>
      <c r="C116" s="2" t="inlineStr">
        <is>
          <t>S1</t>
        </is>
      </c>
      <c r="D116" s="2" t="n">
        <v>72</v>
      </c>
      <c r="E116" s="2" t="inlineStr">
        <is>
          <t>F321</t>
        </is>
      </c>
    </row>
    <row r="117">
      <c r="A117" s="2" t="n"/>
      <c r="B117" s="3" t="inlineStr">
        <is>
          <t>term: listing; value: Nordic ABM of the Oslo Stock Exchange, included end of January 2024 (within six months of issue)</t>
        </is>
      </c>
      <c r="C117" s="2" t="inlineStr">
        <is>
          <t>S1</t>
        </is>
      </c>
      <c r="D117" s="2" t="n">
        <v>85</v>
      </c>
      <c r="E117" s="2" t="inlineStr">
        <is>
          <t>F322</t>
        </is>
      </c>
    </row>
    <row r="118">
      <c r="A118" s="2" t="n"/>
      <c r="B118" s="2" t="inlineStr">
        <is>
          <t>term: ISIN; value: NO0012888769</t>
        </is>
      </c>
      <c r="C118" s="2" t="inlineStr">
        <is>
          <t>S4</t>
        </is>
      </c>
      <c r="D118" s="2" t="n">
        <v>1</v>
      </c>
      <c r="E118" s="2" t="inlineStr">
        <is>
          <t>F973</t>
        </is>
      </c>
    </row>
    <row r="119">
      <c r="A119" s="2" t="n"/>
      <c r="B119" s="2" t="inlineStr">
        <is>
          <t>term: WKN; value: A30V78</t>
        </is>
      </c>
      <c r="C119" s="2" t="inlineStr">
        <is>
          <t>S4</t>
        </is>
      </c>
      <c r="D119" s="2" t="n">
        <v>1</v>
      </c>
      <c r="E119" s="2" t="inlineStr">
        <is>
          <t>F974</t>
        </is>
      </c>
    </row>
    <row r="120">
      <c r="A120" s="2" t="n"/>
      <c r="B120" s="3" t="inlineStr">
        <is>
          <t>term: instrument type; value: Inhaberschuldverschreibung (bearer bond)</t>
        </is>
      </c>
      <c r="C120" s="2" t="inlineStr">
        <is>
          <t>S4</t>
        </is>
      </c>
      <c r="D120" s="2" t="n">
        <v>1</v>
      </c>
      <c r="E120" s="2" t="inlineStr">
        <is>
          <t>F975</t>
        </is>
      </c>
    </row>
    <row r="121">
      <c r="A121" s="2" t="n"/>
      <c r="B121" s="3" t="inlineStr">
        <is>
          <t>term: ranking and security; value: senior unsecured (nicht nachrangig, unbesichert)</t>
        </is>
      </c>
      <c r="C121" s="2" t="inlineStr">
        <is>
          <t>S4</t>
        </is>
      </c>
      <c r="D121" s="2" t="n">
        <v>1</v>
      </c>
      <c r="E121" s="2" t="inlineStr">
        <is>
          <t>F976</t>
        </is>
      </c>
    </row>
    <row r="122">
      <c r="A122" s="2" t="n"/>
      <c r="B122" s="2" t="inlineStr">
        <is>
          <t>term: target volume; value: EUR 110.0m</t>
        </is>
      </c>
      <c r="C122" s="2" t="inlineStr">
        <is>
          <t>S4</t>
        </is>
      </c>
      <c r="D122" s="2" t="n">
        <v>1</v>
      </c>
      <c r="E122" s="2" t="inlineStr">
        <is>
          <t>F977</t>
        </is>
      </c>
    </row>
    <row r="123">
      <c r="A123" s="2" t="n"/>
      <c r="B123" s="2" t="inlineStr">
        <is>
          <t>term: minimum volume; value: EUR 80.0m</t>
        </is>
      </c>
      <c r="C123" s="2" t="inlineStr">
        <is>
          <t>S4</t>
        </is>
      </c>
      <c r="D123" s="2" t="n">
        <v>1</v>
      </c>
      <c r="E123" s="2" t="inlineStr">
        <is>
          <t>F978</t>
        </is>
      </c>
    </row>
    <row r="124">
      <c r="A124" s="2" t="n"/>
      <c r="B124" s="3" t="inlineStr">
        <is>
          <t>term: denomination; value: EUR 1,000 per bond</t>
        </is>
      </c>
      <c r="C124" s="2" t="inlineStr">
        <is>
          <t>S4</t>
        </is>
      </c>
      <c r="D124" s="2" t="n">
        <v>1</v>
      </c>
      <c r="E124" s="2" t="inlineStr">
        <is>
          <t>F979</t>
        </is>
      </c>
    </row>
    <row r="125">
      <c r="A125" s="2" t="n"/>
      <c r="B125" s="3" t="inlineStr">
        <is>
          <t>term: coupon marketing range; value: 6.25-7.50% p.a.</t>
        </is>
      </c>
      <c r="C125" s="2" t="inlineStr">
        <is>
          <t>S4</t>
        </is>
      </c>
      <c r="D125" s="2" t="n">
        <v>1</v>
      </c>
      <c r="E125" s="2" t="inlineStr">
        <is>
          <t>F980</t>
        </is>
      </c>
    </row>
    <row r="126">
      <c r="A126" s="2" t="n"/>
      <c r="B126" s="3" t="inlineStr">
        <is>
          <t>term: rate type; value: fixed rate, payable semi-annually in arrears on 21 March and 21 September</t>
        </is>
      </c>
      <c r="C126" s="2" t="inlineStr">
        <is>
          <t>S4</t>
        </is>
      </c>
      <c r="D126" s="2" t="n">
        <v>1</v>
      </c>
      <c r="E126" s="2" t="inlineStr">
        <is>
          <t>F981</t>
        </is>
      </c>
    </row>
    <row r="127">
      <c r="A127" s="2" t="n"/>
      <c r="B127" s="3" t="inlineStr">
        <is>
          <t>term: interest dates; value: first coupon 21 March 2024, last coupon 21 September 2028</t>
        </is>
      </c>
      <c r="C127" s="2" t="inlineStr">
        <is>
          <t>S4</t>
        </is>
      </c>
      <c r="D127" s="2" t="n">
        <v>1</v>
      </c>
      <c r="E127" s="2" t="inlineStr">
        <is>
          <t>F982</t>
        </is>
      </c>
    </row>
    <row r="128">
      <c r="A128" s="2" t="n"/>
      <c r="B128" s="2" t="inlineStr">
        <is>
          <t>term: currency; value: EUR</t>
        </is>
      </c>
      <c r="C128" s="2" t="inlineStr">
        <is>
          <t>S4</t>
        </is>
      </c>
      <c r="D128" s="2" t="n">
        <v>1</v>
      </c>
      <c r="E128" s="2" t="inlineStr">
        <is>
          <t>F983</t>
        </is>
      </c>
    </row>
    <row r="129">
      <c r="A129" s="2" t="n"/>
      <c r="B129" s="3" t="inlineStr">
        <is>
          <t>term: issue price; value: 100% of nominal</t>
        </is>
      </c>
      <c r="C129" s="2" t="inlineStr">
        <is>
          <t>S4</t>
        </is>
      </c>
      <c r="D129" s="2" t="n">
        <v>1</v>
      </c>
      <c r="E129" s="2" t="inlineStr">
        <is>
          <t>F984</t>
        </is>
      </c>
    </row>
    <row r="130">
      <c r="A130" s="2" t="n"/>
      <c r="B130" s="3" t="inlineStr">
        <is>
          <t>term: settlement (issue date); value: 2023-09-21</t>
        </is>
      </c>
      <c r="C130" s="2" t="inlineStr">
        <is>
          <t>S4</t>
        </is>
      </c>
      <c r="D130" s="2" t="n">
        <v>1</v>
      </c>
      <c r="E130" s="2" t="inlineStr">
        <is>
          <t>F985</t>
        </is>
      </c>
    </row>
    <row r="131">
      <c r="A131" s="2" t="n"/>
      <c r="B131" s="3" t="inlineStr">
        <is>
          <t>term: maturity; value: 2028-09-21, 5-year term</t>
        </is>
      </c>
      <c r="C131" s="2" t="inlineStr">
        <is>
          <t>S4</t>
        </is>
      </c>
      <c r="D131" s="2" t="n">
        <v>1</v>
      </c>
      <c r="E131" s="2" t="inlineStr">
        <is>
          <t>F986</t>
        </is>
      </c>
    </row>
    <row r="132">
      <c r="A132" s="2" t="n"/>
      <c r="B132" s="3" t="inlineStr">
        <is>
          <t>term: listing; value: Open Market (Freiverkehr) of the Frankfurt Stock Exchange, Quotation Board, planned</t>
        </is>
      </c>
      <c r="C132" s="2" t="inlineStr">
        <is>
          <t>S4</t>
        </is>
      </c>
      <c r="D132" s="2" t="n">
        <v>1</v>
      </c>
      <c r="E132" s="2" t="inlineStr">
        <is>
          <t>F987</t>
        </is>
      </c>
    </row>
    <row r="133">
      <c r="A133" s="2" t="n"/>
      <c r="B133" s="3" t="inlineStr">
        <is>
          <t>term: listing; value: Nordic ABM, Oslo Børs, within 6 months of issue; non-listing may lead to additional interest</t>
        </is>
      </c>
      <c r="C133" s="2" t="inlineStr">
        <is>
          <t>S4</t>
        </is>
      </c>
      <c r="D133" s="2" t="n">
        <v>1</v>
      </c>
      <c r="E133" s="2" t="inlineStr">
        <is>
          <t>F988</t>
        </is>
      </c>
    </row>
    <row r="134">
      <c r="A134" s="2" t="n"/>
      <c r="B134" s="3" t="inlineStr">
        <is>
          <t>term: call; value: issuer call in whole or in part from the issue date until 30 months at the Make Whole Amount as defined in the securities prospectus</t>
        </is>
      </c>
      <c r="C134" s="2" t="inlineStr">
        <is>
          <t>S4</t>
        </is>
      </c>
      <c r="D134" s="2" t="n">
        <v>1</v>
      </c>
      <c r="E134" s="2" t="inlineStr">
        <is>
          <t>F989</t>
        </is>
      </c>
    </row>
    <row r="135">
      <c r="A135" s="2" t="n"/>
      <c r="B135" s="3" t="inlineStr">
        <is>
          <t>term: call; value: after 30 months at 100.00% of nominal plus 50% of the annual coupon</t>
        </is>
      </c>
      <c r="C135" s="2" t="inlineStr">
        <is>
          <t>S4</t>
        </is>
      </c>
      <c r="D135" s="2" t="n">
        <v>1</v>
      </c>
      <c r="E135" s="2" t="inlineStr">
        <is>
          <t>F990</t>
        </is>
      </c>
    </row>
    <row r="136">
      <c r="A136" s="2" t="n"/>
      <c r="B136" s="3" t="inlineStr">
        <is>
          <t>term: call; value: after 36 months at 100.00% of nominal plus 30% of the annual coupon</t>
        </is>
      </c>
      <c r="C136" s="2" t="inlineStr">
        <is>
          <t>S4</t>
        </is>
      </c>
      <c r="D136" s="2" t="n">
        <v>1</v>
      </c>
      <c r="E136" s="2" t="inlineStr">
        <is>
          <t>F991</t>
        </is>
      </c>
    </row>
    <row r="137">
      <c r="A137" s="2" t="n"/>
      <c r="B137" s="3" t="inlineStr">
        <is>
          <t>term: call; value: after 42 months at 100.00% of nominal plus 20% of the annual coupon</t>
        </is>
      </c>
      <c r="C137" s="2" t="inlineStr">
        <is>
          <t>S4</t>
        </is>
      </c>
      <c r="D137" s="2" t="n">
        <v>1</v>
      </c>
      <c r="E137" s="2" t="inlineStr">
        <is>
          <t>F992</t>
        </is>
      </c>
    </row>
    <row r="138">
      <c r="A138" s="2" t="n"/>
      <c r="B138" s="3" t="inlineStr">
        <is>
          <t>term: call; value: after 48 months at 100.00% of nominal plus 10% of the annual coupon</t>
        </is>
      </c>
      <c r="C138" s="2" t="inlineStr">
        <is>
          <t>S4</t>
        </is>
      </c>
      <c r="D138" s="2" t="n">
        <v>1</v>
      </c>
      <c r="E138" s="2" t="inlineStr">
        <is>
          <t>F993</t>
        </is>
      </c>
    </row>
    <row r="139">
      <c r="A139" s="2" t="n"/>
      <c r="B139" s="3" t="inlineStr">
        <is>
          <t>term: call; value: after 54 months at 100.00% of nominal plus 5% of the annual coupon</t>
        </is>
      </c>
      <c r="C139" s="2" t="inlineStr">
        <is>
          <t>S4</t>
        </is>
      </c>
      <c r="D139" s="2" t="n">
        <v>1</v>
      </c>
      <c r="E139" s="2" t="inlineStr">
        <is>
          <t>F994</t>
        </is>
      </c>
    </row>
    <row r="140">
      <c r="A140" s="2" t="n"/>
      <c r="B140" s="3" t="inlineStr">
        <is>
          <t>term: mandatory redemption; value: if the outstanding nominal including taps falls below 40.00% of the initial issue amount excluding taps, the issuer must redeem all remaining bonds</t>
        </is>
      </c>
      <c r="C140" s="2" t="inlineStr">
        <is>
          <t>S4</t>
        </is>
      </c>
      <c r="D140" s="2" t="n">
        <v>1</v>
      </c>
      <c r="E140" s="2" t="inlineStr">
        <is>
          <t>F995</t>
        </is>
      </c>
    </row>
    <row r="141">
      <c r="A141" s="2" t="n"/>
      <c r="B141" s="3" t="inlineStr">
        <is>
          <t>term: clean-up call; value: if more than 90.0% of the outstanding bonds were repurchased under the change-of-control put, the issuer may redeem the remainder at 101.0% of nominal plus accrued unpaid interest</t>
        </is>
      </c>
      <c r="C141" s="2" t="inlineStr">
        <is>
          <t>S4</t>
        </is>
      </c>
      <c r="D141" s="2" t="n">
        <v>1</v>
      </c>
      <c r="E141" s="2" t="inlineStr">
        <is>
          <t>F996</t>
        </is>
      </c>
    </row>
    <row r="142">
      <c r="A142" s="2" t="n"/>
      <c r="B142" s="3" t="inlineStr">
        <is>
          <t>term: prospectus; value: a securities prospectus (Wertpapierprospekt) defines the Make Whole Amount and the detailed use of proceeds</t>
        </is>
      </c>
      <c r="C142" s="2" t="inlineStr">
        <is>
          <t>S4</t>
        </is>
      </c>
      <c r="D142" s="2" t="n">
        <v>1</v>
      </c>
      <c r="E142" s="2" t="inlineStr">
        <is>
          <t>F997</t>
        </is>
      </c>
    </row>
    <row r="143">
      <c r="A143" s="2" t="n"/>
      <c r="B143" s="3" t="inlineStr">
        <is>
          <t>term: trustee; value: Nordic Trustee AS, acting as representative of all bondholders; its actions bind all bondholders</t>
        </is>
      </c>
      <c r="C143" s="2" t="inlineStr">
        <is>
          <t>S4</t>
        </is>
      </c>
      <c r="D143" s="2" t="n">
        <v>2</v>
      </c>
      <c r="E143" s="2" t="inlineStr">
        <is>
          <t>F998</t>
        </is>
      </c>
    </row>
    <row r="144">
      <c r="A144" s="2" t="n"/>
      <c r="B144" s="3" t="inlineStr">
        <is>
          <t>term: governing law and jurisdiction; value: Norwegian law, venue Norway</t>
        </is>
      </c>
      <c r="C144" s="2" t="inlineStr">
        <is>
          <t>S4</t>
        </is>
      </c>
      <c r="D144" s="2" t="n">
        <v>2</v>
      </c>
      <c r="E144" s="2" t="inlineStr">
        <is>
          <t>F999</t>
        </is>
      </c>
    </row>
    <row r="145">
      <c r="A145" s="2" t="n"/>
      <c r="B145" s="3" t="inlineStr">
        <is>
          <t>term: amendments; value: bondholder meeting resolutions bind all holders; quorum 50% of voting bonds; 2/3 majority of votes cast for certain material measures</t>
        </is>
      </c>
      <c r="C145" s="2" t="inlineStr">
        <is>
          <t>S4</t>
        </is>
      </c>
      <c r="D145" s="2" t="n">
        <v>2</v>
      </c>
      <c r="E145" s="2" t="inlineStr">
        <is>
          <t>F1000</t>
        </is>
      </c>
    </row>
    <row r="146">
      <c r="A146" s="2" t="n"/>
      <c r="B146" s="3" t="inlineStr">
        <is>
          <t>term: amendments (second meeting); value: if the quorum is missed a second meeting votes without quorum; voting may also be by written procedure</t>
        </is>
      </c>
      <c r="C146" s="2" t="inlineStr">
        <is>
          <t>S4</t>
        </is>
      </c>
      <c r="D146" s="2" t="n">
        <v>2</v>
      </c>
      <c r="E146" s="2" t="inlineStr">
        <is>
          <t>F1001</t>
        </is>
      </c>
    </row>
    <row r="147">
      <c r="A147" s="2" t="n"/>
      <c r="B147" s="2" t="inlineStr">
        <is>
          <t>term: ISIN; value: NO0012888769</t>
        </is>
      </c>
      <c r="C147" s="2" t="inlineStr">
        <is>
          <t>S13</t>
        </is>
      </c>
      <c r="D147" s="2" t="n">
        <v>1</v>
      </c>
      <c r="E147" s="2" t="inlineStr">
        <is>
          <t>F1279</t>
        </is>
      </c>
    </row>
    <row r="148">
      <c r="A148" s="2" t="n"/>
      <c r="B148" s="3" t="inlineStr">
        <is>
          <t>term: rate type; value: fixed 6.75 per cent per annum</t>
        </is>
      </c>
      <c r="C148" s="2" t="inlineStr">
        <is>
          <t>S13</t>
        </is>
      </c>
      <c r="D148" s="2" t="n">
        <v>9</v>
      </c>
      <c r="E148" s="2" t="inlineStr">
        <is>
          <t>F1280</t>
        </is>
      </c>
    </row>
    <row r="149">
      <c r="A149" s="2" t="n"/>
      <c r="B149" s="2" t="inlineStr">
        <is>
          <t>term: issue date; value: 2023-09-21</t>
        </is>
      </c>
      <c r="C149" s="2" t="inlineStr">
        <is>
          <t>S13</t>
        </is>
      </c>
      <c r="D149" s="2" t="n">
        <v>9</v>
      </c>
      <c r="E149" s="2" t="inlineStr">
        <is>
          <t>F1281</t>
        </is>
      </c>
    </row>
    <row r="150">
      <c r="A150" s="2" t="n"/>
      <c r="B150" s="2" t="inlineStr">
        <is>
          <t>term: maturity; value: 2028-09-21</t>
        </is>
      </c>
      <c r="C150" s="2" t="inlineStr">
        <is>
          <t>S13</t>
        </is>
      </c>
      <c r="D150" s="2" t="n">
        <v>10</v>
      </c>
      <c r="E150" s="2" t="inlineStr">
        <is>
          <t>F1282</t>
        </is>
      </c>
    </row>
    <row r="151">
      <c r="A151" s="2" t="n"/>
      <c r="B151" s="3" t="inlineStr">
        <is>
          <t>term: interest payment; value: semi-annual on 21 March and 21 September, first 2024-03-21, 30/360 basis</t>
        </is>
      </c>
      <c r="C151" s="2" t="inlineStr">
        <is>
          <t>S13</t>
        </is>
      </c>
      <c r="D151" s="2" t="n">
        <v>9</v>
      </c>
      <c r="E151" s="2" t="inlineStr">
        <is>
          <t>F1283</t>
        </is>
      </c>
    </row>
    <row r="152">
      <c r="A152" s="2" t="n"/>
      <c r="B152" s="3" t="inlineStr">
        <is>
          <t>term: denomination; value: EUR 1,000 per Bond</t>
        </is>
      </c>
      <c r="C152" s="2" t="inlineStr">
        <is>
          <t>S13</t>
        </is>
      </c>
      <c r="D152" s="2" t="n">
        <v>18</v>
      </c>
      <c r="E152" s="2" t="inlineStr">
        <is>
          <t>F1284</t>
        </is>
      </c>
    </row>
    <row r="153">
      <c r="A153" s="2" t="n"/>
      <c r="B153" s="3" t="inlineStr">
        <is>
          <t>term: call; value: First Call Date 2026-03-21 at 103.375%, then 102.025% from 36 months, 101.350% from 42 months, 100.675% from 48 months, 100.338% from 54 months after Issue Date</t>
        </is>
      </c>
      <c r="C153" s="2" t="inlineStr">
        <is>
          <t>S13</t>
        </is>
      </c>
      <c r="D153" s="2" t="n">
        <v>27</v>
      </c>
      <c r="E153" s="2" t="inlineStr">
        <is>
          <t>F1285</t>
        </is>
      </c>
    </row>
    <row r="154">
      <c r="A154" s="2" t="n"/>
      <c r="B154" s="3" t="inlineStr">
        <is>
          <t>term: call before First Call Date; value: Make Whole Amount (103.375% plus remaining interest to 2026-03-21 discounted at 100 bps)</t>
        </is>
      </c>
      <c r="C154" s="2" t="inlineStr">
        <is>
          <t>S13</t>
        </is>
      </c>
      <c r="D154" s="2" t="n">
        <v>9</v>
      </c>
      <c r="E154" s="2" t="inlineStr">
        <is>
          <t>F1286</t>
        </is>
      </c>
    </row>
    <row r="155">
      <c r="A155" s="2" t="n"/>
      <c r="B155" s="3" t="inlineStr">
        <is>
          <t>term: put option; value: 101.00% of Nominal Amount upon a Change of Control (Put Option Event)</t>
        </is>
      </c>
      <c r="C155" s="2" t="inlineStr">
        <is>
          <t>S13</t>
        </is>
      </c>
      <c r="D155" s="2" t="n">
        <v>28</v>
      </c>
      <c r="E155" s="2" t="inlineStr">
        <is>
          <t>F1287</t>
        </is>
      </c>
    </row>
    <row r="156">
      <c r="A156" s="2" t="n"/>
      <c r="B156" s="3" t="inlineStr">
        <is>
          <t>term: tax call; value: 100% of Nominal Amount, all but not some, upon a gross-up obligation from a change in law</t>
        </is>
      </c>
      <c r="C156" s="2" t="inlineStr">
        <is>
          <t>S13</t>
        </is>
      </c>
      <c r="D156" s="2" t="n">
        <v>28</v>
      </c>
      <c r="E156" s="2" t="inlineStr">
        <is>
          <t>F1288</t>
        </is>
      </c>
    </row>
    <row r="157">
      <c r="A157" s="2" t="n"/>
      <c r="B157" s="3" t="inlineStr">
        <is>
          <t>term: mandatory redemption; value: all Bonds at the applicable Call Price if Outstanding Bonds fall below 40.00% of the Initial Bond Issue</t>
        </is>
      </c>
      <c r="C157" s="2" t="inlineStr">
        <is>
          <t>S13</t>
        </is>
      </c>
      <c r="D157" s="2" t="n">
        <v>10</v>
      </c>
      <c r="E157" s="2" t="inlineStr">
        <is>
          <t>F1289</t>
        </is>
      </c>
    </row>
    <row r="158">
      <c r="A158" s="2" t="n"/>
      <c r="B158" s="3" t="inlineStr">
        <is>
          <t>term: listing; value: Frankfurt Open Market within 30 days and Nordic ABM within 6 months of the Issue Date</t>
        </is>
      </c>
      <c r="C158" s="2" t="inlineStr">
        <is>
          <t>S13</t>
        </is>
      </c>
      <c r="D158" s="2" t="n">
        <v>19</v>
      </c>
      <c r="E158" s="2" t="inlineStr">
        <is>
          <t>F1290</t>
        </is>
      </c>
    </row>
    <row r="159">
      <c r="A159" s="2" t="n"/>
      <c r="B159" s="3" t="inlineStr">
        <is>
          <t>term: settlement; value: dematerialised registration in Verdipapirsentralen ASA (VPS), Norway</t>
        </is>
      </c>
      <c r="C159" s="2" t="inlineStr">
        <is>
          <t>S13</t>
        </is>
      </c>
      <c r="D159" s="2" t="n">
        <v>5</v>
      </c>
      <c r="E159" s="2" t="inlineStr">
        <is>
          <t>F1291</t>
        </is>
      </c>
    </row>
    <row r="160">
      <c r="A160" s="2" t="n"/>
      <c r="B160" s="3" t="inlineStr">
        <is>
          <t>term: default interest; value: Interest Rate plus 2.00 percentage points per annum on Overdue Amounts</t>
        </is>
      </c>
      <c r="C160" s="2" t="inlineStr">
        <is>
          <t>S13</t>
        </is>
      </c>
      <c r="D160" s="2" t="n">
        <v>24</v>
      </c>
      <c r="E160" s="2" t="inlineStr">
        <is>
          <t>F1292</t>
        </is>
      </c>
    </row>
    <row r="161">
      <c r="A161" s="2" t="n"/>
      <c r="B161" s="3" t="inlineStr">
        <is>
          <t>term: trustee; value: Nordic Trustee AS, Norway, reg. no. 963 342 624</t>
        </is>
      </c>
      <c r="C161" s="2" t="inlineStr">
        <is>
          <t>S13</t>
        </is>
      </c>
      <c r="D161" s="2" t="n">
        <v>3</v>
      </c>
      <c r="E161" s="2" t="inlineStr">
        <is>
          <t>F1293</t>
        </is>
      </c>
    </row>
    <row r="162">
      <c r="A162" s="2" t="n"/>
      <c r="B162" s="3" t="inlineStr">
        <is>
          <t>term: managers; value: IKB Deutsche Industriebank AG, Düsseldorf, and Pareto Securities AS, Frankfurt Branch</t>
        </is>
      </c>
      <c r="C162" s="2" t="inlineStr">
        <is>
          <t>S13</t>
        </is>
      </c>
      <c r="D162" s="2" t="n">
        <v>10</v>
      </c>
      <c r="E162" s="2" t="inlineStr">
        <is>
          <t>F1294</t>
        </is>
      </c>
    </row>
    <row r="163">
      <c r="A163" s="2" t="n"/>
      <c r="B163" s="3" t="inlineStr">
        <is>
          <t>term: governing law; value: Norwegian law, City Court of Oslo (capital of the Relevant Jurisdiction)</t>
        </is>
      </c>
      <c r="C163" s="2" t="inlineStr">
        <is>
          <t>S13</t>
        </is>
      </c>
      <c r="D163" s="2" t="n">
        <v>15</v>
      </c>
      <c r="E163" s="2" t="inlineStr">
        <is>
          <t>F1295</t>
        </is>
      </c>
    </row>
    <row r="164">
      <c r="A164" s="2" t="n"/>
      <c r="B164" s="3" t="inlineStr">
        <is>
          <t>term: tap issue; value: Additional Bonds up to EUR 200.0m total, subject to pro forma Incurrence Test</t>
        </is>
      </c>
      <c r="C164" s="2" t="inlineStr">
        <is>
          <t>S13</t>
        </is>
      </c>
      <c r="D164" s="2" t="n">
        <v>21</v>
      </c>
      <c r="E164" s="2" t="inlineStr">
        <is>
          <t>F1296</t>
        </is>
      </c>
    </row>
    <row r="165">
      <c r="A165" s="2" t="n"/>
      <c r="B165" s="3" t="inlineStr">
        <is>
          <t>term: ranking; value: senior unsecured, pari passu between themselves and with other unsubordinated obligations save statutory preferences, ahead of any subordinated debt</t>
        </is>
      </c>
      <c r="C165" s="2" t="inlineStr">
        <is>
          <t>S13</t>
        </is>
      </c>
      <c r="D165" s="2" t="n">
        <v>18</v>
      </c>
      <c r="E165" s="2" t="inlineStr">
        <is>
          <t>F1297</t>
        </is>
      </c>
    </row>
    <row r="166">
      <c r="A166" s="2" t="n"/>
      <c r="B166" s="3" t="inlineStr">
        <is>
          <t>term: ranking of shareholder loans; value: Shareholder Loans from Investors must be unsecured and subordinated under a Subordination Agreement</t>
        </is>
      </c>
      <c r="C166" s="2" t="inlineStr">
        <is>
          <t>S13</t>
        </is>
      </c>
      <c r="D166" s="2" t="n">
        <v>15</v>
      </c>
      <c r="E166" s="2" t="inlineStr">
        <is>
          <t>F1298</t>
        </is>
      </c>
    </row>
    <row r="167">
      <c r="A167" s="2" t="n"/>
      <c r="B167" s="3" t="inlineStr">
        <is>
          <t>term: event of default, non-payment (cl. 14.1(a)); value: an amount not paid when due is an Event of Default unless the failure is an administrative or technical error and payment follows within five Business Days, or, in the Bond Trustee's discretion, the Issuer 'has substantiated that it is likely that such payment will be made in full within five Business Days'</t>
        </is>
      </c>
      <c r="C167" s="2" t="inlineStr">
        <is>
          <t>S13</t>
        </is>
      </c>
      <c r="D167" s="2" t="n">
        <v>36</v>
      </c>
      <c r="E167" s="2" t="inlineStr">
        <is>
          <t>F1346</t>
        </is>
      </c>
    </row>
    <row r="168">
      <c r="A168" s="2" t="n"/>
      <c r="B168" s="3" t="inlineStr">
        <is>
          <t>term: acceleration on the Bondholders' instruction (cl. 14.3); value: the Bond Trustee must serve a Default Notice on a written demand of Bondholders holding a simple majority of the Voting Bonds, unless a Bondholders' Meeting resolves otherwise, or on a simple-majority decision of a Bondholders' Meeting</t>
        </is>
      </c>
      <c r="C168" s="2" t="inlineStr">
        <is>
          <t>S13</t>
        </is>
      </c>
      <c r="D168" s="2" t="n">
        <v>38</v>
      </c>
      <c r="E168" s="2" t="inlineStr">
        <is>
          <t>F1347</t>
        </is>
      </c>
    </row>
    <row r="169">
      <c r="A169" s="2" t="n"/>
      <c r="B169" s="3" t="inlineStr">
        <is>
          <t>term: quorum (cl. 15.1(e)); value: at least 50% of the Voting Bonds represented at a Bondholders' Meeting</t>
        </is>
      </c>
      <c r="C169" s="2" t="inlineStr">
        <is>
          <t>S13</t>
        </is>
      </c>
      <c r="D169" s="2" t="n">
        <v>39</v>
      </c>
      <c r="E169" s="2" t="inlineStr">
        <is>
          <t>F1348</t>
        </is>
      </c>
    </row>
    <row r="170">
      <c r="A170" s="2" t="n"/>
      <c r="B170" s="3" t="inlineStr">
        <is>
          <t>term: ordinary resolutions (cl. 15.1(f)); value: simple majority of the Voting Bonds represented at the Bondholders' Meeting</t>
        </is>
      </c>
      <c r="C170" s="2" t="inlineStr">
        <is>
          <t>S13</t>
        </is>
      </c>
      <c r="D170" s="2" t="n">
        <v>39</v>
      </c>
      <c r="E170" s="2" t="inlineStr">
        <is>
          <t>F1349</t>
        </is>
      </c>
    </row>
    <row r="171">
      <c r="A171" s="2" t="n"/>
      <c r="B171" s="3" t="inlineStr">
        <is>
          <t>term: waivers and amendments (cl. 15.1(g)); value: a majority of at least 2/3 of the Voting Bonds represented, save the amendments the Bond Trustee may make without a resolution under cl. 17.1(a)(i) and (ii)</t>
        </is>
      </c>
      <c r="C171" s="2" t="inlineStr">
        <is>
          <t>S13</t>
        </is>
      </c>
      <c r="D171" s="2" t="n">
        <v>39</v>
      </c>
      <c r="E171" s="2" t="inlineStr">
        <is>
          <t>F1350</t>
        </is>
      </c>
    </row>
    <row r="172">
      <c r="A172" s="2" t="n"/>
      <c r="B172" s="3" t="inlineStr">
        <is>
          <t>term: written resolution (cl. 15.5(a)); value: anything a Bondholders' Meeting may resolve may also be resolved by Written Resolution, as valid as a meeting resolution</t>
        </is>
      </c>
      <c r="C172" s="2" t="inlineStr">
        <is>
          <t>S13</t>
        </is>
      </c>
      <c r="D172" s="2" t="n">
        <v>41</v>
      </c>
      <c r="E172" s="2" t="inlineStr">
        <is>
          <t>F1351</t>
        </is>
      </c>
    </row>
    <row r="173">
      <c r="A173" s="2" t="n"/>
      <c r="B173" s="3" t="inlineStr">
        <is>
          <t>term: written resolution, voting period (cl. 15.5(e)(ii)); value: votes are received within at least 10 and at most 15 Business Days from the date of the Summons</t>
        </is>
      </c>
      <c r="C173" s="2" t="inlineStr">
        <is>
          <t>S13</t>
        </is>
      </c>
      <c r="D173" s="2" t="n">
        <v>42</v>
      </c>
      <c r="E173" s="2" t="inlineStr">
        <is>
          <t>F1352</t>
        </is>
      </c>
    </row>
    <row r="174">
      <c r="A174" s="2" t="n"/>
      <c r="B174" s="3" t="inlineStr">
        <is>
          <t>term: written resolution, when passed (cl. 15.5(g)); value: passed once the majority of cl. 15.1 paragraph (e) or (f) is obtained on a quorum of all Voting Bonds, even before the Voting Period ends</t>
        </is>
      </c>
      <c r="C174" s="2" t="inlineStr">
        <is>
          <t>S13</t>
        </is>
      </c>
      <c r="D174" s="2" t="n">
        <v>42</v>
      </c>
      <c r="E174" s="2" t="inlineStr">
        <is>
          <t>F1353</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40" customWidth="1" min="4" max="4"/>
    <col width="16" customWidth="1" min="5" max="5"/>
  </cols>
  <sheetData>
    <row r="1">
      <c r="A1" s="1" t="inlineStr">
        <is>
          <t>Year</t>
        </is>
      </c>
      <c r="B1" s="1" t="inlineStr">
        <is>
          <t>Metric</t>
        </is>
      </c>
      <c r="C1" s="1" t="inlineStr">
        <is>
          <t>Guidance as stated</t>
        </is>
      </c>
      <c r="D1" s="1" t="inlineStr">
        <is>
          <t>Reported</t>
        </is>
      </c>
      <c r="E1" s="1" t="inlineStr">
        <is>
          <t>Facts</t>
        </is>
      </c>
    </row>
    <row r="2">
      <c r="A2" s="2" t="inlineStr">
        <is>
          <t>FY2023</t>
        </is>
      </c>
      <c r="B2" s="2" t="inlineStr">
        <is>
          <t>EBITDA</t>
        </is>
      </c>
      <c r="C2" s="3" t="inlineStr">
        <is>
          <t>Guidance for 2023 as stated: EBITDA margin 9–10%; actual 10.8%</t>
        </is>
      </c>
      <c r="D2" s="2" t="inlineStr">
        <is>
          <t>40.8 · margin 10.8%</t>
        </is>
      </c>
      <c r="E2" s="2" t="inlineStr">
        <is>
          <t>F115, F368</t>
        </is>
      </c>
    </row>
    <row r="3">
      <c r="A3" s="2" t="inlineStr">
        <is>
          <t>FY2023</t>
        </is>
      </c>
      <c r="B3" s="2" t="inlineStr">
        <is>
          <t>Revenue</t>
        </is>
      </c>
      <c r="C3" s="3" t="inlineStr">
        <is>
          <t>Guidance for 2023 as stated: consolidated net sales EUR 350m–375m (raised during the year); actual 377.4 exceeded it</t>
        </is>
      </c>
      <c r="D3" s="2" t="inlineStr">
        <is>
          <t>377.0</t>
        </is>
      </c>
      <c r="E3" s="2" t="inlineStr">
        <is>
          <t>F114, F654</t>
        </is>
      </c>
    </row>
    <row r="4">
      <c r="A4" s="2" t="inlineStr">
        <is>
          <t>FY2024</t>
        </is>
      </c>
      <c r="B4" s="2" t="inlineStr">
        <is>
          <t>EBITDA</t>
        </is>
      </c>
      <c r="C4" s="3" t="inlineStr">
        <is>
          <t>Guidance for 2024: EBITDA margin forecast at 10% (upper end of the range, half-year 2024 report); actual margin 11.4%.</t>
        </is>
      </c>
      <c r="D4" s="2" t="inlineStr">
        <is>
          <t>44.8 · margin 11.4%</t>
        </is>
      </c>
      <c r="E4" s="2" t="inlineStr">
        <is>
          <t>F426, F660</t>
        </is>
      </c>
    </row>
    <row r="5">
      <c r="A5" s="2" t="inlineStr">
        <is>
          <t>FY2024</t>
        </is>
      </c>
      <c r="B5" s="2" t="inlineStr">
        <is>
          <t>Revenue</t>
        </is>
      </c>
      <c r="C5" s="3" t="inlineStr">
        <is>
          <t>Guidance issued for 2024: consolidated revenues between EUR 390m and EUR 420m; actual 392.6.</t>
        </is>
      </c>
      <c r="D5" s="2" t="inlineStr">
        <is>
          <t>392.6</t>
        </is>
      </c>
      <c r="E5" s="2" t="inlineStr">
        <is>
          <t>F425, F655</t>
        </is>
      </c>
    </row>
    <row r="6">
      <c r="A6" s="2" t="inlineStr">
        <is>
          <t>FY2025</t>
        </is>
      </c>
      <c r="B6" s="2" t="inlineStr">
        <is>
          <t>EBITDA</t>
        </is>
      </c>
      <c r="C6" s="3" t="inlineStr">
        <is>
          <t>Guidance for 2025 as stated in the FY2024 report: EBITDA margin between 9% and 10% (no absolute figure).</t>
        </is>
      </c>
      <c r="D6" s="3" t="inlineStr">
        <is>
          <t>98.8 · margin 19.6%; excluding one-off income 43.6, margin 8.7%</t>
        </is>
      </c>
      <c r="E6" s="2" t="inlineStr">
        <is>
          <t>F1254, F661</t>
        </is>
      </c>
    </row>
    <row r="7">
      <c r="A7" s="2" t="inlineStr">
        <is>
          <t>FY2025</t>
        </is>
      </c>
      <c r="B7" s="2" t="inlineStr">
        <is>
          <t>Revenue</t>
        </is>
      </c>
      <c r="C7" s="3" t="inlineStr">
        <is>
          <t>Guidance for 2025 was Group revenue of at least EUR 400m; actual 503.0</t>
        </is>
      </c>
      <c r="D7" s="2" t="inlineStr">
        <is>
          <t>503.0</t>
        </is>
      </c>
      <c r="E7" s="2" t="inlineStr">
        <is>
          <t>F716, F656</t>
        </is>
      </c>
    </row>
    <row r="8">
      <c r="A8" s="2" t="inlineStr">
        <is>
          <t>FY2026</t>
        </is>
      </c>
      <c r="B8" s="2" t="inlineStr">
        <is>
          <t>EBITDA</t>
        </is>
      </c>
      <c r="C8" s="3" t="inlineStr">
        <is>
          <t>Guidance for 2026 as stated in the FY2025 report: EBITDA margin between 10% and 12% (no absolute figure).</t>
        </is>
      </c>
      <c r="D8" s="2" t="inlineStr">
        <is>
          <t>not yet reported</t>
        </is>
      </c>
      <c r="E8" s="2" t="inlineStr">
        <is>
          <t>F1255</t>
        </is>
      </c>
    </row>
    <row r="9">
      <c r="A9" s="2" t="inlineStr">
        <is>
          <t>FY2026</t>
        </is>
      </c>
      <c r="B9" s="2" t="inlineStr">
        <is>
          <t>Revenue</t>
        </is>
      </c>
      <c r="C9" s="3" t="inlineStr">
        <is>
          <t>Company guidance for FY2026: Group revenue of 'at least EUR 650 million', which management expects 'to meet or exceed'.</t>
        </is>
      </c>
      <c r="D9" s="2" t="inlineStr">
        <is>
          <t>not yet reported</t>
        </is>
      </c>
      <c r="E9" s="2" t="inlineStr">
        <is>
          <t>F1104</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0" customWidth="1" min="2" max="2"/>
    <col width="10" customWidth="1" min="3" max="3"/>
  </cols>
  <sheetData>
    <row r="1">
      <c r="A1" s="1" t="inlineStr">
        <is>
          <t>Topic</t>
        </is>
      </c>
      <c r="B1" s="1" t="inlineStr">
        <is>
          <t>Fact</t>
        </is>
      </c>
      <c r="C1" s="1" t="inlineStr">
        <is>
          <t>Fact id</t>
        </is>
      </c>
    </row>
    <row r="2">
      <c r="A2" s="2" t="inlineStr">
        <is>
          <t>person: Stephan Milde</t>
        </is>
      </c>
      <c r="B2" s="3" t="inlineStr">
        <is>
          <t>Managing Director (CFO) since 2012; before: several years in investment banking at Deutsche Bank and Citigroup in London.</t>
        </is>
      </c>
      <c r="C2" s="2" t="inlineStr">
        <is>
          <t>F1101</t>
        </is>
      </c>
    </row>
    <row r="3">
      <c r="A3" s="2" t="inlineStr">
        <is>
          <t>person: Bastian Fassin</t>
        </is>
      </c>
      <c r="B3" s="3" t="inlineStr">
        <is>
          <t>Managing Partner since 2004; until 2003 Marketing and Sales at Kraft Foods; until 2000 Roland Berger Strategy Consultants.</t>
        </is>
      </c>
      <c r="C3" s="2" t="inlineStr">
        <is>
          <t>F1102</t>
        </is>
      </c>
    </row>
    <row r="4">
      <c r="A4" s="2" t="inlineStr">
        <is>
          <t>person: Tobias Bachmüller</t>
        </is>
      </c>
      <c r="B4" s="3" t="inlineStr">
        <is>
          <t>Managing Partner since 1996; until 1995 General Manager Kraft Foods (Milka); until 1992 Principal, The Boston Consulting Group.</t>
        </is>
      </c>
      <c r="C4" s="2" t="inlineStr">
        <is>
          <t>F1103</t>
        </is>
      </c>
    </row>
    <row r="5">
      <c r="A5" s="2" t="inlineStr">
        <is>
          <t>owners</t>
        </is>
      </c>
      <c r="B5" s="3" t="inlineStr">
        <is>
          <t>Limited partnership capital EUR 1.0m: fixed capital shares Bastian Fassin 0.9 (2023: 0.5) and Tobias Bachmüller 0.1 (0.1); no personal guarantee, share pledge or family charter is mentioned.</t>
        </is>
      </c>
      <c r="C5" s="2" t="inlineStr">
        <is>
          <t>F503</t>
        </is>
      </c>
    </row>
    <row r="6">
      <c r="A6" s="2" t="inlineStr">
        <is>
          <t>owners</t>
        </is>
      </c>
      <c r="B6" s="3" t="inlineStr">
        <is>
          <t>Limited partners' fixed capital shares: Bastian Fassin EUR 0.5m, Tobias Bachmüller EUR 0.1m (registered liability EUR 540k / EUR 60k); interest-bearing clearing accounts of the limited partners EUR 0.5m at 5.0%.</t>
        </is>
      </c>
      <c r="C6" s="2" t="inlineStr">
        <is>
          <t>F198</t>
        </is>
      </c>
    </row>
    <row r="7">
      <c r="A7" s="2" t="inlineStr">
        <is>
          <t>lenders</t>
        </is>
      </c>
      <c r="B7" s="3" t="inlineStr">
        <is>
          <t>No covenant test result disclosed; management states covenant compliance is ensured through continuous monitoring of KPIs and forward-looking financial planning.</t>
        </is>
      </c>
      <c r="C7" s="2" t="inlineStr">
        <is>
          <t>F718</t>
        </is>
      </c>
    </row>
    <row r="8">
      <c r="A8" s="2" t="inlineStr">
        <is>
          <t>lenders</t>
        </is>
      </c>
      <c r="B8" s="3" t="inlineStr">
        <is>
          <t>instrument: 2019/2024 bond; due: 2024; outcome: refinanced early in 2023 at 100.5% by the 2023/2028 bond of EUR 115m at 6.75%</t>
        </is>
      </c>
      <c r="C8" s="2" t="inlineStr">
        <is>
          <t>F904</t>
        </is>
      </c>
    </row>
    <row r="9">
      <c r="A9" s="2" t="inlineStr">
        <is>
          <t>lenders</t>
        </is>
      </c>
      <c r="B9" s="3" t="inlineStr">
        <is>
          <t>instrument: purchase-price liability for the Oral Care production site in Viersen, recognised as financial liability at 31 Dec 2023; amount: 6.4; due: 2024; outcome: repaid in 2024</t>
        </is>
      </c>
      <c r="C9" s="2" t="inlineStr">
        <is>
          <t>F583</t>
        </is>
      </c>
    </row>
    <row r="10">
      <c r="A10" s="2" t="inlineStr">
        <is>
          <t>lenders</t>
        </is>
      </c>
      <c r="B10" s="3" t="inlineStr">
        <is>
          <t>instrument: 2019/2024 corporate bond; amount: 110.0; due: 2024; outcome: refinanced early in September 2023 at 100.5% by the new 2023/2028 bond of EUR 115m at 6.75%</t>
        </is>
      </c>
      <c r="C10" s="2" t="inlineStr">
        <is>
          <t>F584</t>
        </is>
      </c>
    </row>
    <row r="11">
      <c r="A11" s="2" t="inlineStr">
        <is>
          <t>lenders</t>
        </is>
      </c>
      <c r="B11" s="3" t="inlineStr">
        <is>
          <t>instrument: 2020 liquidity-support bank loan, largely secured by a government guarantee (not from a promotional bank); amount: 5.0; outcome: repaid, EUR 0.0m at 31 Dec 2024</t>
        </is>
      </c>
      <c r="C11" s="2" t="inlineStr">
        <is>
          <t>F585</t>
        </is>
      </c>
    </row>
    <row r="12">
      <c r="A12" s="2" t="inlineStr">
        <is>
          <t>changes</t>
        </is>
      </c>
      <c r="B12" s="3" t="inlineStr">
        <is>
          <t>role: CEO Bogner (subsidiary); person: Arne Freundt; joined: 2026-06-01; reason as stated: former PUMA CEO assumed leadership to develop the brand and its international expansion</t>
        </is>
      </c>
      <c r="C12" s="2" t="inlineStr">
        <is>
          <t>F1242</t>
        </is>
      </c>
    </row>
    <row r="13">
      <c r="A13" s="2" t="inlineStr">
        <is>
          <t>changes</t>
        </is>
      </c>
      <c r="B13" s="3" t="inlineStr">
        <is>
          <t>Last changes: CFO Stephan Milde since 2012, Managing Partners Bachmüller since 1996 and Fassin since 2004; no succession plan stated in this report.</t>
        </is>
      </c>
      <c r="C13" s="2" t="inlineStr">
        <is>
          <t>F1115</t>
        </is>
      </c>
    </row>
    <row r="14">
      <c r="A14" s="2" t="inlineStr">
        <is>
          <t>pay</t>
        </is>
      </c>
      <c r="B14" s="3" t="inlineStr">
        <is>
          <t>person or body: general partner Xaver Fassin International GmbH (total remuneration of management); amount: 0.3 (H1-2025: 0.1); year: H1-2026</t>
        </is>
      </c>
      <c r="C14" s="2" t="inlineStr">
        <is>
          <t>F1243</t>
        </is>
      </c>
    </row>
    <row r="15">
      <c r="A15" s="2" t="inlineStr">
        <is>
          <t>pay</t>
        </is>
      </c>
      <c r="B15" s="3" t="inlineStr">
        <is>
          <t>person or body: executive bodies beyond the general partner; amount: not disclosed (protective clause Sec. 286 (4) HGB); year: 2023</t>
        </is>
      </c>
      <c r="C15" s="2" t="inlineStr">
        <is>
          <t>F299</t>
        </is>
      </c>
    </row>
    <row r="16">
      <c r="A16" s="2" t="inlineStr">
        <is>
          <t>board</t>
        </is>
      </c>
      <c r="B16" s="3" t="inlineStr">
        <is>
          <t>name: Stephan Milde; body: management; role: Managing Director (CFO); since: 2012</t>
        </is>
      </c>
      <c r="C16" s="2" t="inlineStr">
        <is>
          <t>F1154</t>
        </is>
      </c>
    </row>
    <row r="17">
      <c r="A17" s="2" t="inlineStr">
        <is>
          <t>board</t>
        </is>
      </c>
      <c r="B17" s="3" t="inlineStr">
        <is>
          <t>name: Bastian Fassin; body: management; role: Managing Partner; since: 2004</t>
        </is>
      </c>
      <c r="C17" s="2" t="inlineStr">
        <is>
          <t>F1155</t>
        </is>
      </c>
    </row>
    <row r="18">
      <c r="A18" s="2" t="inlineStr">
        <is>
          <t>board</t>
        </is>
      </c>
      <c r="B18" s="3" t="inlineStr">
        <is>
          <t>name: Tobias Bachmüller; body: management; role: Managing Partner; since: 1996</t>
        </is>
      </c>
      <c r="C18" s="2" t="inlineStr">
        <is>
          <t>F1156</t>
        </is>
      </c>
    </row>
    <row r="19">
      <c r="A19" s="2" t="inlineStr">
        <is>
          <t>board</t>
        </is>
      </c>
      <c r="B19" s="3" t="inlineStr">
        <is>
          <t>name: Tobias Bachmüller; body: management; role: Managing Shareholder, shareholder of the general partner and limited partner; since: 1996; independent: no</t>
        </is>
      </c>
      <c r="C19" s="2" t="inlineStr">
        <is>
          <t>F781</t>
        </is>
      </c>
    </row>
    <row r="20">
      <c r="A20" s="2" t="inlineStr">
        <is>
          <t>board</t>
        </is>
      </c>
      <c r="B20" s="3" t="inlineStr">
        <is>
          <t>name: Stephan Milde; body: management; role: CFO, managing director of the general partner; since: 2012; independent: no</t>
        </is>
      </c>
      <c r="C20" s="2" t="inlineStr">
        <is>
          <t>F782</t>
        </is>
      </c>
    </row>
    <row r="21">
      <c r="A21" s="2" t="inlineStr">
        <is>
          <t>board</t>
        </is>
      </c>
      <c r="B21" s="3" t="inlineStr">
        <is>
          <t>name: Bastian Fassin; body: management; role: Managing Shareholder, shareholder of the general partner Xaver Fassin International GmbH and limited partner; since: 2004; independent: no</t>
        </is>
      </c>
      <c r="C21" s="2" t="inlineStr">
        <is>
          <t>F783</t>
        </is>
      </c>
    </row>
    <row r="22">
      <c r="A22" s="2" t="inlineStr">
        <is>
          <t>board</t>
        </is>
      </c>
      <c r="B22" s="3" t="inlineStr">
        <is>
          <t>name: Bastian Fassin; body: management; role: Managing Shareholder; since: 2004; independent: no</t>
        </is>
      </c>
      <c r="C22" s="2" t="inlineStr">
        <is>
          <t>F494</t>
        </is>
      </c>
    </row>
    <row r="23">
      <c r="A23" s="2" t="inlineStr">
        <is>
          <t>board</t>
        </is>
      </c>
      <c r="B23" s="3" t="inlineStr">
        <is>
          <t>name: Tobias Bachmüller; body: management; role: Managing Shareholder; since: 1996; independent: no</t>
        </is>
      </c>
      <c r="C23" s="2" t="inlineStr">
        <is>
          <t>F495</t>
        </is>
      </c>
    </row>
    <row r="24">
      <c r="A24" s="2" t="inlineStr">
        <is>
          <t>board</t>
        </is>
      </c>
      <c r="B24" s="3" t="inlineStr">
        <is>
          <t>name: Stephan Milde; body: management; role: Managing Director (CFO); since: 2012</t>
        </is>
      </c>
      <c r="C24" s="2" t="inlineStr">
        <is>
          <t>F496</t>
        </is>
      </c>
    </row>
    <row r="25">
      <c r="A25" s="2" t="inlineStr">
        <is>
          <t>board</t>
        </is>
      </c>
      <c r="B25" s="3" t="inlineStr">
        <is>
          <t>name: Stephan Milde; body: management; role: Managing Director (CFO), appointed managing director of the general partner; since: 2012; independent: no</t>
        </is>
      </c>
      <c r="C25" s="2" t="inlineStr">
        <is>
          <t>F187</t>
        </is>
      </c>
    </row>
    <row r="26">
      <c r="A26" s="2" t="inlineStr">
        <is>
          <t>board</t>
        </is>
      </c>
      <c r="B26" s="3" t="inlineStr">
        <is>
          <t>name: Bastian Fassin; body: management; role: Managing Shareholder, shareholder of general partner Xaver Fassin International GmbH and limited partner; since: 2004; independent: no</t>
        </is>
      </c>
      <c r="C26" s="2" t="inlineStr">
        <is>
          <t>F188</t>
        </is>
      </c>
    </row>
    <row r="27">
      <c r="A27" s="2" t="inlineStr">
        <is>
          <t>board</t>
        </is>
      </c>
      <c r="B27" s="3" t="inlineStr">
        <is>
          <t>name: Tobias Bachmüller; body: management; role: Managing Shareholder, shareholder of general partner Xaver Fassin International GmbH and limited partner; since: 1996; independent: no</t>
        </is>
      </c>
      <c r="C27" s="2" t="inlineStr">
        <is>
          <t>F189</t>
        </is>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0" customWidth="1" min="2" max="2"/>
    <col width="8" customWidth="1" min="3" max="3"/>
    <col width="6" customWidth="1" min="4" max="4"/>
    <col width="8" customWidth="1" min="5" max="5"/>
  </cols>
  <sheetData>
    <row r="1">
      <c r="A1" s="1" t="inlineStr">
        <is>
          <t>Period</t>
        </is>
      </c>
      <c r="B1" s="1" t="inlineStr">
        <is>
          <t>Risk as the company states it</t>
        </is>
      </c>
      <c r="C1" s="1" t="inlineStr">
        <is>
          <t>Source</t>
        </is>
      </c>
      <c r="D1" s="1" t="inlineStr">
        <is>
          <t>Page</t>
        </is>
      </c>
      <c r="E1" s="1" t="inlineStr">
        <is>
          <t>Fact</t>
        </is>
      </c>
    </row>
    <row r="2">
      <c r="A2" s="2" t="n"/>
      <c r="B2" s="3" t="inlineStr">
        <is>
          <t>Seasonality: the second half carries significantly higher revenue and is decisive for the full year; the Bogner companies reinforce this pattern.</t>
        </is>
      </c>
      <c r="C2" s="2" t="inlineStr">
        <is>
          <t>S5</t>
        </is>
      </c>
      <c r="D2" s="2" t="n">
        <v>22</v>
      </c>
      <c r="E2" s="2" t="inlineStr">
        <is>
          <t>F1095</t>
        </is>
      </c>
    </row>
    <row r="3">
      <c r="A3" s="2" t="n"/>
      <c r="B3" s="3" t="inlineStr">
        <is>
          <t>Two instances of damage caused by third parties reduced H1-2026 operating result; the company states insurance coverage or a right of recourse 'generally exists' and expects resolution in H2-2026.</t>
        </is>
      </c>
      <c r="C3" s="2" t="inlineStr">
        <is>
          <t>S5</t>
        </is>
      </c>
      <c r="D3" s="2" t="n">
        <v>23</v>
      </c>
      <c r="E3" s="2" t="inlineStr">
        <is>
          <t>F1096</t>
        </is>
      </c>
    </row>
    <row r="4">
      <c r="A4" s="2" t="n"/>
      <c r="B4" s="3" t="inlineStr">
        <is>
          <t>Financial result worsened to -11.2 from -4.1, attributed to the bond increase and acquisition financing for Bogner, Missoni and Graze.</t>
        </is>
      </c>
      <c r="C4" s="2" t="inlineStr">
        <is>
          <t>S5</t>
        </is>
      </c>
      <c r="D4" s="2" t="n">
        <v>23</v>
      </c>
      <c r="E4" s="2" t="inlineStr">
        <is>
          <t>F1097</t>
        </is>
      </c>
    </row>
    <row r="5">
      <c r="A5" s="2" t="n"/>
      <c r="B5" s="3" t="inlineStr">
        <is>
          <t>Going concern: management states 'no risks threatening the Company's continued existence are identifiable at present or in the foreseeable future'.</t>
        </is>
      </c>
      <c r="C5" s="2" t="inlineStr">
        <is>
          <t>S5</t>
        </is>
      </c>
      <c r="D5" s="2" t="n">
        <v>26</v>
      </c>
      <c r="E5" s="2" t="inlineStr">
        <is>
          <t>F1098</t>
        </is>
      </c>
    </row>
    <row r="6">
      <c r="A6" s="2" t="n"/>
      <c r="B6" s="3" t="inlineStr">
        <is>
          <t>No significant changes in opportunities and risks versus the 2025 consolidated financial statements (pages 30 to 34 of that report).</t>
        </is>
      </c>
      <c r="C6" s="2" t="inlineStr">
        <is>
          <t>S5</t>
        </is>
      </c>
      <c r="D6" s="2" t="n">
        <v>26</v>
      </c>
      <c r="E6" s="2" t="inlineStr">
        <is>
          <t>F1099</t>
        </is>
      </c>
    </row>
    <row r="7">
      <c r="A7" s="2" t="n"/>
      <c r="B7" s="3" t="inlineStr">
        <is>
          <t>FX: cash held in GBP EUR 2.8m (0.5m) and in other currencies, mainly RUB, CHF and USD, EUR 8.6m (10.6m) at 30 June 2026; group includes Bogner Eastern Europe LLC, Moscow.</t>
        </is>
      </c>
      <c r="C7" s="2" t="inlineStr">
        <is>
          <t>S5</t>
        </is>
      </c>
      <c r="D7" s="2" t="n">
        <v>41</v>
      </c>
      <c r="E7" s="2" t="inlineStr">
        <is>
          <t>F1100</t>
        </is>
      </c>
    </row>
    <row r="8">
      <c r="A8" s="2" t="n"/>
      <c r="B8" s="3" t="inlineStr">
        <is>
          <t>Operating cash flow fell to 19.1 (2024: 45.6), attributed among other factors to the Bogner Group's strongly seasonal working capital; inventories rose to 97.1 (51.3) and receivables to 100.6 (59.2).</t>
        </is>
      </c>
      <c r="C8" s="2" t="inlineStr">
        <is>
          <t>S3</t>
        </is>
      </c>
      <c r="D8" s="2" t="n">
        <v>26</v>
      </c>
      <c r="E8" s="2" t="inlineStr">
        <is>
          <t>F701</t>
        </is>
      </c>
    </row>
    <row r="9">
      <c r="A9" s="2" t="n"/>
      <c r="B9" s="3" t="inlineStr">
        <is>
          <t>Management expects 'largely stable sales development' citing the low cyclicality of confectionery and body care; luxury goods (Bogner) are described as subject to 'significant risks'.</t>
        </is>
      </c>
      <c r="C9" s="2" t="inlineStr">
        <is>
          <t>S3</t>
        </is>
      </c>
      <c r="D9" s="2" t="n">
        <v>30</v>
      </c>
      <c r="E9" s="2" t="inlineStr">
        <is>
          <t>F702</t>
        </is>
      </c>
    </row>
    <row r="10">
      <c r="A10" s="2" t="n"/>
      <c r="B10" s="3" t="inlineStr">
        <is>
          <t>FX: international raw material sourcing exposes the Group to foreign exchange risk, especially against the US dollar; USD purchases hedged with forwards (notional 92.0); RUB, GBP, USD, CAD, CHF rates applied.</t>
        </is>
      </c>
      <c r="C10" s="2" t="inlineStr">
        <is>
          <t>S3</t>
        </is>
      </c>
      <c r="D10" s="2" t="n">
        <v>32</v>
      </c>
      <c r="E10" s="2" t="inlineStr">
        <is>
          <t>F703</t>
        </is>
      </c>
    </row>
    <row r="11">
      <c r="A11" s="2" t="n"/>
      <c r="B11" s="3" t="inlineStr">
        <is>
          <t>Group companies may be required to repay subsidies or other government grants (stated risk, no amount).</t>
        </is>
      </c>
      <c r="C11" s="2" t="inlineStr">
        <is>
          <t>S3</t>
        </is>
      </c>
      <c r="D11" s="2" t="n">
        <v>32</v>
      </c>
      <c r="E11" s="2" t="inlineStr">
        <is>
          <t>F704</t>
        </is>
      </c>
    </row>
    <row r="12">
      <c r="A12" s="2" t="n"/>
      <c r="B12" s="3" t="inlineStr">
        <is>
          <t>Key-person risk: success depends on the expertise and experience of key management personnel and qualified employees (stated risk).</t>
        </is>
      </c>
      <c r="C12" s="2" t="inlineStr">
        <is>
          <t>S3</t>
        </is>
      </c>
      <c r="D12" s="2" t="n">
        <v>32</v>
      </c>
      <c r="E12" s="2" t="inlineStr">
        <is>
          <t>F705</t>
        </is>
      </c>
    </row>
    <row r="13">
      <c r="A13" s="2" t="n"/>
      <c r="B13" s="3" t="inlineStr">
        <is>
          <t>Holding structure: Katjes International's earnings are primarily dependent on the results of its subsidiaries and portfolio companies, which it services for consideration.</t>
        </is>
      </c>
      <c r="C13" s="2" t="inlineStr">
        <is>
          <t>S3</t>
        </is>
      </c>
      <c r="D13" s="2" t="n">
        <v>32</v>
      </c>
      <c r="E13" s="2" t="inlineStr">
        <is>
          <t>F706</t>
        </is>
      </c>
    </row>
    <row r="14">
      <c r="A14" s="2" t="n"/>
      <c r="B14" s="3" t="inlineStr">
        <is>
          <t>Cyber risk named: a single incident may cause business interruption or data loss (stated risk, no incident disclosed).</t>
        </is>
      </c>
      <c r="C14" s="2" t="inlineStr">
        <is>
          <t>S3</t>
        </is>
      </c>
      <c r="D14" s="2" t="n">
        <v>32</v>
      </c>
      <c r="E14" s="2" t="inlineStr">
        <is>
          <t>F707</t>
        </is>
      </c>
    </row>
    <row r="15">
      <c r="A15" s="2" t="n"/>
      <c r="B15" s="3" t="inlineStr">
        <is>
          <t>Management rates the overall market-related and regulatory risk as 'rather low' and company-specific risks as 'manageable and appropriate' given mitigation measures.</t>
        </is>
      </c>
      <c r="C15" s="2" t="inlineStr">
        <is>
          <t>S3</t>
        </is>
      </c>
      <c r="D15" s="2" t="n">
        <v>32</v>
      </c>
      <c r="E15" s="2" t="inlineStr">
        <is>
          <t>F708</t>
        </is>
      </c>
    </row>
    <row r="16">
      <c r="A16" s="2" t="n"/>
      <c r="B16" s="3" t="inlineStr">
        <is>
          <t>Geopolitics: the Russia-Ukraine war and the Middle East security situation are named as risks on both the sales and procurement sides.</t>
        </is>
      </c>
      <c r="C16" s="2" t="inlineStr">
        <is>
          <t>S3</t>
        </is>
      </c>
      <c r="D16" s="2" t="n">
        <v>33</v>
      </c>
      <c r="E16" s="2" t="inlineStr">
        <is>
          <t>F709</t>
        </is>
      </c>
    </row>
    <row r="17">
      <c r="A17" s="2" t="n"/>
      <c r="B17" s="3" t="inlineStr">
        <is>
          <t>Trade receivables of EUR 2.1m more than six months past due at 31 Dec 2025, impaired by 0.7; total impairment allowance 1.5 (2024: 0.7); no collateral received.</t>
        </is>
      </c>
      <c r="C17" s="2" t="inlineStr">
        <is>
          <t>S3</t>
        </is>
      </c>
      <c r="D17" s="2" t="n">
        <v>66</v>
      </c>
      <c r="E17" s="2" t="inlineStr">
        <is>
          <t>F710</t>
        </is>
      </c>
    </row>
    <row r="18">
      <c r="A18" s="2" t="n"/>
      <c r="B18" s="3" t="inlineStr">
        <is>
          <t>Event after the balance sheet date: the US-Israel military conflict with Iran initiated on February 28, 2026; financial effects on the Company 'cannot be reliably determined'.</t>
        </is>
      </c>
      <c r="C18" s="2" t="inlineStr">
        <is>
          <t>S3</t>
        </is>
      </c>
      <c r="D18" s="2" t="n">
        <v>81</v>
      </c>
      <c r="E18" s="2" t="inlineStr">
        <is>
          <t>F711</t>
        </is>
      </c>
    </row>
    <row r="19">
      <c r="A19" s="2" t="n"/>
      <c r="B19" s="3" t="inlineStr">
        <is>
          <t>The Group fully consolidates Bogner Eastern Europe LLC, Moscow, Russia (60%); a RUB closing rate of 92.91 was applied at 31 Dec 2025.</t>
        </is>
      </c>
      <c r="C19" s="2" t="inlineStr">
        <is>
          <t>S3</t>
        </is>
      </c>
      <c r="D19" s="2" t="n">
        <v>84</v>
      </c>
      <c r="E19" s="2" t="inlineStr">
        <is>
          <t>F712</t>
        </is>
      </c>
    </row>
    <row r="20">
      <c r="A20" s="2" t="n"/>
      <c r="B20" s="3" t="inlineStr">
        <is>
          <t>Seasonality: the confectionery business is subject to seasonal fluctuations (seasonal products 13.9% of 2024 revenue).</t>
        </is>
      </c>
      <c r="C20" s="2" t="inlineStr">
        <is>
          <t>S2</t>
        </is>
      </c>
      <c r="D20" s="2" t="n">
        <v>35</v>
      </c>
      <c r="E20" s="2" t="inlineStr">
        <is>
          <t>F407</t>
        </is>
      </c>
    </row>
    <row r="21">
      <c r="A21" s="2" t="n"/>
      <c r="B21" s="3" t="inlineStr">
        <is>
          <t>Input costs: sugar, cocoa, nuts, glucose, panthenol and packaging materials are subject to significant price fluctuations that may not be fully passed on to customers.</t>
        </is>
      </c>
      <c r="C21" s="2" t="inlineStr">
        <is>
          <t>S2</t>
        </is>
      </c>
      <c r="D21" s="2" t="n">
        <v>35</v>
      </c>
      <c r="E21" s="2" t="inlineStr">
        <is>
          <t>F408</t>
        </is>
      </c>
    </row>
    <row r="22">
      <c r="A22" s="2" t="n"/>
      <c r="B22" s="3" t="inlineStr">
        <is>
          <t>Concentration: structural change and consolidation in retail and wholesale; concentration risks from large key accounts, especially in food retail.</t>
        </is>
      </c>
      <c r="C22" s="2" t="inlineStr">
        <is>
          <t>S2</t>
        </is>
      </c>
      <c r="D22" s="2" t="n">
        <v>35</v>
      </c>
      <c r="E22" s="2" t="inlineStr">
        <is>
          <t>F409</t>
        </is>
      </c>
    </row>
    <row r="23">
      <c r="A23" s="2" t="n"/>
      <c r="B23" s="3" t="inlineStr">
        <is>
          <t>Supply: reliance on certain suppliers; supply failures or delays may interrupt production.</t>
        </is>
      </c>
      <c r="C23" s="2" t="inlineStr">
        <is>
          <t>S2</t>
        </is>
      </c>
      <c r="D23" s="2" t="n">
        <v>35</v>
      </c>
      <c r="E23" s="2" t="inlineStr">
        <is>
          <t>F410</t>
        </is>
      </c>
    </row>
    <row r="24">
      <c r="A24" s="2" t="n"/>
      <c r="B24" s="3" t="inlineStr">
        <is>
          <t>Geopolitics: the war in Ukraine continues to cause volatility in procurement markets; the Middle East conflict is named as a relevant development.</t>
        </is>
      </c>
      <c r="C24" s="2" t="inlineStr">
        <is>
          <t>S2</t>
        </is>
      </c>
      <c r="D24" s="2" t="n">
        <v>35</v>
      </c>
      <c r="E24" s="2" t="inlineStr">
        <is>
          <t>F411</t>
        </is>
      </c>
    </row>
    <row r="25">
      <c r="A25" s="2" t="n"/>
      <c r="B25" s="3" t="inlineStr">
        <is>
          <t>Subsidies: group companies may be required to repay subsidies or other government grants.</t>
        </is>
      </c>
      <c r="C25" s="2" t="inlineStr">
        <is>
          <t>S2</t>
        </is>
      </c>
      <c r="D25" s="2" t="n">
        <v>35</v>
      </c>
      <c r="E25" s="2" t="inlineStr">
        <is>
          <t>F412</t>
        </is>
      </c>
    </row>
    <row r="26">
      <c r="A26" s="2" t="n"/>
      <c r="B26" s="3" t="inlineStr">
        <is>
          <t>Management assesses the overall market and regulatory risk as 'relatively low' and company-specific risks as 'relatively low' due to the risk management system; the profile is described as unchanged versus the prior year.</t>
        </is>
      </c>
      <c r="C26" s="2" t="inlineStr">
        <is>
          <t>S2</t>
        </is>
      </c>
      <c r="D26" s="2" t="n">
        <v>35</v>
      </c>
      <c r="E26" s="2" t="inlineStr">
        <is>
          <t>F413</t>
        </is>
      </c>
    </row>
    <row r="27">
      <c r="A27" s="2" t="n"/>
      <c r="B27" s="3" t="inlineStr">
        <is>
          <t>Structural: as a strategic holding company Katjes International earns service income and its earnings largely depend on the performance of subsidiaries and investments (bond issued at holding level).</t>
        </is>
      </c>
      <c r="C27" s="2" t="inlineStr">
        <is>
          <t>S2</t>
        </is>
      </c>
      <c r="D27" s="2" t="n">
        <v>36</v>
      </c>
      <c r="E27" s="2" t="inlineStr">
        <is>
          <t>F414</t>
        </is>
      </c>
    </row>
    <row r="28">
      <c r="A28" s="2" t="n"/>
      <c r="B28" s="3" t="inlineStr">
        <is>
          <t>Cyber: the threat of cyberattacks (hacking, phishing) is growing; a single attack could cause operational disruption or data loss.</t>
        </is>
      </c>
      <c r="C28" s="2" t="inlineStr">
        <is>
          <t>S2</t>
        </is>
      </c>
      <c r="D28" s="2" t="n">
        <v>36</v>
      </c>
      <c r="E28" s="2" t="inlineStr">
        <is>
          <t>F415</t>
        </is>
      </c>
    </row>
    <row r="29">
      <c r="A29" s="2" t="n"/>
      <c r="B29" s="3" t="inlineStr">
        <is>
          <t>A 1% move in the 2- and 3-month EURIBOR would change post-tax profit 2024 by EUR 0.4m (2023: EUR 0.8m), per the factoring interest sensitivity.</t>
        </is>
      </c>
      <c r="C29" s="2" t="inlineStr">
        <is>
          <t>S2</t>
        </is>
      </c>
      <c r="D29" s="2" t="n">
        <v>57</v>
      </c>
      <c r="E29" s="2" t="inlineStr">
        <is>
          <t>F416</t>
        </is>
      </c>
    </row>
    <row r="30">
      <c r="A30" s="2" t="n"/>
      <c r="B30" s="3" t="inlineStr">
        <is>
          <t>FX: the Group operates mainly in the EU with the vast majority of transactions in euro; no hedging instruments for FX risk at 31 Dec 2024; Candy Kittens and Longaim report in GBP (closing rate 1.21, average 1.18).</t>
        </is>
      </c>
      <c r="C30" s="2" t="inlineStr">
        <is>
          <t>S2</t>
        </is>
      </c>
      <c r="D30" s="2" t="n">
        <v>57</v>
      </c>
      <c r="E30" s="2" t="inlineStr">
        <is>
          <t>F417</t>
        </is>
      </c>
    </row>
    <row r="31">
      <c r="A31" s="2" t="n"/>
      <c r="B31" s="3" t="inlineStr">
        <is>
          <t>Credit: maximum credit exposure equals the carrying amount of trade and other receivables EUR 59.2m (2023: 57.3); no material concentrations of credit risk identified; no collateral received.</t>
        </is>
      </c>
      <c r="C31" s="2" t="inlineStr">
        <is>
          <t>S2</t>
        </is>
      </c>
      <c r="D31" s="2" t="n">
        <v>57</v>
      </c>
      <c r="E31" s="2" t="inlineStr">
        <is>
          <t>F418</t>
        </is>
      </c>
    </row>
    <row r="32">
      <c r="A32" s="2" t="n"/>
      <c r="B32" s="3" t="inlineStr">
        <is>
          <t>Refinancing: EUR 136.0m of financial liabilities (incl. the EUR 115m bond 2023/2028) fall due in two to five years from 31 Dec 2024; cash 54.0 at year end.</t>
        </is>
      </c>
      <c r="C32" s="2" t="inlineStr">
        <is>
          <t>S2</t>
        </is>
      </c>
      <c r="D32" s="2" t="n">
        <v>59</v>
      </c>
      <c r="E32" s="2" t="inlineStr">
        <is>
          <t>F419</t>
        </is>
      </c>
    </row>
    <row r="33">
      <c r="A33" s="2" t="n"/>
      <c r="B33" s="3" t="inlineStr">
        <is>
          <t>Receivables: EUR 0.5m of trade receivables more than six months overdue at 31 Dec 2024, fully impaired; impairment allowance 0.7 (2023: 0.4); gross trade receivables 39.0 (2023: 42.4).</t>
        </is>
      </c>
      <c r="C33" s="2" t="inlineStr">
        <is>
          <t>S2</t>
        </is>
      </c>
      <c r="D33" s="2" t="n">
        <v>66</v>
      </c>
      <c r="E33" s="2" t="inlineStr">
        <is>
          <t>F420</t>
        </is>
      </c>
    </row>
    <row r="34">
      <c r="A34" s="2" t="n"/>
      <c r="B34" s="3" t="inlineStr">
        <is>
          <t>Inventories EUR 51.3m at 31 Dec 2024 (2023: 46.4); inventory write-downs of EUR 1.5m in 2024 (2023: 0.9).</t>
        </is>
      </c>
      <c r="C34" s="2" t="inlineStr">
        <is>
          <t>S2</t>
        </is>
      </c>
      <c r="D34" s="2" t="n">
        <v>66</v>
      </c>
      <c r="E34" s="2" t="inlineStr">
        <is>
          <t>F421</t>
        </is>
      </c>
    </row>
    <row r="35">
      <c r="A35" s="2" t="n"/>
      <c r="B35" s="3" t="inlineStr">
        <is>
          <t>Concentration risk from major customers, especially in food retail, named by management; retail and wholesale consolidation could change volumes and conditions.</t>
        </is>
      </c>
      <c r="C35" s="2" t="inlineStr">
        <is>
          <t>S1</t>
        </is>
      </c>
      <c r="D35" s="2" t="n">
        <v>38</v>
      </c>
      <c r="E35" s="2" t="inlineStr">
        <is>
          <t>F094</t>
        </is>
      </c>
    </row>
    <row r="36">
      <c r="A36" s="2" t="n"/>
      <c r="B36" s="3" t="inlineStr">
        <is>
          <t>Purchasing terms for sugar, cocoa, nuts, glucose and panthenol could become 'less favourable' and may not be passed on in prices.</t>
        </is>
      </c>
      <c r="C36" s="2" t="inlineStr">
        <is>
          <t>S1</t>
        </is>
      </c>
      <c r="D36" s="2" t="n">
        <v>38</v>
      </c>
      <c r="E36" s="2" t="inlineStr">
        <is>
          <t>F095</t>
        </is>
      </c>
    </row>
    <row r="37">
      <c r="A37" s="2" t="n"/>
      <c r="B37" s="3" t="inlineStr">
        <is>
          <t>Dependence on certain suppliers; delivery delays or non-delivery could cause production downtime.</t>
        </is>
      </c>
      <c r="C37" s="2" t="inlineStr">
        <is>
          <t>S1</t>
        </is>
      </c>
      <c r="D37" s="2" t="n">
        <v>38</v>
      </c>
      <c r="E37" s="2" t="inlineStr">
        <is>
          <t>F096</t>
        </is>
      </c>
    </row>
    <row r="38">
      <c r="A38" s="2" t="n"/>
      <c r="B38" s="3" t="inlineStr">
        <is>
          <t>Management rates the overall market-related and regulatory risk as 'negligible' and company-related risks as 'manageable'; the opportunity and risk situation 'has not changed much' from the previous year.</t>
        </is>
      </c>
      <c r="C38" s="2" t="inlineStr">
        <is>
          <t>S1</t>
        </is>
      </c>
      <c r="D38" s="2" t="n">
        <v>38</v>
      </c>
      <c r="E38" s="2" t="inlineStr">
        <is>
          <t>F097</t>
        </is>
      </c>
    </row>
    <row r="39">
      <c r="A39" s="2" t="n"/>
      <c r="B39" s="3" t="inlineStr">
        <is>
          <t>Geopolitical: the wars in Ukraine and the Middle East could cause further unrest in procurement markets and affect energy and raw material prices.</t>
        </is>
      </c>
      <c r="C39" s="2" t="inlineStr">
        <is>
          <t>S1</t>
        </is>
      </c>
      <c r="D39" s="2" t="n">
        <v>38</v>
      </c>
      <c r="E39" s="2" t="inlineStr">
        <is>
          <t>F098</t>
        </is>
      </c>
    </row>
    <row r="40">
      <c r="A40" s="2" t="n"/>
      <c r="B40" s="3" t="inlineStr">
        <is>
          <t>Group companies may have to repay subsidies or other government funding (government grants of about EUR 2.4m received in 2023).</t>
        </is>
      </c>
      <c r="C40" s="2" t="inlineStr">
        <is>
          <t>S1</t>
        </is>
      </c>
      <c r="D40" s="2" t="n">
        <v>38</v>
      </c>
      <c r="E40" s="2" t="inlineStr">
        <is>
          <t>F099</t>
        </is>
      </c>
    </row>
    <row r="41">
      <c r="A41" s="2" t="n"/>
      <c r="B41" s="3" t="inlineStr">
        <is>
          <t>Seasonality: the confectionery business is subject to seasonal fluctuations (Christmas and Easter specialities at Sperlari/Paluani).</t>
        </is>
      </c>
      <c r="C41" s="2" t="inlineStr">
        <is>
          <t>S1</t>
        </is>
      </c>
      <c r="D41" s="2" t="n">
        <v>38</v>
      </c>
      <c r="E41" s="2" t="inlineStr">
        <is>
          <t>F100</t>
        </is>
      </c>
    </row>
    <row r="42">
      <c r="A42" s="2" t="n"/>
      <c r="B42" s="3" t="inlineStr">
        <is>
          <t>Key-person dependence on individual managers and skilled personnel stated by management.</t>
        </is>
      </c>
      <c r="C42" s="2" t="inlineStr">
        <is>
          <t>S1</t>
        </is>
      </c>
      <c r="D42" s="2" t="n">
        <v>39</v>
      </c>
      <c r="E42" s="2" t="inlineStr">
        <is>
          <t>F101</t>
        </is>
      </c>
    </row>
    <row r="43">
      <c r="A43" s="2" t="n"/>
      <c r="B43" s="3" t="inlineStr">
        <is>
          <t>Structural: the holding provides services to subsidiaries for payment but its earnings depend largely on the results of the subsidiaries and holdings.</t>
        </is>
      </c>
      <c r="C43" s="2" t="inlineStr">
        <is>
          <t>S1</t>
        </is>
      </c>
      <c r="D43" s="2" t="n">
        <v>39</v>
      </c>
      <c r="E43" s="2" t="inlineStr">
        <is>
          <t>F102</t>
        </is>
      </c>
    </row>
    <row r="44">
      <c r="A44" s="2" t="n"/>
      <c r="B44" s="3" t="inlineStr">
        <is>
          <t>Cyberattack risk (hacking, phishing) named as increasing; a single attack could cause business interruption or data loss.</t>
        </is>
      </c>
      <c r="C44" s="2" t="inlineStr">
        <is>
          <t>S1</t>
        </is>
      </c>
      <c r="D44" s="2" t="n">
        <v>39</v>
      </c>
      <c r="E44" s="2" t="inlineStr">
        <is>
          <t>F103</t>
        </is>
      </c>
    </row>
    <row r="45">
      <c r="A45" s="2" t="n"/>
      <c r="B45" s="3" t="inlineStr">
        <is>
          <t>Cash and cash equivalents of EUR 2.0m (SEK 24.0m) held in foreign currency at 31 Dec 2023; currency conversion effect EUR 0.0m.</t>
        </is>
      </c>
      <c r="C45" s="2" t="inlineStr">
        <is>
          <t>S1</t>
        </is>
      </c>
      <c r="D45" s="2" t="n">
        <v>48</v>
      </c>
      <c r="E45" s="2" t="inlineStr">
        <is>
          <t>F104</t>
        </is>
      </c>
    </row>
    <row r="46">
      <c r="A46" s="2" t="n"/>
      <c r="B46" s="3" t="inlineStr">
        <is>
          <t>Functional currency of Candy Kittens and Longaim is GBP; closing rate GBP 1.15, average 1.15, SEK closing 11.10.</t>
        </is>
      </c>
      <c r="C46" s="2" t="inlineStr">
        <is>
          <t>S1</t>
        </is>
      </c>
      <c r="D46" s="2" t="n">
        <v>53</v>
      </c>
      <c r="E46" s="2" t="inlineStr">
        <is>
          <t>F105</t>
        </is>
      </c>
    </row>
    <row r="47">
      <c r="A47" s="2" t="n"/>
      <c r="B47" s="3" t="inlineStr">
        <is>
          <t>Interest-rate sensitivity on factoring (three- and two-month Euribor): a 1% change moves profit after tax by EUR 0.8m in 2023 (2022: EUR 0.2m).</t>
        </is>
      </c>
      <c r="C47" s="2" t="inlineStr">
        <is>
          <t>S1</t>
        </is>
      </c>
      <c r="D47" s="2" t="n">
        <v>61</v>
      </c>
      <c r="E47" s="2" t="inlineStr">
        <is>
          <t>F106</t>
        </is>
      </c>
    </row>
    <row r="48">
      <c r="A48" s="2" t="n"/>
      <c r="B48" s="3" t="inlineStr">
        <is>
          <t>No hedging instruments for currency risk at 31 December 2023; Candy Kittens and Longaim report in GBP; cash of EUR 2.0m held in SEK (SEK 24.0m).</t>
        </is>
      </c>
      <c r="C48" s="2" t="inlineStr">
        <is>
          <t>S1</t>
        </is>
      </c>
      <c r="D48" s="2" t="n">
        <v>61</v>
      </c>
      <c r="E48" s="2" t="inlineStr">
        <is>
          <t>F107</t>
        </is>
      </c>
    </row>
    <row r="49">
      <c r="A49" s="2" t="n"/>
      <c r="B49" s="3" t="inlineStr">
        <is>
          <t>Credit risk: maximum default risk limited to receivables carrying amount EUR 57.3m (2022: 47.5); individual risk limits set on internal or external ratings.</t>
        </is>
      </c>
      <c r="C49" s="2" t="inlineStr">
        <is>
          <t>S1</t>
        </is>
      </c>
      <c r="D49" s="2" t="n">
        <v>61</v>
      </c>
      <c r="E49" s="2" t="inlineStr">
        <is>
          <t>F108</t>
        </is>
      </c>
    </row>
    <row r="50">
      <c r="A50" s="2" t="n"/>
      <c r="B50" s="3" t="inlineStr">
        <is>
          <t>Refinancing profile at 31 Dec 2023: EUR 137.4m due in two to five years (incl. the EUR 115m bond 2028) and EUR 4.2m after five years; at 31 Dec 2022 EUR 125.4m fell due in one to two years.</t>
        </is>
      </c>
      <c r="C50" s="2" t="inlineStr">
        <is>
          <t>S1</t>
        </is>
      </c>
      <c r="D50" s="2" t="n">
        <v>63</v>
      </c>
      <c r="E50" s="2" t="inlineStr">
        <is>
          <t>F109</t>
        </is>
      </c>
    </row>
    <row r="51">
      <c r="A51" s="2" t="n"/>
      <c r="B51" s="3" t="inlineStr">
        <is>
          <t>Trade receivables of EUR 0.9m more than six months overdue were written off in full at 31 Dec 2023; impairment allowance 0.4 (2022: 1.2).</t>
        </is>
      </c>
      <c r="C51" s="2" t="inlineStr">
        <is>
          <t>S1</t>
        </is>
      </c>
      <c r="D51" s="2" t="n">
        <v>70</v>
      </c>
      <c r="E51" s="2" t="inlineStr">
        <is>
          <t>F110</t>
        </is>
      </c>
    </row>
    <row r="52">
      <c r="A52" s="2" t="n"/>
      <c r="B52" s="3" t="inlineStr">
        <is>
          <t>If the Bonds are not listed on Nordic ABM within 6 months of the Issue Date, interest steps up by 1.00 percentage point for as long as the Listing Failure Event continues.</t>
        </is>
      </c>
      <c r="C52" s="2" t="inlineStr">
        <is>
          <t>S13</t>
        </is>
      </c>
      <c r="D52" s="2" t="n">
        <v>24</v>
      </c>
      <c r="E52" s="2" t="inlineStr">
        <is>
          <t>F1331</t>
        </is>
      </c>
    </row>
    <row r="53">
      <c r="A53" s="2" t="n"/>
      <c r="B53" s="3" t="inlineStr">
        <is>
          <t>Up to EUR 30.0m of the Existing Bonds may remain outstanding until their maturity on 12 April 2024, to be repaid by the Issuer on that date.</t>
        </is>
      </c>
      <c r="C53" s="2" t="inlineStr">
        <is>
          <t>S13</t>
        </is>
      </c>
      <c r="D53" s="2" t="n">
        <v>34</v>
      </c>
      <c r="E53" s="2" t="inlineStr">
        <is>
          <t>F1332</t>
        </is>
      </c>
    </row>
    <row r="54">
      <c r="A54" s="2" t="n"/>
      <c r="B54" s="3" t="inlineStr">
        <is>
          <t>Bondholders may put the Bonds at 101.00% upon a Change of Control, including if the Investors cease to control more than 50.00% of the Issuer or on a sale of substantially all Group assets.</t>
        </is>
      </c>
      <c r="C54" s="2" t="inlineStr">
        <is>
          <t>S13</t>
        </is>
      </c>
      <c r="D54" s="2" t="n">
        <v>4</v>
      </c>
      <c r="E54" s="2" t="inlineStr">
        <is>
          <t>F1333</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Q14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8" customWidth="1" min="3" max="3"/>
    <col width="30" customWidth="1" min="4" max="4"/>
    <col width="10" customWidth="1" min="5" max="5"/>
    <col width="10" customWidth="1" min="6" max="6"/>
    <col width="7" customWidth="1" min="7" max="7"/>
    <col width="60" customWidth="1" min="8" max="8"/>
    <col width="7" customWidth="1" min="9" max="9"/>
    <col width="6" customWidth="1" min="10" max="10"/>
    <col width="60" customWidth="1" min="11" max="11"/>
    <col width="8" customWidth="1" min="12" max="12"/>
    <col width="14" customWidth="1" min="13" max="13"/>
    <col width="30" customWidth="1" min="14" max="14"/>
    <col width="40" customWidth="1" min="15" max="15"/>
    <col width="40" customWidth="1" min="16" max="16"/>
    <col width="9" customWidth="1" min="17" max="17"/>
  </cols>
  <sheetData>
    <row r="1">
      <c r="A1" s="1" t="inlineStr">
        <is>
          <t>fact_id</t>
        </is>
      </c>
      <c r="B1" s="1" t="inlineStr">
        <is>
          <t>block</t>
        </is>
      </c>
      <c r="C1" s="1" t="inlineStr">
        <is>
          <t>field</t>
        </is>
      </c>
      <c r="D1" s="1" t="inlineStr">
        <is>
          <t>label</t>
        </is>
      </c>
      <c r="E1" s="1" t="inlineStr">
        <is>
          <t>period</t>
        </is>
      </c>
      <c r="F1" s="1" t="inlineStr">
        <is>
          <t>value</t>
        </is>
      </c>
      <c r="G1" s="1" t="inlineStr">
        <is>
          <t>unit</t>
        </is>
      </c>
      <c r="H1" s="1" t="inlineStr">
        <is>
          <t>text</t>
        </is>
      </c>
      <c r="I1" s="1" t="inlineStr">
        <is>
          <t>source</t>
        </is>
      </c>
      <c r="J1" s="1" t="inlineStr">
        <is>
          <t>page</t>
        </is>
      </c>
      <c r="K1" s="1" t="inlineStr">
        <is>
          <t>quote</t>
        </is>
      </c>
      <c r="L1" s="1" t="inlineStr">
        <is>
          <t>status</t>
        </is>
      </c>
      <c r="M1" s="1" t="inlineStr">
        <is>
          <t>reviewer</t>
        </is>
      </c>
      <c r="N1" s="1" t="inlineStr">
        <is>
          <t>note</t>
        </is>
      </c>
      <c r="O1" s="1" t="inlineStr">
        <is>
          <t>link</t>
        </is>
      </c>
      <c r="P1" s="1" t="inlineStr">
        <is>
          <t>proof</t>
        </is>
      </c>
      <c r="Q1" s="1" t="inlineStr">
        <is>
          <t>selected</t>
        </is>
      </c>
    </row>
    <row r="2">
      <c r="A2" s="2" t="inlineStr">
        <is>
          <t>F001</t>
        </is>
      </c>
      <c r="B2" s="2" t="inlineStr">
        <is>
          <t>identity</t>
        </is>
      </c>
      <c r="C2" s="2" t="inlineStr">
        <is>
          <t>legal_name</t>
        </is>
      </c>
      <c r="D2" s="2" t="inlineStr">
        <is>
          <t>Legal name</t>
        </is>
      </c>
      <c r="E2" s="2" t="n"/>
      <c r="F2" s="2" t="n"/>
      <c r="G2" s="2" t="n"/>
      <c r="H2" s="2" t="inlineStr">
        <is>
          <t>Katjes International GmbH &amp; Co. KG</t>
        </is>
      </c>
      <c r="I2" s="2" t="inlineStr">
        <is>
          <t>S1</t>
        </is>
      </c>
      <c r="J2" s="2" t="n">
        <v>50</v>
      </c>
      <c r="K2" s="3" t="inlineStr">
        <is>
          <t>Katjes International GmbH &amp; Co. KG (‘Katjes</t>
        </is>
      </c>
      <c r="L2" s="2" t="inlineStr">
        <is>
          <t>ok</t>
        </is>
      </c>
      <c r="M2" s="2" t="inlineStr">
        <is>
          <t>demo reviewer</t>
        </is>
      </c>
      <c r="N2" s="2" t="n"/>
      <c r="O2" s="3" t="inlineStr">
        <is>
          <t>https://vanillabonds.com/dossier-data/pdf/katjes/katjes-2023-annual-report.pdf#page=50</t>
        </is>
      </c>
      <c r="P2" s="3" t="inlineStr">
        <is>
          <t>https://vanillabonds.com/dossier.html?c=katjes&amp;viewer=1&amp;item=F001</t>
        </is>
      </c>
      <c r="Q2" s="2" t="inlineStr">
        <is>
          <t>no</t>
        </is>
      </c>
    </row>
    <row r="3">
      <c r="A3" s="2" t="inlineStr">
        <is>
          <t>F002</t>
        </is>
      </c>
      <c r="B3" s="2" t="inlineStr">
        <is>
          <t>identity</t>
        </is>
      </c>
      <c r="C3" s="2" t="inlineStr">
        <is>
          <t>legal_form</t>
        </is>
      </c>
      <c r="D3" s="2" t="inlineStr">
        <is>
          <t>Legal form</t>
        </is>
      </c>
      <c r="E3" s="2" t="n"/>
      <c r="F3" s="2" t="n"/>
      <c r="G3" s="2" t="n"/>
      <c r="H3" s="3" t="inlineStr">
        <is>
          <t>German GmbH &amp; Co. KG (limited partnership)</t>
        </is>
      </c>
      <c r="I3" s="2" t="inlineStr">
        <is>
          <t>S1</t>
        </is>
      </c>
      <c r="J3" s="2" t="n">
        <v>50</v>
      </c>
      <c r="K3" s="3" t="inlineStr">
        <is>
          <t>is a limited partnership (Kommanditgesellschaft)</t>
        </is>
      </c>
      <c r="L3" s="2" t="inlineStr">
        <is>
          <t>ok</t>
        </is>
      </c>
      <c r="M3" s="2" t="inlineStr">
        <is>
          <t>demo reviewer</t>
        </is>
      </c>
      <c r="N3" s="2" t="n"/>
      <c r="O3" s="3" t="inlineStr">
        <is>
          <t>https://vanillabonds.com/dossier-data/pdf/katjes/katjes-2023-annual-report.pdf#page=50</t>
        </is>
      </c>
      <c r="P3" s="3" t="inlineStr">
        <is>
          <t>https://vanillabonds.com/dossier.html?c=katjes&amp;viewer=1&amp;item=F002</t>
        </is>
      </c>
      <c r="Q3" s="2" t="inlineStr">
        <is>
          <t>no</t>
        </is>
      </c>
    </row>
    <row r="4">
      <c r="A4" s="2" t="inlineStr">
        <is>
          <t>F003</t>
        </is>
      </c>
      <c r="B4" s="2" t="inlineStr">
        <is>
          <t>identity</t>
        </is>
      </c>
      <c r="C4" s="2" t="inlineStr">
        <is>
          <t>registry</t>
        </is>
      </c>
      <c r="D4" s="2" t="inlineStr">
        <is>
          <t>Commercial register / registration no.</t>
        </is>
      </c>
      <c r="E4" s="2" t="n"/>
      <c r="F4" s="2" t="n"/>
      <c r="G4" s="2" t="n"/>
      <c r="H4" s="2" t="inlineStr">
        <is>
          <t>Amtsgericht Kleve HRA 1076</t>
        </is>
      </c>
      <c r="I4" s="2" t="inlineStr">
        <is>
          <t>S1</t>
        </is>
      </c>
      <c r="J4" s="2" t="n">
        <v>50</v>
      </c>
      <c r="K4" s="3" t="inlineStr">
        <is>
          <t>Court (Amtsgericht) under commercial register number HRA 1076</t>
        </is>
      </c>
      <c r="L4" s="2" t="inlineStr">
        <is>
          <t>ok</t>
        </is>
      </c>
      <c r="M4" s="2" t="inlineStr">
        <is>
          <t>demo reviewer</t>
        </is>
      </c>
      <c r="N4" s="2" t="n"/>
      <c r="O4" s="3" t="inlineStr">
        <is>
          <t>https://vanillabonds.com/dossier-data/pdf/katjes/katjes-2023-annual-report.pdf#page=50</t>
        </is>
      </c>
      <c r="P4" s="3" t="inlineStr">
        <is>
          <t>https://vanillabonds.com/dossier.html?c=katjes&amp;viewer=1&amp;item=F003</t>
        </is>
      </c>
      <c r="Q4" s="2" t="inlineStr">
        <is>
          <t>no</t>
        </is>
      </c>
    </row>
    <row r="5">
      <c r="A5" s="2" t="inlineStr">
        <is>
          <t>F004</t>
        </is>
      </c>
      <c r="B5" s="2" t="inlineStr">
        <is>
          <t>identity</t>
        </is>
      </c>
      <c r="C5" s="2" t="inlineStr">
        <is>
          <t>founded</t>
        </is>
      </c>
      <c r="D5" s="2" t="inlineStr">
        <is>
          <t>Founded</t>
        </is>
      </c>
      <c r="E5" s="2" t="n"/>
      <c r="F5" s="2" t="n"/>
      <c r="G5" s="2" t="n"/>
      <c r="H5" s="3" t="inlineStr">
        <is>
          <t>Established 2011 from predecessor companies</t>
        </is>
      </c>
      <c r="I5" s="2" t="inlineStr">
        <is>
          <t>S1</t>
        </is>
      </c>
      <c r="J5" s="2" t="n">
        <v>9</v>
      </c>
      <c r="K5" s="3" t="inlineStr">
        <is>
          <t>Established in 2011 from predecessor companies, the Katjes Group consists of Katjes International GmbH &amp; Co.</t>
        </is>
      </c>
      <c r="L5" s="2" t="inlineStr">
        <is>
          <t>ok</t>
        </is>
      </c>
      <c r="M5" s="2" t="inlineStr">
        <is>
          <t>demo reviewer</t>
        </is>
      </c>
      <c r="N5" s="2" t="n"/>
      <c r="O5" s="3" t="inlineStr">
        <is>
          <t>https://vanillabonds.com/dossier-data/pdf/katjes/katjes-2023-annual-report.pdf#page=9</t>
        </is>
      </c>
      <c r="P5" s="3" t="inlineStr">
        <is>
          <t>https://vanillabonds.com/dossier.html?c=katjes&amp;viewer=1&amp;item=F004</t>
        </is>
      </c>
      <c r="Q5" s="2" t="inlineStr">
        <is>
          <t>no</t>
        </is>
      </c>
    </row>
    <row r="6">
      <c r="A6" s="2" t="inlineStr">
        <is>
          <t>F005</t>
        </is>
      </c>
      <c r="B6" s="2" t="inlineStr">
        <is>
          <t>identity</t>
        </is>
      </c>
      <c r="C6" s="2" t="inlineStr">
        <is>
          <t>registered_office</t>
        </is>
      </c>
      <c r="D6" s="2" t="inlineStr">
        <is>
          <t>Registered office</t>
        </is>
      </c>
      <c r="E6" s="2" t="n"/>
      <c r="F6" s="2" t="n"/>
      <c r="G6" s="2" t="n"/>
      <c r="H6" s="3" t="inlineStr">
        <is>
          <t>Dechant-Sprünken-Str. 53–57, 46446 Emmerich am Rhein</t>
        </is>
      </c>
      <c r="I6" s="2" t="inlineStr">
        <is>
          <t>S1</t>
        </is>
      </c>
      <c r="J6" s="2" t="n">
        <v>50</v>
      </c>
      <c r="K6" s="3" t="inlineStr">
        <is>
          <t>Dechant-Sprünken-Str. 53–57 46446 Emmerich am Rhein Germany</t>
        </is>
      </c>
      <c r="L6" s="2" t="inlineStr">
        <is>
          <t>ok</t>
        </is>
      </c>
      <c r="M6" s="2" t="inlineStr">
        <is>
          <t>demo reviewer</t>
        </is>
      </c>
      <c r="N6" s="2" t="n"/>
      <c r="O6" s="3" t="inlineStr">
        <is>
          <t>https://vanillabonds.com/dossier-data/pdf/katjes/katjes-2023-annual-report.pdf#page=50</t>
        </is>
      </c>
      <c r="P6" s="3" t="inlineStr">
        <is>
          <t>https://vanillabonds.com/dossier.html?c=katjes&amp;viewer=1&amp;item=F005</t>
        </is>
      </c>
      <c r="Q6" s="2" t="inlineStr">
        <is>
          <t>no</t>
        </is>
      </c>
    </row>
    <row r="7">
      <c r="A7" s="2" t="inlineStr">
        <is>
          <t>F006</t>
        </is>
      </c>
      <c r="B7" s="2" t="inlineStr">
        <is>
          <t>identity</t>
        </is>
      </c>
      <c r="C7" s="2" t="inlineStr">
        <is>
          <t>country</t>
        </is>
      </c>
      <c r="D7" s="2" t="inlineStr">
        <is>
          <t>Country of incorporation (ISO-2)</t>
        </is>
      </c>
      <c r="E7" s="2" t="n"/>
      <c r="F7" s="2" t="n"/>
      <c r="G7" s="2" t="n"/>
      <c r="H7" s="2" t="inlineStr">
        <is>
          <t>DE</t>
        </is>
      </c>
      <c r="I7" s="2" t="inlineStr">
        <is>
          <t>S1</t>
        </is>
      </c>
      <c r="J7" s="2" t="n">
        <v>50</v>
      </c>
      <c r="K7" s="2" t="inlineStr">
        <is>
          <t>46446 Emmerich am Rhein Germany</t>
        </is>
      </c>
      <c r="L7" s="2" t="inlineStr">
        <is>
          <t>ok</t>
        </is>
      </c>
      <c r="M7" s="2" t="inlineStr">
        <is>
          <t>demo reviewer</t>
        </is>
      </c>
      <c r="N7" s="2" t="n"/>
      <c r="O7" s="3" t="inlineStr">
        <is>
          <t>https://vanillabonds.com/dossier-data/pdf/katjes/katjes-2023-annual-report.pdf#page=50</t>
        </is>
      </c>
      <c r="P7" s="3" t="inlineStr">
        <is>
          <t>https://vanillabonds.com/dossier.html?c=katjes&amp;viewer=1&amp;item=F006</t>
        </is>
      </c>
      <c r="Q7" s="2" t="inlineStr">
        <is>
          <t>no</t>
        </is>
      </c>
    </row>
    <row r="8">
      <c r="A8" s="2" t="inlineStr">
        <is>
          <t>F007</t>
        </is>
      </c>
      <c r="B8" s="2" t="inlineStr">
        <is>
          <t>identity</t>
        </is>
      </c>
      <c r="C8" s="2" t="inlineStr">
        <is>
          <t>sector</t>
        </is>
      </c>
      <c r="D8" s="2" t="inlineStr">
        <is>
          <t>Sector</t>
        </is>
      </c>
      <c r="E8" s="2" t="n"/>
      <c r="F8" s="2" t="n"/>
      <c r="G8" s="2" t="n"/>
      <c r="H8" s="3" t="inlineStr">
        <is>
          <t>FMCG: confectionery and personal care products</t>
        </is>
      </c>
      <c r="I8" s="2" t="inlineStr">
        <is>
          <t>S1</t>
        </is>
      </c>
      <c r="J8" s="2" t="n">
        <v>81</v>
      </c>
      <c r="K8" s="3" t="inlineStr">
        <is>
          <t>The Katjes International Group, through its subsidiaries, is a manufacturer and supplier of FMCG</t>
        </is>
      </c>
      <c r="L8" s="2" t="inlineStr">
        <is>
          <t>ok</t>
        </is>
      </c>
      <c r="M8" s="2" t="inlineStr">
        <is>
          <t>demo reviewer</t>
        </is>
      </c>
      <c r="N8" s="2" t="n"/>
      <c r="O8" s="3" t="inlineStr">
        <is>
          <t>https://vanillabonds.com/dossier-data/pdf/katjes/katjes-2023-annual-report.pdf#page=81</t>
        </is>
      </c>
      <c r="P8" s="3" t="inlineStr">
        <is>
          <t>https://vanillabonds.com/dossier.html?c=katjes&amp;viewer=1&amp;item=F007</t>
        </is>
      </c>
      <c r="Q8" s="2" t="inlineStr">
        <is>
          <t>no</t>
        </is>
      </c>
    </row>
    <row r="9">
      <c r="A9" s="2" t="inlineStr">
        <is>
          <t>F008</t>
        </is>
      </c>
      <c r="B9" s="2" t="inlineStr">
        <is>
          <t>identity</t>
        </is>
      </c>
      <c r="C9" s="2" t="inlineStr">
        <is>
          <t>sites</t>
        </is>
      </c>
      <c r="D9" s="2" t="inlineStr">
        <is>
          <t>Sites / countries of operation</t>
        </is>
      </c>
      <c r="E9" s="2" t="n"/>
      <c r="F9" s="2" t="n"/>
      <c r="G9" s="2" t="n"/>
      <c r="H9" s="3" t="inlineStr">
        <is>
          <t>Production and sales in Italy, Germany, UK, Netherlands</t>
        </is>
      </c>
      <c r="I9" s="2" t="inlineStr">
        <is>
          <t>S1</t>
        </is>
      </c>
      <c r="J9" s="2" t="n">
        <v>50</v>
      </c>
      <c r="K9" s="3" t="inlineStr">
        <is>
          <t>were performed in the Group companies in Italy, Germany, the United Kingdom (UK) and the Netherlands.</t>
        </is>
      </c>
      <c r="L9" s="2" t="inlineStr">
        <is>
          <t>ok</t>
        </is>
      </c>
      <c r="M9" s="2" t="inlineStr">
        <is>
          <t>demo reviewer</t>
        </is>
      </c>
      <c r="N9" s="2" t="n"/>
      <c r="O9" s="3" t="inlineStr">
        <is>
          <t>https://vanillabonds.com/dossier-data/pdf/katjes/katjes-2023-annual-report.pdf#page=50</t>
        </is>
      </c>
      <c r="P9" s="3" t="inlineStr">
        <is>
          <t>https://vanillabonds.com/dossier.html?c=katjes&amp;viewer=1&amp;item=F008</t>
        </is>
      </c>
      <c r="Q9" s="2" t="inlineStr">
        <is>
          <t>no</t>
        </is>
      </c>
    </row>
    <row r="10">
      <c r="A10" s="2" t="inlineStr">
        <is>
          <t>F009</t>
        </is>
      </c>
      <c r="B10" s="2" t="inlineStr">
        <is>
          <t>identity</t>
        </is>
      </c>
      <c r="C10" s="2" t="inlineStr">
        <is>
          <t>employees</t>
        </is>
      </c>
      <c r="D10" s="2" t="inlineStr">
        <is>
          <t>Employees (FTE, period end)</t>
        </is>
      </c>
      <c r="E10" s="2" t="inlineStr">
        <is>
          <t>FY2022</t>
        </is>
      </c>
      <c r="F10" s="2" t="n">
        <v>980</v>
      </c>
      <c r="G10" s="2" t="n"/>
      <c r="H10" s="3" t="inlineStr">
        <is>
          <t>Average employees for the year (not period end): 980</t>
        </is>
      </c>
      <c r="I10" s="2" t="inlineStr">
        <is>
          <t>S1</t>
        </is>
      </c>
      <c r="J10" s="2" t="n">
        <v>50</v>
      </c>
      <c r="K10" s="3" t="inlineStr">
        <is>
          <t>The Company employed an average of 998 employees in the financial year 2023 (2022: 980)</t>
        </is>
      </c>
      <c r="L10" s="2" t="inlineStr">
        <is>
          <t>ok</t>
        </is>
      </c>
      <c r="M10" s="2" t="inlineStr">
        <is>
          <t>demo reviewer</t>
        </is>
      </c>
      <c r="N10" s="2" t="n"/>
      <c r="O10" s="3" t="inlineStr">
        <is>
          <t>https://vanillabonds.com/dossier-data/pdf/katjes/katjes-2023-annual-report.pdf#page=50</t>
        </is>
      </c>
      <c r="P10" s="3" t="inlineStr">
        <is>
          <t>https://vanillabonds.com/dossier.html?c=katjes&amp;viewer=1&amp;item=F009</t>
        </is>
      </c>
      <c r="Q10" s="2" t="inlineStr"/>
    </row>
    <row r="11">
      <c r="A11" s="2" t="inlineStr">
        <is>
          <t>F010</t>
        </is>
      </c>
      <c r="B11" s="2" t="inlineStr">
        <is>
          <t>identity</t>
        </is>
      </c>
      <c r="C11" s="2" t="inlineStr">
        <is>
          <t>employees</t>
        </is>
      </c>
      <c r="D11" s="2" t="inlineStr">
        <is>
          <t>Employees (FTE, period end)</t>
        </is>
      </c>
      <c r="E11" s="2" t="inlineStr">
        <is>
          <t>FY2023</t>
        </is>
      </c>
      <c r="F11" s="2" t="n">
        <v>998</v>
      </c>
      <c r="G11" s="2" t="n"/>
      <c r="H11" s="3" t="inlineStr">
        <is>
          <t>Average employees for the year (not period end): 998, of which 596 Germany, 373 Italy, 14 Netherlands, 15 UK</t>
        </is>
      </c>
      <c r="I11" s="2" t="inlineStr">
        <is>
          <t>S1</t>
        </is>
      </c>
      <c r="J11" s="2" t="n">
        <v>50</v>
      </c>
      <c r="K11" s="3" t="inlineStr">
        <is>
          <t>The Company employed an average of 998 employees in the financial year 2023 (2022: 980)</t>
        </is>
      </c>
      <c r="L11" s="2" t="inlineStr">
        <is>
          <t>ok</t>
        </is>
      </c>
      <c r="M11" s="2" t="inlineStr">
        <is>
          <t>demo reviewer</t>
        </is>
      </c>
      <c r="N11" s="2" t="n"/>
      <c r="O11" s="3" t="inlineStr">
        <is>
          <t>https://vanillabonds.com/dossier-data/pdf/katjes/katjes-2023-annual-report.pdf#page=50</t>
        </is>
      </c>
      <c r="P11" s="3" t="inlineStr">
        <is>
          <t>https://vanillabonds.com/dossier.html?c=katjes&amp;viewer=1&amp;item=F010</t>
        </is>
      </c>
      <c r="Q11" s="2" t="inlineStr">
        <is>
          <t>no</t>
        </is>
      </c>
    </row>
    <row r="12">
      <c r="A12" s="2" t="inlineStr">
        <is>
          <t>F011</t>
        </is>
      </c>
      <c r="B12" s="2" t="inlineStr">
        <is>
          <t>identity</t>
        </is>
      </c>
      <c r="C12" s="2" t="inlineStr">
        <is>
          <t>ownership</t>
        </is>
      </c>
      <c r="D12" s="2" t="inlineStr">
        <is>
          <t>Ownership / UBO</t>
        </is>
      </c>
      <c r="E12" s="2" t="n"/>
      <c r="F12" s="2" t="n"/>
      <c r="G12" s="2" t="n"/>
      <c r="H12" s="3" t="inlineStr">
        <is>
          <t>Bastian Fassin (EUR 540k) and Tobias Bachmüller (EUR 60k)</t>
        </is>
      </c>
      <c r="I12" s="2" t="inlineStr">
        <is>
          <t>S1</t>
        </is>
      </c>
      <c r="J12" s="2" t="n">
        <v>50</v>
      </c>
      <c r="K12" s="3" t="inlineStr">
        <is>
          <t>partners are Bastian Fassin, with registered liability of EUR 540 thousand and Tobias Bachmüller</t>
        </is>
      </c>
      <c r="L12" s="2" t="inlineStr">
        <is>
          <t>ok</t>
        </is>
      </c>
      <c r="M12" s="2" t="inlineStr">
        <is>
          <t>demo reviewer</t>
        </is>
      </c>
      <c r="N12" s="2" t="n"/>
      <c r="O12" s="3" t="inlineStr">
        <is>
          <t>https://vanillabonds.com/dossier-data/pdf/katjes/katjes-2023-annual-report.pdf#page=50</t>
        </is>
      </c>
      <c r="P12" s="3" t="inlineStr">
        <is>
          <t>https://vanillabonds.com/dossier.html?c=katjes&amp;viewer=1&amp;item=F011</t>
        </is>
      </c>
      <c r="Q12" s="2" t="inlineStr">
        <is>
          <t>no</t>
        </is>
      </c>
    </row>
    <row r="13">
      <c r="A13" s="2" t="inlineStr">
        <is>
          <t>F012</t>
        </is>
      </c>
      <c r="B13" s="2" t="inlineStr">
        <is>
          <t>identity</t>
        </is>
      </c>
      <c r="C13" s="2" t="inlineStr">
        <is>
          <t>listing</t>
        </is>
      </c>
      <c r="D13" s="2" t="inlineStr">
        <is>
          <t>Listings (equity, bonds)</t>
        </is>
      </c>
      <c r="E13" s="2" t="n"/>
      <c r="F13" s="2" t="n"/>
      <c r="G13" s="2" t="n"/>
      <c r="H13" s="3" t="inlineStr">
        <is>
          <t>Bond 2023/2028 on Nordic ABM, Oslo Stock Exchange (Jan 2024)</t>
        </is>
      </c>
      <c r="I13" s="2" t="inlineStr">
        <is>
          <t>S1</t>
        </is>
      </c>
      <c r="J13" s="2" t="n">
        <v>85</v>
      </c>
      <c r="K13" s="3" t="inlineStr">
        <is>
          <t>the Nordic ABM of the Oslo Stock Exchange at the end of January 2024 as planned within six months of the issue</t>
        </is>
      </c>
      <c r="L13" s="2" t="inlineStr">
        <is>
          <t>ok</t>
        </is>
      </c>
      <c r="M13" s="2" t="inlineStr">
        <is>
          <t>demo reviewer</t>
        </is>
      </c>
      <c r="N13" s="2" t="n"/>
      <c r="O13" s="3" t="inlineStr">
        <is>
          <t>https://vanillabonds.com/dossier-data/pdf/katjes/katjes-2023-annual-report.pdf#page=85</t>
        </is>
      </c>
      <c r="P13" s="3" t="inlineStr">
        <is>
          <t>https://vanillabonds.com/dossier.html?c=katjes&amp;viewer=1&amp;item=F012</t>
        </is>
      </c>
      <c r="Q13" s="2" t="inlineStr">
        <is>
          <t>yes</t>
        </is>
      </c>
    </row>
    <row r="14">
      <c r="A14" s="2" t="inlineStr">
        <is>
          <t>F013</t>
        </is>
      </c>
      <c r="B14" s="2" t="inlineStr">
        <is>
          <t>identity</t>
        </is>
      </c>
      <c r="C14" s="2" t="inlineStr">
        <is>
          <t>auditor</t>
        </is>
      </c>
      <c r="D14" s="2" t="inlineStr">
        <is>
          <t>Auditor</t>
        </is>
      </c>
      <c r="E14" s="2" t="n"/>
      <c r="F14" s="2" t="n"/>
      <c r="G14" s="2" t="n"/>
      <c r="H14" s="3" t="inlineStr">
        <is>
          <t>EY GmbH &amp; Co. KG Wirtschaftsprüfungsgesellschaft, Düsseldorf</t>
        </is>
      </c>
      <c r="I14" s="2" t="inlineStr">
        <is>
          <t>S1</t>
        </is>
      </c>
      <c r="J14" s="2" t="n">
        <v>94</v>
      </c>
      <c r="K14" s="3" t="inlineStr">
        <is>
          <t>Düsseldorf, 27th March 2024 EY GmbH &amp; Co. KG Wirtschaftsprüfungsgesellschaft</t>
        </is>
      </c>
      <c r="L14" s="2" t="inlineStr">
        <is>
          <t>ok</t>
        </is>
      </c>
      <c r="M14" s="2" t="inlineStr">
        <is>
          <t>demo reviewer</t>
        </is>
      </c>
      <c r="N14" s="2" t="n"/>
      <c r="O14" s="3" t="inlineStr">
        <is>
          <t>https://vanillabonds.com/dossier-data/pdf/katjes/katjes-2023-annual-report.pdf#page=94</t>
        </is>
      </c>
      <c r="P14" s="3" t="inlineStr">
        <is>
          <t>https://vanillabonds.com/dossier.html?c=katjes&amp;viewer=1&amp;item=F013</t>
        </is>
      </c>
      <c r="Q14" s="2" t="inlineStr">
        <is>
          <t>no</t>
        </is>
      </c>
    </row>
    <row r="15">
      <c r="A15" s="2" t="inlineStr">
        <is>
          <t>F014</t>
        </is>
      </c>
      <c r="B15" s="2" t="inlineStr">
        <is>
          <t>identity</t>
        </is>
      </c>
      <c r="C15" s="2" t="inlineStr">
        <is>
          <t>audit_opinion</t>
        </is>
      </c>
      <c r="D15" s="2" t="inlineStr">
        <is>
          <t>Audit opinion</t>
        </is>
      </c>
      <c r="E15" s="2" t="inlineStr">
        <is>
          <t>FY2023</t>
        </is>
      </c>
      <c r="F15" s="2" t="n"/>
      <c r="G15" s="2" t="n"/>
      <c r="H15" s="3" t="inlineStr">
        <is>
          <t>unqualified; no reservations (Sec. 322 (3) HGB); no EoM</t>
        </is>
      </c>
      <c r="I15" s="2" t="inlineStr">
        <is>
          <t>S1</t>
        </is>
      </c>
      <c r="J15" s="2" t="n">
        <v>91</v>
      </c>
      <c r="K15" s="3" t="inlineStr">
        <is>
          <t>Pursuant to Sec. 322 (3) Sentence 1 HGB, we declare that our audit has not led to any reservations</t>
        </is>
      </c>
      <c r="L15" s="2" t="inlineStr">
        <is>
          <t>ok</t>
        </is>
      </c>
      <c r="M15" s="2" t="inlineStr">
        <is>
          <t>demo reviewer</t>
        </is>
      </c>
      <c r="N15" s="2" t="n"/>
      <c r="O15" s="3" t="inlineStr">
        <is>
          <t>https://vanillabonds.com/dossier-data/pdf/katjes/katjes-2023-annual-report.pdf#page=91</t>
        </is>
      </c>
      <c r="P15" s="3" t="inlineStr">
        <is>
          <t>https://vanillabonds.com/dossier.html?c=katjes&amp;viewer=1&amp;item=F014</t>
        </is>
      </c>
      <c r="Q15" s="2" t="inlineStr"/>
    </row>
    <row r="16">
      <c r="A16" s="2" t="inlineStr">
        <is>
          <t>F015</t>
        </is>
      </c>
      <c r="B16" s="2" t="inlineStr">
        <is>
          <t>identity</t>
        </is>
      </c>
      <c r="C16" s="2" t="inlineStr">
        <is>
          <t>accounting_standard</t>
        </is>
      </c>
      <c r="D16" s="2" t="inlineStr">
        <is>
          <t>Accounting standard</t>
        </is>
      </c>
      <c r="E16" s="2" t="n"/>
      <c r="F16" s="2" t="n"/>
      <c r="G16" s="2" t="n"/>
      <c r="H16" s="3" t="inlineStr">
        <is>
          <t>IFRS as adopted by the EU plus Sec. 315e (1) HGB</t>
        </is>
      </c>
      <c r="I16" s="2" t="inlineStr">
        <is>
          <t>S1</t>
        </is>
      </c>
      <c r="J16" s="2" t="n">
        <v>51</v>
      </c>
      <c r="K16" s="3" t="inlineStr">
        <is>
          <t>(IFRS) as adopted by the EU and the supplementary provisions set out in section 315e (1) of the German Commercial Code (HGB).</t>
        </is>
      </c>
      <c r="L16" s="2" t="inlineStr">
        <is>
          <t>ok</t>
        </is>
      </c>
      <c r="M16" s="2" t="inlineStr">
        <is>
          <t>demo reviewer</t>
        </is>
      </c>
      <c r="N16" s="2" t="n"/>
      <c r="O16" s="3" t="inlineStr">
        <is>
          <t>https://vanillabonds.com/dossier-data/pdf/katjes/katjes-2023-annual-report.pdf#page=51</t>
        </is>
      </c>
      <c r="P16" s="3" t="inlineStr">
        <is>
          <t>https://vanillabonds.com/dossier.html?c=katjes&amp;viewer=1&amp;item=F015</t>
        </is>
      </c>
      <c r="Q16" s="2" t="inlineStr">
        <is>
          <t>no</t>
        </is>
      </c>
    </row>
    <row r="17">
      <c r="A17" s="2" t="inlineStr">
        <is>
          <t>F016</t>
        </is>
      </c>
      <c r="B17" s="2" t="inlineStr">
        <is>
          <t>identity</t>
        </is>
      </c>
      <c r="C17" s="2" t="inlineStr">
        <is>
          <t>fiscal_year_end</t>
        </is>
      </c>
      <c r="D17" s="2" t="inlineStr">
        <is>
          <t>Fiscal year end</t>
        </is>
      </c>
      <c r="E17" s="2" t="n"/>
      <c r="F17" s="2" t="n"/>
      <c r="G17" s="2" t="n"/>
      <c r="H17" s="2" t="inlineStr">
        <is>
          <t>31 December (calendar year)</t>
        </is>
      </c>
      <c r="I17" s="2" t="inlineStr">
        <is>
          <t>S1</t>
        </is>
      </c>
      <c r="J17" s="2" t="n">
        <v>50</v>
      </c>
      <c r="K17" s="2" t="inlineStr">
        <is>
          <t>The financial year is the calendar year.</t>
        </is>
      </c>
      <c r="L17" s="2" t="inlineStr">
        <is>
          <t>ok</t>
        </is>
      </c>
      <c r="M17" s="2" t="inlineStr">
        <is>
          <t>demo reviewer</t>
        </is>
      </c>
      <c r="N17" s="2" t="n"/>
      <c r="O17" s="3" t="inlineStr">
        <is>
          <t>https://vanillabonds.com/dossier-data/pdf/katjes/katjes-2023-annual-report.pdf#page=50</t>
        </is>
      </c>
      <c r="P17" s="3" t="inlineStr">
        <is>
          <t>https://vanillabonds.com/dossier.html?c=katjes&amp;viewer=1&amp;item=F016</t>
        </is>
      </c>
      <c r="Q17" s="2" t="inlineStr">
        <is>
          <t>no</t>
        </is>
      </c>
    </row>
    <row r="18">
      <c r="A18" s="2" t="inlineStr">
        <is>
          <t>F017</t>
        </is>
      </c>
      <c r="B18" s="2" t="inlineStr">
        <is>
          <t>business</t>
        </is>
      </c>
      <c r="C18" s="2" t="inlineStr">
        <is>
          <t>business_fact</t>
        </is>
      </c>
      <c r="D18" s="2" t="inlineStr">
        <is>
          <t>Business fact</t>
        </is>
      </c>
      <c r="E18" s="2" t="n"/>
      <c r="F18" s="2" t="n"/>
      <c r="G18" s="2" t="n"/>
      <c r="H18" s="3" t="inlineStr">
        <is>
          <t>Activities are focused on Italy, Germany, the Netherlands, the UK, Spain and France through investments in local brands.</t>
        </is>
      </c>
      <c r="I18" s="2" t="inlineStr">
        <is>
          <t>S1</t>
        </is>
      </c>
      <c r="J18" s="2" t="n">
        <v>9</v>
      </c>
      <c r="K18" s="3" t="inlineStr">
        <is>
          <t>activities are currently focused on Italy, Germany, the Netherlands, the UK, Spain and France.</t>
        </is>
      </c>
      <c r="L18" s="2" t="inlineStr">
        <is>
          <t>ok</t>
        </is>
      </c>
      <c r="M18" s="2" t="inlineStr">
        <is>
          <t>demo reviewer</t>
        </is>
      </c>
      <c r="N18" s="2" t="n"/>
      <c r="O18" s="3" t="inlineStr">
        <is>
          <t>https://vanillabonds.com/dossier-data/pdf/katjes/katjes-2023-annual-report.pdf#page=9</t>
        </is>
      </c>
      <c r="P18" s="3" t="inlineStr">
        <is>
          <t>https://vanillabonds.com/dossier.html?c=katjes&amp;viewer=1&amp;item=F017</t>
        </is>
      </c>
      <c r="Q18" s="2" t="inlineStr"/>
    </row>
    <row r="19">
      <c r="A19" s="2" t="inlineStr">
        <is>
          <t>F018</t>
        </is>
      </c>
      <c r="B19" s="2" t="inlineStr">
        <is>
          <t>business</t>
        </is>
      </c>
      <c r="C19" s="2" t="inlineStr">
        <is>
          <t>business_fact</t>
        </is>
      </c>
      <c r="D19" s="2" t="inlineStr">
        <is>
          <t>Business fact</t>
        </is>
      </c>
      <c r="E19" s="2" t="n"/>
      <c r="F19" s="2" t="n"/>
      <c r="G19" s="2" t="n"/>
      <c r="H19" s="3" t="inlineStr">
        <is>
          <t>Dallmann's Pharma Candy produces Dallmann's sage throat lozenges and distributes WICK cough drops in Germany.</t>
        </is>
      </c>
      <c r="I19" s="2" t="inlineStr">
        <is>
          <t>S1</t>
        </is>
      </c>
      <c r="J19" s="2" t="n">
        <v>17</v>
      </c>
      <c r="K19" s="3" t="inlineStr">
        <is>
          <t>Throat and cough drops / distribution of ‘WICK’ cough drops</t>
        </is>
      </c>
      <c r="L19" s="2" t="inlineStr">
        <is>
          <t>ok</t>
        </is>
      </c>
      <c r="M19" s="2" t="inlineStr">
        <is>
          <t>demo reviewer</t>
        </is>
      </c>
      <c r="N19" s="2" t="n"/>
      <c r="O19" s="3" t="inlineStr">
        <is>
          <t>https://vanillabonds.com/dossier-data/pdf/katjes/katjes-2023-annual-report.pdf#page=17</t>
        </is>
      </c>
      <c r="P19" s="3" t="inlineStr">
        <is>
          <t>https://vanillabonds.com/dossier.html?c=katjes&amp;viewer=1&amp;item=F018</t>
        </is>
      </c>
      <c r="Q19" s="2" t="inlineStr"/>
    </row>
    <row r="20">
      <c r="A20" s="2" t="inlineStr">
        <is>
          <t>F019</t>
        </is>
      </c>
      <c r="B20" s="2" t="inlineStr">
        <is>
          <t>business</t>
        </is>
      </c>
      <c r="C20" s="2" t="inlineStr">
        <is>
          <t>business_fact</t>
        </is>
      </c>
      <c r="D20" s="2" t="inlineStr">
        <is>
          <t>Business fact</t>
        </is>
      </c>
      <c r="E20" s="2" t="n"/>
      <c r="F20" s="2" t="n"/>
      <c r="G20" s="2" t="n"/>
      <c r="H20" s="3" t="inlineStr">
        <is>
          <t>Katjes International is a strategic investor for more than a decade; sister companies Katjes Fassin GmbH + Co. KG (Katjes Germany) and Katjesgreenfood GmbH &amp; Co. KG are legally independent and outside the consolidation.</t>
        </is>
      </c>
      <c r="I20" s="2" t="inlineStr">
        <is>
          <t>S1</t>
        </is>
      </c>
      <c r="J20" s="2" t="n">
        <v>26</v>
      </c>
      <c r="K20" s="3" t="inlineStr">
        <is>
          <t>has been operating as a strategic investor for more than a decade. Together with its sister companies Katjes Fassin GmbH + Co. KG (‘Katjes Germany’)</t>
        </is>
      </c>
      <c r="L20" s="2" t="inlineStr">
        <is>
          <t>ok</t>
        </is>
      </c>
      <c r="M20" s="2" t="inlineStr">
        <is>
          <t>demo reviewer</t>
        </is>
      </c>
      <c r="N20" s="2" t="n"/>
      <c r="O20" s="3" t="inlineStr">
        <is>
          <t>https://vanillabonds.com/dossier-data/pdf/katjes/katjes-2023-annual-report.pdf#page=26</t>
        </is>
      </c>
      <c r="P20" s="3" t="inlineStr">
        <is>
          <t>https://vanillabonds.com/dossier.html?c=katjes&amp;viewer=1&amp;item=F019</t>
        </is>
      </c>
      <c r="Q20" s="2" t="inlineStr"/>
    </row>
    <row r="21">
      <c r="A21" s="2" t="inlineStr">
        <is>
          <t>F020</t>
        </is>
      </c>
      <c r="B21" s="2" t="inlineStr">
        <is>
          <t>business</t>
        </is>
      </c>
      <c r="C21" s="2" t="inlineStr">
        <is>
          <t>business_fact</t>
        </is>
      </c>
      <c r="D21" s="2" t="inlineStr">
        <is>
          <t>Business fact</t>
        </is>
      </c>
      <c r="E21" s="2" t="n"/>
      <c r="F21" s="2" t="n"/>
      <c r="G21" s="2" t="n"/>
      <c r="H21" s="3" t="inlineStr">
        <is>
          <t>After an acquisition the associated companies remain legally and organisationally independent and local management is kept in place.</t>
        </is>
      </c>
      <c r="I21" s="2" t="inlineStr">
        <is>
          <t>S1</t>
        </is>
      </c>
      <c r="J21" s="2" t="n">
        <v>26</v>
      </c>
      <c r="K21" s="3" t="inlineStr">
        <is>
          <t>associated companies remain independent in legal and organisational terms, and the local management is kept in place.</t>
        </is>
      </c>
      <c r="L21" s="2" t="inlineStr">
        <is>
          <t>ok</t>
        </is>
      </c>
      <c r="M21" s="2" t="inlineStr">
        <is>
          <t>demo reviewer</t>
        </is>
      </c>
      <c r="N21" s="2" t="n"/>
      <c r="O21" s="3" t="inlineStr">
        <is>
          <t>https://vanillabonds.com/dossier-data/pdf/katjes/katjes-2023-annual-report.pdf#page=26</t>
        </is>
      </c>
      <c r="P21" s="3" t="inlineStr">
        <is>
          <t>https://vanillabonds.com/dossier.html?c=katjes&amp;viewer=1&amp;item=F020</t>
        </is>
      </c>
      <c r="Q21" s="2" t="inlineStr"/>
    </row>
    <row r="22">
      <c r="A22" s="2" t="inlineStr">
        <is>
          <t>F021</t>
        </is>
      </c>
      <c r="B22" s="2" t="inlineStr">
        <is>
          <t>business</t>
        </is>
      </c>
      <c r="C22" s="2" t="inlineStr">
        <is>
          <t>business_fact</t>
        </is>
      </c>
      <c r="D22" s="2" t="inlineStr">
        <is>
          <t>Business fact</t>
        </is>
      </c>
      <c r="E22" s="2" t="n"/>
      <c r="F22" s="2" t="n"/>
      <c r="G22" s="2" t="n"/>
      <c r="H22" s="3" t="inlineStr">
        <is>
          <t>Research and development expenses of the subsidiaries were EUR 1.0m in 2023 (2022: EUR 1.0m).</t>
        </is>
      </c>
      <c r="I22" s="2" t="inlineStr">
        <is>
          <t>S1</t>
        </is>
      </c>
      <c r="J22" s="2" t="n">
        <v>28</v>
      </c>
      <c r="K22" s="3" t="inlineStr">
        <is>
          <t>reporting year, the corresponding expenses amounted to EUR 1.0 million (previous year: EUR 1.0 million)</t>
        </is>
      </c>
      <c r="L22" s="2" t="inlineStr">
        <is>
          <t>ok</t>
        </is>
      </c>
      <c r="M22" s="2" t="inlineStr">
        <is>
          <t>demo reviewer</t>
        </is>
      </c>
      <c r="N22" s="2" t="n"/>
      <c r="O22" s="3" t="inlineStr">
        <is>
          <t>https://vanillabonds.com/dossier-data/pdf/katjes/katjes-2023-annual-report.pdf#page=28</t>
        </is>
      </c>
      <c r="P22" s="3" t="inlineStr">
        <is>
          <t>https://vanillabonds.com/dossier.html?c=katjes&amp;viewer=1&amp;item=F021</t>
        </is>
      </c>
      <c r="Q22" s="2" t="inlineStr"/>
    </row>
    <row r="23">
      <c r="A23" s="2" t="inlineStr">
        <is>
          <t>F022</t>
        </is>
      </c>
      <c r="B23" s="2" t="inlineStr">
        <is>
          <t>business</t>
        </is>
      </c>
      <c r="C23" s="2" t="inlineStr">
        <is>
          <t>business_fact</t>
        </is>
      </c>
      <c r="D23" s="2" t="inlineStr">
        <is>
          <t>Business fact</t>
        </is>
      </c>
      <c r="E23" s="2" t="n"/>
      <c r="F23" s="2" t="n"/>
      <c r="G23" s="2" t="n"/>
      <c r="H23" s="3" t="inlineStr">
        <is>
          <t>Product mix 2023: sugar confectionery 41.4% of sales (2022: 43.1%), body care 23.1% (18.8%), chocolate 15.7% (18.7%), seasonal 12.4% (12.6%).</t>
        </is>
      </c>
      <c r="I23" s="2" t="inlineStr">
        <is>
          <t>S1</t>
        </is>
      </c>
      <c r="J23" s="2" t="n">
        <v>32</v>
      </c>
      <c r="K23" s="3" t="inlineStr">
        <is>
          <t>Chocolate products accounted for 15.7% (previous year: 18.7%) and seasonal products amounted to 12.4% (previous year: 12.6%).</t>
        </is>
      </c>
      <c r="L23" s="2" t="inlineStr">
        <is>
          <t>ok</t>
        </is>
      </c>
      <c r="M23" s="2" t="inlineStr">
        <is>
          <t>demo reviewer</t>
        </is>
      </c>
      <c r="N23" s="2" t="n"/>
      <c r="O23" s="3" t="inlineStr">
        <is>
          <t>https://vanillabonds.com/dossier-data/pdf/katjes/katjes-2023-annual-report.pdf#page=32</t>
        </is>
      </c>
      <c r="P23" s="3" t="inlineStr">
        <is>
          <t>https://vanillabonds.com/dossier.html?c=katjes&amp;viewer=1&amp;item=F022</t>
        </is>
      </c>
      <c r="Q23" s="2" t="inlineStr"/>
    </row>
    <row r="24">
      <c r="A24" s="2" t="inlineStr">
        <is>
          <t>F023</t>
        </is>
      </c>
      <c r="B24" s="2" t="inlineStr">
        <is>
          <t>business</t>
        </is>
      </c>
      <c r="C24" s="2" t="inlineStr">
        <is>
          <t>business_fact</t>
        </is>
      </c>
      <c r="D24" s="2" t="inlineStr">
        <is>
          <t>Business fact</t>
        </is>
      </c>
      <c r="E24" s="2" t="n"/>
      <c r="F24" s="2" t="n"/>
      <c r="G24" s="2" t="n"/>
      <c r="H24" s="3" t="inlineStr">
        <is>
          <t>Cost of sales EUR 295.5m = 78.3% of revenue (2022: 82.6%); gross profit EUR 81.9m, gross margin 21.7% (2022: 17.4%).</t>
        </is>
      </c>
      <c r="I24" s="2" t="inlineStr">
        <is>
          <t>S1</t>
        </is>
      </c>
      <c r="J24" s="2" t="n">
        <v>32</v>
      </c>
      <c r="K24" s="3" t="inlineStr">
        <is>
          <t>At 78.3%, cost of sales as a percentage of revenue was below the previous year’s level (2022: 82.6%).</t>
        </is>
      </c>
      <c r="L24" s="2" t="inlineStr">
        <is>
          <t>ok</t>
        </is>
      </c>
      <c r="M24" s="2" t="inlineStr">
        <is>
          <t>demo reviewer</t>
        </is>
      </c>
      <c r="N24" s="2" t="n"/>
      <c r="O24" s="3" t="inlineStr">
        <is>
          <t>https://vanillabonds.com/dossier-data/pdf/katjes/katjes-2023-annual-report.pdf#page=32</t>
        </is>
      </c>
      <c r="P24" s="3" t="inlineStr">
        <is>
          <t>https://vanillabonds.com/dossier.html?c=katjes&amp;viewer=1&amp;item=F023</t>
        </is>
      </c>
      <c r="Q24" s="2" t="inlineStr"/>
    </row>
    <row r="25">
      <c r="A25" s="2" t="inlineStr">
        <is>
          <t>F024</t>
        </is>
      </c>
      <c r="B25" s="2" t="inlineStr">
        <is>
          <t>business</t>
        </is>
      </c>
      <c r="C25" s="2" t="inlineStr">
        <is>
          <t>business_fact</t>
        </is>
      </c>
      <c r="D25" s="2" t="inlineStr">
        <is>
          <t>Business fact</t>
        </is>
      </c>
      <c r="E25" s="2" t="n"/>
      <c r="F25" s="2" t="n"/>
      <c r="G25" s="2" t="n"/>
      <c r="H25" s="3" t="inlineStr">
        <is>
          <t>Equity ratio 36.9% at 31 Dec 2023 (2022: 37.8%), described by management as 'stable'.</t>
        </is>
      </c>
      <c r="I25" s="2" t="inlineStr">
        <is>
          <t>S1</t>
        </is>
      </c>
      <c r="J25" s="2" t="n">
        <v>34</v>
      </c>
      <c r="K25" s="3" t="inlineStr">
        <is>
          <t>equity ratio remained stable at 36.9% as at the reporting date (31 December 2022: 37.8%).</t>
        </is>
      </c>
      <c r="L25" s="2" t="inlineStr">
        <is>
          <t>ok</t>
        </is>
      </c>
      <c r="M25" s="2" t="inlineStr">
        <is>
          <t>demo reviewer</t>
        </is>
      </c>
      <c r="N25" s="2" t="n"/>
      <c r="O25" s="3" t="inlineStr">
        <is>
          <t>https://vanillabonds.com/dossier-data/pdf/katjes/katjes-2023-annual-report.pdf#page=34</t>
        </is>
      </c>
      <c r="P25" s="3" t="inlineStr">
        <is>
          <t>https://vanillabonds.com/dossier.html?c=katjes&amp;viewer=1&amp;item=F024</t>
        </is>
      </c>
      <c r="Q25" s="2" t="inlineStr"/>
    </row>
    <row r="26">
      <c r="A26" s="2" t="inlineStr">
        <is>
          <t>F025</t>
        </is>
      </c>
      <c r="B26" s="2" t="inlineStr">
        <is>
          <t>business</t>
        </is>
      </c>
      <c r="C26" s="2" t="inlineStr">
        <is>
          <t>business_fact</t>
        </is>
      </c>
      <c r="D26" s="2" t="inlineStr">
        <is>
          <t>Business fact</t>
        </is>
      </c>
      <c r="E26" s="2" t="n"/>
      <c r="F26" s="2" t="n"/>
      <c r="G26" s="2" t="n"/>
      <c r="H26" s="3" t="inlineStr">
        <is>
          <t>Raw material price risks are monitored through joint purchasing with Katjes Germany and the subsidiaries; short-term price risk managed by longer-term fixed-price supplier contracts.</t>
        </is>
      </c>
      <c r="I26" s="2" t="inlineStr">
        <is>
          <t>S1</t>
        </is>
      </c>
      <c r="J26" s="2" t="n">
        <v>40</v>
      </c>
      <c r="K26" s="3" t="inlineStr">
        <is>
          <t>Risks relating to raw material prices are monitored as part of the joint purchasing activities with Katjes Germany</t>
        </is>
      </c>
      <c r="L26" s="2" t="inlineStr">
        <is>
          <t>ok</t>
        </is>
      </c>
      <c r="M26" s="2" t="inlineStr">
        <is>
          <t>demo reviewer</t>
        </is>
      </c>
      <c r="N26" s="2" t="n"/>
      <c r="O26" s="3" t="inlineStr">
        <is>
          <t>https://vanillabonds.com/dossier-data/pdf/katjes/katjes-2023-annual-report.pdf#page=40</t>
        </is>
      </c>
      <c r="P26" s="3" t="inlineStr">
        <is>
          <t>https://vanillabonds.com/dossier.html?c=katjes&amp;viewer=1&amp;item=F025</t>
        </is>
      </c>
      <c r="Q26" s="2" t="inlineStr"/>
    </row>
    <row r="27">
      <c r="A27" s="2" t="inlineStr">
        <is>
          <t>F026</t>
        </is>
      </c>
      <c r="B27" s="2" t="inlineStr">
        <is>
          <t>business</t>
        </is>
      </c>
      <c r="C27" s="2" t="inlineStr">
        <is>
          <t>business_fact</t>
        </is>
      </c>
      <c r="D27" s="2" t="inlineStr">
        <is>
          <t>Business fact</t>
        </is>
      </c>
      <c r="E27" s="2" t="n"/>
      <c r="F27" s="2" t="n"/>
      <c r="G27" s="2" t="n"/>
      <c r="H27" s="3" t="inlineStr">
        <is>
          <t>Cash flow from investing activities EUR -14.6m in 2023 (2022: EUR -28.8m), including the cash outflow for the N.A.E. brand; 2022 included EUR 20.9m acquisition of subsidiaries.</t>
        </is>
      </c>
      <c r="I27" s="2" t="inlineStr">
        <is>
          <t>S1</t>
        </is>
      </c>
      <c r="J27" s="2" t="n">
        <v>48</v>
      </c>
      <c r="K27" s="3" t="inlineStr">
        <is>
          <t>Cash flow from investing activities -14.6 -28.8</t>
        </is>
      </c>
      <c r="L27" s="2" t="inlineStr">
        <is>
          <t>ok</t>
        </is>
      </c>
      <c r="M27" s="2" t="inlineStr">
        <is>
          <t>demo reviewer</t>
        </is>
      </c>
      <c r="N27" s="2" t="n"/>
      <c r="O27" s="3" t="inlineStr">
        <is>
          <t>https://vanillabonds.com/dossier-data/pdf/katjes/katjes-2023-annual-report.pdf#page=48</t>
        </is>
      </c>
      <c r="P27" s="3" t="inlineStr">
        <is>
          <t>https://vanillabonds.com/dossier.html?c=katjes&amp;viewer=1&amp;item=F026</t>
        </is>
      </c>
      <c r="Q27" s="2" t="inlineStr"/>
    </row>
    <row r="28">
      <c r="A28" s="2" t="inlineStr">
        <is>
          <t>F027</t>
        </is>
      </c>
      <c r="B28" s="2" t="inlineStr">
        <is>
          <t>business</t>
        </is>
      </c>
      <c r="C28" s="2" t="inlineStr">
        <is>
          <t>business_fact</t>
        </is>
      </c>
      <c r="D28" s="2" t="inlineStr">
        <is>
          <t>Business fact</t>
        </is>
      </c>
      <c r="E28" s="2" t="n"/>
      <c r="F28" s="2" t="n"/>
      <c r="G28" s="2" t="n"/>
      <c r="H28" s="3" t="inlineStr">
        <is>
          <t>Average employees 2023 by country: 596 Germany (2022: 571), 373 Italy (380), 14 Netherlands (13), 15 UK (16).</t>
        </is>
      </c>
      <c r="I28" s="2" t="inlineStr">
        <is>
          <t>S1</t>
        </is>
      </c>
      <c r="J28" s="2" t="n">
        <v>50</v>
      </c>
      <c r="K28" s="3" t="inlineStr">
        <is>
          <t>ployed in Germany (2022: 571),373 in Italy (2022: 380) and 14 in the Netherlands (2022: 13).</t>
        </is>
      </c>
      <c r="L28" s="2" t="inlineStr">
        <is>
          <t>ok</t>
        </is>
      </c>
      <c r="M28" s="2" t="inlineStr">
        <is>
          <t>demo reviewer</t>
        </is>
      </c>
      <c r="N28" s="2" t="n"/>
      <c r="O28" s="3" t="inlineStr">
        <is>
          <t>https://vanillabonds.com/dossier-data/pdf/katjes/katjes-2023-annual-report.pdf#page=50</t>
        </is>
      </c>
      <c r="P28" s="3" t="inlineStr">
        <is>
          <t>https://vanillabonds.com/dossier.html?c=katjes&amp;viewer=1&amp;item=F027</t>
        </is>
      </c>
      <c r="Q28" s="2" t="inlineStr"/>
    </row>
    <row r="29">
      <c r="A29" s="2" t="inlineStr">
        <is>
          <t>F028</t>
        </is>
      </c>
      <c r="B29" s="2" t="inlineStr">
        <is>
          <t>business</t>
        </is>
      </c>
      <c r="C29" s="2" t="inlineStr">
        <is>
          <t>business_fact</t>
        </is>
      </c>
      <c r="D29" s="2" t="inlineStr">
        <is>
          <t>Business fact</t>
        </is>
      </c>
      <c r="E29" s="2" t="n"/>
      <c r="F29" s="2" t="n"/>
      <c r="G29" s="2" t="n"/>
      <c r="H29" s="3" t="inlineStr">
        <is>
          <t>The consolidation scope comprises 31 fully consolidated companies (22 Germany, 9 other countries) in 2023 (2022: 26).</t>
        </is>
      </c>
      <c r="I29" s="2" t="inlineStr">
        <is>
          <t>S1</t>
        </is>
      </c>
      <c r="J29" s="2" t="n">
        <v>52</v>
      </c>
      <c r="K29" s="3" t="inlineStr">
        <is>
          <t>Germany 22 17 Other countries 9 9 Total 31 26</t>
        </is>
      </c>
      <c r="L29" s="2" t="inlineStr">
        <is>
          <t>ok</t>
        </is>
      </c>
      <c r="M29" s="2" t="inlineStr">
        <is>
          <t>demo reviewer</t>
        </is>
      </c>
      <c r="N29" s="2" t="n"/>
      <c r="O29" s="3" t="inlineStr">
        <is>
          <t>https://vanillabonds.com/dossier-data/pdf/katjes/katjes-2023-annual-report.pdf#page=52</t>
        </is>
      </c>
      <c r="P29" s="3" t="inlineStr">
        <is>
          <t>https://vanillabonds.com/dossier.html?c=katjes&amp;viewer=1&amp;item=F028</t>
        </is>
      </c>
      <c r="Q29" s="2" t="inlineStr"/>
    </row>
    <row r="30">
      <c r="A30" s="2" t="inlineStr">
        <is>
          <t>F029</t>
        </is>
      </c>
      <c r="B30" s="2" t="inlineStr">
        <is>
          <t>business</t>
        </is>
      </c>
      <c r="C30" s="2" t="inlineStr">
        <is>
          <t>business_fact</t>
        </is>
      </c>
      <c r="D30" s="2" t="inlineStr">
        <is>
          <t>Business fact</t>
        </is>
      </c>
      <c r="E30" s="2" t="n"/>
      <c r="F30" s="2" t="n"/>
      <c r="G30" s="2" t="n"/>
      <c r="H30" s="3" t="inlineStr">
        <is>
          <t>Inventories EUR 46.4m at 31 Dec 2023 (2022: EUR 36.2m): raw materials 20.8, unfinished goods 2.8, finished products 22.8; inventory impairment EUR 0.9m (2022: 0.6).</t>
        </is>
      </c>
      <c r="I30" s="2" t="inlineStr">
        <is>
          <t>S1</t>
        </is>
      </c>
      <c r="J30" s="2" t="n">
        <v>70</v>
      </c>
      <c r="K30" s="3" t="inlineStr">
        <is>
          <t>Raw materials 20.8 17.7 Unfinished goods 2.8 3.1</t>
        </is>
      </c>
      <c r="L30" s="2" t="inlineStr">
        <is>
          <t>ok</t>
        </is>
      </c>
      <c r="M30" s="2" t="inlineStr">
        <is>
          <t>demo reviewer</t>
        </is>
      </c>
      <c r="N30" s="2" t="n"/>
      <c r="O30" s="3" t="inlineStr">
        <is>
          <t>https://vanillabonds.com/dossier-data/pdf/katjes/katjes-2023-annual-report.pdf#page=70</t>
        </is>
      </c>
      <c r="P30" s="3" t="inlineStr">
        <is>
          <t>https://vanillabonds.com/dossier.html?c=katjes&amp;viewer=1&amp;item=F029</t>
        </is>
      </c>
      <c r="Q30" s="2" t="inlineStr"/>
    </row>
    <row r="31">
      <c r="A31" s="2" t="inlineStr">
        <is>
          <t>F030</t>
        </is>
      </c>
      <c r="B31" s="2" t="inlineStr">
        <is>
          <t>business</t>
        </is>
      </c>
      <c r="C31" s="2" t="inlineStr">
        <is>
          <t>business_fact</t>
        </is>
      </c>
      <c r="D31" s="2" t="inlineStr">
        <is>
          <t>Business fact</t>
        </is>
      </c>
      <c r="E31" s="2" t="n"/>
      <c r="F31" s="2" t="n"/>
      <c r="G31" s="2" t="n"/>
      <c r="H31" s="3" t="inlineStr">
        <is>
          <t>Other non-current financial assets EUR 4.2m (2022: 7.7) mainly future payments from the 2018 CPK transaction.</t>
        </is>
      </c>
      <c r="I31" s="2" t="inlineStr">
        <is>
          <t>S1</t>
        </is>
      </c>
      <c r="J31" s="2" t="n">
        <v>70</v>
      </c>
      <c r="K31" s="3" t="inlineStr">
        <is>
          <t>As at 31 December 2023 this item mainly includes future payments from the transaction with CPK completed in 2018</t>
        </is>
      </c>
      <c r="L31" s="2" t="inlineStr">
        <is>
          <t>ok</t>
        </is>
      </c>
      <c r="M31" s="2" t="inlineStr">
        <is>
          <t>demo reviewer</t>
        </is>
      </c>
      <c r="N31" s="2" t="n"/>
      <c r="O31" s="3" t="inlineStr">
        <is>
          <t>https://vanillabonds.com/dossier-data/pdf/katjes/katjes-2023-annual-report.pdf#page=70</t>
        </is>
      </c>
      <c r="P31" s="3" t="inlineStr">
        <is>
          <t>https://vanillabonds.com/dossier.html?c=katjes&amp;viewer=1&amp;item=F030</t>
        </is>
      </c>
      <c r="Q31" s="2" t="inlineStr"/>
    </row>
    <row r="32">
      <c r="A32" s="2" t="inlineStr">
        <is>
          <t>F031</t>
        </is>
      </c>
      <c r="B32" s="2" t="inlineStr">
        <is>
          <t>business</t>
        </is>
      </c>
      <c r="C32" s="2" t="inlineStr">
        <is>
          <t>business_fact</t>
        </is>
      </c>
      <c r="D32" s="2" t="inlineStr">
        <is>
          <t>Business fact</t>
        </is>
      </c>
      <c r="E32" s="2" t="n"/>
      <c r="F32" s="2" t="n"/>
      <c r="G32" s="2" t="n"/>
      <c r="H32" s="3" t="inlineStr">
        <is>
          <t>Trade payables EUR 43.5m at 31 Dec 2023 (2022: EUR 38.7m); trade and other payables EUR 56.7m (49.7); net trade receivables EUR 42.0m (37.5).</t>
        </is>
      </c>
      <c r="I32" s="2" t="inlineStr">
        <is>
          <t>S1</t>
        </is>
      </c>
      <c r="J32" s="2" t="n">
        <v>73</v>
      </c>
      <c r="K32" s="2" t="inlineStr">
        <is>
          <t>Trade payables 43.5 38.7</t>
        </is>
      </c>
      <c r="L32" s="2" t="inlineStr">
        <is>
          <t>ok</t>
        </is>
      </c>
      <c r="M32" s="2" t="inlineStr">
        <is>
          <t>demo reviewer</t>
        </is>
      </c>
      <c r="N32" s="2" t="n"/>
      <c r="O32" s="3" t="inlineStr">
        <is>
          <t>https://vanillabonds.com/dossier-data/pdf/katjes/katjes-2023-annual-report.pdf#page=73</t>
        </is>
      </c>
      <c r="P32" s="3" t="inlineStr">
        <is>
          <t>https://vanillabonds.com/dossier.html?c=katjes&amp;viewer=1&amp;item=F031</t>
        </is>
      </c>
      <c r="Q32" s="2" t="inlineStr"/>
    </row>
    <row r="33">
      <c r="A33" s="2" t="inlineStr">
        <is>
          <t>F032</t>
        </is>
      </c>
      <c r="B33" s="2" t="inlineStr">
        <is>
          <t>business</t>
        </is>
      </c>
      <c r="C33" s="2" t="inlineStr">
        <is>
          <t>business_fact</t>
        </is>
      </c>
      <c r="D33" s="2" t="inlineStr">
        <is>
          <t>Business fact</t>
        </is>
      </c>
      <c r="E33" s="2" t="n"/>
      <c r="F33" s="2" t="n"/>
      <c r="G33" s="2" t="n"/>
      <c r="H33" s="3" t="inlineStr">
        <is>
          <t>Personnel expenses EUR 65.1m in 2023 (2022: EUR 57.9m); contributions to statutory pension insurance around EUR 6.5m.</t>
        </is>
      </c>
      <c r="I33" s="2" t="inlineStr">
        <is>
          <t>S1</t>
        </is>
      </c>
      <c r="J33" s="2" t="n">
        <v>78</v>
      </c>
      <c r="K33" s="2" t="inlineStr">
        <is>
          <t>Personnel expenses 65.1 57.9</t>
        </is>
      </c>
      <c r="L33" s="2" t="inlineStr">
        <is>
          <t>ok</t>
        </is>
      </c>
      <c r="M33" s="2" t="inlineStr">
        <is>
          <t>demo reviewer</t>
        </is>
      </c>
      <c r="N33" s="2" t="n"/>
      <c r="O33" s="3" t="inlineStr">
        <is>
          <t>https://vanillabonds.com/dossier-data/pdf/katjes/katjes-2023-annual-report.pdf#page=78</t>
        </is>
      </c>
      <c r="P33" s="3" t="inlineStr">
        <is>
          <t>https://vanillabonds.com/dossier.html?c=katjes&amp;viewer=1&amp;item=F032</t>
        </is>
      </c>
      <c r="Q33" s="2" t="inlineStr"/>
    </row>
    <row r="34">
      <c r="A34" s="2" t="inlineStr">
        <is>
          <t>F033</t>
        </is>
      </c>
      <c r="B34" s="2" t="inlineStr">
        <is>
          <t>business</t>
        </is>
      </c>
      <c r="C34" s="2" t="inlineStr">
        <is>
          <t>business_fact</t>
        </is>
      </c>
      <c r="D34" s="2" t="inlineStr">
        <is>
          <t>Business fact</t>
        </is>
      </c>
      <c r="E34" s="2" t="n"/>
      <c r="F34" s="2" t="n"/>
      <c r="G34" s="2" t="n"/>
      <c r="H34" s="3" t="inlineStr">
        <is>
          <t>Cost of raw materials, consumables, supplies and purchased merchandise EUR 204.4m in 2023 (2022: EUR 158.4m).</t>
        </is>
      </c>
      <c r="I34" s="2" t="inlineStr">
        <is>
          <t>S1</t>
        </is>
      </c>
      <c r="J34" s="2" t="n">
        <v>78</v>
      </c>
      <c r="K34" s="3" t="inlineStr">
        <is>
          <t>Cost of raw materials, consuma‐ bles and supplies, and purchased merchandise 204.4 158.4</t>
        </is>
      </c>
      <c r="L34" s="2" t="inlineStr">
        <is>
          <t>ok</t>
        </is>
      </c>
      <c r="M34" s="2" t="inlineStr">
        <is>
          <t>demo reviewer</t>
        </is>
      </c>
      <c r="N34" s="2" t="n"/>
      <c r="O34" s="3" t="inlineStr">
        <is>
          <t>https://vanillabonds.com/dossier-data/pdf/katjes/katjes-2023-annual-report.pdf#page=78</t>
        </is>
      </c>
      <c r="P34" s="3" t="inlineStr">
        <is>
          <t>https://vanillabonds.com/dossier.html?c=katjes&amp;viewer=1&amp;item=F033</t>
        </is>
      </c>
      <c r="Q34" s="2" t="inlineStr"/>
    </row>
    <row r="35">
      <c r="A35" s="2" t="inlineStr">
        <is>
          <t>F034</t>
        </is>
      </c>
      <c r="B35" s="2" t="inlineStr">
        <is>
          <t>business</t>
        </is>
      </c>
      <c r="C35" s="2" t="inlineStr">
        <is>
          <t>business_fact</t>
        </is>
      </c>
      <c r="D35" s="2" t="inlineStr">
        <is>
          <t>Business fact</t>
        </is>
      </c>
      <c r="E35" s="2" t="n"/>
      <c r="F35" s="2" t="n"/>
      <c r="G35" s="2" t="n"/>
      <c r="H35" s="3" t="inlineStr">
        <is>
          <t>Energy costs EUR 12.6m in 2023 (2022: EUR 12.5m); transportation EUR 16.8m (13.8); advertising EUR 12.2m (11.7); legal and advisory EUR 5.5m (6.5).</t>
        </is>
      </c>
      <c r="I35" s="2" t="inlineStr">
        <is>
          <t>S1</t>
        </is>
      </c>
      <c r="J35" s="2" t="n">
        <v>78</v>
      </c>
      <c r="K35" s="2" t="inlineStr">
        <is>
          <t>Energy 12.6 12.5</t>
        </is>
      </c>
      <c r="L35" s="2" t="inlineStr">
        <is>
          <t>ok</t>
        </is>
      </c>
      <c r="M35" s="2" t="inlineStr">
        <is>
          <t>demo reviewer</t>
        </is>
      </c>
      <c r="N35" s="2" t="n"/>
      <c r="O35" s="3" t="inlineStr">
        <is>
          <t>https://vanillabonds.com/dossier-data/pdf/katjes/katjes-2023-annual-report.pdf#page=78</t>
        </is>
      </c>
      <c r="P35" s="3" t="inlineStr">
        <is>
          <t>https://vanillabonds.com/dossier.html?c=katjes&amp;viewer=1&amp;item=F034</t>
        </is>
      </c>
      <c r="Q35" s="2" t="inlineStr"/>
    </row>
    <row r="36">
      <c r="A36" s="2" t="inlineStr">
        <is>
          <t>F035</t>
        </is>
      </c>
      <c r="B36" s="2" t="inlineStr">
        <is>
          <t>business</t>
        </is>
      </c>
      <c r="C36" s="2" t="inlineStr">
        <is>
          <t>key_event</t>
        </is>
      </c>
      <c r="D36" s="2" t="inlineStr">
        <is>
          <t>Key event (M&amp;A, financing, strategy)</t>
        </is>
      </c>
      <c r="E36" s="2" t="n"/>
      <c r="F36" s="2" t="n"/>
      <c r="G36" s="2" t="n"/>
      <c r="H36" s="3" t="inlineStr">
        <is>
          <t>The new bond volume was increased by EUR 5m to EUR 115m due to demand; first exchange offer to existing investors and first subscription via the company website.</t>
        </is>
      </c>
      <c r="I36" s="2" t="inlineStr">
        <is>
          <t>S1</t>
        </is>
      </c>
      <c r="J36" s="2" t="n">
        <v>4</v>
      </c>
      <c r="K36" s="3" t="inlineStr">
        <is>
          <t>increased the volume of the newly issued bond by EUR 5 million due to high demand</t>
        </is>
      </c>
      <c r="L36" s="2" t="inlineStr">
        <is>
          <t>ok</t>
        </is>
      </c>
      <c r="M36" s="2" t="inlineStr">
        <is>
          <t>demo reviewer</t>
        </is>
      </c>
      <c r="N36" s="2" t="n"/>
      <c r="O36" s="3" t="inlineStr">
        <is>
          <t>https://vanillabonds.com/dossier-data/pdf/katjes/katjes-2023-annual-report.pdf#page=4</t>
        </is>
      </c>
      <c r="P36" s="3" t="inlineStr">
        <is>
          <t>https://vanillabonds.com/dossier.html?c=katjes&amp;viewer=1&amp;item=F035</t>
        </is>
      </c>
      <c r="Q36" s="2" t="inlineStr"/>
    </row>
    <row r="37">
      <c r="A37" s="2" t="inlineStr">
        <is>
          <t>F036</t>
        </is>
      </c>
      <c r="B37" s="2" t="inlineStr">
        <is>
          <t>business</t>
        </is>
      </c>
      <c r="C37" s="2" t="inlineStr">
        <is>
          <t>key_event</t>
        </is>
      </c>
      <c r="D37" s="2" t="inlineStr">
        <is>
          <t>Key event (M&amp;A, financing, strategy)</t>
        </is>
      </c>
      <c r="E37" s="2" t="n"/>
      <c r="F37" s="2" t="n"/>
      <c r="G37" s="2" t="n"/>
      <c r="H37" s="3" t="inlineStr">
        <is>
          <t>November 2023: natural cosmetics brand Naturale Antica Erboristeria (N.A.E.) acquired from Henkel via Bübchen Bodycare; brand recognised at cost.</t>
        </is>
      </c>
      <c r="I37" s="2" t="inlineStr">
        <is>
          <t>S1</t>
        </is>
      </c>
      <c r="J37" s="2" t="n">
        <v>31</v>
      </c>
      <c r="K37" s="3" t="inlineStr">
        <is>
          <t>In November of the reporting year, the natural cosmetics brand (N.A.E.) was acquired from Henkel to support and expand the brand portfolio in the personal care segment.</t>
        </is>
      </c>
      <c r="L37" s="2" t="inlineStr">
        <is>
          <t>ok</t>
        </is>
      </c>
      <c r="M37" s="2" t="inlineStr">
        <is>
          <t>demo reviewer</t>
        </is>
      </c>
      <c r="N37" s="2" t="n"/>
      <c r="O37" s="3" t="inlineStr">
        <is>
          <t>https://vanillabonds.com/dossier-data/pdf/katjes/katjes-2023-annual-report.pdf#page=31</t>
        </is>
      </c>
      <c r="P37" s="3" t="inlineStr">
        <is>
          <t>https://vanillabonds.com/dossier.html?c=katjes&amp;viewer=1&amp;item=F036</t>
        </is>
      </c>
      <c r="Q37" s="2" t="inlineStr"/>
    </row>
    <row r="38">
      <c r="A38" s="2" t="inlineStr">
        <is>
          <t>F037</t>
        </is>
      </c>
      <c r="B38" s="2" t="inlineStr">
        <is>
          <t>business</t>
        </is>
      </c>
      <c r="C38" s="2" t="inlineStr">
        <is>
          <t>key_event</t>
        </is>
      </c>
      <c r="D38" s="2" t="inlineStr">
        <is>
          <t>Key event (M&amp;A, financing, strategy)</t>
        </is>
      </c>
      <c r="E38" s="2" t="n"/>
      <c r="F38" s="2" t="n"/>
      <c r="G38" s="2" t="n"/>
      <c r="H38" s="3" t="inlineStr">
        <is>
          <t>21 September 2023: EUR 115m 6.75% corporate bond 2023/2028 placed; 2019 EUR 110m bond exchanged and the remaining EUR 65.6m redeemed early on 12 November 2023.</t>
        </is>
      </c>
      <c r="I38" s="2" t="inlineStr">
        <is>
          <t>S1</t>
        </is>
      </c>
      <c r="J38" s="2" t="n">
        <v>33</v>
      </c>
      <c r="K38" s="3" t="inlineStr">
        <is>
          <t>porate bond with a volume of EUR 115 million and an inte‐ rest rate of 6.75%. In the run-up to the issue of the new</t>
        </is>
      </c>
      <c r="L38" s="2" t="inlineStr">
        <is>
          <t>ok</t>
        </is>
      </c>
      <c r="M38" s="2" t="inlineStr">
        <is>
          <t>demo reviewer</t>
        </is>
      </c>
      <c r="N38" s="2" t="n"/>
      <c r="O38" s="3" t="inlineStr">
        <is>
          <t>https://vanillabonds.com/dossier-data/pdf/katjes/katjes-2023-annual-report.pdf#page=33</t>
        </is>
      </c>
      <c r="P38" s="3" t="inlineStr">
        <is>
          <t>https://vanillabonds.com/dossier.html?c=katjes&amp;viewer=1&amp;item=F037</t>
        </is>
      </c>
      <c r="Q38" s="2" t="inlineStr"/>
    </row>
    <row r="39">
      <c r="A39" s="2" t="inlineStr">
        <is>
          <t>F038</t>
        </is>
      </c>
      <c r="B39" s="2" t="inlineStr">
        <is>
          <t>business</t>
        </is>
      </c>
      <c r="C39" s="2" t="inlineStr">
        <is>
          <t>key_event</t>
        </is>
      </c>
      <c r="D39" s="2" t="inlineStr">
        <is>
          <t>Key event (M&amp;A, financing, strategy)</t>
        </is>
      </c>
      <c r="E39" s="2" t="n"/>
      <c r="F39" s="2" t="n"/>
      <c r="G39" s="2" t="n"/>
      <c r="H39" s="3" t="inlineStr">
        <is>
          <t>2 January 2024: takeover of the Viersen production site for Henkel's Oral Care division completed as planned, including around 50 employees.</t>
        </is>
      </c>
      <c r="I39" s="2" t="inlineStr">
        <is>
          <t>S1</t>
        </is>
      </c>
      <c r="J39" s="2" t="n">
        <v>85</v>
      </c>
      <c r="K39" s="3" t="inlineStr">
        <is>
          <t>The takeover of the production site in Viersen for Henkel's Oral Care division took place as planned on 2 January 2024.</t>
        </is>
      </c>
      <c r="L39" s="2" t="inlineStr">
        <is>
          <t>ok</t>
        </is>
      </c>
      <c r="M39" s="2" t="inlineStr">
        <is>
          <t>demo reviewer</t>
        </is>
      </c>
      <c r="N39" s="2" t="n"/>
      <c r="O39" s="3" t="inlineStr">
        <is>
          <t>https://vanillabonds.com/dossier-data/pdf/katjes/katjes-2023-annual-report.pdf#page=85</t>
        </is>
      </c>
      <c r="P39" s="3" t="inlineStr">
        <is>
          <t>https://vanillabonds.com/dossier.html?c=katjes&amp;viewer=1&amp;item=F038</t>
        </is>
      </c>
      <c r="Q39" s="2" t="inlineStr"/>
    </row>
    <row r="40">
      <c r="A40" s="2" t="inlineStr">
        <is>
          <t>F039</t>
        </is>
      </c>
      <c r="B40" s="2" t="inlineStr">
        <is>
          <t>business</t>
        </is>
      </c>
      <c r="C40" s="2" t="inlineStr">
        <is>
          <t>key_event</t>
        </is>
      </c>
      <c r="D40" s="2" t="inlineStr">
        <is>
          <t>Key event (M&amp;A, financing, strategy)</t>
        </is>
      </c>
      <c r="E40" s="2" t="n"/>
      <c r="F40" s="2" t="n"/>
      <c r="G40" s="2" t="n"/>
      <c r="H40" s="3" t="inlineStr">
        <is>
          <t>End of January 2024: the 2023/2028 bond, structured as a Nordic bond for the first time, was included in the Nordic ABM of the Oslo Stock Exchange within six months of issue.</t>
        </is>
      </c>
      <c r="I40" s="2" t="inlineStr">
        <is>
          <t>S1</t>
        </is>
      </c>
      <c r="J40" s="2" t="n">
        <v>85</v>
      </c>
      <c r="K40" s="3" t="inlineStr">
        <is>
          <t>The Katjes International 2023/2028 bond, which was for the first time structured as a Nordic bond, was included in</t>
        </is>
      </c>
      <c r="L40" s="2" t="inlineStr">
        <is>
          <t>ok</t>
        </is>
      </c>
      <c r="M40" s="2" t="inlineStr">
        <is>
          <t>demo reviewer</t>
        </is>
      </c>
      <c r="N40" s="2" t="n"/>
      <c r="O40" s="3" t="inlineStr">
        <is>
          <t>https://vanillabonds.com/dossier-data/pdf/katjes/katjes-2023-annual-report.pdf#page=85</t>
        </is>
      </c>
      <c r="P40" s="3" t="inlineStr">
        <is>
          <t>https://vanillabonds.com/dossier.html?c=katjes&amp;viewer=1&amp;item=F039</t>
        </is>
      </c>
      <c r="Q40" s="2" t="inlineStr"/>
    </row>
    <row r="41">
      <c r="A41" s="2" t="inlineStr">
        <is>
          <t>F040</t>
        </is>
      </c>
      <c r="B41" s="2" t="inlineStr">
        <is>
          <t>financials</t>
        </is>
      </c>
      <c r="C41" s="2" t="inlineStr">
        <is>
          <t>revenue</t>
        </is>
      </c>
      <c r="D41" s="2" t="inlineStr">
        <is>
          <t>Revenue</t>
        </is>
      </c>
      <c r="E41" s="2" t="inlineStr">
        <is>
          <t>FY2019</t>
        </is>
      </c>
      <c r="F41" s="2" t="n">
        <v>210</v>
      </c>
      <c r="G41" s="2" t="inlineStr">
        <is>
          <t>EUR m</t>
        </is>
      </c>
      <c r="H41" s="3" t="inlineStr">
        <is>
          <t>From the five-year sales chart (rounded to EUR m)</t>
        </is>
      </c>
      <c r="I41" s="2" t="inlineStr">
        <is>
          <t>S1</t>
        </is>
      </c>
      <c r="J41" s="2" t="n">
        <v>7</v>
      </c>
      <c r="K41" s="3" t="inlineStr">
        <is>
          <t>210 218 255 295 2019 2020 2021 2022 2023 377</t>
        </is>
      </c>
      <c r="L41" s="2" t="inlineStr">
        <is>
          <t>ok</t>
        </is>
      </c>
      <c r="M41" s="2" t="inlineStr">
        <is>
          <t>demo reviewer</t>
        </is>
      </c>
      <c r="N41" s="2" t="n"/>
      <c r="O41" s="3" t="inlineStr">
        <is>
          <t>https://vanillabonds.com/dossier-data/pdf/katjes/katjes-2023-annual-report.pdf#page=7</t>
        </is>
      </c>
      <c r="P41" s="3" t="inlineStr">
        <is>
          <t>https://vanillabonds.com/dossier.html?c=katjes&amp;viewer=1&amp;item=F040</t>
        </is>
      </c>
      <c r="Q41" s="2" t="inlineStr"/>
    </row>
    <row r="42">
      <c r="A42" s="2" t="inlineStr">
        <is>
          <t>F041</t>
        </is>
      </c>
      <c r="B42" s="2" t="inlineStr">
        <is>
          <t>financials</t>
        </is>
      </c>
      <c r="C42" s="2" t="inlineStr">
        <is>
          <t>revenue</t>
        </is>
      </c>
      <c r="D42" s="2" t="inlineStr">
        <is>
          <t>Revenue</t>
        </is>
      </c>
      <c r="E42" s="2" t="inlineStr">
        <is>
          <t>FY2020</t>
        </is>
      </c>
      <c r="F42" s="2" t="n">
        <v>218</v>
      </c>
      <c r="G42" s="2" t="inlineStr">
        <is>
          <t>EUR m</t>
        </is>
      </c>
      <c r="H42" s="3" t="inlineStr">
        <is>
          <t>From the five-year sales chart (rounded to EUR m)</t>
        </is>
      </c>
      <c r="I42" s="2" t="inlineStr">
        <is>
          <t>S1</t>
        </is>
      </c>
      <c r="J42" s="2" t="n">
        <v>7</v>
      </c>
      <c r="K42" s="3" t="inlineStr">
        <is>
          <t>210 218 255 295 2019 2020 2021 2022 2023 377</t>
        </is>
      </c>
      <c r="L42" s="2" t="inlineStr">
        <is>
          <t>ok</t>
        </is>
      </c>
      <c r="M42" s="2" t="inlineStr">
        <is>
          <t>demo reviewer</t>
        </is>
      </c>
      <c r="N42" s="2" t="n"/>
      <c r="O42" s="3" t="inlineStr">
        <is>
          <t>https://vanillabonds.com/dossier-data/pdf/katjes/katjes-2023-annual-report.pdf#page=7</t>
        </is>
      </c>
      <c r="P42" s="3" t="inlineStr">
        <is>
          <t>https://vanillabonds.com/dossier.html?c=katjes&amp;viewer=1&amp;item=F041</t>
        </is>
      </c>
      <c r="Q42" s="2" t="inlineStr"/>
    </row>
    <row r="43">
      <c r="A43" s="2" t="inlineStr">
        <is>
          <t>F042</t>
        </is>
      </c>
      <c r="B43" s="2" t="inlineStr">
        <is>
          <t>financials</t>
        </is>
      </c>
      <c r="C43" s="2" t="inlineStr">
        <is>
          <t>revenue</t>
        </is>
      </c>
      <c r="D43" s="2" t="inlineStr">
        <is>
          <t>Revenue</t>
        </is>
      </c>
      <c r="E43" s="2" t="inlineStr">
        <is>
          <t>FY2021</t>
        </is>
      </c>
      <c r="F43" s="2" t="n">
        <v>255</v>
      </c>
      <c r="G43" s="2" t="inlineStr">
        <is>
          <t>EUR m</t>
        </is>
      </c>
      <c r="H43" s="3" t="inlineStr">
        <is>
          <t>From the five-year sales chart (rounded to EUR m)</t>
        </is>
      </c>
      <c r="I43" s="2" t="inlineStr">
        <is>
          <t>S1</t>
        </is>
      </c>
      <c r="J43" s="2" t="n">
        <v>7</v>
      </c>
      <c r="K43" s="3" t="inlineStr">
        <is>
          <t>210 218 255 295 2019 2020 2021 2022 2023 377</t>
        </is>
      </c>
      <c r="L43" s="2" t="inlineStr">
        <is>
          <t>ok</t>
        </is>
      </c>
      <c r="M43" s="2" t="inlineStr">
        <is>
          <t>demo reviewer</t>
        </is>
      </c>
      <c r="N43" s="2" t="n"/>
      <c r="O43" s="3" t="inlineStr">
        <is>
          <t>https://vanillabonds.com/dossier-data/pdf/katjes/katjes-2023-annual-report.pdf#page=7</t>
        </is>
      </c>
      <c r="P43" s="3" t="inlineStr">
        <is>
          <t>https://vanillabonds.com/dossier.html?c=katjes&amp;viewer=1&amp;item=F042</t>
        </is>
      </c>
      <c r="Q43" s="2" t="inlineStr">
        <is>
          <t>no</t>
        </is>
      </c>
    </row>
    <row r="44">
      <c r="A44" s="2" t="inlineStr">
        <is>
          <t>F043</t>
        </is>
      </c>
      <c r="B44" s="2" t="inlineStr">
        <is>
          <t>financials</t>
        </is>
      </c>
      <c r="C44" s="2" t="inlineStr">
        <is>
          <t>revenue</t>
        </is>
      </c>
      <c r="D44" s="2" t="inlineStr">
        <is>
          <t>Revenue</t>
        </is>
      </c>
      <c r="E44" s="2" t="inlineStr">
        <is>
          <t>FY2022</t>
        </is>
      </c>
      <c r="F44" s="2" t="n">
        <v>294.5</v>
      </c>
      <c r="G44" s="2" t="inlineStr">
        <is>
          <t>EUR m</t>
        </is>
      </c>
      <c r="H44" s="2" t="inlineStr">
        <is>
          <t>Consolidated revenue</t>
        </is>
      </c>
      <c r="I44" s="2" t="inlineStr">
        <is>
          <t>S1</t>
        </is>
      </c>
      <c r="J44" s="2" t="n">
        <v>43</v>
      </c>
      <c r="K44" s="2" t="inlineStr">
        <is>
          <t>Revenue 377.4 294.5</t>
        </is>
      </c>
      <c r="L44" s="2" t="inlineStr">
        <is>
          <t>ok</t>
        </is>
      </c>
      <c r="M44" s="2" t="inlineStr">
        <is>
          <t>demo reviewer</t>
        </is>
      </c>
      <c r="N44" s="2" t="n"/>
      <c r="O44" s="3" t="inlineStr">
        <is>
          <t>https://vanillabonds.com/dossier-data/pdf/katjes/katjes-2023-annual-report.pdf#page=43</t>
        </is>
      </c>
      <c r="P44" s="3" t="inlineStr">
        <is>
          <t>https://vanillabonds.com/dossier.html?c=katjes&amp;viewer=1&amp;item=F043</t>
        </is>
      </c>
      <c r="Q44" s="2" t="inlineStr">
        <is>
          <t>no</t>
        </is>
      </c>
    </row>
    <row r="45">
      <c r="A45" s="2" t="inlineStr">
        <is>
          <t>F044</t>
        </is>
      </c>
      <c r="B45" s="2" t="inlineStr">
        <is>
          <t>financials</t>
        </is>
      </c>
      <c r="C45" s="2" t="inlineStr">
        <is>
          <t>revenue</t>
        </is>
      </c>
      <c r="D45" s="2" t="inlineStr">
        <is>
          <t>Revenue</t>
        </is>
      </c>
      <c r="E45" s="2" t="inlineStr">
        <is>
          <t>FY2023</t>
        </is>
      </c>
      <c r="F45" s="2" t="n">
        <v>377.4</v>
      </c>
      <c r="G45" s="2" t="inlineStr">
        <is>
          <t>EUR m</t>
        </is>
      </c>
      <c r="H45" s="2" t="inlineStr">
        <is>
          <t>Consolidated revenue</t>
        </is>
      </c>
      <c r="I45" s="2" t="inlineStr">
        <is>
          <t>S1</t>
        </is>
      </c>
      <c r="J45" s="2" t="n">
        <v>43</v>
      </c>
      <c r="K45" s="2" t="inlineStr">
        <is>
          <t>Revenue 377.4 294.5</t>
        </is>
      </c>
      <c r="L45" s="2" t="inlineStr">
        <is>
          <t>ok</t>
        </is>
      </c>
      <c r="M45" s="2" t="inlineStr">
        <is>
          <t>demo reviewer</t>
        </is>
      </c>
      <c r="N45" s="2" t="n"/>
      <c r="O45" s="3" t="inlineStr">
        <is>
          <t>https://vanillabonds.com/dossier-data/pdf/katjes/katjes-2023-annual-report.pdf#page=43</t>
        </is>
      </c>
      <c r="P45" s="3" t="inlineStr">
        <is>
          <t>https://vanillabonds.com/dossier.html?c=katjes&amp;viewer=1&amp;item=F044</t>
        </is>
      </c>
      <c r="Q45" s="2" t="inlineStr">
        <is>
          <t>no</t>
        </is>
      </c>
    </row>
    <row r="46">
      <c r="A46" s="2" t="inlineStr">
        <is>
          <t>F045</t>
        </is>
      </c>
      <c r="B46" s="2" t="inlineStr">
        <is>
          <t>financials</t>
        </is>
      </c>
      <c r="C46" s="2" t="inlineStr">
        <is>
          <t>revenue</t>
        </is>
      </c>
      <c r="D46" s="2" t="inlineStr">
        <is>
          <t>Revenue</t>
        </is>
      </c>
      <c r="E46" s="2" t="inlineStr">
        <is>
          <t>FY2024E</t>
        </is>
      </c>
      <c r="F46" s="2" t="n"/>
      <c r="G46" s="2" t="inlineStr">
        <is>
          <t>EUR m</t>
        </is>
      </c>
      <c r="H46" s="3" t="inlineStr">
        <is>
          <t>Management guidance for 2024: consolidated sales between EUR 390m and EUR 420m (range, no point figure)</t>
        </is>
      </c>
      <c r="I46" s="2" t="inlineStr">
        <is>
          <t>S1</t>
        </is>
      </c>
      <c r="J46" s="2" t="n">
        <v>41</v>
      </c>
      <c r="K46" s="3" t="inlineStr">
        <is>
          <t>company is expecting sales of between EUR 390 million and EUR 420 million for the financial year 2024.</t>
        </is>
      </c>
      <c r="L46" s="2" t="inlineStr">
        <is>
          <t>ok</t>
        </is>
      </c>
      <c r="M46" s="2" t="inlineStr">
        <is>
          <t>demo reviewer</t>
        </is>
      </c>
      <c r="N46" s="2" t="n"/>
      <c r="O46" s="3" t="inlineStr">
        <is>
          <t>https://vanillabonds.com/dossier-data/pdf/katjes/katjes-2023-annual-report.pdf#page=41</t>
        </is>
      </c>
      <c r="P46" s="3" t="inlineStr">
        <is>
          <t>https://vanillabonds.com/dossier.html?c=katjes&amp;viewer=1&amp;item=F045</t>
        </is>
      </c>
      <c r="Q46" s="2" t="inlineStr"/>
    </row>
    <row r="47">
      <c r="A47" s="2" t="inlineStr">
        <is>
          <t>F046</t>
        </is>
      </c>
      <c r="B47" s="2" t="inlineStr">
        <is>
          <t>financials</t>
        </is>
      </c>
      <c r="C47" s="2" t="inlineStr">
        <is>
          <t>ebitda</t>
        </is>
      </c>
      <c r="D47" s="2" t="inlineStr">
        <is>
          <t>EBITDA (as reported)</t>
        </is>
      </c>
      <c r="E47" s="2" t="inlineStr">
        <is>
          <t>FY2019</t>
        </is>
      </c>
      <c r="F47" s="2" t="n">
        <v>23</v>
      </c>
      <c r="G47" s="2" t="inlineStr">
        <is>
          <t>EUR m</t>
        </is>
      </c>
      <c r="H47" s="3" t="inlineStr">
        <is>
          <t>From the five-year EBITDA chart (rounded to EUR m); year order read left to right</t>
        </is>
      </c>
      <c r="I47" s="2" t="inlineStr">
        <is>
          <t>S1</t>
        </is>
      </c>
      <c r="J47" s="2" t="n">
        <v>7</v>
      </c>
      <c r="K47" s="2" t="inlineStr">
        <is>
          <t>23 25 17 2019 2020 2021 2022 2023 37 41</t>
        </is>
      </c>
      <c r="L47" s="2" t="inlineStr">
        <is>
          <t>ok</t>
        </is>
      </c>
      <c r="M47" s="2" t="inlineStr">
        <is>
          <t>demo reviewer</t>
        </is>
      </c>
      <c r="N47" s="2" t="n"/>
      <c r="O47" s="3" t="inlineStr">
        <is>
          <t>https://vanillabonds.com/dossier-data/pdf/katjes/katjes-2023-annual-report.pdf#page=7</t>
        </is>
      </c>
      <c r="P47" s="3" t="inlineStr">
        <is>
          <t>https://vanillabonds.com/dossier.html?c=katjes&amp;viewer=1&amp;item=F046</t>
        </is>
      </c>
      <c r="Q47" s="2" t="inlineStr"/>
    </row>
    <row r="48">
      <c r="A48" s="2" t="inlineStr">
        <is>
          <t>F047</t>
        </is>
      </c>
      <c r="B48" s="2" t="inlineStr">
        <is>
          <t>financials</t>
        </is>
      </c>
      <c r="C48" s="2" t="inlineStr">
        <is>
          <t>ebitda</t>
        </is>
      </c>
      <c r="D48" s="2" t="inlineStr">
        <is>
          <t>EBITDA (as reported)</t>
        </is>
      </c>
      <c r="E48" s="2" t="inlineStr">
        <is>
          <t>FY2020</t>
        </is>
      </c>
      <c r="F48" s="2" t="n">
        <v>25</v>
      </c>
      <c r="G48" s="2" t="inlineStr">
        <is>
          <t>EUR m</t>
        </is>
      </c>
      <c r="H48" s="3" t="inlineStr">
        <is>
          <t>From the five-year EBITDA chart (rounded to EUR m); year order read left to right</t>
        </is>
      </c>
      <c r="I48" s="2" t="inlineStr">
        <is>
          <t>S1</t>
        </is>
      </c>
      <c r="J48" s="2" t="n">
        <v>7</v>
      </c>
      <c r="K48" s="2" t="inlineStr">
        <is>
          <t>23 25 17 2019 2020 2021 2022 2023 37 41</t>
        </is>
      </c>
      <c r="L48" s="2" t="inlineStr">
        <is>
          <t>ok</t>
        </is>
      </c>
      <c r="M48" s="2" t="inlineStr">
        <is>
          <t>demo reviewer</t>
        </is>
      </c>
      <c r="N48" s="2" t="n"/>
      <c r="O48" s="3" t="inlineStr">
        <is>
          <t>https://vanillabonds.com/dossier-data/pdf/katjes/katjes-2023-annual-report.pdf#page=7</t>
        </is>
      </c>
      <c r="P48" s="3" t="inlineStr">
        <is>
          <t>https://vanillabonds.com/dossier.html?c=katjes&amp;viewer=1&amp;item=F047</t>
        </is>
      </c>
      <c r="Q48" s="2" t="inlineStr"/>
    </row>
    <row r="49">
      <c r="A49" s="2" t="inlineStr">
        <is>
          <t>F048</t>
        </is>
      </c>
      <c r="B49" s="2" t="inlineStr">
        <is>
          <t>financials</t>
        </is>
      </c>
      <c r="C49" s="2" t="inlineStr">
        <is>
          <t>ebitda</t>
        </is>
      </c>
      <c r="D49" s="2" t="inlineStr">
        <is>
          <t>EBITDA (as reported)</t>
        </is>
      </c>
      <c r="E49" s="2" t="inlineStr">
        <is>
          <t>FY2021</t>
        </is>
      </c>
      <c r="F49" s="2" t="n">
        <v>17</v>
      </c>
      <c r="G49" s="2" t="inlineStr">
        <is>
          <t>EUR m</t>
        </is>
      </c>
      <c r="H49" s="3" t="inlineStr">
        <is>
          <t>From the five-year EBITDA chart (rounded to EUR m); year order read left to right</t>
        </is>
      </c>
      <c r="I49" s="2" t="inlineStr">
        <is>
          <t>S1</t>
        </is>
      </c>
      <c r="J49" s="2" t="n">
        <v>7</v>
      </c>
      <c r="K49" s="2" t="inlineStr">
        <is>
          <t>23 25 17 2019 2020 2021 2022 2023 37 41</t>
        </is>
      </c>
      <c r="L49" s="2" t="inlineStr">
        <is>
          <t>pend</t>
        </is>
      </c>
      <c r="M49" s="2" t="n"/>
      <c r="N49" s="3" t="inlineStr">
        <is>
          <t>conflict: S1·p7 17.0 vs S3·p7 41.0; primary per fact agent: open - no audited statement on file carries FY2021 EBITDA, and the chart text layers in S1 p7, S2 p7 and S3 p7 list bar values without a year for each bar; once FY2022 = 37.3 and FY2023 = 40.8 are taken out, S1 leaves 23, 25 or 17, S2 leaves 23 or 25 and S3 leaves 23 for FY2021, so a reviewer reads the chart images; the S1 FY2019 fact (23.0) depends on the same reading.</t>
        </is>
      </c>
      <c r="O49" s="3" t="inlineStr">
        <is>
          <t>https://vanillabonds.com/dossier-data/pdf/katjes/katjes-2023-annual-report.pdf#page=7</t>
        </is>
      </c>
      <c r="P49" s="3" t="inlineStr">
        <is>
          <t>https://vanillabonds.com/dossier.html?c=katjes&amp;viewer=1&amp;item=F048</t>
        </is>
      </c>
      <c r="Q49" s="2" t="inlineStr">
        <is>
          <t>no</t>
        </is>
      </c>
    </row>
    <row r="50">
      <c r="A50" s="2" t="inlineStr">
        <is>
          <t>F049</t>
        </is>
      </c>
      <c r="B50" s="2" t="inlineStr">
        <is>
          <t>financials</t>
        </is>
      </c>
      <c r="C50" s="2" t="inlineStr">
        <is>
          <t>ebitda</t>
        </is>
      </c>
      <c r="D50" s="2" t="inlineStr">
        <is>
          <t>EBITDA (as reported)</t>
        </is>
      </c>
      <c r="E50" s="2" t="inlineStr">
        <is>
          <t>FY2022</t>
        </is>
      </c>
      <c r="F50" s="2" t="n">
        <v>37.3</v>
      </c>
      <c r="G50" s="2" t="inlineStr">
        <is>
          <t>EUR m</t>
        </is>
      </c>
      <c r="H50" s="3" t="inlineStr">
        <is>
          <t>EBITDA as labelled in the management report</t>
        </is>
      </c>
      <c r="I50" s="2" t="inlineStr">
        <is>
          <t>S1</t>
        </is>
      </c>
      <c r="J50" s="2" t="n">
        <v>32</v>
      </c>
      <c r="K50" s="3" t="inlineStr">
        <is>
          <t>amortisation) amounted to EUR 40.8 million in the financial year 2023 (2022: EUR 37.3 million)</t>
        </is>
      </c>
      <c r="L50" s="2" t="inlineStr">
        <is>
          <t>ok</t>
        </is>
      </c>
      <c r="M50" s="2" t="inlineStr">
        <is>
          <t>demo reviewer</t>
        </is>
      </c>
      <c r="N50" s="2" t="n"/>
      <c r="O50" s="3" t="inlineStr">
        <is>
          <t>https://vanillabonds.com/dossier-data/pdf/katjes/katjes-2023-annual-report.pdf#page=32</t>
        </is>
      </c>
      <c r="P50" s="3" t="inlineStr">
        <is>
          <t>https://vanillabonds.com/dossier.html?c=katjes&amp;viewer=1&amp;item=F049</t>
        </is>
      </c>
      <c r="Q50" s="2" t="inlineStr">
        <is>
          <t>no</t>
        </is>
      </c>
    </row>
    <row r="51">
      <c r="A51" s="2" t="inlineStr">
        <is>
          <t>F050</t>
        </is>
      </c>
      <c r="B51" s="2" t="inlineStr">
        <is>
          <t>financials</t>
        </is>
      </c>
      <c r="C51" s="2" t="inlineStr">
        <is>
          <t>ebitda</t>
        </is>
      </c>
      <c r="D51" s="2" t="inlineStr">
        <is>
          <t>EBITDA (as reported)</t>
        </is>
      </c>
      <c r="E51" s="2" t="inlineStr">
        <is>
          <t>FY2023</t>
        </is>
      </c>
      <c r="F51" s="2" t="n">
        <v>40.8</v>
      </c>
      <c r="G51" s="2" t="inlineStr">
        <is>
          <t>EUR m</t>
        </is>
      </c>
      <c r="H51" s="3" t="inlineStr">
        <is>
          <t>EBITDA as labelled in the management report; EBITDA margin 10.8% (2022: 12.7%)</t>
        </is>
      </c>
      <c r="I51" s="2" t="inlineStr">
        <is>
          <t>S1</t>
        </is>
      </c>
      <c r="J51" s="2" t="n">
        <v>32</v>
      </c>
      <c r="K51" s="3" t="inlineStr">
        <is>
          <t>amortisation) amounted to EUR 40.8 million in the financial year 2023 (2022: EUR 37.3 million)</t>
        </is>
      </c>
      <c r="L51" s="2" t="inlineStr">
        <is>
          <t>pend</t>
        </is>
      </c>
      <c r="M51" s="2" t="n"/>
      <c r="N51" s="3" t="inlineStr">
        <is>
          <t>conflict: S1·p32 40.8 vs S2·p29 40.8 vs S3·p7 23.0; primary per fact agent: S2 p29 - S2 is the later audited report carrying FY2023 and its comparative equals S1 p32; S3 carries no FY2023 statement, and its 23.0 is a chart bar from p7 assigned to FY2023.</t>
        </is>
      </c>
      <c r="O51" s="3" t="inlineStr">
        <is>
          <t>https://vanillabonds.com/dossier-data/pdf/katjes/katjes-2023-annual-report.pdf#page=32</t>
        </is>
      </c>
      <c r="P51" s="3" t="inlineStr">
        <is>
          <t>https://vanillabonds.com/dossier.html?c=katjes&amp;viewer=1&amp;item=F050</t>
        </is>
      </c>
      <c r="Q51" s="2" t="inlineStr">
        <is>
          <t>no</t>
        </is>
      </c>
    </row>
    <row r="52">
      <c r="A52" s="2" t="inlineStr">
        <is>
          <t>F051</t>
        </is>
      </c>
      <c r="B52" s="2" t="inlineStr">
        <is>
          <t>financials</t>
        </is>
      </c>
      <c r="C52" s="2" t="inlineStr">
        <is>
          <t>ebitda</t>
        </is>
      </c>
      <c r="D52" s="2" t="inlineStr">
        <is>
          <t>EBITDA (as reported)</t>
        </is>
      </c>
      <c r="E52" s="2" t="inlineStr">
        <is>
          <t>FY2024E</t>
        </is>
      </c>
      <c r="F52" s="2" t="n"/>
      <c r="G52" s="2" t="inlineStr">
        <is>
          <t>EUR m</t>
        </is>
      </c>
      <c r="H52" s="3" t="inlineStr">
        <is>
          <t>Management guidance for 2024: EBITDA margin between 9% and 10% (no absolute figure)</t>
        </is>
      </c>
      <c r="I52" s="2" t="inlineStr">
        <is>
          <t>S1</t>
        </is>
      </c>
      <c r="J52" s="2" t="n">
        <v>41</v>
      </c>
      <c r="K52" s="3" t="inlineStr">
        <is>
          <t>earnings, Katjes International is aiming for an EBITDA margin of between 9% and 10% in the financial year 2024.</t>
        </is>
      </c>
      <c r="L52" s="2" t="inlineStr">
        <is>
          <t>ok</t>
        </is>
      </c>
      <c r="M52" s="2" t="inlineStr">
        <is>
          <t>demo reviewer</t>
        </is>
      </c>
      <c r="N52" s="2" t="n"/>
      <c r="O52" s="3" t="inlineStr">
        <is>
          <t>https://vanillabonds.com/dossier-data/pdf/katjes/katjes-2023-annual-report.pdf#page=41</t>
        </is>
      </c>
      <c r="P52" s="3" t="inlineStr">
        <is>
          <t>https://vanillabonds.com/dossier.html?c=katjes&amp;viewer=1&amp;item=F051</t>
        </is>
      </c>
      <c r="Q52" s="2" t="inlineStr"/>
    </row>
    <row r="53">
      <c r="A53" s="2" t="inlineStr">
        <is>
          <t>F052</t>
        </is>
      </c>
      <c r="B53" s="2" t="inlineStr">
        <is>
          <t>financials</t>
        </is>
      </c>
      <c r="C53" s="2" t="inlineStr">
        <is>
          <t>ebit</t>
        </is>
      </c>
      <c r="D53" s="2" t="inlineStr">
        <is>
          <t>EBIT / operating result</t>
        </is>
      </c>
      <c r="E53" s="2" t="inlineStr">
        <is>
          <t>FY2022</t>
        </is>
      </c>
      <c r="F53" s="2" t="n">
        <v>22.2</v>
      </c>
      <c r="G53" s="2" t="inlineStr">
        <is>
          <t>EUR m</t>
        </is>
      </c>
      <c r="H53" s="3" t="inlineStr">
        <is>
          <t>Operating result; 2022 includes EUR 24.4m negative goodwill in other operating income</t>
        </is>
      </c>
      <c r="I53" s="2" t="inlineStr">
        <is>
          <t>S1</t>
        </is>
      </c>
      <c r="J53" s="2" t="n">
        <v>43</v>
      </c>
      <c r="K53" s="2" t="inlineStr">
        <is>
          <t>Operating result 22.5 22.2</t>
        </is>
      </c>
      <c r="L53" s="2" t="inlineStr">
        <is>
          <t>ok</t>
        </is>
      </c>
      <c r="M53" s="2" t="inlineStr">
        <is>
          <t>demo reviewer</t>
        </is>
      </c>
      <c r="N53" s="2" t="n"/>
      <c r="O53" s="3" t="inlineStr">
        <is>
          <t>https://vanillabonds.com/dossier-data/pdf/katjes/katjes-2023-annual-report.pdf#page=43</t>
        </is>
      </c>
      <c r="P53" s="3" t="inlineStr">
        <is>
          <t>https://vanillabonds.com/dossier.html?c=katjes&amp;viewer=1&amp;item=F052</t>
        </is>
      </c>
      <c r="Q53" s="2" t="inlineStr"/>
    </row>
    <row r="54">
      <c r="A54" s="2" t="inlineStr">
        <is>
          <t>F053</t>
        </is>
      </c>
      <c r="B54" s="2" t="inlineStr">
        <is>
          <t>financials</t>
        </is>
      </c>
      <c r="C54" s="2" t="inlineStr">
        <is>
          <t>ebit</t>
        </is>
      </c>
      <c r="D54" s="2" t="inlineStr">
        <is>
          <t>EBIT / operating result</t>
        </is>
      </c>
      <c r="E54" s="2" t="inlineStr">
        <is>
          <t>FY2023</t>
        </is>
      </c>
      <c r="F54" s="2" t="n">
        <v>22.5</v>
      </c>
      <c r="G54" s="2" t="inlineStr">
        <is>
          <t>EUR m</t>
        </is>
      </c>
      <c r="H54" s="2" t="inlineStr">
        <is>
          <t>Operating result</t>
        </is>
      </c>
      <c r="I54" s="2" t="inlineStr">
        <is>
          <t>S1</t>
        </is>
      </c>
      <c r="J54" s="2" t="n">
        <v>43</v>
      </c>
      <c r="K54" s="2" t="inlineStr">
        <is>
          <t>Operating result 22.5 22.2</t>
        </is>
      </c>
      <c r="L54" s="2" t="inlineStr">
        <is>
          <t>ok</t>
        </is>
      </c>
      <c r="M54" s="2" t="inlineStr">
        <is>
          <t>demo reviewer</t>
        </is>
      </c>
      <c r="N54" s="2" t="n"/>
      <c r="O54" s="3" t="inlineStr">
        <is>
          <t>https://vanillabonds.com/dossier-data/pdf/katjes/katjes-2023-annual-report.pdf#page=43</t>
        </is>
      </c>
      <c r="P54" s="3" t="inlineStr">
        <is>
          <t>https://vanillabonds.com/dossier.html?c=katjes&amp;viewer=1&amp;item=F053</t>
        </is>
      </c>
      <c r="Q54" s="2" t="inlineStr">
        <is>
          <t>no</t>
        </is>
      </c>
    </row>
    <row r="55">
      <c r="A55" s="2" t="inlineStr">
        <is>
          <t>F054</t>
        </is>
      </c>
      <c r="B55" s="2" t="inlineStr">
        <is>
          <t>financials</t>
        </is>
      </c>
      <c r="C55" s="2" t="inlineStr">
        <is>
          <t>net_income</t>
        </is>
      </c>
      <c r="D55" s="2" t="inlineStr">
        <is>
          <t>Net result</t>
        </is>
      </c>
      <c r="E55" s="2" t="inlineStr">
        <is>
          <t>FY2022</t>
        </is>
      </c>
      <c r="F55" s="2" t="n">
        <v>14.8</v>
      </c>
      <c r="G55" s="2" t="inlineStr">
        <is>
          <t>EUR m</t>
        </is>
      </c>
      <c r="H55" s="3" t="inlineStr">
        <is>
          <t>Earnings after tax; attributable to Katjes International 15.2, non-controlling interests -0.4</t>
        </is>
      </c>
      <c r="I55" s="2" t="inlineStr">
        <is>
          <t>S1</t>
        </is>
      </c>
      <c r="J55" s="2" t="n">
        <v>43</v>
      </c>
      <c r="K55" s="2" t="inlineStr">
        <is>
          <t>Earnings after tax 10.2 14.8</t>
        </is>
      </c>
      <c r="L55" s="2" t="inlineStr">
        <is>
          <t>ok</t>
        </is>
      </c>
      <c r="M55" s="2" t="inlineStr">
        <is>
          <t>demo reviewer</t>
        </is>
      </c>
      <c r="N55" s="2" t="n"/>
      <c r="O55" s="3" t="inlineStr">
        <is>
          <t>https://vanillabonds.com/dossier-data/pdf/katjes/katjes-2023-annual-report.pdf#page=43</t>
        </is>
      </c>
      <c r="P55" s="3" t="inlineStr">
        <is>
          <t>https://vanillabonds.com/dossier.html?c=katjes&amp;viewer=1&amp;item=F054</t>
        </is>
      </c>
      <c r="Q55" s="2" t="inlineStr"/>
    </row>
    <row r="56">
      <c r="A56" s="2" t="inlineStr">
        <is>
          <t>F055</t>
        </is>
      </c>
      <c r="B56" s="2" t="inlineStr">
        <is>
          <t>financials</t>
        </is>
      </c>
      <c r="C56" s="2" t="inlineStr">
        <is>
          <t>net_income</t>
        </is>
      </c>
      <c r="D56" s="2" t="inlineStr">
        <is>
          <t>Net result</t>
        </is>
      </c>
      <c r="E56" s="2" t="inlineStr">
        <is>
          <t>FY2023</t>
        </is>
      </c>
      <c r="F56" s="2" t="n">
        <v>10.2</v>
      </c>
      <c r="G56" s="2" t="inlineStr">
        <is>
          <t>EUR m</t>
        </is>
      </c>
      <c r="H56" s="3" t="inlineStr">
        <is>
          <t>Earnings after tax; attributable to Katjes International 10.1, non-controlling interests 0.1</t>
        </is>
      </c>
      <c r="I56" s="2" t="inlineStr">
        <is>
          <t>S1</t>
        </is>
      </c>
      <c r="J56" s="2" t="n">
        <v>43</v>
      </c>
      <c r="K56" s="2" t="inlineStr">
        <is>
          <t>Earnings after tax 10.2 14.8</t>
        </is>
      </c>
      <c r="L56" s="2" t="inlineStr">
        <is>
          <t>ok</t>
        </is>
      </c>
      <c r="M56" s="2" t="inlineStr">
        <is>
          <t>demo reviewer</t>
        </is>
      </c>
      <c r="N56" s="2" t="n"/>
      <c r="O56" s="3" t="inlineStr">
        <is>
          <t>https://vanillabonds.com/dossier-data/pdf/katjes/katjes-2023-annual-report.pdf#page=43</t>
        </is>
      </c>
      <c r="P56" s="3" t="inlineStr">
        <is>
          <t>https://vanillabonds.com/dossier.html?c=katjes&amp;viewer=1&amp;item=F055</t>
        </is>
      </c>
      <c r="Q56" s="2" t="inlineStr">
        <is>
          <t>no</t>
        </is>
      </c>
    </row>
    <row r="57">
      <c r="A57" s="2" t="inlineStr">
        <is>
          <t>F056</t>
        </is>
      </c>
      <c r="B57" s="2" t="inlineStr">
        <is>
          <t>financials</t>
        </is>
      </c>
      <c r="C57" s="2" t="inlineStr">
        <is>
          <t>da</t>
        </is>
      </c>
      <c r="D57" s="2" t="inlineStr">
        <is>
          <t>Depreciation &amp; amortisation</t>
        </is>
      </c>
      <c r="E57" s="2" t="inlineStr">
        <is>
          <t>FY2022</t>
        </is>
      </c>
      <c r="F57" s="2" t="n">
        <v>15.1</v>
      </c>
      <c r="G57" s="2" t="inlineStr">
        <is>
          <t>EUR m</t>
        </is>
      </c>
      <c r="H57" s="3" t="inlineStr">
        <is>
          <t>Depreciation and amortisation per expense breakdown</t>
        </is>
      </c>
      <c r="I57" s="2" t="inlineStr">
        <is>
          <t>S1</t>
        </is>
      </c>
      <c r="J57" s="2" t="n">
        <v>78</v>
      </c>
      <c r="K57" s="2" t="inlineStr">
        <is>
          <t>Depreciation and amortisation 18.1 15.1</t>
        </is>
      </c>
      <c r="L57" s="2" t="inlineStr">
        <is>
          <t>ok</t>
        </is>
      </c>
      <c r="M57" s="2" t="inlineStr">
        <is>
          <t>demo reviewer</t>
        </is>
      </c>
      <c r="N57" s="2" t="n"/>
      <c r="O57" s="3" t="inlineStr">
        <is>
          <t>https://vanillabonds.com/dossier-data/pdf/katjes/katjes-2023-annual-report.pdf#page=78</t>
        </is>
      </c>
      <c r="P57" s="3" t="inlineStr">
        <is>
          <t>https://vanillabonds.com/dossier.html?c=katjes&amp;viewer=1&amp;item=F056</t>
        </is>
      </c>
      <c r="Q57" s="2" t="inlineStr"/>
    </row>
    <row r="58">
      <c r="A58" s="2" t="inlineStr">
        <is>
          <t>F057</t>
        </is>
      </c>
      <c r="B58" s="2" t="inlineStr">
        <is>
          <t>financials</t>
        </is>
      </c>
      <c r="C58" s="2" t="inlineStr">
        <is>
          <t>da</t>
        </is>
      </c>
      <c r="D58" s="2" t="inlineStr">
        <is>
          <t>Depreciation &amp; amortisation</t>
        </is>
      </c>
      <c r="E58" s="2" t="inlineStr">
        <is>
          <t>FY2023</t>
        </is>
      </c>
      <c r="F58" s="2" t="n">
        <v>18.1</v>
      </c>
      <c r="G58" s="2" t="inlineStr">
        <is>
          <t>EUR m</t>
        </is>
      </c>
      <c r="H58" s="3" t="inlineStr">
        <is>
          <t>Depreciation and amortisation per expense breakdown (cash flow statement: 11.0 PP&amp;E + 3.1 right-of-use + 4.2 intangibles)</t>
        </is>
      </c>
      <c r="I58" s="2" t="inlineStr">
        <is>
          <t>S1</t>
        </is>
      </c>
      <c r="J58" s="2" t="n">
        <v>78</v>
      </c>
      <c r="K58" s="2" t="inlineStr">
        <is>
          <t>Depreciation and amortisation 18.1 15.1</t>
        </is>
      </c>
      <c r="L58" s="2" t="inlineStr">
        <is>
          <t>ok</t>
        </is>
      </c>
      <c r="M58" s="2" t="inlineStr">
        <is>
          <t>demo reviewer</t>
        </is>
      </c>
      <c r="N58" s="2" t="n"/>
      <c r="O58" s="3" t="inlineStr">
        <is>
          <t>https://vanillabonds.com/dossier-data/pdf/katjes/katjes-2023-annual-report.pdf#page=78</t>
        </is>
      </c>
      <c r="P58" s="3" t="inlineStr">
        <is>
          <t>https://vanillabonds.com/dossier.html?c=katjes&amp;viewer=1&amp;item=F057</t>
        </is>
      </c>
      <c r="Q58" s="2" t="inlineStr">
        <is>
          <t>no</t>
        </is>
      </c>
    </row>
    <row r="59">
      <c r="A59" s="2" t="inlineStr">
        <is>
          <t>F058</t>
        </is>
      </c>
      <c r="B59" s="2" t="inlineStr">
        <is>
          <t>financials</t>
        </is>
      </c>
      <c r="C59" s="2" t="inlineStr">
        <is>
          <t>net_interest</t>
        </is>
      </c>
      <c r="D59" s="2" t="inlineStr">
        <is>
          <t>Net finance cost</t>
        </is>
      </c>
      <c r="E59" s="2" t="inlineStr">
        <is>
          <t>FY2022</t>
        </is>
      </c>
      <c r="F59" s="2" t="n">
        <v>6.4</v>
      </c>
      <c r="G59" s="2" t="inlineStr">
        <is>
          <t>EUR m</t>
        </is>
      </c>
      <c r="H59" s="3" t="inlineStr">
        <is>
          <t>Financial result EUR -6.4m incl. at-equity loss share CPK -0.1; financial expenses 6.8 (bond interest 4.7, bank interest 1.2); interest paid 5.7</t>
        </is>
      </c>
      <c r="I59" s="2" t="inlineStr">
        <is>
          <t>S1</t>
        </is>
      </c>
      <c r="J59" s="2" t="n">
        <v>43</v>
      </c>
      <c r="K59" s="2" t="inlineStr">
        <is>
          <t>Financial result -11.4 -6.4</t>
        </is>
      </c>
      <c r="L59" s="2" t="inlineStr">
        <is>
          <t>ok</t>
        </is>
      </c>
      <c r="M59" s="2" t="inlineStr">
        <is>
          <t>demo reviewer</t>
        </is>
      </c>
      <c r="N59" s="2" t="n"/>
      <c r="O59" s="3" t="inlineStr">
        <is>
          <t>https://vanillabonds.com/dossier-data/pdf/katjes/katjes-2023-annual-report.pdf#page=43</t>
        </is>
      </c>
      <c r="P59" s="3" t="inlineStr">
        <is>
          <t>https://vanillabonds.com/dossier.html?c=katjes&amp;viewer=1&amp;item=F058</t>
        </is>
      </c>
      <c r="Q59" s="2" t="inlineStr"/>
    </row>
    <row r="60">
      <c r="A60" s="2" t="inlineStr">
        <is>
          <t>F059</t>
        </is>
      </c>
      <c r="B60" s="2" t="inlineStr">
        <is>
          <t>financials</t>
        </is>
      </c>
      <c r="C60" s="2" t="inlineStr">
        <is>
          <t>net_interest</t>
        </is>
      </c>
      <c r="D60" s="2" t="inlineStr">
        <is>
          <t>Net finance cost</t>
        </is>
      </c>
      <c r="E60" s="2" t="inlineStr">
        <is>
          <t>FY2023</t>
        </is>
      </c>
      <c r="F60" s="2" t="n">
        <v>11.4</v>
      </c>
      <c r="G60" s="2" t="inlineStr">
        <is>
          <t>EUR m</t>
        </is>
      </c>
      <c r="H60" s="3" t="inlineStr">
        <is>
          <t>Financial result EUR -11.4m incl. at-equity loss share CPK -0.7; financial expenses 12.0 (bond interest 6.5, bank interest 3.6, leasing 0.2, other 0.8), financial income 0.6; interest paid 8.1</t>
        </is>
      </c>
      <c r="I60" s="2" t="inlineStr">
        <is>
          <t>S1</t>
        </is>
      </c>
      <c r="J60" s="2" t="n">
        <v>43</v>
      </c>
      <c r="K60" s="2" t="inlineStr">
        <is>
          <t>Financial result -11.4 -6.4</t>
        </is>
      </c>
      <c r="L60" s="2" t="inlineStr">
        <is>
          <t>ok</t>
        </is>
      </c>
      <c r="M60" s="2" t="inlineStr">
        <is>
          <t>demo reviewer</t>
        </is>
      </c>
      <c r="N60" s="2" t="n"/>
      <c r="O60" s="3" t="inlineStr">
        <is>
          <t>https://vanillabonds.com/dossier-data/pdf/katjes/katjes-2023-annual-report.pdf#page=43</t>
        </is>
      </c>
      <c r="P60" s="3" t="inlineStr">
        <is>
          <t>https://vanillabonds.com/dossier.html?c=katjes&amp;viewer=1&amp;item=F059</t>
        </is>
      </c>
      <c r="Q60" s="2" t="inlineStr">
        <is>
          <t>no</t>
        </is>
      </c>
    </row>
    <row r="61">
      <c r="A61" s="2" t="inlineStr">
        <is>
          <t>F060</t>
        </is>
      </c>
      <c r="B61" s="2" t="inlineStr">
        <is>
          <t>financials</t>
        </is>
      </c>
      <c r="C61" s="2" t="inlineStr">
        <is>
          <t>cfo</t>
        </is>
      </c>
      <c r="D61" s="2" t="inlineStr">
        <is>
          <t>Cash flow from operating activities</t>
        </is>
      </c>
      <c r="E61" s="2" t="inlineStr">
        <is>
          <t>FY2022</t>
        </is>
      </c>
      <c r="F61" s="2" t="n">
        <v>10.4</v>
      </c>
      <c r="G61" s="2" t="inlineStr">
        <is>
          <t>EUR m</t>
        </is>
      </c>
      <c r="H61" s="2" t="inlineStr">
        <is>
          <t>Cash flow from operating activities</t>
        </is>
      </c>
      <c r="I61" s="2" t="inlineStr">
        <is>
          <t>S1</t>
        </is>
      </c>
      <c r="J61" s="2" t="n">
        <v>48</v>
      </c>
      <c r="K61" s="3" t="inlineStr">
        <is>
          <t>Cash flow from operating activities 31.8 10.4</t>
        </is>
      </c>
      <c r="L61" s="2" t="inlineStr">
        <is>
          <t>ok</t>
        </is>
      </c>
      <c r="M61" s="2" t="inlineStr">
        <is>
          <t>demo reviewer</t>
        </is>
      </c>
      <c r="N61" s="2" t="n"/>
      <c r="O61" s="3" t="inlineStr">
        <is>
          <t>https://vanillabonds.com/dossier-data/pdf/katjes/katjes-2023-annual-report.pdf#page=48</t>
        </is>
      </c>
      <c r="P61" s="3" t="inlineStr">
        <is>
          <t>https://vanillabonds.com/dossier.html?c=katjes&amp;viewer=1&amp;item=F060</t>
        </is>
      </c>
      <c r="Q61" s="2" t="inlineStr"/>
    </row>
    <row r="62">
      <c r="A62" s="2" t="inlineStr">
        <is>
          <t>F061</t>
        </is>
      </c>
      <c r="B62" s="2" t="inlineStr">
        <is>
          <t>financials</t>
        </is>
      </c>
      <c r="C62" s="2" t="inlineStr">
        <is>
          <t>cfo</t>
        </is>
      </c>
      <c r="D62" s="2" t="inlineStr">
        <is>
          <t>Cash flow from operating activities</t>
        </is>
      </c>
      <c r="E62" s="2" t="inlineStr">
        <is>
          <t>FY2023</t>
        </is>
      </c>
      <c r="F62" s="2" t="n">
        <v>31.8</v>
      </c>
      <c r="G62" s="2" t="inlineStr">
        <is>
          <t>EUR m</t>
        </is>
      </c>
      <c r="H62" s="2" t="inlineStr">
        <is>
          <t>Cash flow from operating activities</t>
        </is>
      </c>
      <c r="I62" s="2" t="inlineStr">
        <is>
          <t>S1</t>
        </is>
      </c>
      <c r="J62" s="2" t="n">
        <v>48</v>
      </c>
      <c r="K62" s="3" t="inlineStr">
        <is>
          <t>Cash flow from operating activities 31.8 10.4</t>
        </is>
      </c>
      <c r="L62" s="2" t="inlineStr">
        <is>
          <t>ok</t>
        </is>
      </c>
      <c r="M62" s="2" t="inlineStr">
        <is>
          <t>demo reviewer</t>
        </is>
      </c>
      <c r="N62" s="2" t="n"/>
      <c r="O62" s="3" t="inlineStr">
        <is>
          <t>https://vanillabonds.com/dossier-data/pdf/katjes/katjes-2023-annual-report.pdf#page=48</t>
        </is>
      </c>
      <c r="P62" s="3" t="inlineStr">
        <is>
          <t>https://vanillabonds.com/dossier.html?c=katjes&amp;viewer=1&amp;item=F061</t>
        </is>
      </c>
      <c r="Q62" s="2" t="inlineStr">
        <is>
          <t>no</t>
        </is>
      </c>
    </row>
    <row r="63">
      <c r="A63" s="2" t="inlineStr">
        <is>
          <t>F062</t>
        </is>
      </c>
      <c r="B63" s="2" t="inlineStr">
        <is>
          <t>financials</t>
        </is>
      </c>
      <c r="C63" s="2" t="inlineStr">
        <is>
          <t>capex</t>
        </is>
      </c>
      <c r="D63" s="2" t="inlineStr">
        <is>
          <t>Capex (PP&amp;E + intangibles)</t>
        </is>
      </c>
      <c r="E63" s="2" t="inlineStr">
        <is>
          <t>FY2022</t>
        </is>
      </c>
      <c r="F63" s="2" t="n">
        <v>8</v>
      </c>
      <c r="G63" s="2" t="inlineStr">
        <is>
          <t>EUR m</t>
        </is>
      </c>
      <c r="H63" s="3" t="inlineStr">
        <is>
          <t>Additions to intangible assets (1.3) and PP&amp;E (6.7) per fixed-asset schedule, excl. initial consolidation 77.5; cash flow shows PP&amp;E -6.1 and intangibles -1.2</t>
        </is>
      </c>
      <c r="I63" s="2" t="inlineStr">
        <is>
          <t>S1</t>
        </is>
      </c>
      <c r="J63" s="2" t="n">
        <v>89</v>
      </c>
      <c r="K63" s="2" t="inlineStr">
        <is>
          <t>232.4 8.0 77.5 0.0 -0.8 317.0</t>
        </is>
      </c>
      <c r="L63" s="2" t="inlineStr">
        <is>
          <t>ok</t>
        </is>
      </c>
      <c r="M63" s="2" t="inlineStr">
        <is>
          <t>demo reviewer</t>
        </is>
      </c>
      <c r="N63" s="2" t="n"/>
      <c r="O63" s="3" t="inlineStr">
        <is>
          <t>https://vanillabonds.com/dossier-data/pdf/katjes/katjes-2023-annual-report.pdf#page=89</t>
        </is>
      </c>
      <c r="P63" s="3" t="inlineStr">
        <is>
          <t>https://vanillabonds.com/dossier.html?c=katjes&amp;viewer=1&amp;item=F062</t>
        </is>
      </c>
      <c r="Q63" s="2" t="inlineStr"/>
    </row>
    <row r="64">
      <c r="A64" s="2" t="inlineStr">
        <is>
          <t>F063</t>
        </is>
      </c>
      <c r="B64" s="2" t="inlineStr">
        <is>
          <t>financials</t>
        </is>
      </c>
      <c r="C64" s="2" t="inlineStr">
        <is>
          <t>capex</t>
        </is>
      </c>
      <c r="D64" s="2" t="inlineStr">
        <is>
          <t>Capex (PP&amp;E + intangibles)</t>
        </is>
      </c>
      <c r="E64" s="2" t="inlineStr">
        <is>
          <t>FY2023</t>
        </is>
      </c>
      <c r="F64" s="2" t="n">
        <v>14.3</v>
      </c>
      <c r="G64" s="2" t="inlineStr">
        <is>
          <t>EUR m</t>
        </is>
      </c>
      <c r="H64" s="3" t="inlineStr">
        <is>
          <t>Additions to intangible assets (6.4) and PP&amp;E (7.9) per fixed-asset schedule, excl. right-of-use additions 3.5; cash flow shows PP&amp;E -7.4 and intangibles -7.2</t>
        </is>
      </c>
      <c r="I64" s="2" t="inlineStr">
        <is>
          <t>S1</t>
        </is>
      </c>
      <c r="J64" s="2" t="n">
        <v>88</v>
      </c>
      <c r="K64" s="2" t="inlineStr">
        <is>
          <t>317.0 14.3 0.0 0.0 -1.3 330.1</t>
        </is>
      </c>
      <c r="L64" s="2" t="inlineStr">
        <is>
          <t>pend</t>
        </is>
      </c>
      <c r="M64" s="2" t="n"/>
      <c r="N64" s="3" t="inlineStr">
        <is>
          <t>conflict: S1·p88 14.3 vs S2·p45 14.6; primary per fact agent: S2 p45 - S2 is the later audited report; its 2023 cash flow lines (-7.4 and -7.2) are the same lines S1's own cash flow statement shows, and S1's 14.3 is the fixed-asset schedule additions, a different line, not a restatement.</t>
        </is>
      </c>
      <c r="O64" s="3" t="inlineStr">
        <is>
          <t>https://vanillabonds.com/dossier-data/pdf/katjes/katjes-2023-annual-report.pdf#page=88</t>
        </is>
      </c>
      <c r="P64" s="3" t="inlineStr">
        <is>
          <t>https://vanillabonds.com/dossier.html?c=katjes&amp;viewer=1&amp;item=F063</t>
        </is>
      </c>
      <c r="Q64" s="2" t="inlineStr">
        <is>
          <t>no</t>
        </is>
      </c>
    </row>
    <row r="65">
      <c r="A65" s="2" t="inlineStr">
        <is>
          <t>F064</t>
        </is>
      </c>
      <c r="B65" s="2" t="inlineStr">
        <is>
          <t>financials</t>
        </is>
      </c>
      <c r="C65" s="2" t="inlineStr">
        <is>
          <t>cash</t>
        </is>
      </c>
      <c r="D65" s="2" t="inlineStr">
        <is>
          <t>Cash &amp; equivalents</t>
        </is>
      </c>
      <c r="E65" s="2" t="inlineStr">
        <is>
          <t>FY2022</t>
        </is>
      </c>
      <c r="F65" s="2" t="n">
        <v>35.5</v>
      </c>
      <c r="G65" s="2" t="inlineStr">
        <is>
          <t>EUR m</t>
        </is>
      </c>
      <c r="H65" s="2" t="inlineStr">
        <is>
          <t>Cash and cash equivalents</t>
        </is>
      </c>
      <c r="I65" s="2" t="inlineStr">
        <is>
          <t>S1</t>
        </is>
      </c>
      <c r="J65" s="2" t="n">
        <v>45</v>
      </c>
      <c r="K65" s="2" t="inlineStr">
        <is>
          <t>Cash and cash equivalents 6.7 58.4 35.5</t>
        </is>
      </c>
      <c r="L65" s="2" t="inlineStr">
        <is>
          <t>ok</t>
        </is>
      </c>
      <c r="M65" s="2" t="inlineStr">
        <is>
          <t>demo reviewer</t>
        </is>
      </c>
      <c r="N65" s="2" t="n"/>
      <c r="O65" s="3" t="inlineStr">
        <is>
          <t>https://vanillabonds.com/dossier-data/pdf/katjes/katjes-2023-annual-report.pdf#page=45</t>
        </is>
      </c>
      <c r="P65" s="3" t="inlineStr">
        <is>
          <t>https://vanillabonds.com/dossier.html?c=katjes&amp;viewer=1&amp;item=F064</t>
        </is>
      </c>
      <c r="Q65" s="2" t="inlineStr"/>
    </row>
    <row r="66">
      <c r="A66" s="2" t="inlineStr">
        <is>
          <t>F065</t>
        </is>
      </c>
      <c r="B66" s="2" t="inlineStr">
        <is>
          <t>financials</t>
        </is>
      </c>
      <c r="C66" s="2" t="inlineStr">
        <is>
          <t>cash</t>
        </is>
      </c>
      <c r="D66" s="2" t="inlineStr">
        <is>
          <t>Cash &amp; equivalents</t>
        </is>
      </c>
      <c r="E66" s="2" t="inlineStr">
        <is>
          <t>FY2023</t>
        </is>
      </c>
      <c r="F66" s="2" t="n">
        <v>58.4</v>
      </c>
      <c r="G66" s="2" t="inlineStr">
        <is>
          <t>EUR m</t>
        </is>
      </c>
      <c r="H66" s="3" t="inlineStr">
        <is>
          <t>Cash and cash equivalents; includes EUR 2.0m in SEK (SEK 24.0m)</t>
        </is>
      </c>
      <c r="I66" s="2" t="inlineStr">
        <is>
          <t>S1</t>
        </is>
      </c>
      <c r="J66" s="2" t="n">
        <v>45</v>
      </c>
      <c r="K66" s="2" t="inlineStr">
        <is>
          <t>Cash and cash equivalents 6.7 58.4 35.5</t>
        </is>
      </c>
      <c r="L66" s="2" t="inlineStr">
        <is>
          <t>ok</t>
        </is>
      </c>
      <c r="M66" s="2" t="inlineStr">
        <is>
          <t>demo reviewer</t>
        </is>
      </c>
      <c r="N66" s="2" t="n"/>
      <c r="O66" s="3" t="inlineStr">
        <is>
          <t>https://vanillabonds.com/dossier-data/pdf/katjes/katjes-2023-annual-report.pdf#page=45</t>
        </is>
      </c>
      <c r="P66" s="3" t="inlineStr">
        <is>
          <t>https://vanillabonds.com/dossier.html?c=katjes&amp;viewer=1&amp;item=F065</t>
        </is>
      </c>
      <c r="Q66" s="2" t="inlineStr">
        <is>
          <t>no</t>
        </is>
      </c>
    </row>
    <row r="67">
      <c r="A67" s="2" t="inlineStr">
        <is>
          <t>F066</t>
        </is>
      </c>
      <c r="B67" s="2" t="inlineStr">
        <is>
          <t>financials</t>
        </is>
      </c>
      <c r="C67" s="2" t="inlineStr">
        <is>
          <t>gross_debt</t>
        </is>
      </c>
      <c r="D67" s="3" t="inlineStr">
        <is>
          <t>Gross financial debt (bonds + loans, excl. leases)</t>
        </is>
      </c>
      <c r="E67" s="2" t="inlineStr">
        <is>
          <t>FY2022</t>
        </is>
      </c>
      <c r="F67" s="2" t="n">
        <v>173.5</v>
      </c>
      <c r="G67" s="2" t="inlineStr">
        <is>
          <t>EUR m</t>
        </is>
      </c>
      <c r="H67" s="3" t="inlineStr">
        <is>
          <t>Total financial liabilities as reported (prior-year figure adjusted for PPA finalisation), INCLUDING lease liabilities 6.4; bond 110.0, accrued interest 3.4, banks 42.5, hire-purchase 2.7</t>
        </is>
      </c>
      <c r="I67" s="2" t="inlineStr">
        <is>
          <t>S1</t>
        </is>
      </c>
      <c r="J67" s="2" t="n">
        <v>72</v>
      </c>
      <c r="K67" s="2" t="inlineStr">
        <is>
          <t>Total 191.9 173.5</t>
        </is>
      </c>
      <c r="L67" s="2" t="inlineStr">
        <is>
          <t>ok</t>
        </is>
      </c>
      <c r="M67" s="2" t="inlineStr">
        <is>
          <t>demo reviewer</t>
        </is>
      </c>
      <c r="N67" s="2" t="n"/>
      <c r="O67" s="3" t="inlineStr">
        <is>
          <t>https://vanillabonds.com/dossier-data/pdf/katjes/katjes-2023-annual-report.pdf#page=72</t>
        </is>
      </c>
      <c r="P67" s="3" t="inlineStr">
        <is>
          <t>https://vanillabonds.com/dossier.html?c=katjes&amp;viewer=1&amp;item=F066</t>
        </is>
      </c>
      <c r="Q67" s="2" t="inlineStr"/>
    </row>
    <row r="68">
      <c r="A68" s="2" t="inlineStr">
        <is>
          <t>F067</t>
        </is>
      </c>
      <c r="B68" s="2" t="inlineStr">
        <is>
          <t>financials</t>
        </is>
      </c>
      <c r="C68" s="2" t="inlineStr">
        <is>
          <t>gross_debt</t>
        </is>
      </c>
      <c r="D68" s="3" t="inlineStr">
        <is>
          <t>Gross financial debt (bonds + loans, excl. leases)</t>
        </is>
      </c>
      <c r="E68" s="2" t="inlineStr">
        <is>
          <t>FY2023</t>
        </is>
      </c>
      <c r="F68" s="2" t="n">
        <v>191.9</v>
      </c>
      <c r="G68" s="2" t="inlineStr">
        <is>
          <t>EUR m</t>
        </is>
      </c>
      <c r="H68" s="3" t="inlineStr">
        <is>
          <t>Total financial liabilities as reported (capital management table), INCLUDING lease liabilities 6.8; components: bond 115.0, accrued bond interest 2.1, liabilities to banks 56.3, Viersen site liability 6.4, hire-purchase 3.0, Dulcioliva option 1.2</t>
        </is>
      </c>
      <c r="I68" s="2" t="inlineStr">
        <is>
          <t>S1</t>
        </is>
      </c>
      <c r="J68" s="2" t="n">
        <v>72</v>
      </c>
      <c r="K68" s="2" t="inlineStr">
        <is>
          <t>Total 191.9 173.5</t>
        </is>
      </c>
      <c r="L68" s="2" t="inlineStr">
        <is>
          <t>pend</t>
        </is>
      </c>
      <c r="M68" s="2" t="n"/>
      <c r="N68" s="3" t="inlineStr">
        <is>
          <t>conflict: S1·p72 191.9 vs S2·p68 185.1; primary per fact agent: S2 p68 - No restatement: S2 shows the same FY2023 total of 191.9 as S1 p72; the S1 fact keeps the 6.8 lease liabilities inside, which the field excludes, so the S2 fact of 185.1 applies, a subtraction the reviewer confirms (it includes the 6.4 Viersen site liability).</t>
        </is>
      </c>
      <c r="O68" s="3" t="inlineStr">
        <is>
          <t>https://vanillabonds.com/dossier-data/pdf/katjes/katjes-2023-annual-report.pdf#page=72</t>
        </is>
      </c>
      <c r="P68" s="3" t="inlineStr">
        <is>
          <t>https://vanillabonds.com/dossier.html?c=katjes&amp;viewer=1&amp;item=F067</t>
        </is>
      </c>
      <c r="Q68" s="2" t="inlineStr">
        <is>
          <t>no</t>
        </is>
      </c>
    </row>
    <row r="69">
      <c r="A69" s="2" t="inlineStr">
        <is>
          <t>F068</t>
        </is>
      </c>
      <c r="B69" s="2" t="inlineStr">
        <is>
          <t>financials</t>
        </is>
      </c>
      <c r="C69" s="2" t="inlineStr">
        <is>
          <t>lease_liabilities</t>
        </is>
      </c>
      <c r="D69" s="2" t="inlineStr">
        <is>
          <t>Lease liabilities</t>
        </is>
      </c>
      <c r="E69" s="2" t="inlineStr">
        <is>
          <t>FY2022</t>
        </is>
      </c>
      <c r="F69" s="2" t="n">
        <v>6.4</v>
      </c>
      <c r="G69" s="2" t="inlineStr">
        <is>
          <t>EUR m</t>
        </is>
      </c>
      <c r="H69" s="2" t="inlineStr">
        <is>
          <t>IFRS 16 lease liabilities</t>
        </is>
      </c>
      <c r="I69" s="2" t="inlineStr">
        <is>
          <t>S1</t>
        </is>
      </c>
      <c r="J69" s="2" t="n">
        <v>83</v>
      </c>
      <c r="K69" s="3" t="inlineStr">
        <is>
          <t>Due after five or more years 0.1 0.2 Total 6.8 6.4</t>
        </is>
      </c>
      <c r="L69" s="2" t="inlineStr">
        <is>
          <t>ok</t>
        </is>
      </c>
      <c r="M69" s="2" t="inlineStr">
        <is>
          <t>demo reviewer</t>
        </is>
      </c>
      <c r="N69" s="2" t="n"/>
      <c r="O69" s="3" t="inlineStr">
        <is>
          <t>https://vanillabonds.com/dossier-data/pdf/katjes/katjes-2023-annual-report.pdf#page=83</t>
        </is>
      </c>
      <c r="P69" s="3" t="inlineStr">
        <is>
          <t>https://vanillabonds.com/dossier.html?c=katjes&amp;viewer=1&amp;item=F068</t>
        </is>
      </c>
      <c r="Q69" s="2" t="inlineStr"/>
    </row>
    <row r="70">
      <c r="A70" s="2" t="inlineStr">
        <is>
          <t>F069</t>
        </is>
      </c>
      <c r="B70" s="2" t="inlineStr">
        <is>
          <t>financials</t>
        </is>
      </c>
      <c r="C70" s="2" t="inlineStr">
        <is>
          <t>lease_liabilities</t>
        </is>
      </c>
      <c r="D70" s="2" t="inlineStr">
        <is>
          <t>Lease liabilities</t>
        </is>
      </c>
      <c r="E70" s="2" t="inlineStr">
        <is>
          <t>FY2023</t>
        </is>
      </c>
      <c r="F70" s="2" t="n">
        <v>6.8</v>
      </c>
      <c r="G70" s="2" t="inlineStr">
        <is>
          <t>EUR m</t>
        </is>
      </c>
      <c r="H70" s="3" t="inlineStr">
        <is>
          <t>IFRS 16 lease liabilities: 2.9 due within one year, 3.8 one to five years, 0.1 after five years</t>
        </is>
      </c>
      <c r="I70" s="2" t="inlineStr">
        <is>
          <t>S1</t>
        </is>
      </c>
      <c r="J70" s="2" t="n">
        <v>83</v>
      </c>
      <c r="K70" s="3" t="inlineStr">
        <is>
          <t>Due after five or more years 0.1 0.2 Total 6.8 6.4</t>
        </is>
      </c>
      <c r="L70" s="2" t="inlineStr">
        <is>
          <t>ok</t>
        </is>
      </c>
      <c r="M70" s="2" t="inlineStr">
        <is>
          <t>demo reviewer</t>
        </is>
      </c>
      <c r="N70" s="2" t="n"/>
      <c r="O70" s="3" t="inlineStr">
        <is>
          <t>https://vanillabonds.com/dossier-data/pdf/katjes/katjes-2023-annual-report.pdf#page=83</t>
        </is>
      </c>
      <c r="P70" s="3" t="inlineStr">
        <is>
          <t>https://vanillabonds.com/dossier.html?c=katjes&amp;viewer=1&amp;item=F069</t>
        </is>
      </c>
      <c r="Q70" s="2" t="inlineStr">
        <is>
          <t>no</t>
        </is>
      </c>
    </row>
    <row r="71">
      <c r="A71" s="2" t="inlineStr">
        <is>
          <t>F070</t>
        </is>
      </c>
      <c r="B71" s="2" t="inlineStr">
        <is>
          <t>financials</t>
        </is>
      </c>
      <c r="C71" s="2" t="inlineStr">
        <is>
          <t>net_debt</t>
        </is>
      </c>
      <c r="D71" s="2" t="inlineStr">
        <is>
          <t>Net debt (as reported)</t>
        </is>
      </c>
      <c r="E71" s="2" t="inlineStr">
        <is>
          <t>FY2022</t>
        </is>
      </c>
      <c r="F71" s="2" t="n">
        <v>138</v>
      </c>
      <c r="G71" s="2" t="inlineStr">
        <is>
          <t>EUR m</t>
        </is>
      </c>
      <c r="H71" s="3" t="inlineStr">
        <is>
          <t>Net debt as reported (adjusted) = financial liabilities 173.5 less cash 35.5; leverage ratio 45%</t>
        </is>
      </c>
      <c r="I71" s="2" t="inlineStr">
        <is>
          <t>S1</t>
        </is>
      </c>
      <c r="J71" s="2" t="n">
        <v>64</v>
      </c>
      <c r="K71" s="2" t="inlineStr">
        <is>
          <t>Net debt 133.5 138.0</t>
        </is>
      </c>
      <c r="L71" s="2" t="inlineStr">
        <is>
          <t>ok</t>
        </is>
      </c>
      <c r="M71" s="2" t="inlineStr">
        <is>
          <t>demo reviewer</t>
        </is>
      </c>
      <c r="N71" s="2" t="n"/>
      <c r="O71" s="3" t="inlineStr">
        <is>
          <t>https://vanillabonds.com/dossier-data/pdf/katjes/katjes-2023-annual-report.pdf#page=64</t>
        </is>
      </c>
      <c r="P71" s="3" t="inlineStr">
        <is>
          <t>https://vanillabonds.com/dossier.html?c=katjes&amp;viewer=1&amp;item=F070</t>
        </is>
      </c>
      <c r="Q71" s="2" t="inlineStr"/>
    </row>
    <row r="72">
      <c r="A72" s="2" t="inlineStr">
        <is>
          <t>F071</t>
        </is>
      </c>
      <c r="B72" s="2" t="inlineStr">
        <is>
          <t>financials</t>
        </is>
      </c>
      <c r="C72" s="2" t="inlineStr">
        <is>
          <t>net_debt</t>
        </is>
      </c>
      <c r="D72" s="2" t="inlineStr">
        <is>
          <t>Net debt (as reported)</t>
        </is>
      </c>
      <c r="E72" s="2" t="inlineStr">
        <is>
          <t>FY2023</t>
        </is>
      </c>
      <c r="F72" s="2" t="n">
        <v>133.5</v>
      </c>
      <c r="G72" s="2" t="inlineStr">
        <is>
          <t>EUR m</t>
        </is>
      </c>
      <c r="H72" s="3" t="inlineStr">
        <is>
          <t>Net debt as reported = financial liabilities 191.9 (incl. leases) less cash 58.4; leverage ratio (net debt / total capital) 43%</t>
        </is>
      </c>
      <c r="I72" s="2" t="inlineStr">
        <is>
          <t>S1</t>
        </is>
      </c>
      <c r="J72" s="2" t="n">
        <v>64</v>
      </c>
      <c r="K72" s="2" t="inlineStr">
        <is>
          <t>Net debt 133.5 138.0</t>
        </is>
      </c>
      <c r="L72" s="2" t="inlineStr">
        <is>
          <t>ok</t>
        </is>
      </c>
      <c r="M72" s="2" t="inlineStr">
        <is>
          <t>demo reviewer</t>
        </is>
      </c>
      <c r="N72" s="2" t="n"/>
      <c r="O72" s="3" t="inlineStr">
        <is>
          <t>https://vanillabonds.com/dossier-data/pdf/katjes/katjes-2023-annual-report.pdf#page=64</t>
        </is>
      </c>
      <c r="P72" s="3" t="inlineStr">
        <is>
          <t>https://vanillabonds.com/dossier.html?c=katjes&amp;viewer=1&amp;item=F071</t>
        </is>
      </c>
      <c r="Q72" s="2" t="inlineStr">
        <is>
          <t>no</t>
        </is>
      </c>
    </row>
    <row r="73">
      <c r="A73" s="2" t="inlineStr">
        <is>
          <t>F072</t>
        </is>
      </c>
      <c r="B73" s="2" t="inlineStr">
        <is>
          <t>financials</t>
        </is>
      </c>
      <c r="C73" s="2" t="inlineStr">
        <is>
          <t>equity</t>
        </is>
      </c>
      <c r="D73" s="2" t="inlineStr">
        <is>
          <t>Total equity</t>
        </is>
      </c>
      <c r="E73" s="2" t="inlineStr">
        <is>
          <t>FY2019</t>
        </is>
      </c>
      <c r="F73" s="2" t="n">
        <v>137.9</v>
      </c>
      <c r="G73" s="2" t="inlineStr">
        <is>
          <t>EUR m</t>
        </is>
      </c>
      <c r="H73" s="2" t="inlineStr">
        <is>
          <t>From the five-year equity chart</t>
        </is>
      </c>
      <c r="I73" s="2" t="inlineStr">
        <is>
          <t>S1</t>
        </is>
      </c>
      <c r="J73" s="2" t="n">
        <v>8</v>
      </c>
      <c r="K73" s="2" t="inlineStr">
        <is>
          <t>2019 2020 137.9 139.5</t>
        </is>
      </c>
      <c r="L73" s="2" t="inlineStr">
        <is>
          <t>ok</t>
        </is>
      </c>
      <c r="M73" s="2" t="inlineStr">
        <is>
          <t>demo reviewer</t>
        </is>
      </c>
      <c r="N73" s="2" t="n"/>
      <c r="O73" s="3" t="inlineStr">
        <is>
          <t>https://vanillabonds.com/dossier-data/pdf/katjes/katjes-2023-annual-report.pdf#page=8</t>
        </is>
      </c>
      <c r="P73" s="3" t="inlineStr">
        <is>
          <t>https://vanillabonds.com/dossier.html?c=katjes&amp;viewer=1&amp;item=F072</t>
        </is>
      </c>
      <c r="Q73" s="2" t="inlineStr"/>
    </row>
    <row r="74">
      <c r="A74" s="2" t="inlineStr">
        <is>
          <t>F073</t>
        </is>
      </c>
      <c r="B74" s="2" t="inlineStr">
        <is>
          <t>financials</t>
        </is>
      </c>
      <c r="C74" s="2" t="inlineStr">
        <is>
          <t>equity</t>
        </is>
      </c>
      <c r="D74" s="2" t="inlineStr">
        <is>
          <t>Total equity</t>
        </is>
      </c>
      <c r="E74" s="2" t="inlineStr">
        <is>
          <t>FY2020</t>
        </is>
      </c>
      <c r="F74" s="2" t="n">
        <v>139.5</v>
      </c>
      <c r="G74" s="2" t="inlineStr">
        <is>
          <t>EUR m</t>
        </is>
      </c>
      <c r="H74" s="2" t="inlineStr">
        <is>
          <t>From the five-year equity chart</t>
        </is>
      </c>
      <c r="I74" s="2" t="inlineStr">
        <is>
          <t>S1</t>
        </is>
      </c>
      <c r="J74" s="2" t="n">
        <v>8</v>
      </c>
      <c r="K74" s="2" t="inlineStr">
        <is>
          <t>2019 2020 137.9 139.5</t>
        </is>
      </c>
      <c r="L74" s="2" t="inlineStr">
        <is>
          <t>ok</t>
        </is>
      </c>
      <c r="M74" s="2" t="inlineStr">
        <is>
          <t>demo reviewer</t>
        </is>
      </c>
      <c r="N74" s="2" t="n"/>
      <c r="O74" s="3" t="inlineStr">
        <is>
          <t>https://vanillabonds.com/dossier-data/pdf/katjes/katjes-2023-annual-report.pdf#page=8</t>
        </is>
      </c>
      <c r="P74" s="3" t="inlineStr">
        <is>
          <t>https://vanillabonds.com/dossier.html?c=katjes&amp;viewer=1&amp;item=F073</t>
        </is>
      </c>
      <c r="Q74" s="2" t="inlineStr"/>
    </row>
    <row r="75">
      <c r="A75" s="2" t="inlineStr">
        <is>
          <t>F074</t>
        </is>
      </c>
      <c r="B75" s="2" t="inlineStr">
        <is>
          <t>financials</t>
        </is>
      </c>
      <c r="C75" s="2" t="inlineStr">
        <is>
          <t>equity</t>
        </is>
      </c>
      <c r="D75" s="2" t="inlineStr">
        <is>
          <t>Total equity</t>
        </is>
      </c>
      <c r="E75" s="2" t="inlineStr">
        <is>
          <t>FY2021</t>
        </is>
      </c>
      <c r="F75" s="2" t="n">
        <v>141.4</v>
      </c>
      <c r="G75" s="2" t="inlineStr">
        <is>
          <t>EUR m</t>
        </is>
      </c>
      <c r="H75" s="3" t="inlineStr">
        <is>
          <t>Total equity at 31 Dec 2021 per statement of changes in equity</t>
        </is>
      </c>
      <c r="I75" s="2" t="inlineStr">
        <is>
          <t>S1</t>
        </is>
      </c>
      <c r="J75" s="2" t="n">
        <v>47</v>
      </c>
      <c r="K75" s="3" t="inlineStr">
        <is>
          <t>As at 31 Dec 2021 / 01 Jan 2022 0.6 2.0 2.0 129.5 0.9 2.1 0.2 2.3 137.3 4.1 141.4</t>
        </is>
      </c>
      <c r="L75" s="2" t="inlineStr">
        <is>
          <t>ok</t>
        </is>
      </c>
      <c r="M75" s="2" t="inlineStr">
        <is>
          <t>demo reviewer</t>
        </is>
      </c>
      <c r="N75" s="2" t="n"/>
      <c r="O75" s="3" t="inlineStr">
        <is>
          <t>https://vanillabonds.com/dossier-data/pdf/katjes/katjes-2023-annual-report.pdf#page=47</t>
        </is>
      </c>
      <c r="P75" s="3" t="inlineStr">
        <is>
          <t>https://vanillabonds.com/dossier.html?c=katjes&amp;viewer=1&amp;item=F074</t>
        </is>
      </c>
      <c r="Q75" s="2" t="inlineStr"/>
    </row>
    <row r="76">
      <c r="A76" s="2" t="inlineStr">
        <is>
          <t>F075</t>
        </is>
      </c>
      <c r="B76" s="2" t="inlineStr">
        <is>
          <t>financials</t>
        </is>
      </c>
      <c r="C76" s="2" t="inlineStr">
        <is>
          <t>equity</t>
        </is>
      </c>
      <c r="D76" s="2" t="inlineStr">
        <is>
          <t>Total equity</t>
        </is>
      </c>
      <c r="E76" s="2" t="inlineStr">
        <is>
          <t>FY2022</t>
        </is>
      </c>
      <c r="F76" s="2" t="n">
        <v>167</v>
      </c>
      <c r="G76" s="2" t="inlineStr">
        <is>
          <t>EUR m</t>
        </is>
      </c>
      <c r="H76" s="3" t="inlineStr">
        <is>
          <t>Total equity, prior-year figure adjusted for PPA finalisation (+7.7); shareholders' equity 164.1, NCI 2.9</t>
        </is>
      </c>
      <c r="I76" s="2" t="inlineStr">
        <is>
          <t>S1</t>
        </is>
      </c>
      <c r="J76" s="2" t="n">
        <v>46</v>
      </c>
      <c r="K76" s="2" t="inlineStr">
        <is>
          <t>Total equity 6.8 176.0 167.0</t>
        </is>
      </c>
      <c r="L76" s="2" t="inlineStr">
        <is>
          <t>ok</t>
        </is>
      </c>
      <c r="M76" s="2" t="inlineStr">
        <is>
          <t>demo reviewer</t>
        </is>
      </c>
      <c r="N76" s="2" t="n"/>
      <c r="O76" s="3" t="inlineStr">
        <is>
          <t>https://vanillabonds.com/dossier-data/pdf/katjes/katjes-2023-annual-report.pdf#page=46</t>
        </is>
      </c>
      <c r="P76" s="3" t="inlineStr">
        <is>
          <t>https://vanillabonds.com/dossier.html?c=katjes&amp;viewer=1&amp;item=F075</t>
        </is>
      </c>
      <c r="Q76" s="2" t="inlineStr"/>
    </row>
    <row r="77">
      <c r="A77" s="2" t="inlineStr">
        <is>
          <t>F076</t>
        </is>
      </c>
      <c r="B77" s="2" t="inlineStr">
        <is>
          <t>financials</t>
        </is>
      </c>
      <c r="C77" s="2" t="inlineStr">
        <is>
          <t>equity</t>
        </is>
      </c>
      <c r="D77" s="2" t="inlineStr">
        <is>
          <t>Total equity</t>
        </is>
      </c>
      <c r="E77" s="2" t="inlineStr">
        <is>
          <t>FY2023</t>
        </is>
      </c>
      <c r="F77" s="2" t="n">
        <v>176</v>
      </c>
      <c r="G77" s="2" t="inlineStr">
        <is>
          <t>EUR m</t>
        </is>
      </c>
      <c r="H77" s="3" t="inlineStr">
        <is>
          <t>Total equity; shareholders' equity 173.0, non-controlling interests 3.0</t>
        </is>
      </c>
      <c r="I77" s="2" t="inlineStr">
        <is>
          <t>S1</t>
        </is>
      </c>
      <c r="J77" s="2" t="n">
        <v>46</v>
      </c>
      <c r="K77" s="2" t="inlineStr">
        <is>
          <t>Total equity 6.8 176.0 167.0</t>
        </is>
      </c>
      <c r="L77" s="2" t="inlineStr">
        <is>
          <t>ok</t>
        </is>
      </c>
      <c r="M77" s="2" t="inlineStr">
        <is>
          <t>demo reviewer</t>
        </is>
      </c>
      <c r="N77" s="2" t="n"/>
      <c r="O77" s="3" t="inlineStr">
        <is>
          <t>https://vanillabonds.com/dossier-data/pdf/katjes/katjes-2023-annual-report.pdf#page=46</t>
        </is>
      </c>
      <c r="P77" s="3" t="inlineStr">
        <is>
          <t>https://vanillabonds.com/dossier.html?c=katjes&amp;viewer=1&amp;item=F076</t>
        </is>
      </c>
      <c r="Q77" s="2" t="inlineStr">
        <is>
          <t>no</t>
        </is>
      </c>
    </row>
    <row r="78">
      <c r="A78" s="2" t="inlineStr">
        <is>
          <t>F077</t>
        </is>
      </c>
      <c r="B78" s="2" t="inlineStr">
        <is>
          <t>financials</t>
        </is>
      </c>
      <c r="C78" s="2" t="inlineStr">
        <is>
          <t>total_assets</t>
        </is>
      </c>
      <c r="D78" s="2" t="inlineStr">
        <is>
          <t>Total assets</t>
        </is>
      </c>
      <c r="E78" s="2" t="inlineStr">
        <is>
          <t>FY2022</t>
        </is>
      </c>
      <c r="F78" s="2" t="n">
        <v>441.4</v>
      </c>
      <c r="G78" s="2" t="inlineStr">
        <is>
          <t>EUR m</t>
        </is>
      </c>
      <c r="H78" s="3" t="inlineStr">
        <is>
          <t>Total assets, prior-year figure adjusted for PPA finalisation; non-current 317.6, current 123.8</t>
        </is>
      </c>
      <c r="I78" s="2" t="inlineStr">
        <is>
          <t>S1</t>
        </is>
      </c>
      <c r="J78" s="2" t="n">
        <v>45</v>
      </c>
      <c r="K78" s="2" t="inlineStr">
        <is>
          <t>Total assets 477.6 441.4</t>
        </is>
      </c>
      <c r="L78" s="2" t="inlineStr">
        <is>
          <t>ok</t>
        </is>
      </c>
      <c r="M78" s="2" t="inlineStr">
        <is>
          <t>demo reviewer</t>
        </is>
      </c>
      <c r="N78" s="2" t="n"/>
      <c r="O78" s="3" t="inlineStr">
        <is>
          <t>https://vanillabonds.com/dossier-data/pdf/katjes/katjes-2023-annual-report.pdf#page=45</t>
        </is>
      </c>
      <c r="P78" s="3" t="inlineStr">
        <is>
          <t>https://vanillabonds.com/dossier.html?c=katjes&amp;viewer=1&amp;item=F077</t>
        </is>
      </c>
      <c r="Q78" s="2" t="inlineStr"/>
    </row>
    <row r="79">
      <c r="A79" s="2" t="inlineStr">
        <is>
          <t>F078</t>
        </is>
      </c>
      <c r="B79" s="2" t="inlineStr">
        <is>
          <t>financials</t>
        </is>
      </c>
      <c r="C79" s="2" t="inlineStr">
        <is>
          <t>total_assets</t>
        </is>
      </c>
      <c r="D79" s="2" t="inlineStr">
        <is>
          <t>Total assets</t>
        </is>
      </c>
      <c r="E79" s="2" t="inlineStr">
        <is>
          <t>FY2023</t>
        </is>
      </c>
      <c r="F79" s="2" t="n">
        <v>477.6</v>
      </c>
      <c r="G79" s="2" t="inlineStr">
        <is>
          <t>EUR m</t>
        </is>
      </c>
      <c r="H79" s="3" t="inlineStr">
        <is>
          <t>Total assets; non-current 313.0, current 164.6</t>
        </is>
      </c>
      <c r="I79" s="2" t="inlineStr">
        <is>
          <t>S1</t>
        </is>
      </c>
      <c r="J79" s="2" t="n">
        <v>45</v>
      </c>
      <c r="K79" s="2" t="inlineStr">
        <is>
          <t>Total assets 477.6 441.4</t>
        </is>
      </c>
      <c r="L79" s="2" t="inlineStr">
        <is>
          <t>ok</t>
        </is>
      </c>
      <c r="M79" s="2" t="inlineStr">
        <is>
          <t>demo reviewer</t>
        </is>
      </c>
      <c r="N79" s="2" t="n"/>
      <c r="O79" s="3" t="inlineStr">
        <is>
          <t>https://vanillabonds.com/dossier-data/pdf/katjes/katjes-2023-annual-report.pdf#page=45</t>
        </is>
      </c>
      <c r="P79" s="3" t="inlineStr">
        <is>
          <t>https://vanillabonds.com/dossier.html?c=katjes&amp;viewer=1&amp;item=F078</t>
        </is>
      </c>
      <c r="Q79" s="2" t="inlineStr">
        <is>
          <t>no</t>
        </is>
      </c>
    </row>
    <row r="80">
      <c r="A80" s="2" t="inlineStr">
        <is>
          <t>F079</t>
        </is>
      </c>
      <c r="B80" s="2" t="inlineStr">
        <is>
          <t>debt</t>
        </is>
      </c>
      <c r="C80" s="2" t="inlineStr">
        <is>
          <t>debt_instrument</t>
        </is>
      </c>
      <c r="D80" s="2" t="inlineStr">
        <is>
          <t>Debt instrument</t>
        </is>
      </c>
      <c r="E80" s="2" t="n"/>
      <c r="F80" s="2" t="n"/>
      <c r="G80" s="2" t="n"/>
      <c r="H80" s="3" t="inlineStr">
        <is>
          <t>Liabilities to banks total EUR 56.3m at 31 Dec 2023 (2022: EUR 42.5m); fair value equals carrying amount.</t>
        </is>
      </c>
      <c r="I80" s="2" t="inlineStr">
        <is>
          <t>S1</t>
        </is>
      </c>
      <c r="J80" s="2" t="n">
        <v>64</v>
      </c>
      <c r="K80" s="3" t="inlineStr">
        <is>
          <t>liabilities to banks in the amount of EUR 56.3 million (2022: EUR 42.5 million)</t>
        </is>
      </c>
      <c r="L80" s="2" t="inlineStr">
        <is>
          <t>ok</t>
        </is>
      </c>
      <c r="M80" s="2" t="inlineStr">
        <is>
          <t>demo reviewer</t>
        </is>
      </c>
      <c r="N80" s="2" t="n"/>
      <c r="O80" s="3" t="inlineStr">
        <is>
          <t>https://vanillabonds.com/dossier-data/pdf/katjes/katjes-2023-annual-report.pdf#page=64</t>
        </is>
      </c>
      <c r="P80" s="3" t="inlineStr">
        <is>
          <t>https://vanillabonds.com/dossier.html?c=katjes&amp;viewer=1&amp;item=F079</t>
        </is>
      </c>
      <c r="Q80" s="2" t="inlineStr"/>
    </row>
    <row r="81">
      <c r="A81" s="2" t="inlineStr">
        <is>
          <t>F080</t>
        </is>
      </c>
      <c r="B81" s="2" t="inlineStr">
        <is>
          <t>debt</t>
        </is>
      </c>
      <c r="C81" s="2" t="inlineStr">
        <is>
          <t>debt_instrument</t>
        </is>
      </c>
      <c r="D81" s="2" t="inlineStr">
        <is>
          <t>Debt instrument</t>
        </is>
      </c>
      <c r="E81" s="2" t="n"/>
      <c r="F81" s="2" t="n"/>
      <c r="G81" s="2" t="n"/>
      <c r="H81" s="3" t="inlineStr">
        <is>
          <t>Liability from the takeover of the Viersen production site (oral care division) EUR 6.4m, remaining purchase price due 2 January 2024.</t>
        </is>
      </c>
      <c r="I81" s="2" t="inlineStr">
        <is>
          <t>S1</t>
        </is>
      </c>
      <c r="J81" s="2" t="n">
        <v>64</v>
      </c>
      <c r="K81" s="3" t="inlineStr">
        <is>
          <t>duction site for the oral care division in the amount of EUR 6.4 million is also included.</t>
        </is>
      </c>
      <c r="L81" s="2" t="inlineStr">
        <is>
          <t>ok</t>
        </is>
      </c>
      <c r="M81" s="2" t="inlineStr">
        <is>
          <t>demo reviewer</t>
        </is>
      </c>
      <c r="N81" s="2" t="n"/>
      <c r="O81" s="3" t="inlineStr">
        <is>
          <t>https://vanillabonds.com/dossier-data/pdf/katjes/katjes-2023-annual-report.pdf#page=64</t>
        </is>
      </c>
      <c r="P81" s="3" t="inlineStr">
        <is>
          <t>https://vanillabonds.com/dossier.html?c=katjes&amp;viewer=1&amp;item=F080</t>
        </is>
      </c>
      <c r="Q81" s="2" t="inlineStr"/>
    </row>
    <row r="82">
      <c r="A82" s="2" t="inlineStr">
        <is>
          <t>F081</t>
        </is>
      </c>
      <c r="B82" s="2" t="inlineStr">
        <is>
          <t>debt</t>
        </is>
      </c>
      <c r="C82" s="2" t="inlineStr">
        <is>
          <t>debt_instrument</t>
        </is>
      </c>
      <c r="D82" s="2" t="inlineStr">
        <is>
          <t>Debt instrument</t>
        </is>
      </c>
      <c r="E82" s="2" t="n"/>
      <c r="F82" s="2" t="n"/>
      <c r="G82" s="2" t="n"/>
      <c r="H82" s="3" t="inlineStr">
        <is>
          <t>Hire-purchase contract liabilities EUR 3.0m (2022: 2.7).</t>
        </is>
      </c>
      <c r="I82" s="2" t="inlineStr">
        <is>
          <t>S1</t>
        </is>
      </c>
      <c r="J82" s="2" t="n">
        <v>64</v>
      </c>
      <c r="K82" s="3" t="inlineStr">
        <is>
          <t>also include liabilities from hire-purchase contracts in the amount of EUR 3.0 million (2022: EUR 2.7 million).</t>
        </is>
      </c>
      <c r="L82" s="2" t="inlineStr">
        <is>
          <t>ok</t>
        </is>
      </c>
      <c r="M82" s="2" t="inlineStr">
        <is>
          <t>demo reviewer</t>
        </is>
      </c>
      <c r="N82" s="2" t="n"/>
      <c r="O82" s="3" t="inlineStr">
        <is>
          <t>https://vanillabonds.com/dossier-data/pdf/katjes/katjes-2023-annual-report.pdf#page=64</t>
        </is>
      </c>
      <c r="P82" s="3" t="inlineStr">
        <is>
          <t>https://vanillabonds.com/dossier.html?c=katjes&amp;viewer=1&amp;item=F081</t>
        </is>
      </c>
      <c r="Q82" s="2" t="inlineStr"/>
    </row>
    <row r="83">
      <c r="A83" s="2" t="inlineStr">
        <is>
          <t>F082</t>
        </is>
      </c>
      <c r="B83" s="2" t="inlineStr">
        <is>
          <t>debt</t>
        </is>
      </c>
      <c r="C83" s="2" t="inlineStr">
        <is>
          <t>debt_instrument</t>
        </is>
      </c>
      <c r="D83" s="2" t="inlineStr">
        <is>
          <t>Debt instrument</t>
        </is>
      </c>
      <c r="E83" s="2" t="n"/>
      <c r="F83" s="2" t="n"/>
      <c r="G83" s="2" t="n"/>
      <c r="H83" s="3" t="inlineStr">
        <is>
          <t>Corporate bond 2023/2028, EUR 115.0m, fixed 6.75% (previous bond 4.25%), issued September 2023, maturity 2028, Nordic bond format, unsecured per reported terms not stated; carrying 115.0, fair value 123.1; accrued interest 2.1; bond interest expense 6.5 in 2023.</t>
        </is>
      </c>
      <c r="I83" s="2" t="inlineStr">
        <is>
          <t>S1</t>
        </is>
      </c>
      <c r="J83" s="2" t="n">
        <v>69</v>
      </c>
      <c r="K83" s="3" t="inlineStr">
        <is>
          <t>Corporate bond 6.75 (previous year: 4.25) 115.0 110.0</t>
        </is>
      </c>
      <c r="L83" s="2" t="inlineStr">
        <is>
          <t>ok</t>
        </is>
      </c>
      <c r="M83" s="2" t="inlineStr">
        <is>
          <t>demo reviewer</t>
        </is>
      </c>
      <c r="N83" s="2" t="n"/>
      <c r="O83" s="3" t="inlineStr">
        <is>
          <t>https://vanillabonds.com/dossier-data/pdf/katjes/katjes-2023-annual-report.pdf#page=69</t>
        </is>
      </c>
      <c r="P83" s="3" t="inlineStr">
        <is>
          <t>https://vanillabonds.com/dossier.html?c=katjes&amp;viewer=1&amp;item=F082</t>
        </is>
      </c>
      <c r="Q83" s="2" t="inlineStr"/>
    </row>
    <row r="84">
      <c r="A84" s="2" t="inlineStr">
        <is>
          <t>F083</t>
        </is>
      </c>
      <c r="B84" s="2" t="inlineStr">
        <is>
          <t>debt</t>
        </is>
      </c>
      <c r="C84" s="2" t="inlineStr">
        <is>
          <t>debt_instrument</t>
        </is>
      </c>
      <c r="D84" s="2" t="inlineStr">
        <is>
          <t>Debt instrument</t>
        </is>
      </c>
      <c r="E84" s="2" t="n"/>
      <c r="F84" s="2" t="n"/>
      <c r="G84" s="2" t="n"/>
      <c r="H84" s="3" t="inlineStr">
        <is>
          <t>Bank loan facility kEUR 24,000 at 5.6%, EUR 24.0m outstanding at 31 Dec 2023 (2022: 15.0); management report attributes the increase to the acquisition loan for the oral care business (Viersen production facility).</t>
        </is>
      </c>
      <c r="I84" s="2" t="inlineStr">
        <is>
          <t>S1</t>
        </is>
      </c>
      <c r="J84" s="2" t="n">
        <v>69</v>
      </c>
      <c r="K84" s="2" t="inlineStr">
        <is>
          <t>Bank loan kEUR 24.000 5.6 24.0 15.0</t>
        </is>
      </c>
      <c r="L84" s="2" t="inlineStr">
        <is>
          <t>ok</t>
        </is>
      </c>
      <c r="M84" s="2" t="inlineStr">
        <is>
          <t>demo reviewer</t>
        </is>
      </c>
      <c r="N84" s="2" t="n"/>
      <c r="O84" s="3" t="inlineStr">
        <is>
          <t>https://vanillabonds.com/dossier-data/pdf/katjes/katjes-2023-annual-report.pdf#page=69</t>
        </is>
      </c>
      <c r="P84" s="3" t="inlineStr">
        <is>
          <t>https://vanillabonds.com/dossier.html?c=katjes&amp;viewer=1&amp;item=F083</t>
        </is>
      </c>
      <c r="Q84" s="2" t="inlineStr"/>
    </row>
    <row r="85">
      <c r="A85" s="2" t="inlineStr">
        <is>
          <t>F084</t>
        </is>
      </c>
      <c r="B85" s="2" t="inlineStr">
        <is>
          <t>debt</t>
        </is>
      </c>
      <c r="C85" s="2" t="inlineStr">
        <is>
          <t>debt_instrument</t>
        </is>
      </c>
      <c r="D85" s="2" t="inlineStr">
        <is>
          <t>Debt instrument</t>
        </is>
      </c>
      <c r="E85" s="2" t="n"/>
      <c r="F85" s="2" t="n"/>
      <c r="G85" s="2" t="n"/>
      <c r="H85" s="3" t="inlineStr">
        <is>
          <t>Bank loan kEUR 11,700 at 2.9%, EUR 6.0m outstanding (2022: 8.2).</t>
        </is>
      </c>
      <c r="I85" s="2" t="inlineStr">
        <is>
          <t>S1</t>
        </is>
      </c>
      <c r="J85" s="2" t="n">
        <v>69</v>
      </c>
      <c r="K85" s="2" t="inlineStr">
        <is>
          <t>Bank loan kEUR 11.700 2.9 6.0 8.2</t>
        </is>
      </c>
      <c r="L85" s="2" t="inlineStr">
        <is>
          <t>ok</t>
        </is>
      </c>
      <c r="M85" s="2" t="inlineStr">
        <is>
          <t>demo reviewer</t>
        </is>
      </c>
      <c r="N85" s="2" t="n"/>
      <c r="O85" s="3" t="inlineStr">
        <is>
          <t>https://vanillabonds.com/dossier-data/pdf/katjes/katjes-2023-annual-report.pdf#page=69</t>
        </is>
      </c>
      <c r="P85" s="3" t="inlineStr">
        <is>
          <t>https://vanillabonds.com/dossier.html?c=katjes&amp;viewer=1&amp;item=F084</t>
        </is>
      </c>
      <c r="Q85" s="2" t="inlineStr"/>
    </row>
    <row r="86">
      <c r="A86" s="2" t="inlineStr">
        <is>
          <t>F085</t>
        </is>
      </c>
      <c r="B86" s="2" t="inlineStr">
        <is>
          <t>debt</t>
        </is>
      </c>
      <c r="C86" s="2" t="inlineStr">
        <is>
          <t>debt_instrument</t>
        </is>
      </c>
      <c r="D86" s="2" t="inlineStr">
        <is>
          <t>Debt instrument</t>
        </is>
      </c>
      <c r="E86" s="2" t="n"/>
      <c r="F86" s="2" t="n"/>
      <c r="G86" s="2" t="n"/>
      <c r="H86" s="3" t="inlineStr">
        <is>
          <t>Bank loan kEUR 5,000 at 4.98%, EUR 5.0m outstanding (2022: 0.0), new in 2023.</t>
        </is>
      </c>
      <c r="I86" s="2" t="inlineStr">
        <is>
          <t>S1</t>
        </is>
      </c>
      <c r="J86" s="2" t="n">
        <v>69</v>
      </c>
      <c r="K86" s="2" t="inlineStr">
        <is>
          <t>Bank loan kEUR 5.000 4.98 5.0 0.0</t>
        </is>
      </c>
      <c r="L86" s="2" t="inlineStr">
        <is>
          <t>ok</t>
        </is>
      </c>
      <c r="M86" s="2" t="inlineStr">
        <is>
          <t>demo reviewer</t>
        </is>
      </c>
      <c r="N86" s="2" t="n"/>
      <c r="O86" s="3" t="inlineStr">
        <is>
          <t>https://vanillabonds.com/dossier-data/pdf/katjes/katjes-2023-annual-report.pdf#page=69</t>
        </is>
      </c>
      <c r="P86" s="3" t="inlineStr">
        <is>
          <t>https://vanillabonds.com/dossier.html?c=katjes&amp;viewer=1&amp;item=F085</t>
        </is>
      </c>
      <c r="Q86" s="2" t="inlineStr"/>
    </row>
    <row r="87">
      <c r="A87" s="2" t="inlineStr">
        <is>
          <t>F086</t>
        </is>
      </c>
      <c r="B87" s="2" t="inlineStr">
        <is>
          <t>debt</t>
        </is>
      </c>
      <c r="C87" s="2" t="inlineStr">
        <is>
          <t>debt_instrument</t>
        </is>
      </c>
      <c r="D87" s="2" t="inlineStr">
        <is>
          <t>Debt instrument</t>
        </is>
      </c>
      <c r="E87" s="2" t="n"/>
      <c r="F87" s="2" t="n"/>
      <c r="G87" s="2" t="n"/>
      <c r="H87" s="3" t="inlineStr">
        <is>
          <t>Bank loan kEUR 5,000 at 8.5%, EUR 4.4m outstanding (2022: 0.0), new in 2023.</t>
        </is>
      </c>
      <c r="I87" s="2" t="inlineStr">
        <is>
          <t>S1</t>
        </is>
      </c>
      <c r="J87" s="2" t="n">
        <v>69</v>
      </c>
      <c r="K87" s="2" t="inlineStr">
        <is>
          <t>Bank loan kEUR 5.000 8.5 4.4 0.0</t>
        </is>
      </c>
      <c r="L87" s="2" t="inlineStr">
        <is>
          <t>ok</t>
        </is>
      </c>
      <c r="M87" s="2" t="inlineStr">
        <is>
          <t>demo reviewer</t>
        </is>
      </c>
      <c r="N87" s="2" t="n"/>
      <c r="O87" s="3" t="inlineStr">
        <is>
          <t>https://vanillabonds.com/dossier-data/pdf/katjes/katjes-2023-annual-report.pdf#page=69</t>
        </is>
      </c>
      <c r="P87" s="3" t="inlineStr">
        <is>
          <t>https://vanillabonds.com/dossier.html?c=katjes&amp;viewer=1&amp;item=F086</t>
        </is>
      </c>
      <c r="Q87" s="2" t="inlineStr"/>
    </row>
    <row r="88">
      <c r="A88" s="2" t="inlineStr">
        <is>
          <t>F087</t>
        </is>
      </c>
      <c r="B88" s="2" t="inlineStr">
        <is>
          <t>debt</t>
        </is>
      </c>
      <c r="C88" s="2" t="inlineStr">
        <is>
          <t>debt_instrument</t>
        </is>
      </c>
      <c r="D88" s="2" t="inlineStr">
        <is>
          <t>Debt instrument</t>
        </is>
      </c>
      <c r="E88" s="2" t="n"/>
      <c r="F88" s="2" t="n"/>
      <c r="G88" s="2" t="n"/>
      <c r="H88" s="3" t="inlineStr">
        <is>
          <t>Bank loan kEUR 5,000 at 0.7%, EUR 1.7m outstanding (2022: 3.3); p72 reports a 2020 liquidity-support loan of EUR 5.0m with EUR 1.7m outstanding, secured by a state guarantee for the majority of the amount.</t>
        </is>
      </c>
      <c r="I88" s="2" t="inlineStr">
        <is>
          <t>S1</t>
        </is>
      </c>
      <c r="J88" s="2" t="n">
        <v>69</v>
      </c>
      <c r="K88" s="2" t="inlineStr">
        <is>
          <t>Bank loan kEUR 5.000 0.7 1.7 3.3</t>
        </is>
      </c>
      <c r="L88" s="2" t="inlineStr">
        <is>
          <t>ok</t>
        </is>
      </c>
      <c r="M88" s="2" t="inlineStr">
        <is>
          <t>demo reviewer</t>
        </is>
      </c>
      <c r="N88" s="2" t="n"/>
      <c r="O88" s="3" t="inlineStr">
        <is>
          <t>https://vanillabonds.com/dossier-data/pdf/katjes/katjes-2023-annual-report.pdf#page=69</t>
        </is>
      </c>
      <c r="P88" s="3" t="inlineStr">
        <is>
          <t>https://vanillabonds.com/dossier.html?c=katjes&amp;viewer=1&amp;item=F087</t>
        </is>
      </c>
      <c r="Q88" s="2" t="inlineStr"/>
    </row>
    <row r="89">
      <c r="A89" s="2" t="inlineStr">
        <is>
          <t>F088</t>
        </is>
      </c>
      <c r="B89" s="2" t="inlineStr">
        <is>
          <t>debt</t>
        </is>
      </c>
      <c r="C89" s="2" t="inlineStr">
        <is>
          <t>debt_instrument</t>
        </is>
      </c>
      <c r="D89" s="2" t="inlineStr">
        <is>
          <t>Debt instrument</t>
        </is>
      </c>
      <c r="E89" s="2" t="n"/>
      <c r="F89" s="2" t="n"/>
      <c r="G89" s="2" t="n"/>
      <c r="H89" s="3" t="inlineStr">
        <is>
          <t>Bank loan kEUR 3,000 at 2.0%, EUR 1.1m outstanding (2022: 1.9).</t>
        </is>
      </c>
      <c r="I89" s="2" t="inlineStr">
        <is>
          <t>S1</t>
        </is>
      </c>
      <c r="J89" s="2" t="n">
        <v>69</v>
      </c>
      <c r="K89" s="2" t="inlineStr">
        <is>
          <t>Bank loan kEUR 3.000 2.0 1.1 1.9</t>
        </is>
      </c>
      <c r="L89" s="2" t="inlineStr">
        <is>
          <t>ok</t>
        </is>
      </c>
      <c r="M89" s="2" t="inlineStr">
        <is>
          <t>demo reviewer</t>
        </is>
      </c>
      <c r="N89" s="2" t="n"/>
      <c r="O89" s="3" t="inlineStr">
        <is>
          <t>https://vanillabonds.com/dossier-data/pdf/katjes/katjes-2023-annual-report.pdf#page=69</t>
        </is>
      </c>
      <c r="P89" s="3" t="inlineStr">
        <is>
          <t>https://vanillabonds.com/dossier.html?c=katjes&amp;viewer=1&amp;item=F088</t>
        </is>
      </c>
      <c r="Q89" s="2" t="inlineStr"/>
    </row>
    <row r="90">
      <c r="A90" s="2" t="inlineStr">
        <is>
          <t>F089</t>
        </is>
      </c>
      <c r="B90" s="2" t="inlineStr">
        <is>
          <t>debt</t>
        </is>
      </c>
      <c r="C90" s="2" t="inlineStr">
        <is>
          <t>debt_instrument</t>
        </is>
      </c>
      <c r="D90" s="2" t="inlineStr">
        <is>
          <t>Debt instrument</t>
        </is>
      </c>
      <c r="E90" s="2" t="n"/>
      <c r="F90" s="2" t="n"/>
      <c r="G90" s="2" t="n"/>
      <c r="H90" s="3" t="inlineStr">
        <is>
          <t>Bank loan kEUR 3,000 at 1.8%, EUR 0.3m outstanding (2022: 0.9).</t>
        </is>
      </c>
      <c r="I90" s="2" t="inlineStr">
        <is>
          <t>S1</t>
        </is>
      </c>
      <c r="J90" s="2" t="n">
        <v>69</v>
      </c>
      <c r="K90" s="2" t="inlineStr">
        <is>
          <t>Bank loan kEUR 3.000 1.8 0.3 0.9</t>
        </is>
      </c>
      <c r="L90" s="2" t="inlineStr">
        <is>
          <t>ok</t>
        </is>
      </c>
      <c r="M90" s="2" t="inlineStr">
        <is>
          <t>demo reviewer</t>
        </is>
      </c>
      <c r="N90" s="2" t="n"/>
      <c r="O90" s="3" t="inlineStr">
        <is>
          <t>https://vanillabonds.com/dossier-data/pdf/katjes/katjes-2023-annual-report.pdf#page=69</t>
        </is>
      </c>
      <c r="P90" s="3" t="inlineStr">
        <is>
          <t>https://vanillabonds.com/dossier.html?c=katjes&amp;viewer=1&amp;item=F089</t>
        </is>
      </c>
      <c r="Q90" s="2" t="inlineStr"/>
    </row>
    <row r="91">
      <c r="A91" s="2" t="inlineStr">
        <is>
          <t>F090</t>
        </is>
      </c>
      <c r="B91" s="2" t="inlineStr">
        <is>
          <t>debt</t>
        </is>
      </c>
      <c r="C91" s="2" t="inlineStr">
        <is>
          <t>debt_instrument</t>
        </is>
      </c>
      <c r="D91" s="2" t="inlineStr">
        <is>
          <t>Debt instrument</t>
        </is>
      </c>
      <c r="E91" s="2" t="n"/>
      <c r="F91" s="2" t="n"/>
      <c r="G91" s="2" t="n"/>
      <c r="H91" s="3" t="inlineStr">
        <is>
          <t>Bank loan kEUR 1,500 at 5.6%, EUR 0.0m outstanding at 31 Dec 2023 (2022: 1.5), repaid during 2023.</t>
        </is>
      </c>
      <c r="I91" s="2" t="inlineStr">
        <is>
          <t>S1</t>
        </is>
      </c>
      <c r="J91" s="2" t="n">
        <v>69</v>
      </c>
      <c r="K91" s="2" t="inlineStr">
        <is>
          <t>Bank loan kEUR 1.500 5.6 0.0 1.5</t>
        </is>
      </c>
      <c r="L91" s="2" t="inlineStr">
        <is>
          <t>ok</t>
        </is>
      </c>
      <c r="M91" s="2" t="inlineStr">
        <is>
          <t>demo reviewer</t>
        </is>
      </c>
      <c r="N91" s="2" t="n"/>
      <c r="O91" s="3" t="inlineStr">
        <is>
          <t>https://vanillabonds.com/dossier-data/pdf/katjes/katjes-2023-annual-report.pdf#page=69</t>
        </is>
      </c>
      <c r="P91" s="3" t="inlineStr">
        <is>
          <t>https://vanillabonds.com/dossier.html?c=katjes&amp;viewer=1&amp;item=F090</t>
        </is>
      </c>
      <c r="Q91" s="2" t="inlineStr"/>
    </row>
    <row r="92">
      <c r="A92" s="2" t="inlineStr">
        <is>
          <t>F091</t>
        </is>
      </c>
      <c r="B92" s="2" t="inlineStr">
        <is>
          <t>debt</t>
        </is>
      </c>
      <c r="C92" s="2" t="inlineStr">
        <is>
          <t>debt_instrument</t>
        </is>
      </c>
      <c r="D92" s="2" t="inlineStr">
        <is>
          <t>Debt instrument</t>
        </is>
      </c>
      <c r="E92" s="2" t="n"/>
      <c r="F92" s="2" t="n"/>
      <c r="G92" s="2" t="n"/>
      <c r="H92" s="3" t="inlineStr">
        <is>
          <t>Other loans, variable and fixed rates, EUR 12.5m (2022: 11.7).</t>
        </is>
      </c>
      <c r="I92" s="2" t="inlineStr">
        <is>
          <t>S1</t>
        </is>
      </c>
      <c r="J92" s="2" t="n">
        <v>69</v>
      </c>
      <c r="K92" s="2" t="inlineStr">
        <is>
          <t>Other loans Variable and fixed 12.5 11.7</t>
        </is>
      </c>
      <c r="L92" s="2" t="inlineStr">
        <is>
          <t>ok</t>
        </is>
      </c>
      <c r="M92" s="2" t="inlineStr">
        <is>
          <t>demo reviewer</t>
        </is>
      </c>
      <c r="N92" s="2" t="n"/>
      <c r="O92" s="3" t="inlineStr">
        <is>
          <t>https://vanillabonds.com/dossier-data/pdf/katjes/katjes-2023-annual-report.pdf#page=69</t>
        </is>
      </c>
      <c r="P92" s="3" t="inlineStr">
        <is>
          <t>https://vanillabonds.com/dossier.html?c=katjes&amp;viewer=1&amp;item=F091</t>
        </is>
      </c>
      <c r="Q92" s="2" t="inlineStr"/>
    </row>
    <row r="93">
      <c r="A93" s="2" t="inlineStr">
        <is>
          <t>F092</t>
        </is>
      </c>
      <c r="B93" s="2" t="inlineStr">
        <is>
          <t>debt</t>
        </is>
      </c>
      <c r="C93" s="2" t="inlineStr">
        <is>
          <t>debt_instrument</t>
        </is>
      </c>
      <c r="D93" s="2" t="inlineStr">
        <is>
          <t>Debt instrument</t>
        </is>
      </c>
      <c r="E93" s="2" t="n"/>
      <c r="F93" s="2" t="n"/>
      <c r="G93" s="2" t="n"/>
      <c r="H93" s="3" t="inlineStr">
        <is>
          <t>Other financial interest-bearing liabilities, variable and fixed, EUR 8.9m (2022: 10.7, adjusted).</t>
        </is>
      </c>
      <c r="I93" s="2" t="inlineStr">
        <is>
          <t>S1</t>
        </is>
      </c>
      <c r="J93" s="2" t="n">
        <v>69</v>
      </c>
      <c r="K93" s="3" t="inlineStr">
        <is>
          <t>Other financial interest-bearing liabilities(1) Variable and fixed 8.9 10.7</t>
        </is>
      </c>
      <c r="L93" s="2" t="inlineStr">
        <is>
          <t>ok</t>
        </is>
      </c>
      <c r="M93" s="2" t="inlineStr">
        <is>
          <t>demo reviewer</t>
        </is>
      </c>
      <c r="N93" s="2" t="n"/>
      <c r="O93" s="3" t="inlineStr">
        <is>
          <t>https://vanillabonds.com/dossier-data/pdf/katjes/katjes-2023-annual-report.pdf#page=69</t>
        </is>
      </c>
      <c r="P93" s="3" t="inlineStr">
        <is>
          <t>https://vanillabonds.com/dossier.html?c=katjes&amp;viewer=1&amp;item=F092</t>
        </is>
      </c>
      <c r="Q93" s="2" t="inlineStr"/>
    </row>
    <row r="94">
      <c r="A94" s="2" t="inlineStr">
        <is>
          <t>F093</t>
        </is>
      </c>
      <c r="B94" s="2" t="inlineStr">
        <is>
          <t>debt</t>
        </is>
      </c>
      <c r="C94" s="2" t="inlineStr">
        <is>
          <t>debt_instrument</t>
        </is>
      </c>
      <c r="D94" s="2" t="inlineStr">
        <is>
          <t>Debt instrument</t>
        </is>
      </c>
      <c r="E94" s="2" t="n"/>
      <c r="F94" s="2" t="n"/>
      <c r="G94" s="2" t="n"/>
      <c r="H94" s="3" t="inlineStr">
        <is>
          <t>2020 liquidity-support bank loan: total EUR 5.0m, EUR 1.7m outstanding at 31 Dec 2023, not from a development bank, majority secured by a state guarantee.</t>
        </is>
      </c>
      <c r="I94" s="2" t="inlineStr">
        <is>
          <t>S1</t>
        </is>
      </c>
      <c r="J94" s="2" t="n">
        <v>72</v>
      </c>
      <c r="K94" s="3" t="inlineStr">
        <is>
          <t>port measures to secure liquidity in 2020 (total of EUR 5.0 million, 31 December 2023: EUR 1.7 million).</t>
        </is>
      </c>
      <c r="L94" s="2" t="inlineStr">
        <is>
          <t>ok</t>
        </is>
      </c>
      <c r="M94" s="2" t="inlineStr">
        <is>
          <t>demo reviewer</t>
        </is>
      </c>
      <c r="N94" s="2" t="n"/>
      <c r="O94" s="3" t="inlineStr">
        <is>
          <t>https://vanillabonds.com/dossier-data/pdf/katjes/katjes-2023-annual-report.pdf#page=72</t>
        </is>
      </c>
      <c r="P94" s="3" t="inlineStr">
        <is>
          <t>https://vanillabonds.com/dossier.html?c=katjes&amp;viewer=1&amp;item=F093</t>
        </is>
      </c>
      <c r="Q94" s="2" t="inlineStr"/>
    </row>
    <row r="95">
      <c r="A95" s="2" t="inlineStr">
        <is>
          <t>F094</t>
        </is>
      </c>
      <c r="B95" s="2" t="inlineStr">
        <is>
          <t>risk</t>
        </is>
      </c>
      <c r="C95" s="2" t="inlineStr">
        <is>
          <t>risk_fact</t>
        </is>
      </c>
      <c r="D95" s="2" t="inlineStr">
        <is>
          <t>Risk fact</t>
        </is>
      </c>
      <c r="E95" s="2" t="n"/>
      <c r="F95" s="2" t="n"/>
      <c r="G95" s="2" t="n"/>
      <c r="H95" s="3" t="inlineStr">
        <is>
          <t>Concentration risk from major customers, especially in food retail, named by management; retail and wholesale consolidation could change volumes and conditions.</t>
        </is>
      </c>
      <c r="I95" s="2" t="inlineStr">
        <is>
          <t>S1</t>
        </is>
      </c>
      <c r="J95" s="2" t="n">
        <v>38</v>
      </c>
      <c r="K95" s="3" t="inlineStr">
        <is>
          <t>Concentration risks could arise from major customers, especially in the food retail sector.</t>
        </is>
      </c>
      <c r="L95" s="2" t="inlineStr">
        <is>
          <t>ok</t>
        </is>
      </c>
      <c r="M95" s="2" t="inlineStr">
        <is>
          <t>demo reviewer</t>
        </is>
      </c>
      <c r="N95" s="2" t="n"/>
      <c r="O95" s="3" t="inlineStr">
        <is>
          <t>https://vanillabonds.com/dossier-data/pdf/katjes/katjes-2023-annual-report.pdf#page=38</t>
        </is>
      </c>
      <c r="P95" s="3" t="inlineStr">
        <is>
          <t>https://vanillabonds.com/dossier.html?c=katjes&amp;viewer=1&amp;item=F094</t>
        </is>
      </c>
      <c r="Q95" s="2" t="inlineStr"/>
    </row>
    <row r="96">
      <c r="A96" s="2" t="inlineStr">
        <is>
          <t>F095</t>
        </is>
      </c>
      <c r="B96" s="2" t="inlineStr">
        <is>
          <t>risk</t>
        </is>
      </c>
      <c r="C96" s="2" t="inlineStr">
        <is>
          <t>risk_fact</t>
        </is>
      </c>
      <c r="D96" s="2" t="inlineStr">
        <is>
          <t>Risk fact</t>
        </is>
      </c>
      <c r="E96" s="2" t="n"/>
      <c r="F96" s="2" t="n"/>
      <c r="G96" s="2" t="n"/>
      <c r="H96" s="3" t="inlineStr">
        <is>
          <t>Purchasing terms for sugar, cocoa, nuts, glucose and panthenol could become 'less favourable' and may not be passed on in prices.</t>
        </is>
      </c>
      <c r="I96" s="2" t="inlineStr">
        <is>
          <t>S1</t>
        </is>
      </c>
      <c r="J96" s="2" t="n">
        <v>38</v>
      </c>
      <c r="K96" s="3" t="inlineStr">
        <is>
          <t>needed for production – especially sugar, cocoa, nuts, glucose and panthenol – could become less favourable.</t>
        </is>
      </c>
      <c r="L96" s="2" t="inlineStr">
        <is>
          <t>ok</t>
        </is>
      </c>
      <c r="M96" s="2" t="inlineStr">
        <is>
          <t>demo reviewer</t>
        </is>
      </c>
      <c r="N96" s="3" t="inlineStr">
        <is>
          <t>text: company wording put in quotation marks (reviewer, 20 Oct 2026)</t>
        </is>
      </c>
      <c r="O96" s="3" t="inlineStr">
        <is>
          <t>https://vanillabonds.com/dossier-data/pdf/katjes/katjes-2023-annual-report.pdf#page=38</t>
        </is>
      </c>
      <c r="P96" s="3" t="inlineStr">
        <is>
          <t>https://vanillabonds.com/dossier.html?c=katjes&amp;viewer=1&amp;item=F095</t>
        </is>
      </c>
      <c r="Q96" s="2" t="inlineStr"/>
    </row>
    <row r="97">
      <c r="A97" s="2" t="inlineStr">
        <is>
          <t>F096</t>
        </is>
      </c>
      <c r="B97" s="2" t="inlineStr">
        <is>
          <t>risk</t>
        </is>
      </c>
      <c r="C97" s="2" t="inlineStr">
        <is>
          <t>risk_fact</t>
        </is>
      </c>
      <c r="D97" s="2" t="inlineStr">
        <is>
          <t>Risk fact</t>
        </is>
      </c>
      <c r="E97" s="2" t="n"/>
      <c r="F97" s="2" t="n"/>
      <c r="G97" s="2" t="n"/>
      <c r="H97" s="3" t="inlineStr">
        <is>
          <t>Dependence on certain suppliers; delivery delays or non-delivery could cause production downtime.</t>
        </is>
      </c>
      <c r="I97" s="2" t="inlineStr">
        <is>
          <t>S1</t>
        </is>
      </c>
      <c r="J97" s="2" t="n">
        <v>38</v>
      </c>
      <c r="K97" s="3" t="inlineStr">
        <is>
          <t>Katjes International is dependent on certain suppliers. Delivery delays or non-delivery by a supplier could lead to production downtime.</t>
        </is>
      </c>
      <c r="L97" s="2" t="inlineStr">
        <is>
          <t>ok</t>
        </is>
      </c>
      <c r="M97" s="2" t="inlineStr">
        <is>
          <t>demo reviewer</t>
        </is>
      </c>
      <c r="N97" s="2" t="n"/>
      <c r="O97" s="3" t="inlineStr">
        <is>
          <t>https://vanillabonds.com/dossier-data/pdf/katjes/katjes-2023-annual-report.pdf#page=38</t>
        </is>
      </c>
      <c r="P97" s="3" t="inlineStr">
        <is>
          <t>https://vanillabonds.com/dossier.html?c=katjes&amp;viewer=1&amp;item=F096</t>
        </is>
      </c>
      <c r="Q97" s="2" t="inlineStr"/>
    </row>
    <row r="98">
      <c r="A98" s="2" t="inlineStr">
        <is>
          <t>F097</t>
        </is>
      </c>
      <c r="B98" s="2" t="inlineStr">
        <is>
          <t>risk</t>
        </is>
      </c>
      <c r="C98" s="2" t="inlineStr">
        <is>
          <t>risk_fact</t>
        </is>
      </c>
      <c r="D98" s="2" t="inlineStr">
        <is>
          <t>Risk fact</t>
        </is>
      </c>
      <c r="E98" s="2" t="n"/>
      <c r="F98" s="2" t="n"/>
      <c r="G98" s="2" t="n"/>
      <c r="H98" s="3" t="inlineStr">
        <is>
          <t>Management rates the overall market-related and regulatory risk as 'negligible' and company-related risks as 'manageable'; the opportunity and risk situation 'has not changed much' from the previous year.</t>
        </is>
      </c>
      <c r="I98" s="2" t="inlineStr">
        <is>
          <t>S1</t>
        </is>
      </c>
      <c r="J98" s="2" t="n">
        <v>38</v>
      </c>
      <c r="K98" s="3" t="inlineStr">
        <is>
          <t>Katjes International considers the overall risk arising from the aforementioned market-related and regulatory risks to be negligible.</t>
        </is>
      </c>
      <c r="L98" s="2" t="inlineStr">
        <is>
          <t>ok</t>
        </is>
      </c>
      <c r="M98" s="2" t="inlineStr">
        <is>
          <t>demo reviewer</t>
        </is>
      </c>
      <c r="N98" s="2" t="n"/>
      <c r="O98" s="3" t="inlineStr">
        <is>
          <t>https://vanillabonds.com/dossier-data/pdf/katjes/katjes-2023-annual-report.pdf#page=38</t>
        </is>
      </c>
      <c r="P98" s="3" t="inlineStr">
        <is>
          <t>https://vanillabonds.com/dossier.html?c=katjes&amp;viewer=1&amp;item=F097</t>
        </is>
      </c>
      <c r="Q98" s="2" t="inlineStr"/>
    </row>
    <row r="99">
      <c r="A99" s="2" t="inlineStr">
        <is>
          <t>F098</t>
        </is>
      </c>
      <c r="B99" s="2" t="inlineStr">
        <is>
          <t>risk</t>
        </is>
      </c>
      <c r="C99" s="2" t="inlineStr">
        <is>
          <t>risk_fact</t>
        </is>
      </c>
      <c r="D99" s="2" t="inlineStr">
        <is>
          <t>Risk fact</t>
        </is>
      </c>
      <c r="E99" s="2" t="n"/>
      <c r="F99" s="2" t="n"/>
      <c r="G99" s="2" t="n"/>
      <c r="H99" s="3" t="inlineStr">
        <is>
          <t>Geopolitical: the wars in Ukraine and the Middle East could cause further unrest in procurement markets and affect energy and raw material prices.</t>
        </is>
      </c>
      <c r="I99" s="2" t="inlineStr">
        <is>
          <t>S1</t>
        </is>
      </c>
      <c r="J99" s="2" t="n">
        <v>38</v>
      </c>
      <c r="K99" s="3" t="inlineStr">
        <is>
          <t>The wars in Ukraine and the Middle East could cause</t>
        </is>
      </c>
      <c r="L99" s="2" t="inlineStr">
        <is>
          <t>ok</t>
        </is>
      </c>
      <c r="M99" s="2" t="inlineStr">
        <is>
          <t>demo reviewer</t>
        </is>
      </c>
      <c r="N99" s="2" t="n"/>
      <c r="O99" s="3" t="inlineStr">
        <is>
          <t>https://vanillabonds.com/dossier-data/pdf/katjes/katjes-2023-annual-report.pdf#page=38</t>
        </is>
      </c>
      <c r="P99" s="3" t="inlineStr">
        <is>
          <t>https://vanillabonds.com/dossier.html?c=katjes&amp;viewer=1&amp;item=F098</t>
        </is>
      </c>
      <c r="Q99" s="2" t="inlineStr"/>
    </row>
    <row r="100">
      <c r="A100" s="2" t="inlineStr">
        <is>
          <t>F099</t>
        </is>
      </c>
      <c r="B100" s="2" t="inlineStr">
        <is>
          <t>risk</t>
        </is>
      </c>
      <c r="C100" s="2" t="inlineStr">
        <is>
          <t>risk_fact</t>
        </is>
      </c>
      <c r="D100" s="2" t="inlineStr">
        <is>
          <t>Risk fact</t>
        </is>
      </c>
      <c r="E100" s="2" t="n"/>
      <c r="F100" s="2" t="n"/>
      <c r="G100" s="2" t="n"/>
      <c r="H100" s="3" t="inlineStr">
        <is>
          <t>Group companies may have to repay subsidies or other government funding (government grants of about EUR 2.4m received in 2023).</t>
        </is>
      </c>
      <c r="I100" s="2" t="inlineStr">
        <is>
          <t>S1</t>
        </is>
      </c>
      <c r="J100" s="2" t="n">
        <v>38</v>
      </c>
      <c r="K100" s="3" t="inlineStr">
        <is>
          <t>Group companies have to repay subsidies or other</t>
        </is>
      </c>
      <c r="L100" s="2" t="inlineStr">
        <is>
          <t>ok</t>
        </is>
      </c>
      <c r="M100" s="2" t="inlineStr">
        <is>
          <t>demo reviewer</t>
        </is>
      </c>
      <c r="N100" s="2" t="n"/>
      <c r="O100" s="3" t="inlineStr">
        <is>
          <t>https://vanillabonds.com/dossier-data/pdf/katjes/katjes-2023-annual-report.pdf#page=38</t>
        </is>
      </c>
      <c r="P100" s="3" t="inlineStr">
        <is>
          <t>https://vanillabonds.com/dossier.html?c=katjes&amp;viewer=1&amp;item=F099</t>
        </is>
      </c>
      <c r="Q100" s="2" t="inlineStr"/>
    </row>
    <row r="101">
      <c r="A101" s="2" t="inlineStr">
        <is>
          <t>F100</t>
        </is>
      </c>
      <c r="B101" s="2" t="inlineStr">
        <is>
          <t>risk</t>
        </is>
      </c>
      <c r="C101" s="2" t="inlineStr">
        <is>
          <t>risk_fact</t>
        </is>
      </c>
      <c r="D101" s="2" t="inlineStr">
        <is>
          <t>Risk fact</t>
        </is>
      </c>
      <c r="E101" s="2" t="n"/>
      <c r="F101" s="2" t="n"/>
      <c r="G101" s="2" t="n"/>
      <c r="H101" s="3" t="inlineStr">
        <is>
          <t>Seasonality: the confectionery business is subject to seasonal fluctuations (Christmas and Easter specialities at Sperlari/Paluani).</t>
        </is>
      </c>
      <c r="I101" s="2" t="inlineStr">
        <is>
          <t>S1</t>
        </is>
      </c>
      <c r="J101" s="2" t="n">
        <v>38</v>
      </c>
      <c r="K101" s="3" t="inlineStr">
        <is>
          <t>The business in the confectionery market is subject to seasonal fluctuations.</t>
        </is>
      </c>
      <c r="L101" s="2" t="inlineStr">
        <is>
          <t>ok</t>
        </is>
      </c>
      <c r="M101" s="2" t="inlineStr">
        <is>
          <t>demo reviewer</t>
        </is>
      </c>
      <c r="N101" s="2" t="n"/>
      <c r="O101" s="3" t="inlineStr">
        <is>
          <t>https://vanillabonds.com/dossier-data/pdf/katjes/katjes-2023-annual-report.pdf#page=38</t>
        </is>
      </c>
      <c r="P101" s="3" t="inlineStr">
        <is>
          <t>https://vanillabonds.com/dossier.html?c=katjes&amp;viewer=1&amp;item=F100</t>
        </is>
      </c>
      <c r="Q101" s="2" t="inlineStr"/>
    </row>
    <row r="102">
      <c r="A102" s="2" t="inlineStr">
        <is>
          <t>F101</t>
        </is>
      </c>
      <c r="B102" s="2" t="inlineStr">
        <is>
          <t>risk</t>
        </is>
      </c>
      <c r="C102" s="2" t="inlineStr">
        <is>
          <t>risk_fact</t>
        </is>
      </c>
      <c r="D102" s="2" t="inlineStr">
        <is>
          <t>Risk fact</t>
        </is>
      </c>
      <c r="E102" s="2" t="n"/>
      <c r="F102" s="2" t="n"/>
      <c r="G102" s="2" t="n"/>
      <c r="H102" s="3" t="inlineStr">
        <is>
          <t>Key-person dependence on individual managers and skilled personnel stated by management.</t>
        </is>
      </c>
      <c r="I102" s="2" t="inlineStr">
        <is>
          <t>S1</t>
        </is>
      </c>
      <c r="J102" s="2" t="n">
        <v>39</v>
      </c>
      <c r="K102" s="3" t="inlineStr">
        <is>
          <t>The success of Katjes International depends on the knowledge and experience of individual managers and skilled personnel.</t>
        </is>
      </c>
      <c r="L102" s="2" t="inlineStr">
        <is>
          <t>ok</t>
        </is>
      </c>
      <c r="M102" s="2" t="inlineStr">
        <is>
          <t>demo reviewer</t>
        </is>
      </c>
      <c r="N102" s="2" t="n"/>
      <c r="O102" s="3" t="inlineStr">
        <is>
          <t>https://vanillabonds.com/dossier-data/pdf/katjes/katjes-2023-annual-report.pdf#page=39</t>
        </is>
      </c>
      <c r="P102" s="3" t="inlineStr">
        <is>
          <t>https://vanillabonds.com/dossier.html?c=katjes&amp;viewer=1&amp;item=F101</t>
        </is>
      </c>
      <c r="Q102" s="2" t="inlineStr"/>
    </row>
    <row r="103">
      <c r="A103" s="2" t="inlineStr">
        <is>
          <t>F102</t>
        </is>
      </c>
      <c r="B103" s="2" t="inlineStr">
        <is>
          <t>risk</t>
        </is>
      </c>
      <c r="C103" s="2" t="inlineStr">
        <is>
          <t>risk_fact</t>
        </is>
      </c>
      <c r="D103" s="2" t="inlineStr">
        <is>
          <t>Risk fact</t>
        </is>
      </c>
      <c r="E103" s="2" t="n"/>
      <c r="F103" s="2" t="n"/>
      <c r="G103" s="2" t="n"/>
      <c r="H103" s="3" t="inlineStr">
        <is>
          <t>Structural: the holding provides services to subsidiaries for payment but its earnings depend largely on the results of the subsidiaries and holdings.</t>
        </is>
      </c>
      <c r="I103" s="2" t="inlineStr">
        <is>
          <t>S1</t>
        </is>
      </c>
      <c r="J103" s="2" t="n">
        <v>39</v>
      </c>
      <c r="K103" s="3" t="inlineStr">
        <is>
          <t>holdings in return for payment, but its earnings are largely depending on the results of the subsidiaries and holdings.</t>
        </is>
      </c>
      <c r="L103" s="2" t="inlineStr">
        <is>
          <t>ok</t>
        </is>
      </c>
      <c r="M103" s="2" t="inlineStr">
        <is>
          <t>demo reviewer</t>
        </is>
      </c>
      <c r="N103" s="2" t="n"/>
      <c r="O103" s="3" t="inlineStr">
        <is>
          <t>https://vanillabonds.com/dossier-data/pdf/katjes/katjes-2023-annual-report.pdf#page=39</t>
        </is>
      </c>
      <c r="P103" s="3" t="inlineStr">
        <is>
          <t>https://vanillabonds.com/dossier.html?c=katjes&amp;viewer=1&amp;item=F102</t>
        </is>
      </c>
      <c r="Q103" s="2" t="inlineStr"/>
    </row>
    <row r="104">
      <c r="A104" s="2" t="inlineStr">
        <is>
          <t>F103</t>
        </is>
      </c>
      <c r="B104" s="2" t="inlineStr">
        <is>
          <t>risk</t>
        </is>
      </c>
      <c r="C104" s="2" t="inlineStr">
        <is>
          <t>risk_fact</t>
        </is>
      </c>
      <c r="D104" s="2" t="inlineStr">
        <is>
          <t>Risk fact</t>
        </is>
      </c>
      <c r="E104" s="2" t="n"/>
      <c r="F104" s="2" t="n"/>
      <c r="G104" s="2" t="n"/>
      <c r="H104" s="3" t="inlineStr">
        <is>
          <t>Cyberattack risk (hacking, phishing) named as increasing; a single attack could cause business interruption or data loss.</t>
        </is>
      </c>
      <c r="I104" s="2" t="inlineStr">
        <is>
          <t>S1</t>
        </is>
      </c>
      <c r="J104" s="2" t="n">
        <v>39</v>
      </c>
      <c r="K104" s="3" t="inlineStr">
        <is>
          <t>The risk of cyberattacks (e.g. hacking attacks, phishing emails) is increasing all the time.</t>
        </is>
      </c>
      <c r="L104" s="2" t="inlineStr">
        <is>
          <t>ok</t>
        </is>
      </c>
      <c r="M104" s="2" t="inlineStr">
        <is>
          <t>demo reviewer</t>
        </is>
      </c>
      <c r="N104" s="2" t="n"/>
      <c r="O104" s="3" t="inlineStr">
        <is>
          <t>https://vanillabonds.com/dossier-data/pdf/katjes/katjes-2023-annual-report.pdf#page=39</t>
        </is>
      </c>
      <c r="P104" s="3" t="inlineStr">
        <is>
          <t>https://vanillabonds.com/dossier.html?c=katjes&amp;viewer=1&amp;item=F103</t>
        </is>
      </c>
      <c r="Q104" s="2" t="inlineStr"/>
    </row>
    <row r="105">
      <c r="A105" s="2" t="inlineStr">
        <is>
          <t>F104</t>
        </is>
      </c>
      <c r="B105" s="2" t="inlineStr">
        <is>
          <t>risk</t>
        </is>
      </c>
      <c r="C105" s="2" t="inlineStr">
        <is>
          <t>risk_fact</t>
        </is>
      </c>
      <c r="D105" s="2" t="inlineStr">
        <is>
          <t>Risk fact</t>
        </is>
      </c>
      <c r="E105" s="2" t="n"/>
      <c r="F105" s="2" t="n"/>
      <c r="G105" s="2" t="n"/>
      <c r="H105" s="3" t="inlineStr">
        <is>
          <t>Cash and cash equivalents of EUR 2.0m (SEK 24.0m) held in foreign currency at 31 Dec 2023; currency conversion effect EUR 0.0m.</t>
        </is>
      </c>
      <c r="I105" s="2" t="inlineStr">
        <is>
          <t>S1</t>
        </is>
      </c>
      <c r="J105" s="2" t="n">
        <v>48</v>
      </c>
      <c r="K105" s="3" t="inlineStr">
        <is>
          <t>As at 31 December 2023, cash and cash equivalents in a foreign currency with a value of EUR 2.0 million (SEK 24.0 million) are reported.</t>
        </is>
      </c>
      <c r="L105" s="2" t="inlineStr">
        <is>
          <t>ok</t>
        </is>
      </c>
      <c r="M105" s="2" t="inlineStr">
        <is>
          <t>demo reviewer</t>
        </is>
      </c>
      <c r="N105" s="2" t="n"/>
      <c r="O105" s="3" t="inlineStr">
        <is>
          <t>https://vanillabonds.com/dossier-data/pdf/katjes/katjes-2023-annual-report.pdf#page=48</t>
        </is>
      </c>
      <c r="P105" s="3" t="inlineStr">
        <is>
          <t>https://vanillabonds.com/dossier.html?c=katjes&amp;viewer=1&amp;item=F104</t>
        </is>
      </c>
      <c r="Q105" s="2" t="inlineStr"/>
    </row>
    <row r="106">
      <c r="A106" s="2" t="inlineStr">
        <is>
          <t>F105</t>
        </is>
      </c>
      <c r="B106" s="2" t="inlineStr">
        <is>
          <t>risk</t>
        </is>
      </c>
      <c r="C106" s="2" t="inlineStr">
        <is>
          <t>risk_fact</t>
        </is>
      </c>
      <c r="D106" s="2" t="inlineStr">
        <is>
          <t>Risk fact</t>
        </is>
      </c>
      <c r="E106" s="2" t="n"/>
      <c r="F106" s="2" t="n"/>
      <c r="G106" s="2" t="n"/>
      <c r="H106" s="3" t="inlineStr">
        <is>
          <t>Functional currency of Candy Kittens and Longaim is GBP; closing rate GBP 1.15, average 1.15, SEK closing 11.10.</t>
        </is>
      </c>
      <c r="I106" s="2" t="inlineStr">
        <is>
          <t>S1</t>
        </is>
      </c>
      <c r="J106" s="2" t="n">
        <v>53</v>
      </c>
      <c r="K106" s="3" t="inlineStr">
        <is>
          <t>The financial statements of Candy Kittens and Longaim, whose functional currency is GBP as opposed to the Euro,</t>
        </is>
      </c>
      <c r="L106" s="2" t="inlineStr">
        <is>
          <t>ok</t>
        </is>
      </c>
      <c r="M106" s="2" t="inlineStr">
        <is>
          <t>demo reviewer</t>
        </is>
      </c>
      <c r="N106" s="2" t="n"/>
      <c r="O106" s="3" t="inlineStr">
        <is>
          <t>https://vanillabonds.com/dossier-data/pdf/katjes/katjes-2023-annual-report.pdf#page=53</t>
        </is>
      </c>
      <c r="P106" s="3" t="inlineStr">
        <is>
          <t>https://vanillabonds.com/dossier.html?c=katjes&amp;viewer=1&amp;item=F105</t>
        </is>
      </c>
      <c r="Q106" s="2" t="inlineStr"/>
    </row>
    <row r="107">
      <c r="A107" s="2" t="inlineStr">
        <is>
          <t>F106</t>
        </is>
      </c>
      <c r="B107" s="2" t="inlineStr">
        <is>
          <t>risk</t>
        </is>
      </c>
      <c r="C107" s="2" t="inlineStr">
        <is>
          <t>risk_fact</t>
        </is>
      </c>
      <c r="D107" s="2" t="inlineStr">
        <is>
          <t>Risk fact</t>
        </is>
      </c>
      <c r="E107" s="2" t="n"/>
      <c r="F107" s="2" t="n"/>
      <c r="G107" s="2" t="n"/>
      <c r="H107" s="3" t="inlineStr">
        <is>
          <t>Interest-rate sensitivity on factoring (three- and two-month Euribor): a 1% change moves profit after tax by EUR 0.8m in 2023 (2022: EUR 0.2m).</t>
        </is>
      </c>
      <c r="I107" s="2" t="inlineStr">
        <is>
          <t>S1</t>
        </is>
      </c>
      <c r="J107" s="2" t="n">
        <v>61</v>
      </c>
      <c r="K107" s="3" t="inlineStr">
        <is>
          <t>len by 1%, profit after tax would have been EUR 0.8 million lower/EUR 0.8 million higher in the reporting year</t>
        </is>
      </c>
      <c r="L107" s="2" t="inlineStr">
        <is>
          <t>ok</t>
        </is>
      </c>
      <c r="M107" s="2" t="inlineStr">
        <is>
          <t>demo reviewer</t>
        </is>
      </c>
      <c r="N107" s="2" t="n"/>
      <c r="O107" s="3" t="inlineStr">
        <is>
          <t>https://vanillabonds.com/dossier-data/pdf/katjes/katjes-2023-annual-report.pdf#page=61</t>
        </is>
      </c>
      <c r="P107" s="3" t="inlineStr">
        <is>
          <t>https://vanillabonds.com/dossier.html?c=katjes&amp;viewer=1&amp;item=F106</t>
        </is>
      </c>
      <c r="Q107" s="2" t="inlineStr"/>
    </row>
    <row r="108">
      <c r="A108" s="2" t="inlineStr">
        <is>
          <t>F107</t>
        </is>
      </c>
      <c r="B108" s="2" t="inlineStr">
        <is>
          <t>risk</t>
        </is>
      </c>
      <c r="C108" s="2" t="inlineStr">
        <is>
          <t>risk_fact</t>
        </is>
      </c>
      <c r="D108" s="2" t="inlineStr">
        <is>
          <t>Risk fact</t>
        </is>
      </c>
      <c r="E108" s="2" t="n"/>
      <c r="F108" s="2" t="n"/>
      <c r="G108" s="2" t="n"/>
      <c r="H108" s="3" t="inlineStr">
        <is>
          <t>No hedging instruments for currency risk at 31 December 2023; Candy Kittens and Longaim report in GBP; cash of EUR 2.0m held in SEK (SEK 24.0m).</t>
        </is>
      </c>
      <c r="I108" s="2" t="inlineStr">
        <is>
          <t>S1</t>
        </is>
      </c>
      <c r="J108" s="2" t="n">
        <v>61</v>
      </c>
      <c r="K108" s="3" t="inlineStr">
        <is>
          <t>As at 31 December 2023, there are no hedging</t>
        </is>
      </c>
      <c r="L108" s="2" t="inlineStr">
        <is>
          <t>ok</t>
        </is>
      </c>
      <c r="M108" s="2" t="inlineStr">
        <is>
          <t>demo reviewer</t>
        </is>
      </c>
      <c r="N108" s="2" t="n"/>
      <c r="O108" s="3" t="inlineStr">
        <is>
          <t>https://vanillabonds.com/dossier-data/pdf/katjes/katjes-2023-annual-report.pdf#page=61</t>
        </is>
      </c>
      <c r="P108" s="3" t="inlineStr">
        <is>
          <t>https://vanillabonds.com/dossier.html?c=katjes&amp;viewer=1&amp;item=F107</t>
        </is>
      </c>
      <c r="Q108" s="2" t="inlineStr"/>
    </row>
    <row r="109">
      <c r="A109" s="2" t="inlineStr">
        <is>
          <t>F108</t>
        </is>
      </c>
      <c r="B109" s="2" t="inlineStr">
        <is>
          <t>risk</t>
        </is>
      </c>
      <c r="C109" s="2" t="inlineStr">
        <is>
          <t>risk_fact</t>
        </is>
      </c>
      <c r="D109" s="2" t="inlineStr">
        <is>
          <t>Risk fact</t>
        </is>
      </c>
      <c r="E109" s="2" t="n"/>
      <c r="F109" s="2" t="n"/>
      <c r="G109" s="2" t="n"/>
      <c r="H109" s="3" t="inlineStr">
        <is>
          <t>Credit risk: maximum default risk limited to receivables carrying amount EUR 57.3m (2022: 47.5); individual risk limits set on internal or external ratings.</t>
        </is>
      </c>
      <c r="I109" s="2" t="inlineStr">
        <is>
          <t>S1</t>
        </is>
      </c>
      <c r="J109" s="2" t="n">
        <v>61</v>
      </c>
      <c r="K109" s="3" t="inlineStr">
        <is>
          <t>The maximum default risk is limited to the carrying amount (EUR 57.3 million; 2022: EUR 47.5 million).</t>
        </is>
      </c>
      <c r="L109" s="2" t="inlineStr">
        <is>
          <t>ok</t>
        </is>
      </c>
      <c r="M109" s="2" t="inlineStr">
        <is>
          <t>demo reviewer</t>
        </is>
      </c>
      <c r="N109" s="2" t="n"/>
      <c r="O109" s="3" t="inlineStr">
        <is>
          <t>https://vanillabonds.com/dossier-data/pdf/katjes/katjes-2023-annual-report.pdf#page=61</t>
        </is>
      </c>
      <c r="P109" s="3" t="inlineStr">
        <is>
          <t>https://vanillabonds.com/dossier.html?c=katjes&amp;viewer=1&amp;item=F108</t>
        </is>
      </c>
      <c r="Q109" s="2" t="inlineStr"/>
    </row>
    <row r="110">
      <c r="A110" s="2" t="inlineStr">
        <is>
          <t>F109</t>
        </is>
      </c>
      <c r="B110" s="2" t="inlineStr">
        <is>
          <t>risk</t>
        </is>
      </c>
      <c r="C110" s="2" t="inlineStr">
        <is>
          <t>risk_fact</t>
        </is>
      </c>
      <c r="D110" s="2" t="inlineStr">
        <is>
          <t>Risk fact</t>
        </is>
      </c>
      <c r="E110" s="2" t="n"/>
      <c r="F110" s="2" t="n"/>
      <c r="G110" s="2" t="n"/>
      <c r="H110" s="3" t="inlineStr">
        <is>
          <t>Refinancing profile at 31 Dec 2023: EUR 137.4m due in two to five years (incl. the EUR 115m bond 2028) and EUR 4.2m after five years; at 31 Dec 2022 EUR 125.4m fell due in one to two years.</t>
        </is>
      </c>
      <c r="I110" s="2" t="inlineStr">
        <is>
          <t>S1</t>
        </is>
      </c>
      <c r="J110" s="2" t="n">
        <v>63</v>
      </c>
      <c r="K110" s="3" t="inlineStr">
        <is>
          <t>Non-current financial liabilities (incl. liabilities from leases) 0.0 15.1 137.4 4.2 156.7 156.7</t>
        </is>
      </c>
      <c r="L110" s="2" t="inlineStr">
        <is>
          <t>ok</t>
        </is>
      </c>
      <c r="M110" s="2" t="inlineStr">
        <is>
          <t>demo reviewer</t>
        </is>
      </c>
      <c r="N110" s="2" t="n"/>
      <c r="O110" s="3" t="inlineStr">
        <is>
          <t>https://vanillabonds.com/dossier-data/pdf/katjes/katjes-2023-annual-report.pdf#page=63</t>
        </is>
      </c>
      <c r="P110" s="3" t="inlineStr">
        <is>
          <t>https://vanillabonds.com/dossier.html?c=katjes&amp;viewer=1&amp;item=F109</t>
        </is>
      </c>
      <c r="Q110" s="2" t="inlineStr"/>
    </row>
    <row r="111">
      <c r="A111" s="2" t="inlineStr">
        <is>
          <t>F110</t>
        </is>
      </c>
      <c r="B111" s="2" t="inlineStr">
        <is>
          <t>risk</t>
        </is>
      </c>
      <c r="C111" s="2" t="inlineStr">
        <is>
          <t>risk_fact</t>
        </is>
      </c>
      <c r="D111" s="2" t="inlineStr">
        <is>
          <t>Risk fact</t>
        </is>
      </c>
      <c r="E111" s="2" t="n"/>
      <c r="F111" s="2" t="n"/>
      <c r="G111" s="2" t="n"/>
      <c r="H111" s="3" t="inlineStr">
        <is>
          <t>Trade receivables of EUR 0.9m more than six months overdue were written off in full at 31 Dec 2023; impairment allowance 0.4 (2022: 1.2).</t>
        </is>
      </c>
      <c r="I111" s="2" t="inlineStr">
        <is>
          <t>S1</t>
        </is>
      </c>
      <c r="J111" s="2" t="n">
        <v>70</v>
      </c>
      <c r="K111" s="3" t="inlineStr">
        <is>
          <t>As at the balance sheet date, trade receivables in the amount of EUR 0.9 million were more than six months over‐</t>
        </is>
      </c>
      <c r="L111" s="2" t="inlineStr">
        <is>
          <t>ok</t>
        </is>
      </c>
      <c r="M111" s="2" t="inlineStr">
        <is>
          <t>demo reviewer</t>
        </is>
      </c>
      <c r="N111" s="2" t="n"/>
      <c r="O111" s="3" t="inlineStr">
        <is>
          <t>https://vanillabonds.com/dossier-data/pdf/katjes/katjes-2023-annual-report.pdf#page=70</t>
        </is>
      </c>
      <c r="P111" s="3" t="inlineStr">
        <is>
          <t>https://vanillabonds.com/dossier.html?c=katjes&amp;viewer=1&amp;item=F110</t>
        </is>
      </c>
      <c r="Q111" s="2" t="inlineStr"/>
    </row>
    <row r="112">
      <c r="A112" s="2" t="inlineStr">
        <is>
          <t>F111</t>
        </is>
      </c>
      <c r="B112" s="2" t="inlineStr">
        <is>
          <t>management</t>
        </is>
      </c>
      <c r="C112" s="2" t="inlineStr">
        <is>
          <t>mgmt_person</t>
        </is>
      </c>
      <c r="D112" s="3" t="inlineStr">
        <is>
          <t>Executive: name, role, since, prior roles (register / report)</t>
        </is>
      </c>
      <c r="E112" s="2" t="n"/>
      <c r="F112" s="2" t="n"/>
      <c r="G112" s="2" t="n"/>
      <c r="H112" s="3" t="inlineStr">
        <is>
          <t>Stephan Milde, Managing Director (CFO) of Katjes International since 2012; before several years in investment banking at Deutsche Bank and Citigroup in London.</t>
        </is>
      </c>
      <c r="I112" s="2" t="inlineStr">
        <is>
          <t>S1</t>
        </is>
      </c>
      <c r="J112" s="2" t="n">
        <v>6</v>
      </c>
      <c r="K112" s="3" t="inlineStr">
        <is>
          <t>since 2012 – CFO Katjes International Before several years in Investment Banking at Deutsche Bank and Citigroup in London</t>
        </is>
      </c>
      <c r="L112" s="2" t="inlineStr">
        <is>
          <t>ok</t>
        </is>
      </c>
      <c r="M112" s="2" t="inlineStr">
        <is>
          <t>demo reviewer</t>
        </is>
      </c>
      <c r="N112" s="2" t="n"/>
      <c r="O112" s="3" t="inlineStr">
        <is>
          <t>https://vanillabonds.com/dossier-data/pdf/katjes/katjes-2023-annual-report.pdf#page=6</t>
        </is>
      </c>
      <c r="P112" s="3" t="inlineStr">
        <is>
          <t>https://vanillabonds.com/dossier.html?c=katjes&amp;viewer=1&amp;item=F111</t>
        </is>
      </c>
      <c r="Q112" s="2" t="inlineStr"/>
    </row>
    <row r="113">
      <c r="A113" s="2" t="inlineStr">
        <is>
          <t>F112</t>
        </is>
      </c>
      <c r="B113" s="2" t="inlineStr">
        <is>
          <t>management</t>
        </is>
      </c>
      <c r="C113" s="2" t="inlineStr">
        <is>
          <t>mgmt_person</t>
        </is>
      </c>
      <c r="D113" s="3" t="inlineStr">
        <is>
          <t>Executive: name, role, since, prior roles (register / report)</t>
        </is>
      </c>
      <c r="E113" s="2" t="n"/>
      <c r="F113" s="2" t="n"/>
      <c r="G113" s="2" t="n"/>
      <c r="H113" s="3" t="inlineStr">
        <is>
          <t>Bastian Fassin, Managing Shareholder of Katjes International since 2004; until 2003 Marketing and Sales at Kraft Foods, until 2000 Roland Berger Strategy Consultants.</t>
        </is>
      </c>
      <c r="I113" s="2" t="inlineStr">
        <is>
          <t>S1</t>
        </is>
      </c>
      <c r="J113" s="2" t="n">
        <v>6</v>
      </c>
      <c r="K113" s="3" t="inlineStr">
        <is>
          <t>Since 2004 – Managing Shareholder of Katjes International until 2003 – Marketing and Sales, Kraft Foods</t>
        </is>
      </c>
      <c r="L113" s="2" t="inlineStr">
        <is>
          <t>ok</t>
        </is>
      </c>
      <c r="M113" s="2" t="inlineStr">
        <is>
          <t>demo reviewer</t>
        </is>
      </c>
      <c r="N113" s="2" t="n"/>
      <c r="O113" s="3" t="inlineStr">
        <is>
          <t>https://vanillabonds.com/dossier-data/pdf/katjes/katjes-2023-annual-report.pdf#page=6</t>
        </is>
      </c>
      <c r="P113" s="3" t="inlineStr">
        <is>
          <t>https://vanillabonds.com/dossier.html?c=katjes&amp;viewer=1&amp;item=F112</t>
        </is>
      </c>
      <c r="Q113" s="2" t="inlineStr"/>
    </row>
    <row r="114">
      <c r="A114" s="2" t="inlineStr">
        <is>
          <t>F113</t>
        </is>
      </c>
      <c r="B114" s="2" t="inlineStr">
        <is>
          <t>management</t>
        </is>
      </c>
      <c r="C114" s="2" t="inlineStr">
        <is>
          <t>mgmt_person</t>
        </is>
      </c>
      <c r="D114" s="3" t="inlineStr">
        <is>
          <t>Executive: name, role, since, prior roles (register / report)</t>
        </is>
      </c>
      <c r="E114" s="2" t="n"/>
      <c r="F114" s="2" t="n"/>
      <c r="G114" s="2" t="n"/>
      <c r="H114" s="3" t="inlineStr">
        <is>
          <t>Tobias Bachmüller, Managing Shareholder of Katjes International since 1996; until 1995 General Manager Kraft Foods (Milka), until 1992 Principal at The Boston Consulting Group.</t>
        </is>
      </c>
      <c r="I114" s="2" t="inlineStr">
        <is>
          <t>S1</t>
        </is>
      </c>
      <c r="J114" s="2" t="n">
        <v>6</v>
      </c>
      <c r="K114" s="3" t="inlineStr">
        <is>
          <t>since 1996 – Managing Shareholder of Katjes International until 1995 – General Manager, Kraft Foods (Milka)</t>
        </is>
      </c>
      <c r="L114" s="2" t="inlineStr">
        <is>
          <t>ok</t>
        </is>
      </c>
      <c r="M114" s="2" t="inlineStr">
        <is>
          <t>demo reviewer</t>
        </is>
      </c>
      <c r="N114" s="2" t="n"/>
      <c r="O114" s="3" t="inlineStr">
        <is>
          <t>https://vanillabonds.com/dossier-data/pdf/katjes/katjes-2023-annual-report.pdf#page=6</t>
        </is>
      </c>
      <c r="P114" s="3" t="inlineStr">
        <is>
          <t>https://vanillabonds.com/dossier.html?c=katjes&amp;viewer=1&amp;item=F113</t>
        </is>
      </c>
      <c r="Q114" s="2" t="inlineStr"/>
    </row>
    <row r="115">
      <c r="A115" s="2" t="inlineStr">
        <is>
          <t>F114</t>
        </is>
      </c>
      <c r="B115" s="2" t="inlineStr">
        <is>
          <t>management</t>
        </is>
      </c>
      <c r="C115" s="2" t="inlineStr">
        <is>
          <t>revenue_budget</t>
        </is>
      </c>
      <c r="D115" s="3" t="inlineStr">
        <is>
          <t>Revenue as budgeted for that year (management plan at the time)</t>
        </is>
      </c>
      <c r="E115" s="2" t="inlineStr">
        <is>
          <t>FY2023</t>
        </is>
      </c>
      <c r="F115" s="2" t="n"/>
      <c r="G115" s="2" t="inlineStr">
        <is>
          <t>EUR m</t>
        </is>
      </c>
      <c r="H115" s="3" t="inlineStr">
        <is>
          <t>Guidance for 2023 as stated: consolidated net sales EUR 350m–375m (raised during the year); actual 377.4 exceeded it</t>
        </is>
      </c>
      <c r="I115" s="2" t="inlineStr">
        <is>
          <t>S1</t>
        </is>
      </c>
      <c r="J115" s="2" t="n">
        <v>41</v>
      </c>
      <c r="K115" s="3" t="inlineStr">
        <is>
          <t>The company expected to achieve consolidated net sales of between EUR 350 million and EUR 375 million for the financial year 2023.</t>
        </is>
      </c>
      <c r="L115" s="2" t="inlineStr">
        <is>
          <t>ok</t>
        </is>
      </c>
      <c r="M115" s="2" t="inlineStr">
        <is>
          <t>demo reviewer</t>
        </is>
      </c>
      <c r="N115" s="2" t="n"/>
      <c r="O115" s="3" t="inlineStr">
        <is>
          <t>https://vanillabonds.com/dossier-data/pdf/katjes/katjes-2023-annual-report.pdf#page=41</t>
        </is>
      </c>
      <c r="P115" s="3" t="inlineStr">
        <is>
          <t>https://vanillabonds.com/dossier.html?c=katjes&amp;viewer=1&amp;item=F114</t>
        </is>
      </c>
      <c r="Q115" s="2" t="inlineStr"/>
    </row>
    <row r="116">
      <c r="A116" s="2" t="inlineStr">
        <is>
          <t>F115</t>
        </is>
      </c>
      <c r="B116" s="2" t="inlineStr">
        <is>
          <t>management</t>
        </is>
      </c>
      <c r="C116" s="2" t="inlineStr">
        <is>
          <t>ebitda_budget</t>
        </is>
      </c>
      <c r="D116" s="3" t="inlineStr">
        <is>
          <t>EBITDA as budgeted for that year (management plan at the time)</t>
        </is>
      </c>
      <c r="E116" s="2" t="inlineStr">
        <is>
          <t>FY2023</t>
        </is>
      </c>
      <c r="F116" s="2" t="n"/>
      <c r="G116" s="2" t="inlineStr">
        <is>
          <t>EUR m</t>
        </is>
      </c>
      <c r="H116" s="3" t="inlineStr">
        <is>
          <t>Guidance for 2023 as stated: EBITDA margin 9–10%; actual 10.8%</t>
        </is>
      </c>
      <c r="I116" s="2" t="inlineStr">
        <is>
          <t>S1</t>
        </is>
      </c>
      <c r="J116" s="2" t="n">
        <v>41</v>
      </c>
      <c r="K116" s="3" t="inlineStr">
        <is>
          <t>Katjes International’s EBITDA margin in the reporting year was 10.8%, well above the forecast range of 9–10%.</t>
        </is>
      </c>
      <c r="L116" s="2" t="inlineStr">
        <is>
          <t>ok</t>
        </is>
      </c>
      <c r="M116" s="2" t="inlineStr">
        <is>
          <t>demo reviewer</t>
        </is>
      </c>
      <c r="N116" s="2" t="n"/>
      <c r="O116" s="3" t="inlineStr">
        <is>
          <t>https://vanillabonds.com/dossier-data/pdf/katjes/katjes-2023-annual-report.pdf#page=41</t>
        </is>
      </c>
      <c r="P116" s="3" t="inlineStr">
        <is>
          <t>https://vanillabonds.com/dossier.html?c=katjes&amp;viewer=1&amp;item=F115</t>
        </is>
      </c>
      <c r="Q116" s="2" t="inlineStr"/>
    </row>
    <row r="117">
      <c r="A117" s="2" t="inlineStr">
        <is>
          <t>F116</t>
        </is>
      </c>
      <c r="B117" s="2" t="inlineStr">
        <is>
          <t>management</t>
        </is>
      </c>
      <c r="C117" s="2" t="inlineStr">
        <is>
          <t>acquisition</t>
        </is>
      </c>
      <c r="D117" s="3" t="inlineStr">
        <is>
          <t>Acquisition / disposal: target, year, price, funding, outcome vs case</t>
        </is>
      </c>
      <c r="E117" s="2" t="n"/>
      <c r="F117" s="2" t="n"/>
      <c r="G117" s="2" t="n"/>
      <c r="H117" s="3" t="inlineStr">
        <is>
          <t>target: operating business of Paluani S.p.A., Verona (panettone, colomba), via Sperlari; year: 2022 (effective 1 August 2022); price: not stated; outcome vs case: Paluani had been in insolvency proceedings since October 2021, 2021 sales around EUR 40m, PPA effect 14.1 recognised in 2022 income</t>
        </is>
      </c>
      <c r="I117" s="2" t="inlineStr">
        <is>
          <t>S1</t>
        </is>
      </c>
      <c r="J117" s="2" t="n">
        <v>16</v>
      </c>
      <c r="K117" s="3" t="inlineStr">
        <is>
          <t>Effective 1 August 2022, Sperlari laid the foundation to further expand its leadership position in the seasonal business: the company acquired the operating business of Paluani S.p.A.</t>
        </is>
      </c>
      <c r="L117" s="2" t="inlineStr">
        <is>
          <t>ok</t>
        </is>
      </c>
      <c r="M117" s="2" t="inlineStr">
        <is>
          <t>demo reviewer</t>
        </is>
      </c>
      <c r="N117" s="2" t="n"/>
      <c r="O117" s="3" t="inlineStr">
        <is>
          <t>https://vanillabonds.com/dossier-data/pdf/katjes/katjes-2023-annual-report.pdf#page=16</t>
        </is>
      </c>
      <c r="P117" s="3" t="inlineStr">
        <is>
          <t>https://vanillabonds.com/dossier.html?c=katjes&amp;viewer=1&amp;item=F116</t>
        </is>
      </c>
      <c r="Q117" s="2" t="inlineStr"/>
    </row>
    <row r="118">
      <c r="A118" s="2" t="inlineStr">
        <is>
          <t>F117</t>
        </is>
      </c>
      <c r="B118" s="2" t="inlineStr">
        <is>
          <t>management</t>
        </is>
      </c>
      <c r="C118" s="2" t="inlineStr">
        <is>
          <t>acquisition</t>
        </is>
      </c>
      <c r="D118" s="3" t="inlineStr">
        <is>
          <t>Acquisition / disposal: target, year, price, funding, outcome vs case</t>
        </is>
      </c>
      <c r="E118" s="2" t="n"/>
      <c r="F118" s="2" t="n"/>
      <c r="G118" s="2" t="n"/>
      <c r="H118" s="3" t="inlineStr">
        <is>
          <t>target: Paluani background; year: 2021 insolvency; outcome: until insolvency proceedings opened in October 2021 Paluani was Italy's fourth-largest panettone producer with 2021 sales around EUR 40m</t>
        </is>
      </c>
      <c r="I118" s="2" t="inlineStr">
        <is>
          <t>S1</t>
        </is>
      </c>
      <c r="J118" s="2" t="n">
        <v>16</v>
      </c>
      <c r="K118" s="3" t="inlineStr">
        <is>
          <t>Until insolvency proceedings were opened in October 2021, Paluani was Italy’s fourth-largest panettone producer, with sales of around EUR 40 million in the year 2021.</t>
        </is>
      </c>
      <c r="L118" s="2" t="inlineStr">
        <is>
          <t>ok</t>
        </is>
      </c>
      <c r="M118" s="2" t="inlineStr">
        <is>
          <t>demo reviewer</t>
        </is>
      </c>
      <c r="N118" s="2" t="n"/>
      <c r="O118" s="3" t="inlineStr">
        <is>
          <t>https://vanillabonds.com/dossier-data/pdf/katjes/katjes-2023-annual-report.pdf#page=16</t>
        </is>
      </c>
      <c r="P118" s="3" t="inlineStr">
        <is>
          <t>https://vanillabonds.com/dossier.html?c=katjes&amp;viewer=1&amp;item=F117</t>
        </is>
      </c>
      <c r="Q118" s="2" t="inlineStr"/>
    </row>
    <row r="119">
      <c r="A119" s="2" t="inlineStr">
        <is>
          <t>F118</t>
        </is>
      </c>
      <c r="B119" s="2" t="inlineStr">
        <is>
          <t>management</t>
        </is>
      </c>
      <c r="C119" s="2" t="inlineStr">
        <is>
          <t>acquisition</t>
        </is>
      </c>
      <c r="D119" s="3" t="inlineStr">
        <is>
          <t>Acquisition / disposal: target, year, price, funding, outcome vs case</t>
        </is>
      </c>
      <c r="E119" s="2" t="n"/>
      <c r="F119" s="2" t="n"/>
      <c r="G119" s="2" t="n"/>
      <c r="H119" s="3" t="inlineStr">
        <is>
          <t>target: Bübchen (baby and kids body care) from Nestlé/Galderma; year: 2020 (May); price: not stated; brand valued at 22.5 in PPA</t>
        </is>
      </c>
      <c r="I119" s="2" t="inlineStr">
        <is>
          <t>S1</t>
        </is>
      </c>
      <c r="J119" s="2" t="n">
        <v>20</v>
      </c>
      <c r="K119" s="3" t="inlineStr">
        <is>
          <t>Following the successful acquisition of Bübchen from Nestlé/Galderma in 2020</t>
        </is>
      </c>
      <c r="L119" s="2" t="inlineStr">
        <is>
          <t>ok</t>
        </is>
      </c>
      <c r="M119" s="2" t="inlineStr">
        <is>
          <t>demo reviewer</t>
        </is>
      </c>
      <c r="N119" s="2" t="n"/>
      <c r="O119" s="3" t="inlineStr">
        <is>
          <t>https://vanillabonds.com/dossier-data/pdf/katjes/katjes-2023-annual-report.pdf#page=20</t>
        </is>
      </c>
      <c r="P119" s="3" t="inlineStr">
        <is>
          <t>https://vanillabonds.com/dossier.html?c=katjes&amp;viewer=1&amp;item=F118</t>
        </is>
      </c>
      <c r="Q119" s="2" t="inlineStr"/>
    </row>
    <row r="120">
      <c r="A120" s="2" t="inlineStr">
        <is>
          <t>F119</t>
        </is>
      </c>
      <c r="B120" s="2" t="inlineStr">
        <is>
          <t>management</t>
        </is>
      </c>
      <c r="C120" s="2" t="inlineStr">
        <is>
          <t>acquisition</t>
        </is>
      </c>
      <c r="D120" s="3" t="inlineStr">
        <is>
          <t>Acquisition / disposal: target, year, price, funding, outcome vs case</t>
        </is>
      </c>
      <c r="E120" s="2" t="n"/>
      <c r="F120" s="2" t="n"/>
      <c r="G120" s="2" t="n"/>
      <c r="H120" s="3" t="inlineStr">
        <is>
          <t>target: disposal/contribution of French subsidiary Lutti together with Continental Sweets Belgium into CPK S.A.S.; year: 2018 (end of 2018); outcome: around 23% stake in CPK, equity-accounted at 63.7, share of loss -0.7 in 2023 (2022: -0.1), future payments from the transaction still in other financial assets</t>
        </is>
      </c>
      <c r="I120" s="2" t="inlineStr">
        <is>
          <t>S1</t>
        </is>
      </c>
      <c r="J120" s="2" t="n">
        <v>24</v>
      </c>
      <c r="K120" s="3" t="inlineStr">
        <is>
          <t>At the end of 2018, Katjes International contributed its French subsidiary Lutti - already the second-largest sugar confectionery brand in France at the time - into CPK</t>
        </is>
      </c>
      <c r="L120" s="2" t="inlineStr">
        <is>
          <t>ok</t>
        </is>
      </c>
      <c r="M120" s="2" t="inlineStr">
        <is>
          <t>demo reviewer</t>
        </is>
      </c>
      <c r="N120" s="2" t="n"/>
      <c r="O120" s="3" t="inlineStr">
        <is>
          <t>https://vanillabonds.com/dossier-data/pdf/katjes/katjes-2023-annual-report.pdf#page=24</t>
        </is>
      </c>
      <c r="P120" s="3" t="inlineStr">
        <is>
          <t>https://vanillabonds.com/dossier.html?c=katjes&amp;viewer=1&amp;item=F119</t>
        </is>
      </c>
      <c r="Q120" s="2" t="inlineStr"/>
    </row>
    <row r="121">
      <c r="A121" s="2" t="inlineStr">
        <is>
          <t>F120</t>
        </is>
      </c>
      <c r="B121" s="2" t="inlineStr">
        <is>
          <t>management</t>
        </is>
      </c>
      <c r="C121" s="2" t="inlineStr">
        <is>
          <t>acquisition</t>
        </is>
      </c>
      <c r="D121" s="3" t="inlineStr">
        <is>
          <t>Acquisition / disposal: target, year, price, funding, outcome vs case</t>
        </is>
      </c>
      <c r="E121" s="2" t="n"/>
      <c r="F121" s="2" t="n"/>
      <c r="G121" s="2" t="n"/>
      <c r="H121" s="3" t="inlineStr">
        <is>
          <t>target: Dulcioliva S.r.l., Borgo San Dalmazzo (Cuneesi chocolates), 75% stake with option on the remaining 25%; year: 2021 (30 June 2021); price: not stated; option liability 1.2 at 31 Dec 2023</t>
        </is>
      </c>
      <c r="I121" s="2" t="inlineStr">
        <is>
          <t>S1</t>
        </is>
      </c>
      <c r="J121" s="2" t="n">
        <v>27</v>
      </c>
      <c r="K121" s="3" t="inlineStr">
        <is>
          <t>75% stake in Dulcioliva in Italy, with the option to acquire the remaining 25%.</t>
        </is>
      </c>
      <c r="L121" s="2" t="inlineStr">
        <is>
          <t>ok</t>
        </is>
      </c>
      <c r="M121" s="2" t="inlineStr">
        <is>
          <t>demo reviewer</t>
        </is>
      </c>
      <c r="N121" s="2" t="n"/>
      <c r="O121" s="3" t="inlineStr">
        <is>
          <t>https://vanillabonds.com/dossier-data/pdf/katjes/katjes-2023-annual-report.pdf#page=27</t>
        </is>
      </c>
      <c r="P121" s="3" t="inlineStr">
        <is>
          <t>https://vanillabonds.com/dossier.html?c=katjes&amp;viewer=1&amp;item=F120</t>
        </is>
      </c>
      <c r="Q121" s="2" t="inlineStr"/>
    </row>
    <row r="122">
      <c r="A122" s="2" t="inlineStr">
        <is>
          <t>F121</t>
        </is>
      </c>
      <c r="B122" s="2" t="inlineStr">
        <is>
          <t>management</t>
        </is>
      </c>
      <c r="C122" s="2" t="inlineStr">
        <is>
          <t>acquisition</t>
        </is>
      </c>
      <c r="D122" s="3" t="inlineStr">
        <is>
          <t>Acquisition / disposal: target, year, price, funding, outcome vs case</t>
        </is>
      </c>
      <c r="E122" s="2" t="n"/>
      <c r="F122" s="2" t="n"/>
      <c r="G122" s="2" t="n"/>
      <c r="H122" s="3" t="inlineStr">
        <is>
          <t>target: Sperlari (Italy, sugar confectionery, Cremona plus three other Italian production sites); year: 2017; price: not stated; brands valued at 22.9 in PPA</t>
        </is>
      </c>
      <c r="I122" s="2" t="inlineStr">
        <is>
          <t>S1</t>
        </is>
      </c>
      <c r="J122" s="2" t="n">
        <v>27</v>
      </c>
      <c r="K122" s="3" t="inlineStr">
        <is>
          <t>In Italy, Sperlari has been part of Katjes International sin‐ ce 2017.</t>
        </is>
      </c>
      <c r="L122" s="2" t="inlineStr">
        <is>
          <t>ok</t>
        </is>
      </c>
      <c r="M122" s="2" t="inlineStr">
        <is>
          <t>demo reviewer</t>
        </is>
      </c>
      <c r="N122" s="2" t="n"/>
      <c r="O122" s="3" t="inlineStr">
        <is>
          <t>https://vanillabonds.com/dossier-data/pdf/katjes/katjes-2023-annual-report.pdf#page=27</t>
        </is>
      </c>
      <c r="P122" s="3" t="inlineStr">
        <is>
          <t>https://vanillabonds.com/dossier.html?c=katjes&amp;viewer=1&amp;item=F121</t>
        </is>
      </c>
      <c r="Q122" s="2" t="inlineStr"/>
    </row>
    <row r="123">
      <c r="A123" s="2" t="inlineStr">
        <is>
          <t>F122</t>
        </is>
      </c>
      <c r="B123" s="2" t="inlineStr">
        <is>
          <t>management</t>
        </is>
      </c>
      <c r="C123" s="2" t="inlineStr">
        <is>
          <t>acquisition</t>
        </is>
      </c>
      <c r="D123" s="3" t="inlineStr">
        <is>
          <t>Acquisition / disposal: target, year, price, funding, outcome vs case</t>
        </is>
      </c>
      <c r="E123" s="2" t="n"/>
      <c r="F123" s="2" t="n"/>
      <c r="G123" s="2" t="n"/>
      <c r="H123" s="3" t="inlineStr">
        <is>
          <t>target: Harlekijntjes B.V., Nijkerk (liquorice), 100%; year: 2016; price: not stated; brand valued at 4.9 in PPA</t>
        </is>
      </c>
      <c r="I123" s="2" t="inlineStr">
        <is>
          <t>S1</t>
        </is>
      </c>
      <c r="J123" s="2" t="n">
        <v>27</v>
      </c>
      <c r="K123" s="3" t="inlineStr">
        <is>
          <t>Since 2016, Katjes International has held all shares in the Dutch company Harlekijntjes</t>
        </is>
      </c>
      <c r="L123" s="2" t="inlineStr">
        <is>
          <t>ok</t>
        </is>
      </c>
      <c r="M123" s="2" t="inlineStr">
        <is>
          <t>demo reviewer</t>
        </is>
      </c>
      <c r="N123" s="2" t="n"/>
      <c r="O123" s="3" t="inlineStr">
        <is>
          <t>https://vanillabonds.com/dossier-data/pdf/katjes/katjes-2023-annual-report.pdf#page=27</t>
        </is>
      </c>
      <c r="P123" s="3" t="inlineStr">
        <is>
          <t>https://vanillabonds.com/dossier.html?c=katjes&amp;viewer=1&amp;item=F122</t>
        </is>
      </c>
      <c r="Q123" s="2" t="inlineStr"/>
    </row>
    <row r="124">
      <c r="A124" s="2" t="inlineStr">
        <is>
          <t>F123</t>
        </is>
      </c>
      <c r="B124" s="2" t="inlineStr">
        <is>
          <t>management</t>
        </is>
      </c>
      <c r="C124" s="2" t="inlineStr">
        <is>
          <t>acquisition</t>
        </is>
      </c>
      <c r="D124" s="3" t="inlineStr">
        <is>
          <t>Acquisition / disposal: target, year, price, funding, outcome vs case</t>
        </is>
      </c>
      <c r="E124" s="2" t="n"/>
      <c r="F124" s="2" t="n"/>
      <c r="G124" s="2" t="n"/>
      <c r="H124" s="3" t="inlineStr">
        <is>
          <t>target: Piasten GmbH, Forchheim (chocolate dragees, Treets); year: 2014; price: not stated; brand valued at 6.0 in PPA</t>
        </is>
      </c>
      <c r="I124" s="2" t="inlineStr">
        <is>
          <t>S1</t>
        </is>
      </c>
      <c r="J124" s="2" t="n">
        <v>27</v>
      </c>
      <c r="K124" s="3" t="inlineStr">
        <is>
          <t>In Germany, Piasten has been part of Katjes Internatio‐ nal’s portfolio of holdings since 2014.</t>
        </is>
      </c>
      <c r="L124" s="2" t="inlineStr">
        <is>
          <t>ok</t>
        </is>
      </c>
      <c r="M124" s="2" t="inlineStr">
        <is>
          <t>demo reviewer</t>
        </is>
      </c>
      <c r="N124" s="2" t="n"/>
      <c r="O124" s="3" t="inlineStr">
        <is>
          <t>https://vanillabonds.com/dossier-data/pdf/katjes/katjes-2023-annual-report.pdf#page=27</t>
        </is>
      </c>
      <c r="P124" s="3" t="inlineStr">
        <is>
          <t>https://vanillabonds.com/dossier.html?c=katjes&amp;viewer=1&amp;item=F123</t>
        </is>
      </c>
      <c r="Q124" s="2" t="inlineStr"/>
    </row>
    <row r="125">
      <c r="A125" s="2" t="inlineStr">
        <is>
          <t>F124</t>
        </is>
      </c>
      <c r="B125" s="2" t="inlineStr">
        <is>
          <t>management</t>
        </is>
      </c>
      <c r="C125" s="2" t="inlineStr">
        <is>
          <t>acquisition</t>
        </is>
      </c>
      <c r="D125" s="3" t="inlineStr">
        <is>
          <t>Acquisition / disposal: target, year, price, funding, outcome vs case</t>
        </is>
      </c>
      <c r="E125" s="2" t="n"/>
      <c r="F125" s="2" t="n"/>
      <c r="G125" s="2" t="n"/>
      <c r="H125" s="3" t="inlineStr">
        <is>
          <t>target: Dallmann's Pharma Candy, Hofheim am Taunus (sage lozenges); year: 2012; price: not stated; brand valued at 7.7 in PPA</t>
        </is>
      </c>
      <c r="I125" s="2" t="inlineStr">
        <is>
          <t>S1</t>
        </is>
      </c>
      <c r="J125" s="2" t="n">
        <v>27</v>
      </c>
      <c r="K125" s="3" t="inlineStr">
        <is>
          <t>sed company Dallmann’s Pharma Candy (part of Katjes International since 2012) is the leader in German phar‐</t>
        </is>
      </c>
      <c r="L125" s="2" t="inlineStr">
        <is>
          <t>ok</t>
        </is>
      </c>
      <c r="M125" s="2" t="inlineStr">
        <is>
          <t>demo reviewer</t>
        </is>
      </c>
      <c r="N125" s="2" t="n"/>
      <c r="O125" s="3" t="inlineStr">
        <is>
          <t>https://vanillabonds.com/dossier-data/pdf/katjes/katjes-2023-annual-report.pdf#page=27</t>
        </is>
      </c>
      <c r="P125" s="3" t="inlineStr">
        <is>
          <t>https://vanillabonds.com/dossier.html?c=katjes&amp;viewer=1&amp;item=F124</t>
        </is>
      </c>
      <c r="Q125" s="2" t="inlineStr"/>
    </row>
    <row r="126">
      <c r="A126" s="2" t="inlineStr">
        <is>
          <t>F125</t>
        </is>
      </c>
      <c r="B126" s="2" t="inlineStr">
        <is>
          <t>management</t>
        </is>
      </c>
      <c r="C126" s="2" t="inlineStr">
        <is>
          <t>acquisition</t>
        </is>
      </c>
      <c r="D126" s="3" t="inlineStr">
        <is>
          <t>Acquisition / disposal: target, year, price, funding, outcome vs case</t>
        </is>
      </c>
      <c r="E126" s="2" t="n"/>
      <c r="F126" s="2" t="n"/>
      <c r="G126" s="2" t="n"/>
      <c r="H126" s="3" t="inlineStr">
        <is>
          <t>target: Naturale Antica Erboristeria (N.A.E.) natural cosmetics brand from Henkel, via Bübchen Bodycare; year: 2023 (November); price: not stated separately (within investing cash flow -14.6); brand recognised at cost</t>
        </is>
      </c>
      <c r="I126" s="2" t="inlineStr">
        <is>
          <t>S1</t>
        </is>
      </c>
      <c r="J126" s="2" t="n">
        <v>33</v>
      </c>
      <c r="K126" s="3" t="inlineStr">
        <is>
          <t>Since November 2023, the natural cosmetics brand Naturale Antica Erboris‐ teria (N.A.E.) complements the existing body care portfo‐</t>
        </is>
      </c>
      <c r="L126" s="2" t="inlineStr">
        <is>
          <t>ok</t>
        </is>
      </c>
      <c r="M126" s="2" t="inlineStr">
        <is>
          <t>demo reviewer</t>
        </is>
      </c>
      <c r="N126" s="2" t="n"/>
      <c r="O126" s="3" t="inlineStr">
        <is>
          <t>https://vanillabonds.com/dossier-data/pdf/katjes/katjes-2023-annual-report.pdf#page=33</t>
        </is>
      </c>
      <c r="P126" s="3" t="inlineStr">
        <is>
          <t>https://vanillabonds.com/dossier.html?c=katjes&amp;viewer=1&amp;item=F125</t>
        </is>
      </c>
      <c r="Q126" s="2" t="inlineStr"/>
    </row>
    <row r="127">
      <c r="A127" s="2" t="inlineStr">
        <is>
          <t>F126</t>
        </is>
      </c>
      <c r="B127" s="2" t="inlineStr">
        <is>
          <t>management</t>
        </is>
      </c>
      <c r="C127" s="2" t="inlineStr">
        <is>
          <t>acquisition</t>
        </is>
      </c>
      <c r="D127" s="3" t="inlineStr">
        <is>
          <t>Acquisition / disposal: target, year, price, funding, outcome vs case</t>
        </is>
      </c>
      <c r="E127" s="2" t="n"/>
      <c r="F127" s="2" t="n"/>
      <c r="G127" s="2" t="n"/>
      <c r="H127" s="3" t="inlineStr">
        <is>
          <t>target: oral care and part of hair care business of Henkel AG &amp; Co. KGaA (Theramed, Antica Erboristeria, Vademecum, Licor del Polo, Denivit) plus Viersen production site, via Bübchen Bodycare; year: 2022 (7 December 2022, site transferred 2 January 2024); price: cash outflow 14.0 in 2022, remaining Viersen purchase price 6.4 due 2 Jan 2024; outcome vs case: negative goodwill 10.3 recognised in 2022 income, business had 2022 sales EUR 49m and was profitable</t>
        </is>
      </c>
      <c r="I127" s="2" t="inlineStr">
        <is>
          <t>S1</t>
        </is>
      </c>
      <c r="J127" s="2" t="n">
        <v>59</v>
      </c>
      <c r="K127" s="3" t="inlineStr">
        <is>
          <t>sidiary Bübchen Bodycare, acquired the oral care and part of the hair care business (the ‘oral care division’) from Henkel AG &amp; Co. KGaA (‘Henkel’).</t>
        </is>
      </c>
      <c r="L127" s="2" t="inlineStr">
        <is>
          <t>ok</t>
        </is>
      </c>
      <c r="M127" s="2" t="inlineStr">
        <is>
          <t>demo reviewer</t>
        </is>
      </c>
      <c r="N127" s="2" t="n"/>
      <c r="O127" s="3" t="inlineStr">
        <is>
          <t>https://vanillabonds.com/dossier-data/pdf/katjes/katjes-2023-annual-report.pdf#page=59</t>
        </is>
      </c>
      <c r="P127" s="3" t="inlineStr">
        <is>
          <t>https://vanillabonds.com/dossier.html?c=katjes&amp;viewer=1&amp;item=F126</t>
        </is>
      </c>
      <c r="Q127" s="2" t="inlineStr"/>
    </row>
    <row r="128">
      <c r="A128" s="2" t="inlineStr">
        <is>
          <t>F127</t>
        </is>
      </c>
      <c r="B128" s="2" t="inlineStr">
        <is>
          <t>management</t>
        </is>
      </c>
      <c r="C128" s="2" t="inlineStr">
        <is>
          <t>acquisition</t>
        </is>
      </c>
      <c r="D128" s="3" t="inlineStr">
        <is>
          <t>Acquisition / disposal: target, year, price, funding, outcome vs case</t>
        </is>
      </c>
      <c r="E128" s="2" t="n"/>
      <c r="F128" s="2" t="n">
        <v>18.1</v>
      </c>
      <c r="G128" s="2" t="n"/>
      <c r="H128" s="3" t="inlineStr">
        <is>
          <t>target: oral care division purchase price allocation (final); year: 2022; identifiable net assets at fair value 18.1: PP&amp;E 25.9, intangibles 23.8, financial liabilities 20.4, pensions 3.1, deferred tax liabilities 8.1</t>
        </is>
      </c>
      <c r="I128" s="2" t="inlineStr">
        <is>
          <t>S1</t>
        </is>
      </c>
      <c r="J128" s="2" t="n">
        <v>59</v>
      </c>
      <c r="K128" s="3" t="inlineStr">
        <is>
          <t>Total identifiable net assets at fair value 18.1</t>
        </is>
      </c>
      <c r="L128" s="2" t="inlineStr">
        <is>
          <t>ok</t>
        </is>
      </c>
      <c r="M128" s="2" t="inlineStr">
        <is>
          <t>demo reviewer</t>
        </is>
      </c>
      <c r="N128" s="2" t="n"/>
      <c r="O128" s="3" t="inlineStr">
        <is>
          <t>https://vanillabonds.com/dossier-data/pdf/katjes/katjes-2023-annual-report.pdf#page=59</t>
        </is>
      </c>
      <c r="P128" s="3" t="inlineStr">
        <is>
          <t>https://vanillabonds.com/dossier.html?c=katjes&amp;viewer=1&amp;item=F127</t>
        </is>
      </c>
      <c r="Q128" s="2" t="inlineStr"/>
    </row>
    <row r="129">
      <c r="A129" s="2" t="inlineStr">
        <is>
          <t>F128</t>
        </is>
      </c>
      <c r="B129" s="2" t="inlineStr">
        <is>
          <t>management</t>
        </is>
      </c>
      <c r="C129" s="2" t="inlineStr">
        <is>
          <t>acquisition</t>
        </is>
      </c>
      <c r="D129" s="3" t="inlineStr">
        <is>
          <t>Acquisition / disposal: target, year, price, funding, outcome vs case</t>
        </is>
      </c>
      <c r="E129" s="2" t="n"/>
      <c r="F129" s="2" t="n">
        <v>14</v>
      </c>
      <c r="G129" s="2" t="n"/>
      <c r="H129" s="3" t="inlineStr">
        <is>
          <t>target: oral care division; year: 2022; price: cash outflow EUR 14.0m in 2022, remainder for the Viersen production facility due 2 January 2024</t>
        </is>
      </c>
      <c r="I129" s="2" t="inlineStr">
        <is>
          <t>S1</t>
        </is>
      </c>
      <c r="J129" s="2" t="n">
        <v>59</v>
      </c>
      <c r="K129" s="3" t="inlineStr">
        <is>
          <t>an outflow of cash amounting to EUR 14.0 million in the previous year.</t>
        </is>
      </c>
      <c r="L129" s="2" t="inlineStr">
        <is>
          <t>ok</t>
        </is>
      </c>
      <c r="M129" s="2" t="inlineStr">
        <is>
          <t>demo reviewer</t>
        </is>
      </c>
      <c r="N129" s="2" t="n"/>
      <c r="O129" s="3" t="inlineStr">
        <is>
          <t>https://vanillabonds.com/dossier-data/pdf/katjes/katjes-2023-annual-report.pdf#page=59</t>
        </is>
      </c>
      <c r="P129" s="3" t="inlineStr">
        <is>
          <t>https://vanillabonds.com/dossier.html?c=katjes&amp;viewer=1&amp;item=F128</t>
        </is>
      </c>
      <c r="Q129" s="2" t="inlineStr"/>
    </row>
    <row r="130">
      <c r="A130" s="2" t="inlineStr">
        <is>
          <t>F129</t>
        </is>
      </c>
      <c r="B130" s="2" t="inlineStr">
        <is>
          <t>management</t>
        </is>
      </c>
      <c r="C130" s="2" t="inlineStr">
        <is>
          <t>succession</t>
        </is>
      </c>
      <c r="D130" s="3" t="inlineStr">
        <is>
          <t>Succession: plan, last change of CEO / CFO, who decides</t>
        </is>
      </c>
      <c r="E130" s="2" t="n"/>
      <c r="F130" s="2" t="n"/>
      <c r="G130" s="2" t="n"/>
      <c r="H130" s="3" t="inlineStr">
        <is>
          <t>Last CFO change 2012 (Stephan Milde since 2012); managing shareholders in office since 1996 and 2004; no succession plan stated in the report.</t>
        </is>
      </c>
      <c r="I130" s="2" t="inlineStr">
        <is>
          <t>S1</t>
        </is>
      </c>
      <c r="J130" s="2" t="n">
        <v>6</v>
      </c>
      <c r="K130" s="2" t="inlineStr">
        <is>
          <t>since 2012 – CFO Katjes International</t>
        </is>
      </c>
      <c r="L130" s="2" t="inlineStr">
        <is>
          <t>ok</t>
        </is>
      </c>
      <c r="M130" s="2" t="inlineStr">
        <is>
          <t>demo reviewer</t>
        </is>
      </c>
      <c r="N130" s="2" t="n"/>
      <c r="O130" s="3" t="inlineStr">
        <is>
          <t>https://vanillabonds.com/dossier-data/pdf/katjes/katjes-2023-annual-report.pdf#page=6</t>
        </is>
      </c>
      <c r="P130" s="3" t="inlineStr">
        <is>
          <t>https://vanillabonds.com/dossier.html?c=katjes&amp;viewer=1&amp;item=F129</t>
        </is>
      </c>
      <c r="Q130" s="2" t="inlineStr"/>
    </row>
    <row r="131">
      <c r="A131" s="2" t="inlineStr">
        <is>
          <t>F130</t>
        </is>
      </c>
      <c r="B131" s="2" t="inlineStr">
        <is>
          <t>management</t>
        </is>
      </c>
      <c r="C131" s="2" t="inlineStr">
        <is>
          <t>governance</t>
        </is>
      </c>
      <c r="D131" s="3" t="inlineStr">
        <is>
          <t>Board, independent members, group structure, related-party flows, dividends</t>
        </is>
      </c>
      <c r="E131" s="2" t="n"/>
      <c r="F131" s="2" t="n"/>
      <c r="G131" s="2" t="n"/>
      <c r="H131" s="3" t="inlineStr">
        <is>
          <t>Non-controlling interests EUR 3.0m (2022: 2.9) relate mainly to Candy Kittens, its subsidiary Longaim and Tuckshop.</t>
        </is>
      </c>
      <c r="I131" s="2" t="inlineStr">
        <is>
          <t>S1</t>
        </is>
      </c>
      <c r="J131" s="2" t="n">
        <v>34</v>
      </c>
      <c r="K131" s="3" t="inlineStr">
        <is>
          <t>3.0 million (31 December 2022: EUR 2.9 million) and mainly relate to the minority interests in Candy Kittens.</t>
        </is>
      </c>
      <c r="L131" s="2" t="inlineStr">
        <is>
          <t>ok</t>
        </is>
      </c>
      <c r="M131" s="2" t="inlineStr">
        <is>
          <t>demo reviewer</t>
        </is>
      </c>
      <c r="N131" s="2" t="n"/>
      <c r="O131" s="3" t="inlineStr">
        <is>
          <t>https://vanillabonds.com/dossier-data/pdf/katjes/katjes-2023-annual-report.pdf#page=34</t>
        </is>
      </c>
      <c r="P131" s="3" t="inlineStr">
        <is>
          <t>https://vanillabonds.com/dossier.html?c=katjes&amp;viewer=1&amp;item=F130</t>
        </is>
      </c>
      <c r="Q131" s="2" t="inlineStr"/>
    </row>
    <row r="132">
      <c r="A132" s="2" t="inlineStr">
        <is>
          <t>F131</t>
        </is>
      </c>
      <c r="B132" s="2" t="inlineStr">
        <is>
          <t>management</t>
        </is>
      </c>
      <c r="C132" s="2" t="inlineStr">
        <is>
          <t>governance</t>
        </is>
      </c>
      <c r="D132" s="3" t="inlineStr">
        <is>
          <t>Board, independent members, group structure, related-party flows, dividends</t>
        </is>
      </c>
      <c r="E132" s="2" t="n"/>
      <c r="F132" s="2" t="n"/>
      <c r="G132" s="2" t="n"/>
      <c r="H132" s="3" t="inlineStr">
        <is>
          <t>A voluntary external advisory board of several specialists (management consulting/auditing, industry and marketing) observes and advises management under the Articles of Association and meets management several times a year; members not named.</t>
        </is>
      </c>
      <c r="I132" s="2" t="inlineStr">
        <is>
          <t>S1</t>
        </is>
      </c>
      <c r="J132" s="2" t="n">
        <v>40</v>
      </c>
      <c r="K132" s="3" t="inlineStr">
        <is>
          <t>Katjes International also has a voluntary external advisory board in place.</t>
        </is>
      </c>
      <c r="L132" s="2" t="inlineStr">
        <is>
          <t>ok</t>
        </is>
      </c>
      <c r="M132" s="2" t="inlineStr">
        <is>
          <t>demo reviewer</t>
        </is>
      </c>
      <c r="N132" s="2" t="n"/>
      <c r="O132" s="3" t="inlineStr">
        <is>
          <t>https://vanillabonds.com/dossier-data/pdf/katjes/katjes-2023-annual-report.pdf#page=40</t>
        </is>
      </c>
      <c r="P132" s="3" t="inlineStr">
        <is>
          <t>https://vanillabonds.com/dossier.html?c=katjes&amp;viewer=1&amp;item=F131</t>
        </is>
      </c>
      <c r="Q132" s="2" t="inlineStr"/>
    </row>
    <row r="133">
      <c r="A133" s="2" t="inlineStr">
        <is>
          <t>F132</t>
        </is>
      </c>
      <c r="B133" s="2" t="inlineStr">
        <is>
          <t>management</t>
        </is>
      </c>
      <c r="C133" s="2" t="inlineStr">
        <is>
          <t>governance</t>
        </is>
      </c>
      <c r="D133" s="3" t="inlineStr">
        <is>
          <t>Board, independent members, group structure, related-party flows, dividends</t>
        </is>
      </c>
      <c r="E133" s="2" t="n"/>
      <c r="F133" s="2" t="n"/>
      <c r="G133" s="2" t="n"/>
      <c r="H133" s="3" t="inlineStr">
        <is>
          <t>Statement of changes in equity 2023 shows no distribution to partners; result 10.1 allocated, prior-year result moved to profit carried forward, 'Other' +0.3.</t>
        </is>
      </c>
      <c r="I133" s="2" t="inlineStr">
        <is>
          <t>S1</t>
        </is>
      </c>
      <c r="J133" s="2" t="n">
        <v>47</v>
      </c>
      <c r="K133" s="3" t="inlineStr">
        <is>
          <t>As at 31 Dec 2023 0.6 2.0 2.0 153.5 10.1 1.2 3.6 4,8 173.0 3.0 176.0</t>
        </is>
      </c>
      <c r="L133" s="2" t="inlineStr">
        <is>
          <t>ok</t>
        </is>
      </c>
      <c r="M133" s="2" t="inlineStr">
        <is>
          <t>demo reviewer</t>
        </is>
      </c>
      <c r="N133" s="2" t="n"/>
      <c r="O133" s="3" t="inlineStr">
        <is>
          <t>https://vanillabonds.com/dossier-data/pdf/katjes/katjes-2023-annual-report.pdf#page=47</t>
        </is>
      </c>
      <c r="P133" s="3" t="inlineStr">
        <is>
          <t>https://vanillabonds.com/dossier.html?c=katjes&amp;viewer=1&amp;item=F132</t>
        </is>
      </c>
      <c r="Q133" s="2" t="inlineStr"/>
    </row>
    <row r="134">
      <c r="A134" s="2" t="inlineStr">
        <is>
          <t>F133</t>
        </is>
      </c>
      <c r="B134" s="2" t="inlineStr">
        <is>
          <t>management</t>
        </is>
      </c>
      <c r="C134" s="2" t="inlineStr">
        <is>
          <t>governance</t>
        </is>
      </c>
      <c r="D134" s="3" t="inlineStr">
        <is>
          <t>Board, independent members, group structure, related-party flows, dividends</t>
        </is>
      </c>
      <c r="E134" s="2" t="n"/>
      <c r="F134" s="2" t="n"/>
      <c r="G134" s="2" t="n"/>
      <c r="H134" s="3" t="inlineStr">
        <is>
          <t>General partner is Xaver Fassin International GmbH (shareholders Bastian Fassin and Tobias Bachmüller); Stephan Milde also appointed managing director; the general partner holds no capital interest.</t>
        </is>
      </c>
      <c r="I134" s="2" t="inlineStr">
        <is>
          <t>S1</t>
        </is>
      </c>
      <c r="J134" s="2" t="n">
        <v>50</v>
      </c>
      <c r="K134" s="3" t="inlineStr">
        <is>
          <t>The personally liable partner (general partner) of the Company is Xaver Fassin International GmbH with its shareholders Bastian Fassin and Tobias Bachmüller.</t>
        </is>
      </c>
      <c r="L134" s="2" t="inlineStr">
        <is>
          <t>ok</t>
        </is>
      </c>
      <c r="M134" s="2" t="inlineStr">
        <is>
          <t>demo reviewer</t>
        </is>
      </c>
      <c r="N134" s="2" t="n"/>
      <c r="O134" s="3" t="inlineStr">
        <is>
          <t>https://vanillabonds.com/dossier-data/pdf/katjes/katjes-2023-annual-report.pdf#page=50</t>
        </is>
      </c>
      <c r="P134" s="3" t="inlineStr">
        <is>
          <t>https://vanillabonds.com/dossier.html?c=katjes&amp;viewer=1&amp;item=F133</t>
        </is>
      </c>
      <c r="Q134" s="2" t="inlineStr"/>
    </row>
    <row r="135">
      <c r="A135" s="2" t="inlineStr">
        <is>
          <t>F134</t>
        </is>
      </c>
      <c r="B135" s="2" t="inlineStr">
        <is>
          <t>management</t>
        </is>
      </c>
      <c r="C135" s="2" t="inlineStr">
        <is>
          <t>governance</t>
        </is>
      </c>
      <c r="D135" s="3" t="inlineStr">
        <is>
          <t>Board, independent members, group structure, related-party flows, dividends</t>
        </is>
      </c>
      <c r="E135" s="2" t="n"/>
      <c r="F135" s="2" t="n"/>
      <c r="G135" s="2" t="n"/>
      <c r="H135" s="3" t="inlineStr">
        <is>
          <t>Auditor fees 2023: audit services 0.5 (2022: 0.4), tax consultancy 0.1 (0.1), other 0.0 (0.1), total 0.6; EUR 0.2m of audit services for foreign subsidiaries.</t>
        </is>
      </c>
      <c r="I135" s="2" t="inlineStr">
        <is>
          <t>S1</t>
        </is>
      </c>
      <c r="J135" s="2" t="n">
        <v>79</v>
      </c>
      <c r="K135" s="2" t="inlineStr">
        <is>
          <t>Fees for audit services 0.5 0.4</t>
        </is>
      </c>
      <c r="L135" s="2" t="inlineStr">
        <is>
          <t>ok</t>
        </is>
      </c>
      <c r="M135" s="2" t="inlineStr">
        <is>
          <t>demo reviewer</t>
        </is>
      </c>
      <c r="N135" s="2" t="n"/>
      <c r="O135" s="3" t="inlineStr">
        <is>
          <t>https://vanillabonds.com/dossier-data/pdf/katjes/katjes-2023-annual-report.pdf#page=79</t>
        </is>
      </c>
      <c r="P135" s="3" t="inlineStr">
        <is>
          <t>https://vanillabonds.com/dossier.html?c=katjes&amp;viewer=1&amp;item=F134</t>
        </is>
      </c>
      <c r="Q135" s="2" t="inlineStr"/>
    </row>
    <row r="136">
      <c r="A136" s="2" t="inlineStr">
        <is>
          <t>F135</t>
        </is>
      </c>
      <c r="B136" s="2" t="inlineStr">
        <is>
          <t>management</t>
        </is>
      </c>
      <c r="C136" s="2" t="inlineStr">
        <is>
          <t>governance</t>
        </is>
      </c>
      <c r="D136" s="3" t="inlineStr">
        <is>
          <t>Board, independent members, group structure, related-party flows, dividends</t>
        </is>
      </c>
      <c r="E136" s="2" t="n"/>
      <c r="F136" s="2" t="n"/>
      <c r="G136" s="2" t="n"/>
      <c r="H136" s="3" t="inlineStr">
        <is>
          <t>The general partner is the chief operating decision maker, allocating resources and evaluating performance at group level on one FMCG segment with EBITDA as the main indicator.</t>
        </is>
      </c>
      <c r="I136" s="2" t="inlineStr">
        <is>
          <t>S1</t>
        </is>
      </c>
      <c r="J136" s="2" t="n">
        <v>81</v>
      </c>
      <c r="K136" s="3" t="inlineStr">
        <is>
          <t>The general partner of Katjes International GmbH &amp; Co. KG is the chief operating decision maker throughout the group</t>
        </is>
      </c>
      <c r="L136" s="2" t="inlineStr">
        <is>
          <t>ok</t>
        </is>
      </c>
      <c r="M136" s="2" t="inlineStr">
        <is>
          <t>demo reviewer</t>
        </is>
      </c>
      <c r="N136" s="2" t="n"/>
      <c r="O136" s="3" t="inlineStr">
        <is>
          <t>https://vanillabonds.com/dossier-data/pdf/katjes/katjes-2023-annual-report.pdf#page=81</t>
        </is>
      </c>
      <c r="P136" s="3" t="inlineStr">
        <is>
          <t>https://vanillabonds.com/dossier.html?c=katjes&amp;viewer=1&amp;item=F135</t>
        </is>
      </c>
      <c r="Q136" s="2" t="inlineStr"/>
    </row>
    <row r="137">
      <c r="A137" s="2" t="inlineStr">
        <is>
          <t>F136</t>
        </is>
      </c>
      <c r="B137" s="2" t="inlineStr">
        <is>
          <t>management</t>
        </is>
      </c>
      <c r="C137" s="2" t="inlineStr">
        <is>
          <t>governance</t>
        </is>
      </c>
      <c r="D137" s="3" t="inlineStr">
        <is>
          <t>Board, independent members, group structure, related-party flows, dividends</t>
        </is>
      </c>
      <c r="E137" s="2" t="n"/>
      <c r="F137" s="2" t="n"/>
      <c r="G137" s="2" t="n"/>
      <c r="H137" s="3" t="inlineStr">
        <is>
          <t>All related-party business relationships are conducted at arm's length and are not collateralised.</t>
        </is>
      </c>
      <c r="I137" s="2" t="inlineStr">
        <is>
          <t>S1</t>
        </is>
      </c>
      <c r="J137" s="2" t="n">
        <v>84</v>
      </c>
      <c r="K137" s="3" t="inlineStr">
        <is>
          <t>All business relationships are conducted at arm’s length and are not collateralised.</t>
        </is>
      </c>
      <c r="L137" s="2" t="inlineStr">
        <is>
          <t>ok</t>
        </is>
      </c>
      <c r="M137" s="2" t="inlineStr">
        <is>
          <t>demo reviewer</t>
        </is>
      </c>
      <c r="N137" s="2" t="n"/>
      <c r="O137" s="3" t="inlineStr">
        <is>
          <t>https://vanillabonds.com/dossier-data/pdf/katjes/katjes-2023-annual-report.pdf#page=84</t>
        </is>
      </c>
      <c r="P137" s="3" t="inlineStr">
        <is>
          <t>https://vanillabonds.com/dossier.html?c=katjes&amp;viewer=1&amp;item=F136</t>
        </is>
      </c>
      <c r="Q137" s="2" t="inlineStr"/>
    </row>
    <row r="138">
      <c r="A138" s="2" t="inlineStr">
        <is>
          <t>F137</t>
        </is>
      </c>
      <c r="B138" s="2" t="inlineStr">
        <is>
          <t>management</t>
        </is>
      </c>
      <c r="C138" s="2" t="inlineStr">
        <is>
          <t>governance</t>
        </is>
      </c>
      <c r="D138" s="3" t="inlineStr">
        <is>
          <t>Board, independent members, group structure, related-party flows, dividends</t>
        </is>
      </c>
      <c r="E138" s="2" t="n"/>
      <c r="F138" s="2" t="n"/>
      <c r="G138" s="2" t="n"/>
      <c r="H138" s="3" t="inlineStr">
        <is>
          <t>Piasten GmbH, Dallmann's Pharma Candy GmbH, Katjes 24 GmbH and Bübchen Skincare GmbH use the Sec. 264 (3) HGB exemption from preparation, audit and publication rules for their own accounts.</t>
        </is>
      </c>
      <c r="I138" s="2" t="inlineStr">
        <is>
          <t>S1</t>
        </is>
      </c>
      <c r="J138" s="2" t="n">
        <v>85</v>
      </c>
      <c r="K138" s="3" t="inlineStr">
        <is>
          <t>gal form of a corporation, make use of the exemption from certain regulations on the preparation, auditing and</t>
        </is>
      </c>
      <c r="L138" s="2" t="inlineStr">
        <is>
          <t>ok</t>
        </is>
      </c>
      <c r="M138" s="2" t="inlineStr">
        <is>
          <t>demo reviewer</t>
        </is>
      </c>
      <c r="N138" s="2" t="n"/>
      <c r="O138" s="3" t="inlineStr">
        <is>
          <t>https://vanillabonds.com/dossier-data/pdf/katjes/katjes-2023-annual-report.pdf#page=85</t>
        </is>
      </c>
      <c r="P138" s="3" t="inlineStr">
        <is>
          <t>https://vanillabonds.com/dossier.html?c=katjes&amp;viewer=1&amp;item=F137</t>
        </is>
      </c>
      <c r="Q138" s="2" t="inlineStr"/>
    </row>
    <row r="139">
      <c r="A139" s="2" t="inlineStr">
        <is>
          <t>F138</t>
        </is>
      </c>
      <c r="B139" s="2" t="inlineStr">
        <is>
          <t>management</t>
        </is>
      </c>
      <c r="C139" s="2" t="inlineStr">
        <is>
          <t>reporting_practice</t>
        </is>
      </c>
      <c r="D139" s="3" t="inlineStr">
        <is>
          <t>Monitoring: KPI reporting, frequency, budget process, controlling</t>
        </is>
      </c>
      <c r="E139" s="2" t="n"/>
      <c r="F139" s="2" t="n"/>
      <c r="G139" s="2" t="n"/>
      <c r="H139" s="3" t="inlineStr">
        <is>
          <t>Internal control and reporting run through one segment (fast-moving consumer goods); regular management meetings and internal reporting identify risks; the advisory board meets management several times a year.</t>
        </is>
      </c>
      <c r="I139" s="2" t="inlineStr">
        <is>
          <t>S1</t>
        </is>
      </c>
      <c r="J139" s="2" t="n">
        <v>27</v>
      </c>
      <c r="K139" s="3" t="inlineStr">
        <is>
          <t>Internal control and reporting within Katjes International is carried out through the fast-moving consumer goods</t>
        </is>
      </c>
      <c r="L139" s="2" t="inlineStr">
        <is>
          <t>ok</t>
        </is>
      </c>
      <c r="M139" s="2" t="inlineStr">
        <is>
          <t>demo reviewer</t>
        </is>
      </c>
      <c r="N139" s="2" t="n"/>
      <c r="O139" s="3" t="inlineStr">
        <is>
          <t>https://vanillabonds.com/dossier-data/pdf/katjes/katjes-2023-annual-report.pdf#page=27</t>
        </is>
      </c>
      <c r="P139" s="3" t="inlineStr">
        <is>
          <t>https://vanillabonds.com/dossier.html?c=katjes&amp;viewer=1&amp;item=F138</t>
        </is>
      </c>
      <c r="Q139" s="2" t="inlineStr"/>
    </row>
    <row r="140">
      <c r="A140" s="2" t="inlineStr">
        <is>
          <t>F139</t>
        </is>
      </c>
      <c r="B140" s="2" t="inlineStr">
        <is>
          <t>management</t>
        </is>
      </c>
      <c r="C140" s="2" t="inlineStr">
        <is>
          <t>reporting_practice</t>
        </is>
      </c>
      <c r="D140" s="3" t="inlineStr">
        <is>
          <t>Monitoring: KPI reporting, frequency, budget process, controlling</t>
        </is>
      </c>
      <c r="E140" s="2" t="n"/>
      <c r="F140" s="2" t="n"/>
      <c r="G140" s="2" t="n"/>
      <c r="H140" s="3" t="inlineStr">
        <is>
          <t>KPIs are financial: revenue as growth indicator and EBITDA as profitability indicator; strategic planning combined with value-oriented business development.</t>
        </is>
      </c>
      <c r="I140" s="2" t="inlineStr">
        <is>
          <t>S1</t>
        </is>
      </c>
      <c r="J140" s="2" t="n">
        <v>28</v>
      </c>
      <c r="K140" s="3" t="inlineStr">
        <is>
          <t>cators (KPIs) are financial in nature and include revenue as an indicator of business growth and EBITDA</t>
        </is>
      </c>
      <c r="L140" s="2" t="inlineStr">
        <is>
          <t>ok</t>
        </is>
      </c>
      <c r="M140" s="2" t="inlineStr">
        <is>
          <t>demo reviewer</t>
        </is>
      </c>
      <c r="N140" s="2" t="n"/>
      <c r="O140" s="3" t="inlineStr">
        <is>
          <t>https://vanillabonds.com/dossier-data/pdf/katjes/katjes-2023-annual-report.pdf#page=28</t>
        </is>
      </c>
      <c r="P140" s="3" t="inlineStr">
        <is>
          <t>https://vanillabonds.com/dossier.html?c=katjes&amp;viewer=1&amp;item=F139</t>
        </is>
      </c>
      <c r="Q140" s="2" t="inlineStr"/>
    </row>
    <row r="141">
      <c r="A141" s="2" t="inlineStr">
        <is>
          <t>F140</t>
        </is>
      </c>
      <c r="B141" s="2" t="inlineStr">
        <is>
          <t>management</t>
        </is>
      </c>
      <c r="C141" s="2" t="inlineStr">
        <is>
          <t>reporting_practice</t>
        </is>
      </c>
      <c r="D141" s="3" t="inlineStr">
        <is>
          <t>Monitoring: KPI reporting, frequency, budget process, controlling</t>
        </is>
      </c>
      <c r="E141" s="2" t="n"/>
      <c r="F141" s="2" t="n"/>
      <c r="G141" s="2" t="n"/>
      <c r="H141" s="3" t="inlineStr">
        <is>
          <t>Non-financial performance indicators: employee satisfaction, certifications, brand awareness and sustainable orientation.</t>
        </is>
      </c>
      <c r="I141" s="2" t="inlineStr">
        <is>
          <t>S1</t>
        </is>
      </c>
      <c r="J141" s="2" t="n">
        <v>35</v>
      </c>
      <c r="K141" s="3" t="inlineStr">
        <is>
          <t>ons, brand awareness and the sustainable orientation of the company and its holdings.</t>
        </is>
      </c>
      <c r="L141" s="2" t="inlineStr">
        <is>
          <t>ok</t>
        </is>
      </c>
      <c r="M141" s="2" t="inlineStr">
        <is>
          <t>demo reviewer</t>
        </is>
      </c>
      <c r="N141" s="2" t="n"/>
      <c r="O141" s="3" t="inlineStr">
        <is>
          <t>https://vanillabonds.com/dossier-data/pdf/katjes/katjes-2023-annual-report.pdf#page=35</t>
        </is>
      </c>
      <c r="P141" s="3" t="inlineStr">
        <is>
          <t>https://vanillabonds.com/dossier.html?c=katjes&amp;viewer=1&amp;item=F140</t>
        </is>
      </c>
      <c r="Q141" s="2" t="inlineStr"/>
    </row>
    <row r="142">
      <c r="A142" s="2" t="inlineStr">
        <is>
          <t>F141</t>
        </is>
      </c>
      <c r="B142" s="2" t="inlineStr">
        <is>
          <t>management</t>
        </is>
      </c>
      <c r="C142" s="2" t="inlineStr">
        <is>
          <t>reporting_practice</t>
        </is>
      </c>
      <c r="D142" s="3" t="inlineStr">
        <is>
          <t>Monitoring: KPI reporting, frequency, budget process, controlling</t>
        </is>
      </c>
      <c r="E142" s="2" t="n"/>
      <c r="F142" s="2" t="n"/>
      <c r="G142" s="2" t="n"/>
      <c r="H142" s="3" t="inlineStr">
        <is>
          <t>Internal reporting to identify risks from business operations plus regular management meetings form the risk management and control system.</t>
        </is>
      </c>
      <c r="I142" s="2" t="inlineStr">
        <is>
          <t>S1</t>
        </is>
      </c>
      <c r="J142" s="2" t="n">
        <v>40</v>
      </c>
      <c r="K142" s="3" t="inlineStr">
        <is>
          <t>This includes adequate internal reporting to identify risks from business operations, as well as</t>
        </is>
      </c>
      <c r="L142" s="2" t="inlineStr">
        <is>
          <t>ok</t>
        </is>
      </c>
      <c r="M142" s="2" t="inlineStr">
        <is>
          <t>demo reviewer</t>
        </is>
      </c>
      <c r="N142" s="2" t="n"/>
      <c r="O142" s="3" t="inlineStr">
        <is>
          <t>https://vanillabonds.com/dossier-data/pdf/katjes/katjes-2023-annual-report.pdf#page=40</t>
        </is>
      </c>
      <c r="P142" s="3" t="inlineStr">
        <is>
          <t>https://vanillabonds.com/dossier.html?c=katjes&amp;viewer=1&amp;item=F141</t>
        </is>
      </c>
      <c r="Q142" s="2" t="inlineStr"/>
    </row>
    <row r="143">
      <c r="A143" s="2" t="inlineStr">
        <is>
          <t>F142</t>
        </is>
      </c>
      <c r="B143" s="2" t="inlineStr">
        <is>
          <t>management</t>
        </is>
      </c>
      <c r="C143" s="2" t="inlineStr">
        <is>
          <t>reporting_practice</t>
        </is>
      </c>
      <c r="D143" s="3" t="inlineStr">
        <is>
          <t>Monitoring: KPI reporting, frequency, budget process, controlling</t>
        </is>
      </c>
      <c r="E143" s="2" t="n"/>
      <c r="F143" s="2" t="n"/>
      <c r="G143" s="2" t="n"/>
      <c r="H143" s="3" t="inlineStr">
        <is>
          <t>Cash planning is monitored and updated on a regular basis.</t>
        </is>
      </c>
      <c r="I143" s="2" t="inlineStr">
        <is>
          <t>S1</t>
        </is>
      </c>
      <c r="J143" s="2" t="n">
        <v>62</v>
      </c>
      <c r="K143" s="3" t="inlineStr">
        <is>
          <t>The Group monitors and updates its cash planning on a regular basis.</t>
        </is>
      </c>
      <c r="L143" s="2" t="inlineStr">
        <is>
          <t>ok</t>
        </is>
      </c>
      <c r="M143" s="2" t="inlineStr">
        <is>
          <t>demo reviewer</t>
        </is>
      </c>
      <c r="N143" s="2" t="n"/>
      <c r="O143" s="3" t="inlineStr">
        <is>
          <t>https://vanillabonds.com/dossier-data/pdf/katjes/katjes-2023-annual-report.pdf#page=62</t>
        </is>
      </c>
      <c r="P143" s="3" t="inlineStr">
        <is>
          <t>https://vanillabonds.com/dossier.html?c=katjes&amp;viewer=1&amp;item=F142</t>
        </is>
      </c>
      <c r="Q143" s="2" t="inlineStr"/>
    </row>
    <row r="144">
      <c r="A144" s="2" t="inlineStr">
        <is>
          <t>F143</t>
        </is>
      </c>
      <c r="B144" s="2" t="inlineStr">
        <is>
          <t>market</t>
        </is>
      </c>
      <c r="C144" s="2" t="inlineStr">
        <is>
          <t>market_fact</t>
        </is>
      </c>
      <c r="D144" s="3" t="inlineStr">
        <is>
          <t>Market: size, growth, share, competitor capacity, regulation (source named)</t>
        </is>
      </c>
      <c r="E144" s="2" t="n"/>
      <c r="F144" s="2" t="n"/>
      <c r="G144" s="2" t="n"/>
      <c r="H144" s="3" t="inlineStr">
        <is>
          <t>company statement: Sperlari is the second largest provider in the Italian sugar confectionery market and market leader in sugar-free candies, seasonal products and sweeteners.</t>
        </is>
      </c>
      <c r="I144" s="2" t="inlineStr">
        <is>
          <t>S1</t>
        </is>
      </c>
      <c r="J144" s="2" t="n">
        <v>27</v>
      </c>
      <c r="K144" s="3" t="inlineStr">
        <is>
          <t>lian sugar confectionery market, and the market leader in the segment for sugar-free candies, seasonal pro‐</t>
        </is>
      </c>
      <c r="L144" s="2" t="inlineStr">
        <is>
          <t>ok</t>
        </is>
      </c>
      <c r="M144" s="2" t="inlineStr">
        <is>
          <t>demo reviewer</t>
        </is>
      </c>
      <c r="N144" s="2" t="n"/>
      <c r="O144" s="3" t="inlineStr">
        <is>
          <t>https://vanillabonds.com/dossier-data/pdf/katjes/katjes-2023-annual-report.pdf#page=27</t>
        </is>
      </c>
      <c r="P144" s="3" t="inlineStr">
        <is>
          <t>https://vanillabonds.com/dossier.html?c=katjes&amp;viewer=1&amp;item=F143</t>
        </is>
      </c>
      <c r="Q144" s="2" t="inlineStr"/>
    </row>
    <row r="145">
      <c r="A145" s="2" t="inlineStr">
        <is>
          <t>F144</t>
        </is>
      </c>
      <c r="B145" s="2" t="inlineStr">
        <is>
          <t>market</t>
        </is>
      </c>
      <c r="C145" s="2" t="inlineStr">
        <is>
          <t>market_fact</t>
        </is>
      </c>
      <c r="D145" s="3" t="inlineStr">
        <is>
          <t>Market: size, growth, share, competitor capacity, regulation (source named)</t>
        </is>
      </c>
      <c r="E145" s="2" t="n"/>
      <c r="F145" s="2" t="n"/>
      <c r="G145" s="2" t="n"/>
      <c r="H145" s="3" t="inlineStr">
        <is>
          <t>company statement: Bübchen is the market leader in the baby and kids body care segment in Germany (since May 2020 in the group).</t>
        </is>
      </c>
      <c r="I145" s="2" t="inlineStr">
        <is>
          <t>S1</t>
        </is>
      </c>
      <c r="J145" s="2" t="n">
        <v>27</v>
      </c>
      <c r="K145" s="3" t="inlineStr">
        <is>
          <t>Since May 2020 Bübchen, the market leader in the baby &amp; kids body care segment in Germany, is part of the Kat‐</t>
        </is>
      </c>
      <c r="L145" s="2" t="inlineStr">
        <is>
          <t>ok</t>
        </is>
      </c>
      <c r="M145" s="2" t="inlineStr">
        <is>
          <t>demo reviewer</t>
        </is>
      </c>
      <c r="N145" s="2" t="n"/>
      <c r="O145" s="3" t="inlineStr">
        <is>
          <t>https://vanillabonds.com/dossier-data/pdf/katjes/katjes-2023-annual-report.pdf#page=27</t>
        </is>
      </c>
      <c r="P145" s="3" t="inlineStr">
        <is>
          <t>https://vanillabonds.com/dossier.html?c=katjes&amp;viewer=1&amp;item=F144</t>
        </is>
      </c>
      <c r="Q145" s="2" t="inlineStr"/>
    </row>
    <row r="146">
      <c r="A146" s="2" t="inlineStr">
        <is>
          <t>F145</t>
        </is>
      </c>
      <c r="B146" s="2" t="inlineStr">
        <is>
          <t>market</t>
        </is>
      </c>
      <c r="C146" s="2" t="inlineStr">
        <is>
          <t>market_fact</t>
        </is>
      </c>
      <c r="D146" s="3" t="inlineStr">
        <is>
          <t>Market: size, growth, share, competitor capacity, regulation (source named)</t>
        </is>
      </c>
      <c r="E146" s="2" t="n"/>
      <c r="F146" s="2" t="n"/>
      <c r="G146" s="2" t="n"/>
      <c r="H146" s="3" t="inlineStr">
        <is>
          <t>company statement: Harlekijntjes makes the best-selling liquorice product in the Netherlands by volume.</t>
        </is>
      </c>
      <c r="I146" s="2" t="inlineStr">
        <is>
          <t>S1</t>
        </is>
      </c>
      <c r="J146" s="2" t="n">
        <v>27</v>
      </c>
      <c r="K146" s="3" t="inlineStr">
        <is>
          <t>Dutch company Harlekijntjes, which makes the country’s best-selling liquorice product (based on volume).</t>
        </is>
      </c>
      <c r="L146" s="2" t="inlineStr">
        <is>
          <t>ok</t>
        </is>
      </c>
      <c r="M146" s="2" t="inlineStr">
        <is>
          <t>demo reviewer</t>
        </is>
      </c>
      <c r="N146" s="2" t="n"/>
      <c r="O146" s="3" t="inlineStr">
        <is>
          <t>https://vanillabonds.com/dossier-data/pdf/katjes/katjes-2023-annual-report.pdf#page=27</t>
        </is>
      </c>
      <c r="P146" s="3" t="inlineStr">
        <is>
          <t>https://vanillabonds.com/dossier.html?c=katjes&amp;viewer=1&amp;item=F145</t>
        </is>
      </c>
      <c r="Q146" s="2" t="inlineStr"/>
    </row>
    <row r="147">
      <c r="A147" s="2" t="inlineStr">
        <is>
          <t>F146</t>
        </is>
      </c>
      <c r="B147" s="2" t="inlineStr">
        <is>
          <t>market</t>
        </is>
      </c>
      <c r="C147" s="2" t="inlineStr">
        <is>
          <t>market_fact</t>
        </is>
      </c>
      <c r="D147" s="3" t="inlineStr">
        <is>
          <t>Market: size, growth, share, competitor capacity, regulation (source named)</t>
        </is>
      </c>
      <c r="E147" s="2" t="n"/>
      <c r="F147" s="2" t="n"/>
      <c r="G147" s="2" t="n"/>
      <c r="H147" s="3" t="inlineStr">
        <is>
          <t>company statement: Dallmann's sage cough drops lead German pharmacies by number of packets sold; Piasten is one of the largest German producers of chocolate dragees.</t>
        </is>
      </c>
      <c r="I147" s="2" t="inlineStr">
        <is>
          <t>S1</t>
        </is>
      </c>
      <c r="J147" s="2" t="n">
        <v>27</v>
      </c>
      <c r="K147" s="3" t="inlineStr">
        <is>
          <t>International since 2012) is the leader in German phar‐ macies in terms of number of packets sold.</t>
        </is>
      </c>
      <c r="L147" s="2" t="inlineStr">
        <is>
          <t>ok</t>
        </is>
      </c>
      <c r="M147" s="2" t="inlineStr">
        <is>
          <t>demo reviewer</t>
        </is>
      </c>
      <c r="N147" s="2" t="n"/>
      <c r="O147" s="3" t="inlineStr">
        <is>
          <t>https://vanillabonds.com/dossier-data/pdf/katjes/katjes-2023-annual-report.pdf#page=27</t>
        </is>
      </c>
      <c r="P147" s="3" t="inlineStr">
        <is>
          <t>https://vanillabonds.com/dossier.html?c=katjes&amp;viewer=1&amp;item=F146</t>
        </is>
      </c>
      <c r="Q147" s="2" t="inlineStr"/>
    </row>
    <row r="148">
      <c r="A148" s="2" t="inlineStr">
        <is>
          <t>F147</t>
        </is>
      </c>
      <c r="B148" s="2" t="inlineStr">
        <is>
          <t>market</t>
        </is>
      </c>
      <c r="C148" s="2" t="inlineStr">
        <is>
          <t>market_fact</t>
        </is>
      </c>
      <c r="D148" s="3" t="inlineStr">
        <is>
          <t>Market: size, growth, share, competitor capacity, regulation (source named)</t>
        </is>
      </c>
      <c r="E148" s="2" t="n"/>
      <c r="F148" s="2" t="n"/>
      <c r="G148" s="2" t="n"/>
      <c r="H148" s="3" t="inlineStr">
        <is>
          <t>company statement: Vademecum is the leading organic toothpaste in France; Licor del Polo is the No. 1 toothpaste brand for children in Spain; Antica Erboristeria has over 85% brand awareness in Italy.</t>
        </is>
      </c>
      <c r="I148" s="2" t="inlineStr">
        <is>
          <t>S1</t>
        </is>
      </c>
      <c r="J148" s="2" t="n">
        <v>27</v>
      </c>
      <c r="K148" s="3" t="inlineStr">
        <is>
          <t>For instance, Vademecum is the leading organic toothpaste in France. Licor del Polo has</t>
        </is>
      </c>
      <c r="L148" s="2" t="inlineStr">
        <is>
          <t>ok</t>
        </is>
      </c>
      <c r="M148" s="2" t="inlineStr">
        <is>
          <t>demo reviewer</t>
        </is>
      </c>
      <c r="N148" s="2" t="n"/>
      <c r="O148" s="3" t="inlineStr">
        <is>
          <t>https://vanillabonds.com/dossier-data/pdf/katjes/katjes-2023-annual-report.pdf#page=27</t>
        </is>
      </c>
      <c r="P148" s="3" t="inlineStr">
        <is>
          <t>https://vanillabonds.com/dossier.html?c=katjes&amp;viewer=1&amp;item=F147</t>
        </is>
      </c>
      <c r="Q148" s="2" t="inlineStr"/>
    </row>
    <row r="149">
      <c r="A149" s="2" t="inlineStr">
        <is>
          <t>F148</t>
        </is>
      </c>
      <c r="B149" s="2" t="inlineStr">
        <is>
          <t>market</t>
        </is>
      </c>
      <c r="C149" s="2" t="inlineStr">
        <is>
          <t>market_fact</t>
        </is>
      </c>
      <c r="D149" s="3" t="inlineStr">
        <is>
          <t>Market: size, growth, share, competitor capacity, regulation (source named)</t>
        </is>
      </c>
      <c r="E149" s="2" t="n"/>
      <c r="F149" s="2" t="n"/>
      <c r="G149" s="2" t="n"/>
      <c r="H149" s="3" t="inlineStr">
        <is>
          <t>cites statista, November 2023: the European sugar confectionery market is predicted to reach just under EUR 298bn by 2028; German sugar confectionery market grew just under 4% in 2023.</t>
        </is>
      </c>
      <c r="I149" s="2" t="inlineStr">
        <is>
          <t>S1</t>
        </is>
      </c>
      <c r="J149" s="2" t="n">
        <v>29</v>
      </c>
      <c r="K149" s="3" t="inlineStr">
        <is>
          <t>dicting that the European sugar confectionery market will continue to grow and will reach a volume of just under EUR 298 billion by 2028.</t>
        </is>
      </c>
      <c r="L149" s="2" t="inlineStr">
        <is>
          <t>ok</t>
        </is>
      </c>
      <c r="M149" s="2" t="inlineStr">
        <is>
          <t>demo reviewer</t>
        </is>
      </c>
      <c r="N149" s="2" t="n"/>
      <c r="O149" s="3" t="inlineStr">
        <is>
          <t>https://vanillabonds.com/dossier-data/pdf/katjes/katjes-2023-annual-report.pdf#page=29</t>
        </is>
      </c>
      <c r="P149" s="3" t="inlineStr">
        <is>
          <t>https://vanillabonds.com/dossier.html?c=katjes&amp;viewer=1&amp;item=F148</t>
        </is>
      </c>
      <c r="Q149" s="2" t="inlineStr"/>
    </row>
    <row r="150">
      <c r="A150" s="2" t="inlineStr">
        <is>
          <t>F149</t>
        </is>
      </c>
      <c r="B150" s="2" t="inlineStr">
        <is>
          <t>market</t>
        </is>
      </c>
      <c r="C150" s="2" t="inlineStr">
        <is>
          <t>market_fact</t>
        </is>
      </c>
      <c r="D150" s="3" t="inlineStr">
        <is>
          <t>Market: size, growth, share, competitor capacity, regulation (source named)</t>
        </is>
      </c>
      <c r="E150" s="2" t="n"/>
      <c r="F150" s="2" t="n"/>
      <c r="G150" s="2" t="n"/>
      <c r="H150" s="3" t="inlineStr">
        <is>
          <t>company statement: FMCG sales markets (sugar confectionery, body care) show low sensitivity to business cycles; sugar confectionery business is subject to seasonal fluctuations.</t>
        </is>
      </c>
      <c r="I150" s="2" t="inlineStr">
        <is>
          <t>S1</t>
        </is>
      </c>
      <c r="J150" s="2" t="n">
        <v>29</v>
      </c>
      <c r="K150" s="3" t="inlineStr">
        <is>
          <t>The sales markets for FMCG were characterised by low sensitivity to business cycles and high economic resili‐</t>
        </is>
      </c>
      <c r="L150" s="2" t="inlineStr">
        <is>
          <t>ok</t>
        </is>
      </c>
      <c r="M150" s="2" t="inlineStr">
        <is>
          <t>demo reviewer</t>
        </is>
      </c>
      <c r="N150" s="2" t="n"/>
      <c r="O150" s="3" t="inlineStr">
        <is>
          <t>https://vanillabonds.com/dossier-data/pdf/katjes/katjes-2023-annual-report.pdf#page=29</t>
        </is>
      </c>
      <c r="P150" s="3" t="inlineStr">
        <is>
          <t>https://vanillabonds.com/dossier.html?c=katjes&amp;viewer=1&amp;item=F149</t>
        </is>
      </c>
      <c r="Q150" s="2" t="inlineStr"/>
    </row>
    <row r="151">
      <c r="A151" s="2" t="inlineStr">
        <is>
          <t>F150</t>
        </is>
      </c>
      <c r="B151" s="2" t="inlineStr">
        <is>
          <t>market</t>
        </is>
      </c>
      <c r="C151" s="2" t="inlineStr">
        <is>
          <t>market_fact</t>
        </is>
      </c>
      <c r="D151" s="3" t="inlineStr">
        <is>
          <t>Market: size, growth, share, competitor capacity, regulation (source named)</t>
        </is>
      </c>
      <c r="E151" s="2" t="n"/>
      <c r="F151" s="2" t="n"/>
      <c r="G151" s="2" t="n"/>
      <c r="H151" s="3" t="inlineStr">
        <is>
          <t>company statement: CPK (Carambar, Lutti, Poulain, Terry's) is the number two in the French sugar confectionery market; Lutti was the fastest-growing sugar confectionery brand among major suppliers in France in 2023.</t>
        </is>
      </c>
      <c r="I151" s="2" t="inlineStr">
        <is>
          <t>S1</t>
        </is>
      </c>
      <c r="J151" s="2" t="n">
        <v>32</v>
      </c>
      <c r="K151" s="3" t="inlineStr">
        <is>
          <t>The 23% stake in CPK, the number two in the French sugar confectionery market, is consolidated using the equity method.</t>
        </is>
      </c>
      <c r="L151" s="2" t="inlineStr">
        <is>
          <t>ok</t>
        </is>
      </c>
      <c r="M151" s="2" t="inlineStr">
        <is>
          <t>demo reviewer</t>
        </is>
      </c>
      <c r="N151" s="2" t="n"/>
      <c r="O151" s="3" t="inlineStr">
        <is>
          <t>https://vanillabonds.com/dossier-data/pdf/katjes/katjes-2023-annual-report.pdf#page=32</t>
        </is>
      </c>
      <c r="P151" s="3" t="inlineStr">
        <is>
          <t>https://vanillabonds.com/dossier.html?c=katjes&amp;viewer=1&amp;item=F150</t>
        </is>
      </c>
      <c r="Q151" s="2" t="inlineStr"/>
    </row>
    <row r="152">
      <c r="A152" s="2" t="inlineStr">
        <is>
          <t>F151</t>
        </is>
      </c>
      <c r="B152" s="2" t="inlineStr">
        <is>
          <t>market</t>
        </is>
      </c>
      <c r="C152" s="2" t="inlineStr">
        <is>
          <t>concentration</t>
        </is>
      </c>
      <c r="D152" s="3" t="inlineStr">
        <is>
          <t>Concentration: top customers / suppliers share, key contracts, sites</t>
        </is>
      </c>
      <c r="E152" s="2" t="n"/>
      <c r="F152" s="2" t="n"/>
      <c r="G152" s="2" t="n"/>
      <c r="H152" s="3" t="inlineStr">
        <is>
          <t>Sites: Italy 30.6% of 2023 sales (2022: 29.2%), Germany 27.7% (29.4%), Netherlands 4.4% (5.3%), UK 4.0% (4.8%), other EU + Switzerland 28.6% (25.9%), outside EU 4.8% (5.4%).</t>
        </is>
      </c>
      <c r="I152" s="2" t="inlineStr">
        <is>
          <t>S1</t>
        </is>
      </c>
      <c r="J152" s="2" t="n">
        <v>32</v>
      </c>
      <c r="K152" s="3" t="inlineStr">
        <is>
          <t>Katjes International generated 30.6% of its sales in Italy (previous year: 29.2%) and 27.7% in Germany (previous year: 29.4%).</t>
        </is>
      </c>
      <c r="L152" s="2" t="inlineStr">
        <is>
          <t>ok</t>
        </is>
      </c>
      <c r="M152" s="2" t="inlineStr">
        <is>
          <t>demo reviewer</t>
        </is>
      </c>
      <c r="N152" s="2" t="n"/>
      <c r="O152" s="3" t="inlineStr">
        <is>
          <t>https://vanillabonds.com/dossier-data/pdf/katjes/katjes-2023-annual-report.pdf#page=32</t>
        </is>
      </c>
      <c r="P152" s="3" t="inlineStr">
        <is>
          <t>https://vanillabonds.com/dossier.html?c=katjes&amp;viewer=1&amp;item=F151</t>
        </is>
      </c>
      <c r="Q152" s="2" t="inlineStr"/>
    </row>
    <row r="153">
      <c r="A153" s="2" t="inlineStr">
        <is>
          <t>F152</t>
        </is>
      </c>
      <c r="B153" s="2" t="inlineStr">
        <is>
          <t>market</t>
        </is>
      </c>
      <c r="C153" s="2" t="inlineStr">
        <is>
          <t>concentration</t>
        </is>
      </c>
      <c r="D153" s="3" t="inlineStr">
        <is>
          <t>Concentration: top customers / suppliers share, key contracts, sites</t>
        </is>
      </c>
      <c r="E153" s="2" t="n"/>
      <c r="F153" s="2" t="n"/>
      <c r="G153" s="2" t="n"/>
      <c r="H153" s="3" t="inlineStr">
        <is>
          <t>Company statement: no significant concentrations of credit risk at the balance sheet date; maximum default risk equals receivables carrying amount EUR 57.3m (2022: 47.5); no security deposits received.</t>
        </is>
      </c>
      <c r="I153" s="2" t="inlineStr">
        <is>
          <t>S1</t>
        </is>
      </c>
      <c r="J153" s="2" t="n">
        <v>61</v>
      </c>
      <c r="K153" s="3" t="inlineStr">
        <is>
          <t>No significant concentrations of risk were apparent as at the balance sheet date.</t>
        </is>
      </c>
      <c r="L153" s="2" t="inlineStr">
        <is>
          <t>ok</t>
        </is>
      </c>
      <c r="M153" s="2" t="inlineStr">
        <is>
          <t>demo reviewer</t>
        </is>
      </c>
      <c r="N153" s="2" t="n"/>
      <c r="O153" s="3" t="inlineStr">
        <is>
          <t>https://vanillabonds.com/dossier-data/pdf/katjes/katjes-2023-annual-report.pdf#page=61</t>
        </is>
      </c>
      <c r="P153" s="3" t="inlineStr">
        <is>
          <t>https://vanillabonds.com/dossier.html?c=katjes&amp;viewer=1&amp;item=F152</t>
        </is>
      </c>
      <c r="Q153" s="2" t="inlineStr"/>
    </row>
    <row r="154">
      <c r="A154" s="2" t="inlineStr">
        <is>
          <t>F153</t>
        </is>
      </c>
      <c r="B154" s="2" t="inlineStr">
        <is>
          <t>market</t>
        </is>
      </c>
      <c r="C154" s="2" t="inlineStr">
        <is>
          <t>concentration</t>
        </is>
      </c>
      <c r="D154" s="3" t="inlineStr">
        <is>
          <t>Concentration: top customers / suppliers share, key contracts, sites</t>
        </is>
      </c>
      <c r="E154" s="2" t="n"/>
      <c r="F154" s="2" t="n"/>
      <c r="G154" s="2" t="n"/>
      <c r="H154" s="3" t="inlineStr">
        <is>
          <t>Products sold primarily through food retailers and drugstores; management names concentration risk from major customers in food retail.</t>
        </is>
      </c>
      <c r="I154" s="2" t="inlineStr">
        <is>
          <t>S1</t>
        </is>
      </c>
      <c r="J154" s="2" t="n">
        <v>81</v>
      </c>
      <c r="K154" s="3" t="inlineStr">
        <is>
          <t>The products are sold primarily through food retailers and drugstores.</t>
        </is>
      </c>
      <c r="L154" s="2" t="inlineStr">
        <is>
          <t>ok</t>
        </is>
      </c>
      <c r="M154" s="2" t="inlineStr">
        <is>
          <t>demo reviewer</t>
        </is>
      </c>
      <c r="N154" s="2" t="n"/>
      <c r="O154" s="3" t="inlineStr">
        <is>
          <t>https://vanillabonds.com/dossier-data/pdf/katjes/katjes-2023-annual-report.pdf#page=81</t>
        </is>
      </c>
      <c r="P154" s="3" t="inlineStr">
        <is>
          <t>https://vanillabonds.com/dossier.html?c=katjes&amp;viewer=1&amp;item=F153</t>
        </is>
      </c>
      <c r="Q154" s="2" t="inlineStr"/>
    </row>
    <row r="155">
      <c r="A155" s="2" t="inlineStr">
        <is>
          <t>F154</t>
        </is>
      </c>
      <c r="B155" s="2" t="inlineStr">
        <is>
          <t>plan</t>
        </is>
      </c>
      <c r="C155" s="2" t="inlineStr">
        <is>
          <t>plan_item</t>
        </is>
      </c>
      <c r="D155" s="3" t="inlineStr">
        <is>
          <t>Investment plan item: what, amount, timing, contracted / ordered / planned</t>
        </is>
      </c>
      <c r="E155" s="2" t="n"/>
      <c r="F155" s="2" t="n">
        <v>6.4</v>
      </c>
      <c r="G155" s="2" t="n"/>
      <c r="H155" s="3" t="inlineStr">
        <is>
          <t>what: takeover of the Viersen production site (oral care) including around 50 employees; amount: remaining purchase price liability 6.4; timing: beginning of 2024 (2 January 2024); status: contracted 7 December 2022, completed</t>
        </is>
      </c>
      <c r="I155" s="2" t="inlineStr">
        <is>
          <t>S1</t>
        </is>
      </c>
      <c r="J155" s="2" t="n">
        <v>21</v>
      </c>
      <c r="K155" s="3" t="inlineStr">
        <is>
          <t>in Viersen, including around 50 employees, at the beginning of 2024.</t>
        </is>
      </c>
      <c r="L155" s="2" t="inlineStr">
        <is>
          <t>ok</t>
        </is>
      </c>
      <c r="M155" s="2" t="inlineStr">
        <is>
          <t>demo reviewer</t>
        </is>
      </c>
      <c r="N155" s="2" t="n"/>
      <c r="O155" s="3" t="inlineStr">
        <is>
          <t>https://vanillabonds.com/dossier-data/pdf/katjes/katjes-2023-annual-report.pdf#page=21</t>
        </is>
      </c>
      <c r="P155" s="3" t="inlineStr">
        <is>
          <t>https://vanillabonds.com/dossier.html?c=katjes&amp;viewer=1&amp;item=F154</t>
        </is>
      </c>
      <c r="Q155" s="2" t="inlineStr"/>
    </row>
    <row r="156">
      <c r="A156" s="2" t="inlineStr">
        <is>
          <t>F155</t>
        </is>
      </c>
      <c r="B156" s="2" t="inlineStr">
        <is>
          <t>plan</t>
        </is>
      </c>
      <c r="C156" s="2" t="inlineStr">
        <is>
          <t>debt_maturing</t>
        </is>
      </c>
      <c r="D156" s="2" t="inlineStr">
        <is>
          <t>Debt principal falling due in the period</t>
        </is>
      </c>
      <c r="E156" s="2" t="inlineStr">
        <is>
          <t>FY2024E</t>
        </is>
      </c>
      <c r="F156" s="2" t="n">
        <v>35.2</v>
      </c>
      <c r="G156" s="2" t="inlineStr">
        <is>
          <t>EUR m</t>
        </is>
      </c>
      <c r="H156" s="3" t="inlineStr">
        <is>
          <t>Current financial liabilities due within one year at 31 Dec 2023 (undiscounted, excl. interest), incl. lease liabilities 2.9 and Viersen site liability</t>
        </is>
      </c>
      <c r="I156" s="2" t="inlineStr">
        <is>
          <t>S1</t>
        </is>
      </c>
      <c r="J156" s="2" t="n">
        <v>63</v>
      </c>
      <c r="K156" s="3" t="inlineStr">
        <is>
          <t>Current financial liabilities (incl. liabilities from leases) 35.2 0.0 0.0 0.0 35.2 35.2</t>
        </is>
      </c>
      <c r="L156" s="2" t="inlineStr">
        <is>
          <t>ok</t>
        </is>
      </c>
      <c r="M156" s="2" t="inlineStr">
        <is>
          <t>demo reviewer</t>
        </is>
      </c>
      <c r="N156" s="2" t="n"/>
      <c r="O156" s="3" t="inlineStr">
        <is>
          <t>https://vanillabonds.com/dossier-data/pdf/katjes/katjes-2023-annual-report.pdf#page=63</t>
        </is>
      </c>
      <c r="P156" s="3" t="inlineStr">
        <is>
          <t>https://vanillabonds.com/dossier.html?c=katjes&amp;viewer=1&amp;item=F155</t>
        </is>
      </c>
      <c r="Q156" s="2" t="inlineStr"/>
    </row>
    <row r="157">
      <c r="A157" s="2" t="inlineStr">
        <is>
          <t>F156</t>
        </is>
      </c>
      <c r="B157" s="2" t="inlineStr">
        <is>
          <t>plan</t>
        </is>
      </c>
      <c r="C157" s="2" t="inlineStr">
        <is>
          <t>debt_maturing</t>
        </is>
      </c>
      <c r="D157" s="2" t="inlineStr">
        <is>
          <t>Debt principal falling due in the period</t>
        </is>
      </c>
      <c r="E157" s="2" t="inlineStr">
        <is>
          <t>FY2025E</t>
        </is>
      </c>
      <c r="F157" s="2" t="n">
        <v>15.1</v>
      </c>
      <c r="G157" s="2" t="inlineStr">
        <is>
          <t>EUR m</t>
        </is>
      </c>
      <c r="H157" s="3" t="inlineStr">
        <is>
          <t>Financial liabilities due in one to two years at 31 Dec 2023 (undiscounted, excl. interest), incl. lease liabilities 1.9</t>
        </is>
      </c>
      <c r="I157" s="2" t="inlineStr">
        <is>
          <t>S1</t>
        </is>
      </c>
      <c r="J157" s="2" t="n">
        <v>63</v>
      </c>
      <c r="K157" s="3" t="inlineStr">
        <is>
          <t>Non-current financial liabilities (incl. liabilities from leases) 0.0 15.1 137.4 4.2 156.7 156.7</t>
        </is>
      </c>
      <c r="L157" s="2" t="inlineStr">
        <is>
          <t>pend</t>
        </is>
      </c>
      <c r="M157" s="2" t="n"/>
      <c r="N157" s="3" t="inlineStr">
        <is>
          <t>conflict: S1·p63 15.1 vs S2·p59 37.4; primary per fact agent: S2 p59 - S2's maturity table at 31 Dec 2024 is the later audited measurement of amounts due in 2025; S1's 15.1 is the one-to-two-year band at 31 Dec 2023.</t>
        </is>
      </c>
      <c r="O157" s="3" t="inlineStr">
        <is>
          <t>https://vanillabonds.com/dossier-data/pdf/katjes/katjes-2023-annual-report.pdf#page=63</t>
        </is>
      </c>
      <c r="P157" s="3" t="inlineStr">
        <is>
          <t>https://vanillabonds.com/dossier.html?c=katjes&amp;viewer=1&amp;item=F156</t>
        </is>
      </c>
      <c r="Q157" s="2" t="inlineStr">
        <is>
          <t>no</t>
        </is>
      </c>
    </row>
    <row r="158">
      <c r="A158" s="2" t="inlineStr">
        <is>
          <t>F157</t>
        </is>
      </c>
      <c r="B158" s="2" t="inlineStr">
        <is>
          <t>plan</t>
        </is>
      </c>
      <c r="C158" s="2" t="inlineStr">
        <is>
          <t>issue_cost</t>
        </is>
      </c>
      <c r="D158" s="3" t="inlineStr">
        <is>
          <t>Issue cost item: item (notary, trustee, listing, legal, VAT); amount; source</t>
        </is>
      </c>
      <c r="E158" s="2" t="n"/>
      <c r="F158" s="2" t="n">
        <v>2.8</v>
      </c>
      <c r="G158" s="2" t="n"/>
      <c r="H158" s="3" t="inlineStr">
        <is>
          <t>item: incidental costs of the 2023/2028 bond; amount: 2.8; source: consolidated cash flow statement 2023</t>
        </is>
      </c>
      <c r="I158" s="2" t="inlineStr">
        <is>
          <t>S1</t>
        </is>
      </c>
      <c r="J158" s="2" t="n">
        <v>48</v>
      </c>
      <c r="K158" s="2" t="inlineStr">
        <is>
          <t>Incidental costs of the bond -2.8 0.0</t>
        </is>
      </c>
      <c r="L158" s="2" t="inlineStr">
        <is>
          <t>ok</t>
        </is>
      </c>
      <c r="M158" s="2" t="inlineStr">
        <is>
          <t>demo reviewer</t>
        </is>
      </c>
      <c r="N158" s="2" t="n"/>
      <c r="O158" s="3" t="inlineStr">
        <is>
          <t>https://vanillabonds.com/dossier-data/pdf/katjes/katjes-2023-annual-report.pdf#page=48</t>
        </is>
      </c>
      <c r="P158" s="3" t="inlineStr">
        <is>
          <t>https://vanillabonds.com/dossier.html?c=katjes&amp;viewer=1&amp;item=F157</t>
        </is>
      </c>
      <c r="Q158" s="2" t="inlineStr"/>
    </row>
    <row r="159">
      <c r="A159" s="2" t="inlineStr">
        <is>
          <t>F158</t>
        </is>
      </c>
      <c r="B159" s="2" t="inlineStr">
        <is>
          <t>governance</t>
        </is>
      </c>
      <c r="C159" s="2" t="inlineStr">
        <is>
          <t>group_entity</t>
        </is>
      </c>
      <c r="D159" s="3" t="inlineStr">
        <is>
          <t>Group entity: entity; jurisdiction; revenue; ebitda; assets; debt; guarantor (yes / no)</t>
        </is>
      </c>
      <c r="E159" s="2" t="n"/>
      <c r="F159" s="2" t="n">
        <v>1.4</v>
      </c>
      <c r="G159" s="2" t="n"/>
      <c r="H159" s="3" t="inlineStr">
        <is>
          <t>entity: CPK S.A.S., Paris (holding of Carambar &amp; Co); jurisdiction: FR; revenue: 1.4 (2022: 2.0); assets: current 4.5, non-current 268.5, cash 0.1; debt: current liabilities 6.1, non-current 0.0; guarantor: no (associate, around 23%, equity method, carrying 63.7, loss share -0.7 in 2023)</t>
        </is>
      </c>
      <c r="I159" s="2" t="inlineStr">
        <is>
          <t>S1</t>
        </is>
      </c>
      <c r="J159" s="2" t="n">
        <v>60</v>
      </c>
      <c r="K159" s="3" t="inlineStr">
        <is>
          <t>Current assets 4.5 2.0 Non-current assets 268.5 268.5 Current liabilities 6.1 1.5</t>
        </is>
      </c>
      <c r="L159" s="2" t="inlineStr">
        <is>
          <t>ok</t>
        </is>
      </c>
      <c r="M159" s="2" t="inlineStr">
        <is>
          <t>demo reviewer</t>
        </is>
      </c>
      <c r="N159" s="2" t="n"/>
      <c r="O159" s="3" t="inlineStr">
        <is>
          <t>https://vanillabonds.com/dossier-data/pdf/katjes/katjes-2023-annual-report.pdf#page=60</t>
        </is>
      </c>
      <c r="P159" s="3" t="inlineStr">
        <is>
          <t>https://vanillabonds.com/dossier.html?c=katjes&amp;viewer=1&amp;item=F158</t>
        </is>
      </c>
      <c r="Q159" s="2" t="inlineStr"/>
    </row>
    <row r="160">
      <c r="A160" s="2" t="inlineStr">
        <is>
          <t>F159</t>
        </is>
      </c>
      <c r="B160" s="2" t="inlineStr">
        <is>
          <t>governance</t>
        </is>
      </c>
      <c r="C160" s="2" t="inlineStr">
        <is>
          <t>group_entity</t>
        </is>
      </c>
      <c r="D160" s="3" t="inlineStr">
        <is>
          <t>Group entity: entity; jurisdiction; revenue; ebitda; assets; debt; guarantor (yes / no)</t>
        </is>
      </c>
      <c r="E160" s="2" t="n"/>
      <c r="F160" s="2" t="n"/>
      <c r="G160" s="2" t="n"/>
      <c r="H160" s="3" t="inlineStr">
        <is>
          <t>entity: Katjes France GmbH, Emmerich am Rhein; jurisdiction: DE; guarantor: not stated; stake: 100%, fully consolidated (intermediate holding for Candy Kittens and CPK)</t>
        </is>
      </c>
      <c r="I160" s="2" t="inlineStr">
        <is>
          <t>S1</t>
        </is>
      </c>
      <c r="J160" s="2" t="n">
        <v>87</v>
      </c>
      <c r="K160" s="3" t="inlineStr">
        <is>
          <t>Katjes France GmbH, Emmerich am Rhein 100 A 100 A</t>
        </is>
      </c>
      <c r="L160" s="2" t="inlineStr">
        <is>
          <t>ok</t>
        </is>
      </c>
      <c r="M160" s="2" t="inlineStr">
        <is>
          <t>demo reviewer</t>
        </is>
      </c>
      <c r="N160" s="2" t="n"/>
      <c r="O160" s="3" t="inlineStr">
        <is>
          <t>https://vanillabonds.com/dossier-data/pdf/katjes/katjes-2023-annual-report.pdf#page=87</t>
        </is>
      </c>
      <c r="P160" s="3" t="inlineStr">
        <is>
          <t>https://vanillabonds.com/dossier.html?c=katjes&amp;viewer=1&amp;item=F159</t>
        </is>
      </c>
      <c r="Q160" s="2" t="inlineStr"/>
    </row>
    <row r="161">
      <c r="A161" s="2" t="inlineStr">
        <is>
          <t>F160</t>
        </is>
      </c>
      <c r="B161" s="2" t="inlineStr">
        <is>
          <t>governance</t>
        </is>
      </c>
      <c r="C161" s="2" t="inlineStr">
        <is>
          <t>group_entity</t>
        </is>
      </c>
      <c r="D161" s="3" t="inlineStr">
        <is>
          <t>Group entity: entity; jurisdiction; revenue; ebitda; assets; debt; guarantor (yes / no)</t>
        </is>
      </c>
      <c r="E161" s="2" t="n"/>
      <c r="F161" s="2" t="n"/>
      <c r="G161" s="2" t="n"/>
      <c r="H161" s="3" t="inlineStr">
        <is>
          <t>entity: Katjes Nederland GmbH, Emmerich am Rhein; jurisdiction: DE; guarantor: not stated; stake: 100%, fully consolidated (intermediate holding for Harlekijntjes)</t>
        </is>
      </c>
      <c r="I161" s="2" t="inlineStr">
        <is>
          <t>S1</t>
        </is>
      </c>
      <c r="J161" s="2" t="n">
        <v>87</v>
      </c>
      <c r="K161" s="3" t="inlineStr">
        <is>
          <t>Katjes Nederland GmbH, Emmerich am Rhein 100 A 100 A</t>
        </is>
      </c>
      <c r="L161" s="2" t="inlineStr">
        <is>
          <t>ok</t>
        </is>
      </c>
      <c r="M161" s="2" t="inlineStr">
        <is>
          <t>demo reviewer</t>
        </is>
      </c>
      <c r="N161" s="2" t="n"/>
      <c r="O161" s="3" t="inlineStr">
        <is>
          <t>https://vanillabonds.com/dossier-data/pdf/katjes/katjes-2023-annual-report.pdf#page=87</t>
        </is>
      </c>
      <c r="P161" s="3" t="inlineStr">
        <is>
          <t>https://vanillabonds.com/dossier.html?c=katjes&amp;viewer=1&amp;item=F160</t>
        </is>
      </c>
      <c r="Q161" s="2" t="inlineStr"/>
    </row>
    <row r="162">
      <c r="A162" s="2" t="inlineStr">
        <is>
          <t>F161</t>
        </is>
      </c>
      <c r="B162" s="2" t="inlineStr">
        <is>
          <t>governance</t>
        </is>
      </c>
      <c r="C162" s="2" t="inlineStr">
        <is>
          <t>group_entity</t>
        </is>
      </c>
      <c r="D162" s="3" t="inlineStr">
        <is>
          <t>Group entity: entity; jurisdiction; revenue; ebitda; assets; debt; guarantor (yes / no)</t>
        </is>
      </c>
      <c r="E162" s="2" t="n"/>
      <c r="F162" s="2" t="n"/>
      <c r="G162" s="2" t="n"/>
      <c r="H162" s="3" t="inlineStr">
        <is>
          <t>entity: Katjes 21 GmbH, Emmerich am Rhein; jurisdiction: DE; guarantor: not stated; stake: 100%, fully consolidated (intermediate holding for Piasten)</t>
        </is>
      </c>
      <c r="I162" s="2" t="inlineStr">
        <is>
          <t>S1</t>
        </is>
      </c>
      <c r="J162" s="2" t="n">
        <v>87</v>
      </c>
      <c r="K162" s="3" t="inlineStr">
        <is>
          <t>Katjes 21 GmbH, Emmerich am Rhein 100 A 100 A</t>
        </is>
      </c>
      <c r="L162" s="2" t="inlineStr">
        <is>
          <t>ok</t>
        </is>
      </c>
      <c r="M162" s="2" t="inlineStr">
        <is>
          <t>demo reviewer</t>
        </is>
      </c>
      <c r="N162" s="2" t="n"/>
      <c r="O162" s="3" t="inlineStr">
        <is>
          <t>https://vanillabonds.com/dossier-data/pdf/katjes/katjes-2023-annual-report.pdf#page=87</t>
        </is>
      </c>
      <c r="P162" s="3" t="inlineStr">
        <is>
          <t>https://vanillabonds.com/dossier.html?c=katjes&amp;viewer=1&amp;item=F161</t>
        </is>
      </c>
      <c r="Q162" s="2" t="inlineStr"/>
    </row>
    <row r="163">
      <c r="A163" s="2" t="inlineStr">
        <is>
          <t>F162</t>
        </is>
      </c>
      <c r="B163" s="2" t="inlineStr">
        <is>
          <t>governance</t>
        </is>
      </c>
      <c r="C163" s="2" t="inlineStr">
        <is>
          <t>group_entity</t>
        </is>
      </c>
      <c r="D163" s="3" t="inlineStr">
        <is>
          <t>Group entity: entity; jurisdiction; revenue; ebitda; assets; debt; guarantor (yes / no)</t>
        </is>
      </c>
      <c r="E163" s="2" t="n"/>
      <c r="F163" s="2" t="n"/>
      <c r="G163" s="2" t="n"/>
      <c r="H163" s="3" t="inlineStr">
        <is>
          <t>entity: Dallmann's Pharma Candy GmbH, Hofheim am Taunus; jurisdiction: DE; guarantor: not stated; stake: 100% via Candy Pharma GmbH, fully consolidated; sage lozenges and WICK distribution</t>
        </is>
      </c>
      <c r="I163" s="2" t="inlineStr">
        <is>
          <t>S1</t>
        </is>
      </c>
      <c r="J163" s="2" t="n">
        <v>87</v>
      </c>
      <c r="K163" s="3" t="inlineStr">
        <is>
          <t>Dallmann’s Pharma Candy GmbH, Hofheim am Taunus 100 A 100 A</t>
        </is>
      </c>
      <c r="L163" s="2" t="inlineStr">
        <is>
          <t>ok</t>
        </is>
      </c>
      <c r="M163" s="2" t="inlineStr">
        <is>
          <t>demo reviewer</t>
        </is>
      </c>
      <c r="N163" s="2" t="n"/>
      <c r="O163" s="3" t="inlineStr">
        <is>
          <t>https://vanillabonds.com/dossier-data/pdf/katjes/katjes-2023-annual-report.pdf#page=87</t>
        </is>
      </c>
      <c r="P163" s="3" t="inlineStr">
        <is>
          <t>https://vanillabonds.com/dossier.html?c=katjes&amp;viewer=1&amp;item=F162</t>
        </is>
      </c>
      <c r="Q163" s="2" t="inlineStr"/>
    </row>
    <row r="164">
      <c r="A164" s="2" t="inlineStr">
        <is>
          <t>F163</t>
        </is>
      </c>
      <c r="B164" s="2" t="inlineStr">
        <is>
          <t>governance</t>
        </is>
      </c>
      <c r="C164" s="2" t="inlineStr">
        <is>
          <t>group_entity</t>
        </is>
      </c>
      <c r="D164" s="3" t="inlineStr">
        <is>
          <t>Group entity: entity; jurisdiction; revenue; ebitda; assets; debt; guarantor (yes / no)</t>
        </is>
      </c>
      <c r="E164" s="2" t="n"/>
      <c r="F164" s="2" t="n"/>
      <c r="G164" s="2" t="n"/>
      <c r="H164" s="3" t="inlineStr">
        <is>
          <t>entity: Candy Pharma GmbH, Hofheim am Taunus; jurisdiction: DE; guarantor: not stated; stake: 100%, fully consolidated (holding for Dallmann's, Bübchen, Bübchen Bodycare)</t>
        </is>
      </c>
      <c r="I164" s="2" t="inlineStr">
        <is>
          <t>S1</t>
        </is>
      </c>
      <c r="J164" s="2" t="n">
        <v>87</v>
      </c>
      <c r="K164" s="3" t="inlineStr">
        <is>
          <t>Candy Pharma GmbH, Hofheim am Taunus 100 A 100 A</t>
        </is>
      </c>
      <c r="L164" s="2" t="inlineStr">
        <is>
          <t>ok</t>
        </is>
      </c>
      <c r="M164" s="2" t="inlineStr">
        <is>
          <t>demo reviewer</t>
        </is>
      </c>
      <c r="N164" s="2" t="n"/>
      <c r="O164" s="3" t="inlineStr">
        <is>
          <t>https://vanillabonds.com/dossier-data/pdf/katjes/katjes-2023-annual-report.pdf#page=87</t>
        </is>
      </c>
      <c r="P164" s="3" t="inlineStr">
        <is>
          <t>https://vanillabonds.com/dossier.html?c=katjes&amp;viewer=1&amp;item=F163</t>
        </is>
      </c>
      <c r="Q164" s="2" t="inlineStr"/>
    </row>
    <row r="165">
      <c r="A165" s="2" t="inlineStr">
        <is>
          <t>F164</t>
        </is>
      </c>
      <c r="B165" s="2" t="inlineStr">
        <is>
          <t>governance</t>
        </is>
      </c>
      <c r="C165" s="2" t="inlineStr">
        <is>
          <t>group_entity</t>
        </is>
      </c>
      <c r="D165" s="3" t="inlineStr">
        <is>
          <t>Group entity: entity; jurisdiction; revenue; ebitda; assets; debt; guarantor (yes / no)</t>
        </is>
      </c>
      <c r="E165" s="2" t="n"/>
      <c r="F165" s="2" t="n"/>
      <c r="G165" s="2" t="n"/>
      <c r="H165" s="3" t="inlineStr">
        <is>
          <t>entity: Piasten GmbH, Forchheim; jurisdiction: DE; guarantor: not stated; stake: 100% via Katjes 24 GmbH and Katjes 21 GmbH, fully consolidated; dragees, Treets; 87% of trade receivables factored</t>
        </is>
      </c>
      <c r="I165" s="2" t="inlineStr">
        <is>
          <t>S1</t>
        </is>
      </c>
      <c r="J165" s="2" t="n">
        <v>87</v>
      </c>
      <c r="K165" s="2" t="inlineStr">
        <is>
          <t>Piasten GmbH, Forchheim 100 A 100 A</t>
        </is>
      </c>
      <c r="L165" s="2" t="inlineStr">
        <is>
          <t>ok</t>
        </is>
      </c>
      <c r="M165" s="2" t="inlineStr">
        <is>
          <t>demo reviewer</t>
        </is>
      </c>
      <c r="N165" s="2" t="n"/>
      <c r="O165" s="3" t="inlineStr">
        <is>
          <t>https://vanillabonds.com/dossier-data/pdf/katjes/katjes-2023-annual-report.pdf#page=87</t>
        </is>
      </c>
      <c r="P165" s="3" t="inlineStr">
        <is>
          <t>https://vanillabonds.com/dossier.html?c=katjes&amp;viewer=1&amp;item=F164</t>
        </is>
      </c>
      <c r="Q165" s="2" t="inlineStr"/>
    </row>
    <row r="166">
      <c r="A166" s="2" t="inlineStr">
        <is>
          <t>F165</t>
        </is>
      </c>
      <c r="B166" s="2" t="inlineStr">
        <is>
          <t>governance</t>
        </is>
      </c>
      <c r="C166" s="2" t="inlineStr">
        <is>
          <t>group_entity</t>
        </is>
      </c>
      <c r="D166" s="3" t="inlineStr">
        <is>
          <t>Group entity: entity; jurisdiction; revenue; ebitda; assets; debt; guarantor (yes / no)</t>
        </is>
      </c>
      <c r="E166" s="2" t="n"/>
      <c r="F166" s="2" t="n"/>
      <c r="G166" s="2" t="n"/>
      <c r="H166" s="3" t="inlineStr">
        <is>
          <t>entity: Treets GmbH, Forchheim; jurisdiction: DE; guarantor: not stated; stake: 100%, fully consolidated</t>
        </is>
      </c>
      <c r="I166" s="2" t="inlineStr">
        <is>
          <t>S1</t>
        </is>
      </c>
      <c r="J166" s="2" t="n">
        <v>87</v>
      </c>
      <c r="K166" s="2" t="inlineStr">
        <is>
          <t>Treets GmbH, Forchheim 100 A 100 A</t>
        </is>
      </c>
      <c r="L166" s="2" t="inlineStr">
        <is>
          <t>ok</t>
        </is>
      </c>
      <c r="M166" s="2" t="inlineStr">
        <is>
          <t>demo reviewer</t>
        </is>
      </c>
      <c r="N166" s="2" t="n"/>
      <c r="O166" s="3" t="inlineStr">
        <is>
          <t>https://vanillabonds.com/dossier-data/pdf/katjes/katjes-2023-annual-report.pdf#page=87</t>
        </is>
      </c>
      <c r="P166" s="3" t="inlineStr">
        <is>
          <t>https://vanillabonds.com/dossier.html?c=katjes&amp;viewer=1&amp;item=F165</t>
        </is>
      </c>
      <c r="Q166" s="2" t="inlineStr"/>
    </row>
    <row r="167">
      <c r="A167" s="2" t="inlineStr">
        <is>
          <t>F166</t>
        </is>
      </c>
      <c r="B167" s="2" t="inlineStr">
        <is>
          <t>governance</t>
        </is>
      </c>
      <c r="C167" s="2" t="inlineStr">
        <is>
          <t>group_entity</t>
        </is>
      </c>
      <c r="D167" s="3" t="inlineStr">
        <is>
          <t>Group entity: entity; jurisdiction; revenue; ebitda; assets; debt; guarantor (yes / no)</t>
        </is>
      </c>
      <c r="E167" s="2" t="n"/>
      <c r="F167" s="2" t="n"/>
      <c r="G167" s="2" t="n"/>
      <c r="H167" s="3" t="inlineStr">
        <is>
          <t>entity: CCV-Vertriebs-GmbH, Forchheim; jurisdiction: DE; guarantor: not stated; stake: 100%, fully consolidated</t>
        </is>
      </c>
      <c r="I167" s="2" t="inlineStr">
        <is>
          <t>S1</t>
        </is>
      </c>
      <c r="J167" s="2" t="n">
        <v>87</v>
      </c>
      <c r="K167" s="3" t="inlineStr">
        <is>
          <t>CCV-Vertriebs-GmbH, Forchheim 100 A 100 A</t>
        </is>
      </c>
      <c r="L167" s="2" t="inlineStr">
        <is>
          <t>ok</t>
        </is>
      </c>
      <c r="M167" s="2" t="inlineStr">
        <is>
          <t>demo reviewer</t>
        </is>
      </c>
      <c r="N167" s="2" t="n"/>
      <c r="O167" s="3" t="inlineStr">
        <is>
          <t>https://vanillabonds.com/dossier-data/pdf/katjes/katjes-2023-annual-report.pdf#page=87</t>
        </is>
      </c>
      <c r="P167" s="3" t="inlineStr">
        <is>
          <t>https://vanillabonds.com/dossier.html?c=katjes&amp;viewer=1&amp;item=F166</t>
        </is>
      </c>
      <c r="Q167" s="2" t="inlineStr"/>
    </row>
    <row r="168">
      <c r="A168" s="2" t="inlineStr">
        <is>
          <t>F167</t>
        </is>
      </c>
      <c r="B168" s="2" t="inlineStr">
        <is>
          <t>governance</t>
        </is>
      </c>
      <c r="C168" s="2" t="inlineStr">
        <is>
          <t>group_entity</t>
        </is>
      </c>
      <c r="D168" s="3" t="inlineStr">
        <is>
          <t>Group entity: entity; jurisdiction; revenue; ebitda; assets; debt; guarantor (yes / no)</t>
        </is>
      </c>
      <c r="E168" s="2" t="n"/>
      <c r="F168" s="2" t="n"/>
      <c r="G168" s="2" t="n"/>
      <c r="H168" s="3" t="inlineStr">
        <is>
          <t>entity: Katjes 24 GmbH, Emmerich; jurisdiction: DE; guarantor: not stated; stake: 100%, fully consolidated (intermediate holding)</t>
        </is>
      </c>
      <c r="I168" s="2" t="inlineStr">
        <is>
          <t>S1</t>
        </is>
      </c>
      <c r="J168" s="2" t="n">
        <v>87</v>
      </c>
      <c r="K168" s="2" t="inlineStr">
        <is>
          <t>Katjes 24 GmbH, Emmerich 100 A 100 A</t>
        </is>
      </c>
      <c r="L168" s="2" t="inlineStr">
        <is>
          <t>ok</t>
        </is>
      </c>
      <c r="M168" s="2" t="inlineStr">
        <is>
          <t>demo reviewer</t>
        </is>
      </c>
      <c r="N168" s="2" t="n"/>
      <c r="O168" s="3" t="inlineStr">
        <is>
          <t>https://vanillabonds.com/dossier-data/pdf/katjes/katjes-2023-annual-report.pdf#page=87</t>
        </is>
      </c>
      <c r="P168" s="3" t="inlineStr">
        <is>
          <t>https://vanillabonds.com/dossier.html?c=katjes&amp;viewer=1&amp;item=F167</t>
        </is>
      </c>
      <c r="Q168" s="2" t="inlineStr"/>
    </row>
    <row r="169">
      <c r="A169" s="2" t="inlineStr">
        <is>
          <t>F168</t>
        </is>
      </c>
      <c r="B169" s="2" t="inlineStr">
        <is>
          <t>governance</t>
        </is>
      </c>
      <c r="C169" s="2" t="inlineStr">
        <is>
          <t>group_entity</t>
        </is>
      </c>
      <c r="D169" s="3" t="inlineStr">
        <is>
          <t>Group entity: entity; jurisdiction; revenue; ebitda; assets; debt; guarantor (yes / no)</t>
        </is>
      </c>
      <c r="E169" s="2" t="n"/>
      <c r="F169" s="2" t="n"/>
      <c r="G169" s="2" t="n"/>
      <c r="H169" s="3" t="inlineStr">
        <is>
          <t>entity: Katjes Italy GmbH, Emmerich; jurisdiction: DE; guarantor: not stated; stake: 100%, fully consolidated (intermediate holding for Sperlari, Dulcioliva, Paluani)</t>
        </is>
      </c>
      <c r="I169" s="2" t="inlineStr">
        <is>
          <t>S1</t>
        </is>
      </c>
      <c r="J169" s="2" t="n">
        <v>87</v>
      </c>
      <c r="K169" s="2" t="inlineStr">
        <is>
          <t>Katjes Italy GmbH, Emmerich 100 A 100 A</t>
        </is>
      </c>
      <c r="L169" s="2" t="inlineStr">
        <is>
          <t>ok</t>
        </is>
      </c>
      <c r="M169" s="2" t="inlineStr">
        <is>
          <t>demo reviewer</t>
        </is>
      </c>
      <c r="N169" s="2" t="n"/>
      <c r="O169" s="3" t="inlineStr">
        <is>
          <t>https://vanillabonds.com/dossier-data/pdf/katjes/katjes-2023-annual-report.pdf#page=87</t>
        </is>
      </c>
      <c r="P169" s="3" t="inlineStr">
        <is>
          <t>https://vanillabonds.com/dossier.html?c=katjes&amp;viewer=1&amp;item=F168</t>
        </is>
      </c>
      <c r="Q169" s="2" t="inlineStr"/>
    </row>
    <row r="170">
      <c r="A170" s="2" t="inlineStr">
        <is>
          <t>F169</t>
        </is>
      </c>
      <c r="B170" s="2" t="inlineStr">
        <is>
          <t>governance</t>
        </is>
      </c>
      <c r="C170" s="2" t="inlineStr">
        <is>
          <t>group_entity</t>
        </is>
      </c>
      <c r="D170" s="3" t="inlineStr">
        <is>
          <t>Group entity: entity; jurisdiction; revenue; ebitda; assets; debt; guarantor (yes / no)</t>
        </is>
      </c>
      <c r="E170" s="2" t="n"/>
      <c r="F170" s="2" t="n"/>
      <c r="G170" s="2" t="n"/>
      <c r="H170" s="3" t="inlineStr">
        <is>
          <t>entity: Bübchen Skincare GmbH (previously Dallmann's Pharma GmbH), Hofheim am Taunus; jurisdiction: DE; guarantor: not stated; stake: 100%, fully consolidated</t>
        </is>
      </c>
      <c r="I170" s="2" t="inlineStr">
        <is>
          <t>S1</t>
        </is>
      </c>
      <c r="J170" s="2" t="n">
        <v>87</v>
      </c>
      <c r="K170" s="3" t="inlineStr">
        <is>
          <t>Bübchen Skincare GmbH (previous: Dallmann’s Pharma GmbH), Hofheim am Taunus 100 A 100 A</t>
        </is>
      </c>
      <c r="L170" s="2" t="inlineStr">
        <is>
          <t>ok</t>
        </is>
      </c>
      <c r="M170" s="2" t="inlineStr">
        <is>
          <t>demo reviewer</t>
        </is>
      </c>
      <c r="N170" s="2" t="n"/>
      <c r="O170" s="3" t="inlineStr">
        <is>
          <t>https://vanillabonds.com/dossier-data/pdf/katjes/katjes-2023-annual-report.pdf#page=87</t>
        </is>
      </c>
      <c r="P170" s="3" t="inlineStr">
        <is>
          <t>https://vanillabonds.com/dossier.html?c=katjes&amp;viewer=1&amp;item=F169</t>
        </is>
      </c>
      <c r="Q170" s="2" t="inlineStr"/>
    </row>
    <row r="171">
      <c r="A171" s="2" t="inlineStr">
        <is>
          <t>F170</t>
        </is>
      </c>
      <c r="B171" s="2" t="inlineStr">
        <is>
          <t>governance</t>
        </is>
      </c>
      <c r="C171" s="2" t="inlineStr">
        <is>
          <t>group_entity</t>
        </is>
      </c>
      <c r="D171" s="3" t="inlineStr">
        <is>
          <t>Group entity: entity; jurisdiction; revenue; ebitda; assets; debt; guarantor (yes / no)</t>
        </is>
      </c>
      <c r="E171" s="2" t="n"/>
      <c r="F171" s="2" t="n"/>
      <c r="G171" s="2" t="n"/>
      <c r="H171" s="3" t="inlineStr">
        <is>
          <t>entity: Bübchen-Werk Ewald Hermes Pharmazeutische Fabrik GmbH, Soest; jurisdiction: DE; guarantor: not stated; stake: 100% via Candy Pharma GmbH, fully consolidated; baby and kids body care, production Soest</t>
        </is>
      </c>
      <c r="I171" s="2" t="inlineStr">
        <is>
          <t>S1</t>
        </is>
      </c>
      <c r="J171" s="2" t="n">
        <v>87</v>
      </c>
      <c r="K171" s="3" t="inlineStr">
        <is>
          <t>Bübchen-Werk Ewald Hermes Pharmazeutische Fabrik GmbH, Soest 100 A 100 A</t>
        </is>
      </c>
      <c r="L171" s="2" t="inlineStr">
        <is>
          <t>ok</t>
        </is>
      </c>
      <c r="M171" s="2" t="inlineStr">
        <is>
          <t>demo reviewer</t>
        </is>
      </c>
      <c r="N171" s="2" t="n"/>
      <c r="O171" s="3" t="inlineStr">
        <is>
          <t>https://vanillabonds.com/dossier-data/pdf/katjes/katjes-2023-annual-report.pdf#page=87</t>
        </is>
      </c>
      <c r="P171" s="3" t="inlineStr">
        <is>
          <t>https://vanillabonds.com/dossier.html?c=katjes&amp;viewer=1&amp;item=F170</t>
        </is>
      </c>
      <c r="Q171" s="2" t="inlineStr"/>
    </row>
    <row r="172">
      <c r="A172" s="2" t="inlineStr">
        <is>
          <t>F171</t>
        </is>
      </c>
      <c r="B172" s="2" t="inlineStr">
        <is>
          <t>governance</t>
        </is>
      </c>
      <c r="C172" s="2" t="inlineStr">
        <is>
          <t>group_entity</t>
        </is>
      </c>
      <c r="D172" s="3" t="inlineStr">
        <is>
          <t>Group entity: entity; jurisdiction; revenue; ebitda; assets; debt; guarantor (yes / no)</t>
        </is>
      </c>
      <c r="E172" s="2" t="n"/>
      <c r="F172" s="2" t="n"/>
      <c r="G172" s="2" t="n"/>
      <c r="H172" s="3" t="inlineStr">
        <is>
          <t>entity: Bübchen Bodycare GmbH, Düsseldorf; jurisdiction: DE; guarantor: not stated; stake: 100%, fully consolidated; oral care brands (Theramed, Vademecum, Antica Erboristeria, Licor del Polo, Denivit) and N.A.E.; Viersen site from 2 Jan 2024</t>
        </is>
      </c>
      <c r="I172" s="2" t="inlineStr">
        <is>
          <t>S1</t>
        </is>
      </c>
      <c r="J172" s="2" t="n">
        <v>87</v>
      </c>
      <c r="K172" s="3" t="inlineStr">
        <is>
          <t>Bübchen Bodycare GmbH, Düsseldorf 100 A 100 A</t>
        </is>
      </c>
      <c r="L172" s="2" t="inlineStr">
        <is>
          <t>ok</t>
        </is>
      </c>
      <c r="M172" s="2" t="inlineStr">
        <is>
          <t>demo reviewer</t>
        </is>
      </c>
      <c r="N172" s="2" t="n"/>
      <c r="O172" s="3" t="inlineStr">
        <is>
          <t>https://vanillabonds.com/dossier-data/pdf/katjes/katjes-2023-annual-report.pdf#page=87</t>
        </is>
      </c>
      <c r="P172" s="3" t="inlineStr">
        <is>
          <t>https://vanillabonds.com/dossier.html?c=katjes&amp;viewer=1&amp;item=F171</t>
        </is>
      </c>
      <c r="Q172" s="2" t="inlineStr"/>
    </row>
    <row r="173">
      <c r="A173" s="2" t="inlineStr">
        <is>
          <t>F172</t>
        </is>
      </c>
      <c r="B173" s="2" t="inlineStr">
        <is>
          <t>governance</t>
        </is>
      </c>
      <c r="C173" s="2" t="inlineStr">
        <is>
          <t>group_entity</t>
        </is>
      </c>
      <c r="D173" s="3" t="inlineStr">
        <is>
          <t>Group entity: entity; jurisdiction; revenue; ebitda; assets; debt; guarantor (yes / no)</t>
        </is>
      </c>
      <c r="E173" s="2" t="n"/>
      <c r="F173" s="2" t="n"/>
      <c r="G173" s="2" t="n"/>
      <c r="H173" s="3" t="inlineStr">
        <is>
          <t>entity: Candy Kittens EU GmbH, Emmerich; jurisdiction: DE; guarantor: not stated; stake: 100%, fully consolidated</t>
        </is>
      </c>
      <c r="I173" s="2" t="inlineStr">
        <is>
          <t>S1</t>
        </is>
      </c>
      <c r="J173" s="2" t="n">
        <v>87</v>
      </c>
      <c r="K173" s="3" t="inlineStr">
        <is>
          <t>Candy Kittens EU GmbH, Emmerich 100 A 100 A</t>
        </is>
      </c>
      <c r="L173" s="2" t="inlineStr">
        <is>
          <t>ok</t>
        </is>
      </c>
      <c r="M173" s="2" t="inlineStr">
        <is>
          <t>demo reviewer</t>
        </is>
      </c>
      <c r="N173" s="2" t="n"/>
      <c r="O173" s="3" t="inlineStr">
        <is>
          <t>https://vanillabonds.com/dossier-data/pdf/katjes/katjes-2023-annual-report.pdf#page=87</t>
        </is>
      </c>
      <c r="P173" s="3" t="inlineStr">
        <is>
          <t>https://vanillabonds.com/dossier.html?c=katjes&amp;viewer=1&amp;item=F172</t>
        </is>
      </c>
      <c r="Q173" s="2" t="inlineStr"/>
    </row>
    <row r="174">
      <c r="A174" s="2" t="inlineStr">
        <is>
          <t>F173</t>
        </is>
      </c>
      <c r="B174" s="2" t="inlineStr">
        <is>
          <t>governance</t>
        </is>
      </c>
      <c r="C174" s="2" t="inlineStr">
        <is>
          <t>group_entity</t>
        </is>
      </c>
      <c r="D174" s="3" t="inlineStr">
        <is>
          <t>Group entity: entity; jurisdiction; revenue; ebitda; assets; debt; guarantor (yes / no)</t>
        </is>
      </c>
      <c r="E174" s="2" t="n"/>
      <c r="F174" s="2" t="n"/>
      <c r="G174" s="2" t="n"/>
      <c r="H174" s="3" t="inlineStr">
        <is>
          <t>entity: Pharma Candy Management GmbH; jurisdiction: DE; guarantor: not stated; stake: 100%, fully consolidated</t>
        </is>
      </c>
      <c r="I174" s="2" t="inlineStr">
        <is>
          <t>S1</t>
        </is>
      </c>
      <c r="J174" s="2" t="n">
        <v>87</v>
      </c>
      <c r="K174" s="2" t="inlineStr">
        <is>
          <t>Pharma Candy Management GmbH 100 A 100 A</t>
        </is>
      </c>
      <c r="L174" s="2" t="inlineStr">
        <is>
          <t>ok</t>
        </is>
      </c>
      <c r="M174" s="2" t="inlineStr">
        <is>
          <t>demo reviewer</t>
        </is>
      </c>
      <c r="N174" s="2" t="n"/>
      <c r="O174" s="3" t="inlineStr">
        <is>
          <t>https://vanillabonds.com/dossier-data/pdf/katjes/katjes-2023-annual-report.pdf#page=87</t>
        </is>
      </c>
      <c r="P174" s="3" t="inlineStr">
        <is>
          <t>https://vanillabonds.com/dossier.html?c=katjes&amp;viewer=1&amp;item=F173</t>
        </is>
      </c>
      <c r="Q174" s="2" t="inlineStr"/>
    </row>
    <row r="175">
      <c r="A175" s="2" t="inlineStr">
        <is>
          <t>F174</t>
        </is>
      </c>
      <c r="B175" s="2" t="inlineStr">
        <is>
          <t>governance</t>
        </is>
      </c>
      <c r="C175" s="2" t="inlineStr">
        <is>
          <t>group_entity</t>
        </is>
      </c>
      <c r="D175" s="3" t="inlineStr">
        <is>
          <t>Group entity: entity; jurisdiction; revenue; ebitda; assets; debt; guarantor (yes / no)</t>
        </is>
      </c>
      <c r="E175" s="2" t="n"/>
      <c r="F175" s="2" t="n"/>
      <c r="G175" s="2" t="n"/>
      <c r="H175" s="3" t="inlineStr">
        <is>
          <t>entity: Pharma Candy GmbH &amp; Co. KG; jurisdiction: DE; guarantor: not stated; stake: 99.9%, fully consolidated</t>
        </is>
      </c>
      <c r="I175" s="2" t="inlineStr">
        <is>
          <t>S1</t>
        </is>
      </c>
      <c r="J175" s="2" t="n">
        <v>87</v>
      </c>
      <c r="K175" s="2" t="inlineStr">
        <is>
          <t>Pharma Candy GmbH &amp; Co. KG 99.9 A 99.9 A</t>
        </is>
      </c>
      <c r="L175" s="2" t="inlineStr">
        <is>
          <t>ok</t>
        </is>
      </c>
      <c r="M175" s="2" t="inlineStr">
        <is>
          <t>demo reviewer</t>
        </is>
      </c>
      <c r="N175" s="2" t="n"/>
      <c r="O175" s="3" t="inlineStr">
        <is>
          <t>https://vanillabonds.com/dossier-data/pdf/katjes/katjes-2023-annual-report.pdf#page=87</t>
        </is>
      </c>
      <c r="P175" s="3" t="inlineStr">
        <is>
          <t>https://vanillabonds.com/dossier.html?c=katjes&amp;viewer=1&amp;item=F174</t>
        </is>
      </c>
      <c r="Q175" s="2" t="inlineStr"/>
    </row>
    <row r="176">
      <c r="A176" s="2" t="inlineStr">
        <is>
          <t>F175</t>
        </is>
      </c>
      <c r="B176" s="2" t="inlineStr">
        <is>
          <t>governance</t>
        </is>
      </c>
      <c r="C176" s="2" t="inlineStr">
        <is>
          <t>group_entity</t>
        </is>
      </c>
      <c r="D176" s="3" t="inlineStr">
        <is>
          <t>Group entity: entity; jurisdiction; revenue; ebitda; assets; debt; guarantor (yes / no)</t>
        </is>
      </c>
      <c r="E176" s="2" t="n"/>
      <c r="F176" s="2" t="n"/>
      <c r="G176" s="2" t="n"/>
      <c r="H176" s="3" t="inlineStr">
        <is>
          <t>entity: Blaue Helden GmbH, Bad Homburg; jurisdiction: DE; guarantor: not stated; stake: 11.1% (2022: 16.1%), not consolidated</t>
        </is>
      </c>
      <c r="I176" s="2" t="inlineStr">
        <is>
          <t>S1</t>
        </is>
      </c>
      <c r="J176" s="2" t="n">
        <v>87</v>
      </c>
      <c r="K176" s="3" t="inlineStr">
        <is>
          <t>Blaue Helden GmbH, Bad Homburg 11,1 — 16.1 —</t>
        </is>
      </c>
      <c r="L176" s="2" t="inlineStr">
        <is>
          <t>ok</t>
        </is>
      </c>
      <c r="M176" s="2" t="inlineStr">
        <is>
          <t>demo reviewer</t>
        </is>
      </c>
      <c r="N176" s="2" t="n"/>
      <c r="O176" s="3" t="inlineStr">
        <is>
          <t>https://vanillabonds.com/dossier-data/pdf/katjes/katjes-2023-annual-report.pdf#page=87</t>
        </is>
      </c>
      <c r="P176" s="3" t="inlineStr">
        <is>
          <t>https://vanillabonds.com/dossier.html?c=katjes&amp;viewer=1&amp;item=F175</t>
        </is>
      </c>
      <c r="Q176" s="2" t="inlineStr"/>
    </row>
    <row r="177">
      <c r="A177" s="2" t="inlineStr">
        <is>
          <t>F176</t>
        </is>
      </c>
      <c r="B177" s="2" t="inlineStr">
        <is>
          <t>governance</t>
        </is>
      </c>
      <c r="C177" s="2" t="inlineStr">
        <is>
          <t>group_entity</t>
        </is>
      </c>
      <c r="D177" s="3" t="inlineStr">
        <is>
          <t>Group entity: entity; jurisdiction; revenue; ebitda; assets; debt; guarantor (yes / no)</t>
        </is>
      </c>
      <c r="E177" s="2" t="n"/>
      <c r="F177" s="2" t="n"/>
      <c r="G177" s="2" t="n"/>
      <c r="H177" s="3" t="inlineStr">
        <is>
          <t>entity: Heel Veel Snoepjes B.V., Nijkerk; jurisdiction: NL; guarantor: not stated; stake: 100%, fully consolidated (holds part of the CPK stake)</t>
        </is>
      </c>
      <c r="I177" s="2" t="inlineStr">
        <is>
          <t>S1</t>
        </is>
      </c>
      <c r="J177" s="2" t="n">
        <v>87</v>
      </c>
      <c r="K177" s="3" t="inlineStr">
        <is>
          <t>Heel Veel Snoepjes B.V., Nijkerk,Netherlands 100 A 100 A</t>
        </is>
      </c>
      <c r="L177" s="2" t="inlineStr">
        <is>
          <t>ok</t>
        </is>
      </c>
      <c r="M177" s="2" t="inlineStr">
        <is>
          <t>demo reviewer</t>
        </is>
      </c>
      <c r="N177" s="2" t="n"/>
      <c r="O177" s="3" t="inlineStr">
        <is>
          <t>https://vanillabonds.com/dossier-data/pdf/katjes/katjes-2023-annual-report.pdf#page=87</t>
        </is>
      </c>
      <c r="P177" s="3" t="inlineStr">
        <is>
          <t>https://vanillabonds.com/dossier.html?c=katjes&amp;viewer=1&amp;item=F176</t>
        </is>
      </c>
      <c r="Q177" s="2" t="inlineStr"/>
    </row>
    <row r="178">
      <c r="A178" s="2" t="inlineStr">
        <is>
          <t>F177</t>
        </is>
      </c>
      <c r="B178" s="2" t="inlineStr">
        <is>
          <t>governance</t>
        </is>
      </c>
      <c r="C178" s="2" t="inlineStr">
        <is>
          <t>group_entity</t>
        </is>
      </c>
      <c r="D178" s="3" t="inlineStr">
        <is>
          <t>Group entity: entity; jurisdiction; revenue; ebitda; assets; debt; guarantor (yes / no)</t>
        </is>
      </c>
      <c r="E178" s="2" t="n"/>
      <c r="F178" s="2" t="n"/>
      <c r="G178" s="2" t="n"/>
      <c r="H178" s="3" t="inlineStr">
        <is>
          <t>entity: Harlekijntjes B.V., Nijkerk; jurisdiction: NL; guarantor: not stated; stake: 100% via Katjes 24 GmbH and Katjes Nederland GmbH, fully consolidated; liquorice, production Nijkerk</t>
        </is>
      </c>
      <c r="I178" s="2" t="inlineStr">
        <is>
          <t>S1</t>
        </is>
      </c>
      <c r="J178" s="2" t="n">
        <v>87</v>
      </c>
      <c r="K178" s="3" t="inlineStr">
        <is>
          <t>Harlekijntjes B.V., Nijkerk,Netherlands 100 A 100 A</t>
        </is>
      </c>
      <c r="L178" s="2" t="inlineStr">
        <is>
          <t>ok</t>
        </is>
      </c>
      <c r="M178" s="2" t="inlineStr">
        <is>
          <t>demo reviewer</t>
        </is>
      </c>
      <c r="N178" s="2" t="n"/>
      <c r="O178" s="3" t="inlineStr">
        <is>
          <t>https://vanillabonds.com/dossier-data/pdf/katjes/katjes-2023-annual-report.pdf#page=87</t>
        </is>
      </c>
      <c r="P178" s="3" t="inlineStr">
        <is>
          <t>https://vanillabonds.com/dossier.html?c=katjes&amp;viewer=1&amp;item=F177</t>
        </is>
      </c>
      <c r="Q178" s="2" t="inlineStr"/>
    </row>
    <row r="179">
      <c r="A179" s="2" t="inlineStr">
        <is>
          <t>F178</t>
        </is>
      </c>
      <c r="B179" s="2" t="inlineStr">
        <is>
          <t>governance</t>
        </is>
      </c>
      <c r="C179" s="2" t="inlineStr">
        <is>
          <t>group_entity</t>
        </is>
      </c>
      <c r="D179" s="3" t="inlineStr">
        <is>
          <t>Group entity: entity; jurisdiction; revenue; ebitda; assets; debt; guarantor (yes / no)</t>
        </is>
      </c>
      <c r="E179" s="2" t="n"/>
      <c r="F179" s="2" t="n"/>
      <c r="G179" s="2" t="n"/>
      <c r="H179" s="3" t="inlineStr">
        <is>
          <t>entity: ÖZW Österreichische Zuckerwaren GmbH, Innsbruck; jurisdiction: AT; guarantor: not stated; stake: 100%, fully consolidated</t>
        </is>
      </c>
      <c r="I179" s="2" t="inlineStr">
        <is>
          <t>S1</t>
        </is>
      </c>
      <c r="J179" s="2" t="n">
        <v>87</v>
      </c>
      <c r="K179" s="3" t="inlineStr">
        <is>
          <t>ÖZW Österreichische Zuckerwaren GmbH, Innsbruck/Austria 100 A 100 A</t>
        </is>
      </c>
      <c r="L179" s="2" t="inlineStr">
        <is>
          <t>ok</t>
        </is>
      </c>
      <c r="M179" s="2" t="inlineStr">
        <is>
          <t>demo reviewer</t>
        </is>
      </c>
      <c r="N179" s="2" t="n"/>
      <c r="O179" s="3" t="inlineStr">
        <is>
          <t>https://vanillabonds.com/dossier-data/pdf/katjes/katjes-2023-annual-report.pdf#page=87</t>
        </is>
      </c>
      <c r="P179" s="3" t="inlineStr">
        <is>
          <t>https://vanillabonds.com/dossier.html?c=katjes&amp;viewer=1&amp;item=F178</t>
        </is>
      </c>
      <c r="Q179" s="2" t="inlineStr"/>
    </row>
    <row r="180">
      <c r="A180" s="2" t="inlineStr">
        <is>
          <t>F179</t>
        </is>
      </c>
      <c r="B180" s="2" t="inlineStr">
        <is>
          <t>governance</t>
        </is>
      </c>
      <c r="C180" s="2" t="inlineStr">
        <is>
          <t>group_entity</t>
        </is>
      </c>
      <c r="D180" s="3" t="inlineStr">
        <is>
          <t>Group entity: entity; jurisdiction; revenue; ebitda; assets; debt; guarantor (yes / no)</t>
        </is>
      </c>
      <c r="E180" s="2" t="n"/>
      <c r="F180" s="2" t="n"/>
      <c r="G180" s="2" t="n"/>
      <c r="H180" s="3" t="inlineStr">
        <is>
          <t>entity: Sperlari S.r.l., Cremona; jurisdiction: IT; guarantor: not stated; stake: 100% via Katjes 24 GmbH and Katjes Italy GmbH, fully consolidated; Cremona plus three other Italian production sites; around 38% of trade receivables factored</t>
        </is>
      </c>
      <c r="I180" s="2" t="inlineStr">
        <is>
          <t>S1</t>
        </is>
      </c>
      <c r="J180" s="2" t="n">
        <v>87</v>
      </c>
      <c r="K180" s="3" t="inlineStr">
        <is>
          <t>Sperlari S.r.l., Cremona, Italy 100 A 100 A</t>
        </is>
      </c>
      <c r="L180" s="2" t="inlineStr">
        <is>
          <t>ok</t>
        </is>
      </c>
      <c r="M180" s="2" t="inlineStr">
        <is>
          <t>demo reviewer</t>
        </is>
      </c>
      <c r="N180" s="2" t="n"/>
      <c r="O180" s="3" t="inlineStr">
        <is>
          <t>https://vanillabonds.com/dossier-data/pdf/katjes/katjes-2023-annual-report.pdf#page=87</t>
        </is>
      </c>
      <c r="P180" s="3" t="inlineStr">
        <is>
          <t>https://vanillabonds.com/dossier.html?c=katjes&amp;viewer=1&amp;item=F179</t>
        </is>
      </c>
      <c r="Q180" s="2" t="inlineStr"/>
    </row>
    <row r="181">
      <c r="A181" s="2" t="inlineStr">
        <is>
          <t>F180</t>
        </is>
      </c>
      <c r="B181" s="2" t="inlineStr">
        <is>
          <t>governance</t>
        </is>
      </c>
      <c r="C181" s="2" t="inlineStr">
        <is>
          <t>group_entity</t>
        </is>
      </c>
      <c r="D181" s="3" t="inlineStr">
        <is>
          <t>Group entity: entity; jurisdiction; revenue; ebitda; assets; debt; guarantor (yes / no)</t>
        </is>
      </c>
      <c r="E181" s="2" t="n"/>
      <c r="F181" s="2" t="n"/>
      <c r="G181" s="2" t="n"/>
      <c r="H181" s="3" t="inlineStr">
        <is>
          <t>entity: Dulcioliva S.r.l., Borgo San Dalmazzo; jurisdiction: IT; guarantor: not stated; stake: 75% via Katjes 24 GmbH, Katjes Italy GmbH and Sperlari S.r.l., fully consolidated; option on remaining 25%</t>
        </is>
      </c>
      <c r="I181" s="2" t="inlineStr">
        <is>
          <t>S1</t>
        </is>
      </c>
      <c r="J181" s="2" t="n">
        <v>87</v>
      </c>
      <c r="K181" s="3" t="inlineStr">
        <is>
          <t>Dulcioliva S.r.l., Borgo San Dalmazzo, Italy 75 A 75 A</t>
        </is>
      </c>
      <c r="L181" s="2" t="inlineStr">
        <is>
          <t>ok</t>
        </is>
      </c>
      <c r="M181" s="2" t="inlineStr">
        <is>
          <t>demo reviewer</t>
        </is>
      </c>
      <c r="N181" s="2" t="n"/>
      <c r="O181" s="3" t="inlineStr">
        <is>
          <t>https://vanillabonds.com/dossier-data/pdf/katjes/katjes-2023-annual-report.pdf#page=87</t>
        </is>
      </c>
      <c r="P181" s="3" t="inlineStr">
        <is>
          <t>https://vanillabonds.com/dossier.html?c=katjes&amp;viewer=1&amp;item=F180</t>
        </is>
      </c>
      <c r="Q181" s="2" t="inlineStr"/>
    </row>
    <row r="182">
      <c r="A182" s="2" t="inlineStr">
        <is>
          <t>F181</t>
        </is>
      </c>
      <c r="B182" s="2" t="inlineStr">
        <is>
          <t>governance</t>
        </is>
      </c>
      <c r="C182" s="2" t="inlineStr">
        <is>
          <t>group_entity</t>
        </is>
      </c>
      <c r="D182" s="3" t="inlineStr">
        <is>
          <t>Group entity: entity; jurisdiction; revenue; ebitda; assets; debt; guarantor (yes / no)</t>
        </is>
      </c>
      <c r="E182" s="2" t="n"/>
      <c r="F182" s="2" t="n"/>
      <c r="G182" s="2" t="n"/>
      <c r="H182" s="3" t="inlineStr">
        <is>
          <t>entity: Paluani 1921 S.r.l., Verona; jurisdiction: IT; guarantor: not stated; stake: 100% via Katjes 24 GmbH, Katjes Italy GmbH and Sperlari S.r.l., fully consolidated; panettone and colomba</t>
        </is>
      </c>
      <c r="I182" s="2" t="inlineStr">
        <is>
          <t>S1</t>
        </is>
      </c>
      <c r="J182" s="2" t="n">
        <v>87</v>
      </c>
      <c r="K182" s="3" t="inlineStr">
        <is>
          <t>Paluani 1921 S.r.l.,Verona, Italy 100 A 100 A</t>
        </is>
      </c>
      <c r="L182" s="2" t="inlineStr">
        <is>
          <t>ok</t>
        </is>
      </c>
      <c r="M182" s="2" t="inlineStr">
        <is>
          <t>demo reviewer</t>
        </is>
      </c>
      <c r="N182" s="2" t="n"/>
      <c r="O182" s="3" t="inlineStr">
        <is>
          <t>https://vanillabonds.com/dossier-data/pdf/katjes/katjes-2023-annual-report.pdf#page=87</t>
        </is>
      </c>
      <c r="P182" s="3" t="inlineStr">
        <is>
          <t>https://vanillabonds.com/dossier.html?c=katjes&amp;viewer=1&amp;item=F181</t>
        </is>
      </c>
      <c r="Q182" s="2" t="inlineStr"/>
    </row>
    <row r="183">
      <c r="A183" s="2" t="inlineStr">
        <is>
          <t>F182</t>
        </is>
      </c>
      <c r="B183" s="2" t="inlineStr">
        <is>
          <t>governance</t>
        </is>
      </c>
      <c r="C183" s="2" t="inlineStr">
        <is>
          <t>group_entity</t>
        </is>
      </c>
      <c r="D183" s="3" t="inlineStr">
        <is>
          <t>Group entity: entity; jurisdiction; revenue; ebitda; assets; debt; guarantor (yes / no)</t>
        </is>
      </c>
      <c r="E183" s="2" t="n"/>
      <c r="F183" s="2" t="n"/>
      <c r="G183" s="2" t="n"/>
      <c r="H183" s="3" t="inlineStr">
        <is>
          <t>entity: Candy Kittens Ltd., London; jurisdiction: GB; guarantor: not stated; stake: 56.5% via Katjes 24 GmbH and Katjes France GmbH, fully consolidated; functional currency GBP; 70% of trade receivables factored</t>
        </is>
      </c>
      <c r="I183" s="2" t="inlineStr">
        <is>
          <t>S1</t>
        </is>
      </c>
      <c r="J183" s="2" t="n">
        <v>87</v>
      </c>
      <c r="K183" s="3" t="inlineStr">
        <is>
          <t>Candy Kittens Ltd., London, UK 56.5 A 56.5 A</t>
        </is>
      </c>
      <c r="L183" s="2" t="inlineStr">
        <is>
          <t>ok</t>
        </is>
      </c>
      <c r="M183" s="2" t="inlineStr">
        <is>
          <t>demo reviewer</t>
        </is>
      </c>
      <c r="N183" s="2" t="n"/>
      <c r="O183" s="3" t="inlineStr">
        <is>
          <t>https://vanillabonds.com/dossier-data/pdf/katjes/katjes-2023-annual-report.pdf#page=87</t>
        </is>
      </c>
      <c r="P183" s="3" t="inlineStr">
        <is>
          <t>https://vanillabonds.com/dossier.html?c=katjes&amp;viewer=1&amp;item=F182</t>
        </is>
      </c>
      <c r="Q183" s="2" t="inlineStr"/>
    </row>
    <row r="184">
      <c r="A184" s="2" t="inlineStr">
        <is>
          <t>F183</t>
        </is>
      </c>
      <c r="B184" s="2" t="inlineStr">
        <is>
          <t>governance</t>
        </is>
      </c>
      <c r="C184" s="2" t="inlineStr">
        <is>
          <t>group_entity</t>
        </is>
      </c>
      <c r="D184" s="3" t="inlineStr">
        <is>
          <t>Group entity: entity; jurisdiction; revenue; ebitda; assets; debt; guarantor (yes / no)</t>
        </is>
      </c>
      <c r="E184" s="2" t="n"/>
      <c r="F184" s="2" t="n"/>
      <c r="G184" s="2" t="n"/>
      <c r="H184" s="3" t="inlineStr">
        <is>
          <t>entity: Longaim Ltd, London; jurisdiction: GB; guarantor: not stated; stake: 56.5%, fully consolidated (subsidiary of Candy Kittens), functional currency GBP</t>
        </is>
      </c>
      <c r="I184" s="2" t="inlineStr">
        <is>
          <t>S1</t>
        </is>
      </c>
      <c r="J184" s="2" t="n">
        <v>87</v>
      </c>
      <c r="K184" s="2" t="inlineStr">
        <is>
          <t>Longaim Ltd, London, UK 56.5 A 56.5 A</t>
        </is>
      </c>
      <c r="L184" s="2" t="inlineStr">
        <is>
          <t>ok</t>
        </is>
      </c>
      <c r="M184" s="2" t="inlineStr">
        <is>
          <t>demo reviewer</t>
        </is>
      </c>
      <c r="N184" s="2" t="n"/>
      <c r="O184" s="3" t="inlineStr">
        <is>
          <t>https://vanillabonds.com/dossier-data/pdf/katjes/katjes-2023-annual-report.pdf#page=87</t>
        </is>
      </c>
      <c r="P184" s="3" t="inlineStr">
        <is>
          <t>https://vanillabonds.com/dossier.html?c=katjes&amp;viewer=1&amp;item=F183</t>
        </is>
      </c>
      <c r="Q184" s="2" t="inlineStr"/>
    </row>
    <row r="185">
      <c r="A185" s="2" t="inlineStr">
        <is>
          <t>F184</t>
        </is>
      </c>
      <c r="B185" s="2" t="inlineStr">
        <is>
          <t>governance</t>
        </is>
      </c>
      <c r="C185" s="2" t="inlineStr">
        <is>
          <t>group_entity</t>
        </is>
      </c>
      <c r="D185" s="3" t="inlineStr">
        <is>
          <t>Group entity: entity; jurisdiction; revenue; ebitda; assets; debt; guarantor (yes / no)</t>
        </is>
      </c>
      <c r="E185" s="2" t="n"/>
      <c r="F185" s="2" t="n"/>
      <c r="G185" s="2" t="n"/>
      <c r="H185" s="3" t="inlineStr">
        <is>
          <t>entity: Tuckshop Ltd, London; jurisdiction: GB; guarantor: not stated; stake: 75%, fully consolidated</t>
        </is>
      </c>
      <c r="I185" s="2" t="inlineStr">
        <is>
          <t>S1</t>
        </is>
      </c>
      <c r="J185" s="2" t="n">
        <v>87</v>
      </c>
      <c r="K185" s="2" t="inlineStr">
        <is>
          <t>Tuckshop Ltd, London, UK 75 A 75 A</t>
        </is>
      </c>
      <c r="L185" s="2" t="inlineStr">
        <is>
          <t>ok</t>
        </is>
      </c>
      <c r="M185" s="2" t="inlineStr">
        <is>
          <t>demo reviewer</t>
        </is>
      </c>
      <c r="N185" s="2" t="n"/>
      <c r="O185" s="3" t="inlineStr">
        <is>
          <t>https://vanillabonds.com/dossier-data/pdf/katjes/katjes-2023-annual-report.pdf#page=87</t>
        </is>
      </c>
      <c r="P185" s="3" t="inlineStr">
        <is>
          <t>https://vanillabonds.com/dossier.html?c=katjes&amp;viewer=1&amp;item=F184</t>
        </is>
      </c>
      <c r="Q185" s="2" t="inlineStr"/>
    </row>
    <row r="186">
      <c r="A186" s="2" t="inlineStr">
        <is>
          <t>F185</t>
        </is>
      </c>
      <c r="B186" s="2" t="inlineStr">
        <is>
          <t>governance</t>
        </is>
      </c>
      <c r="C186" s="2" t="inlineStr">
        <is>
          <t>group_entity</t>
        </is>
      </c>
      <c r="D186" s="3" t="inlineStr">
        <is>
          <t>Group entity: entity; jurisdiction; revenue; ebitda; assets; debt; guarantor (yes / no)</t>
        </is>
      </c>
      <c r="E186" s="2" t="n"/>
      <c r="F186" s="2" t="n"/>
      <c r="G186" s="2" t="n"/>
      <c r="H186" s="3" t="inlineStr">
        <is>
          <t>entity: Nuud Snacks Ltd, London; jurisdiction: GB; guarantor: not stated; stake: 10%, not consolidated</t>
        </is>
      </c>
      <c r="I186" s="2" t="inlineStr">
        <is>
          <t>S1</t>
        </is>
      </c>
      <c r="J186" s="2" t="n">
        <v>87</v>
      </c>
      <c r="K186" s="2" t="inlineStr">
        <is>
          <t>Nuud Snacks Ltd, London ,UK 10 -— 10 -—</t>
        </is>
      </c>
      <c r="L186" s="2" t="inlineStr">
        <is>
          <t>ok</t>
        </is>
      </c>
      <c r="M186" s="2" t="inlineStr">
        <is>
          <t>demo reviewer</t>
        </is>
      </c>
      <c r="N186" s="2" t="n"/>
      <c r="O186" s="3" t="inlineStr">
        <is>
          <t>https://vanillabonds.com/dossier-data/pdf/katjes/katjes-2023-annual-report.pdf#page=87</t>
        </is>
      </c>
      <c r="P186" s="3" t="inlineStr">
        <is>
          <t>https://vanillabonds.com/dossier.html?c=katjes&amp;viewer=1&amp;item=F185</t>
        </is>
      </c>
      <c r="Q186" s="2" t="inlineStr"/>
    </row>
    <row r="187">
      <c r="A187" s="2" t="inlineStr">
        <is>
          <t>F186</t>
        </is>
      </c>
      <c r="B187" s="2" t="inlineStr">
        <is>
          <t>governance</t>
        </is>
      </c>
      <c r="C187" s="2" t="inlineStr">
        <is>
          <t>group_entity</t>
        </is>
      </c>
      <c r="D187" s="3" t="inlineStr">
        <is>
          <t>Group entity: entity; jurisdiction; revenue; ebitda; assets; debt; guarantor (yes / no)</t>
        </is>
      </c>
      <c r="E187" s="2" t="n"/>
      <c r="F187" s="2" t="n"/>
      <c r="G187" s="2" t="n"/>
      <c r="H187" s="3" t="inlineStr">
        <is>
          <t>entity: Theramed GmbH, Smile Cosmetics GmbH, Antica Erboristeria GmbH, Laboratoires Vademecum GmbH, Licor del Polo GmbH (Düsseldorf); jurisdiction: DE; guarantor: not stated; in the process of being founded at 31 Dec 2023</t>
        </is>
      </c>
      <c r="I187" s="2" t="inlineStr">
        <is>
          <t>S1</t>
        </is>
      </c>
      <c r="J187" s="2" t="n">
        <v>87</v>
      </c>
      <c r="K187" s="3" t="inlineStr">
        <is>
          <t>31 December 2023:Theramed GmbH, Düsseldorf, Smile Cosmetics GmbH, Düsseldorf, Antica Erboristeria GmbH, Düsseldorf, Laboratoires Vademecum GmbH, Düsseldorf,</t>
        </is>
      </c>
      <c r="L187" s="2" t="inlineStr">
        <is>
          <t>ok</t>
        </is>
      </c>
      <c r="M187" s="2" t="inlineStr">
        <is>
          <t>demo reviewer</t>
        </is>
      </c>
      <c r="N187" s="2" t="n"/>
      <c r="O187" s="3" t="inlineStr">
        <is>
          <t>https://vanillabonds.com/dossier-data/pdf/katjes/katjes-2023-annual-report.pdf#page=87</t>
        </is>
      </c>
      <c r="P187" s="3" t="inlineStr">
        <is>
          <t>https://vanillabonds.com/dossier.html?c=katjes&amp;viewer=1&amp;item=F186</t>
        </is>
      </c>
      <c r="Q187" s="2" t="inlineStr"/>
    </row>
    <row r="188">
      <c r="A188" s="2" t="inlineStr">
        <is>
          <t>F187</t>
        </is>
      </c>
      <c r="B188" s="2" t="inlineStr">
        <is>
          <t>governance</t>
        </is>
      </c>
      <c r="C188" s="2" t="inlineStr">
        <is>
          <t>board_member</t>
        </is>
      </c>
      <c r="D188" s="3" t="inlineStr">
        <is>
          <t>Board member: name; body (management / supervisory); role; since; independent (yes / no); committees</t>
        </is>
      </c>
      <c r="E188" s="2" t="n"/>
      <c r="F188" s="2" t="n"/>
      <c r="G188" s="2" t="n"/>
      <c r="H188" s="3" t="inlineStr">
        <is>
          <t>name: Stephan Milde; body: management; role: Managing Director (CFO), appointed managing director of the general partner; since: 2012; independent: no</t>
        </is>
      </c>
      <c r="I188" s="2" t="inlineStr">
        <is>
          <t>S1</t>
        </is>
      </c>
      <c r="J188" s="2" t="n">
        <v>6</v>
      </c>
      <c r="K188" s="3" t="inlineStr">
        <is>
          <t>STEPHAN MILDE Managing Director (CFO) of Katjes International</t>
        </is>
      </c>
      <c r="L188" s="2" t="inlineStr">
        <is>
          <t>ok</t>
        </is>
      </c>
      <c r="M188" s="2" t="inlineStr">
        <is>
          <t>demo reviewer</t>
        </is>
      </c>
      <c r="N188" s="2" t="n"/>
      <c r="O188" s="3" t="inlineStr">
        <is>
          <t>https://vanillabonds.com/dossier-data/pdf/katjes/katjes-2023-annual-report.pdf#page=6</t>
        </is>
      </c>
      <c r="P188" s="3" t="inlineStr">
        <is>
          <t>https://vanillabonds.com/dossier.html?c=katjes&amp;viewer=1&amp;item=F187</t>
        </is>
      </c>
      <c r="Q188" s="2" t="inlineStr"/>
    </row>
    <row r="189">
      <c r="A189" s="2" t="inlineStr">
        <is>
          <t>F188</t>
        </is>
      </c>
      <c r="B189" s="2" t="inlineStr">
        <is>
          <t>governance</t>
        </is>
      </c>
      <c r="C189" s="2" t="inlineStr">
        <is>
          <t>board_member</t>
        </is>
      </c>
      <c r="D189" s="3" t="inlineStr">
        <is>
          <t>Board member: name; body (management / supervisory); role; since; independent (yes / no); committees</t>
        </is>
      </c>
      <c r="E189" s="2" t="n"/>
      <c r="F189" s="2" t="n"/>
      <c r="G189" s="2" t="n"/>
      <c r="H189" s="3" t="inlineStr">
        <is>
          <t>name: Bastian Fassin; body: management; role: Managing Shareholder, shareholder of general partner Xaver Fassin International GmbH and limited partner; since: 2004; independent: no</t>
        </is>
      </c>
      <c r="I189" s="2" t="inlineStr">
        <is>
          <t>S1</t>
        </is>
      </c>
      <c r="J189" s="2" t="n">
        <v>6</v>
      </c>
      <c r="K189" s="3" t="inlineStr">
        <is>
          <t>BASTIAN FASSIN Managing Shareholder of Katjes International</t>
        </is>
      </c>
      <c r="L189" s="2" t="inlineStr">
        <is>
          <t>ok</t>
        </is>
      </c>
      <c r="M189" s="2" t="inlineStr">
        <is>
          <t>demo reviewer</t>
        </is>
      </c>
      <c r="N189" s="2" t="n"/>
      <c r="O189" s="3" t="inlineStr">
        <is>
          <t>https://vanillabonds.com/dossier-data/pdf/katjes/katjes-2023-annual-report.pdf#page=6</t>
        </is>
      </c>
      <c r="P189" s="3" t="inlineStr">
        <is>
          <t>https://vanillabonds.com/dossier.html?c=katjes&amp;viewer=1&amp;item=F188</t>
        </is>
      </c>
      <c r="Q189" s="2" t="inlineStr"/>
    </row>
    <row r="190">
      <c r="A190" s="2" t="inlineStr">
        <is>
          <t>F189</t>
        </is>
      </c>
      <c r="B190" s="2" t="inlineStr">
        <is>
          <t>governance</t>
        </is>
      </c>
      <c r="C190" s="2" t="inlineStr">
        <is>
          <t>board_member</t>
        </is>
      </c>
      <c r="D190" s="3" t="inlineStr">
        <is>
          <t>Board member: name; body (management / supervisory); role; since; independent (yes / no); committees</t>
        </is>
      </c>
      <c r="E190" s="2" t="n"/>
      <c r="F190" s="2" t="n"/>
      <c r="G190" s="2" t="n"/>
      <c r="H190" s="3" t="inlineStr">
        <is>
          <t>name: Tobias Bachmüller; body: management; role: Managing Shareholder, shareholder of general partner Xaver Fassin International GmbH and limited partner; since: 1996; independent: no</t>
        </is>
      </c>
      <c r="I190" s="2" t="inlineStr">
        <is>
          <t>S1</t>
        </is>
      </c>
      <c r="J190" s="2" t="n">
        <v>6</v>
      </c>
      <c r="K190" s="3" t="inlineStr">
        <is>
          <t>TOBIAS BACHMÜLLER Managing Shareholder of Katjes International</t>
        </is>
      </c>
      <c r="L190" s="2" t="inlineStr">
        <is>
          <t>ok</t>
        </is>
      </c>
      <c r="M190" s="2" t="inlineStr">
        <is>
          <t>demo reviewer</t>
        </is>
      </c>
      <c r="N190" s="2" t="n"/>
      <c r="O190" s="3" t="inlineStr">
        <is>
          <t>https://vanillabonds.com/dossier-data/pdf/katjes/katjes-2023-annual-report.pdf#page=6</t>
        </is>
      </c>
      <c r="P190" s="3" t="inlineStr">
        <is>
          <t>https://vanillabonds.com/dossier.html?c=katjes&amp;viewer=1&amp;item=F189</t>
        </is>
      </c>
      <c r="Q190" s="2" t="inlineStr"/>
    </row>
    <row r="191">
      <c r="A191" s="2" t="inlineStr">
        <is>
          <t>F190</t>
        </is>
      </c>
      <c r="B191" s="2" t="inlineStr">
        <is>
          <t>governance</t>
        </is>
      </c>
      <c r="C191" s="2" t="inlineStr">
        <is>
          <t>related_party_flow</t>
        </is>
      </c>
      <c r="D191" s="3" t="inlineStr">
        <is>
          <t>Related-party flow: counterparty; kind (fee, rent, dividend, buyback, loan); amount; year; terms</t>
        </is>
      </c>
      <c r="E191" s="2" t="n"/>
      <c r="F191" s="2" t="n">
        <v>0.1</v>
      </c>
      <c r="G191" s="2" t="n"/>
      <c r="H191" s="3" t="inlineStr">
        <is>
          <t>counterparty: related parties; kind: loan interest income; amount: 0.1; year: 2023; terms: previous year 0.3</t>
        </is>
      </c>
      <c r="I191" s="2" t="inlineStr">
        <is>
          <t>S1</t>
        </is>
      </c>
      <c r="J191" s="2" t="n">
        <v>79</v>
      </c>
      <c r="K191" s="3" t="inlineStr">
        <is>
          <t>from loans to related parties (EUR 0.1 million; previous year: EUR 0.3 million).</t>
        </is>
      </c>
      <c r="L191" s="2" t="inlineStr">
        <is>
          <t>ok</t>
        </is>
      </c>
      <c r="M191" s="2" t="inlineStr">
        <is>
          <t>demo reviewer</t>
        </is>
      </c>
      <c r="N191" s="2" t="n"/>
      <c r="O191" s="3" t="inlineStr">
        <is>
          <t>https://vanillabonds.com/dossier-data/pdf/katjes/katjes-2023-annual-report.pdf#page=79</t>
        </is>
      </c>
      <c r="P191" s="3" t="inlineStr">
        <is>
          <t>https://vanillabonds.com/dossier.html?c=katjes&amp;viewer=1&amp;item=F190</t>
        </is>
      </c>
      <c r="Q191" s="2" t="inlineStr"/>
    </row>
    <row r="192">
      <c r="A192" s="2" t="inlineStr">
        <is>
          <t>F191</t>
        </is>
      </c>
      <c r="B192" s="2" t="inlineStr">
        <is>
          <t>governance</t>
        </is>
      </c>
      <c r="C192" s="2" t="inlineStr">
        <is>
          <t>related_party_flow</t>
        </is>
      </c>
      <c r="D192" s="3" t="inlineStr">
        <is>
          <t>Related-party flow: counterparty; kind (fee, rent, dividend, buyback, loan); amount; year; terms</t>
        </is>
      </c>
      <c r="E192" s="2" t="n"/>
      <c r="F192" s="2" t="n">
        <v>14.7</v>
      </c>
      <c r="G192" s="2" t="n"/>
      <c r="H192" s="3" t="inlineStr">
        <is>
          <t>counterparty: Katjes Germany (Katjes Fassin GmbH + Co. KG); kind: purchase of goods and services; amount: 14.7; year: 2023; terms: arm's length, not collateralised (2022: 10.2)</t>
        </is>
      </c>
      <c r="I192" s="2" t="inlineStr">
        <is>
          <t>S1</t>
        </is>
      </c>
      <c r="J192" s="2" t="n">
        <v>84</v>
      </c>
      <c r="K192" s="3" t="inlineStr">
        <is>
          <t>Purchase of goods and services from Katjes Germany 14.7 10.2</t>
        </is>
      </c>
      <c r="L192" s="2" t="inlineStr">
        <is>
          <t>ok</t>
        </is>
      </c>
      <c r="M192" s="2" t="inlineStr">
        <is>
          <t>demo reviewer</t>
        </is>
      </c>
      <c r="N192" s="2" t="n"/>
      <c r="O192" s="3" t="inlineStr">
        <is>
          <t>https://vanillabonds.com/dossier-data/pdf/katjes/katjes-2023-annual-report.pdf#page=84</t>
        </is>
      </c>
      <c r="P192" s="3" t="inlineStr">
        <is>
          <t>https://vanillabonds.com/dossier.html?c=katjes&amp;viewer=1&amp;item=F191</t>
        </is>
      </c>
      <c r="Q192" s="2" t="inlineStr"/>
    </row>
    <row r="193">
      <c r="A193" s="2" t="inlineStr">
        <is>
          <t>F192</t>
        </is>
      </c>
      <c r="B193" s="2" t="inlineStr">
        <is>
          <t>governance</t>
        </is>
      </c>
      <c r="C193" s="2" t="inlineStr">
        <is>
          <t>related_party_flow</t>
        </is>
      </c>
      <c r="D193" s="3" t="inlineStr">
        <is>
          <t>Related-party flow: counterparty; kind (fee, rent, dividend, buyback, loan); amount; year; terms</t>
        </is>
      </c>
      <c r="E193" s="2" t="n"/>
      <c r="F193" s="2" t="n">
        <v>2</v>
      </c>
      <c r="G193" s="2" t="n"/>
      <c r="H193" s="3" t="inlineStr">
        <is>
          <t>counterparty: Katjes Germany; kind: trade payable for goods and services; amount: 2.0; year: 2023 (2022: 1.2)</t>
        </is>
      </c>
      <c r="I193" s="2" t="inlineStr">
        <is>
          <t>S1</t>
        </is>
      </c>
      <c r="J193" s="2" t="n">
        <v>84</v>
      </c>
      <c r="K193" s="2" t="inlineStr">
        <is>
          <t>vices to Katjes Germany 2.0 1.2</t>
        </is>
      </c>
      <c r="L193" s="2" t="inlineStr">
        <is>
          <t>ok</t>
        </is>
      </c>
      <c r="M193" s="2" t="inlineStr">
        <is>
          <t>demo reviewer</t>
        </is>
      </c>
      <c r="N193" s="2" t="n"/>
      <c r="O193" s="3" t="inlineStr">
        <is>
          <t>https://vanillabonds.com/dossier-data/pdf/katjes/katjes-2023-annual-report.pdf#page=84</t>
        </is>
      </c>
      <c r="P193" s="3" t="inlineStr">
        <is>
          <t>https://vanillabonds.com/dossier.html?c=katjes&amp;viewer=1&amp;item=F192</t>
        </is>
      </c>
      <c r="Q193" s="2" t="inlineStr"/>
    </row>
    <row r="194">
      <c r="A194" s="2" t="inlineStr">
        <is>
          <t>F193</t>
        </is>
      </c>
      <c r="B194" s="2" t="inlineStr">
        <is>
          <t>governance</t>
        </is>
      </c>
      <c r="C194" s="2" t="inlineStr">
        <is>
          <t>related_party_flow</t>
        </is>
      </c>
      <c r="D194" s="3" t="inlineStr">
        <is>
          <t>Related-party flow: counterparty; kind (fee, rent, dividend, buyback, loan); amount; year; terms</t>
        </is>
      </c>
      <c r="E194" s="2" t="n"/>
      <c r="F194" s="2" t="n">
        <v>0.3</v>
      </c>
      <c r="G194" s="2" t="n"/>
      <c r="H194" s="3" t="inlineStr">
        <is>
          <t>counterparty: Katjes Germany; kind: sale of goods; amount: 0.3; year: 2023 (2022: 0.3)</t>
        </is>
      </c>
      <c r="I194" s="2" t="inlineStr">
        <is>
          <t>S1</t>
        </is>
      </c>
      <c r="J194" s="2" t="n">
        <v>84</v>
      </c>
      <c r="K194" s="2" t="inlineStr">
        <is>
          <t>Sale of goods to Katjes Germany 0.3 0.3</t>
        </is>
      </c>
      <c r="L194" s="2" t="inlineStr">
        <is>
          <t>ok</t>
        </is>
      </c>
      <c r="M194" s="2" t="inlineStr">
        <is>
          <t>demo reviewer</t>
        </is>
      </c>
      <c r="N194" s="2" t="n"/>
      <c r="O194" s="3" t="inlineStr">
        <is>
          <t>https://vanillabonds.com/dossier-data/pdf/katjes/katjes-2023-annual-report.pdf#page=84</t>
        </is>
      </c>
      <c r="P194" s="3" t="inlineStr">
        <is>
          <t>https://vanillabonds.com/dossier.html?c=katjes&amp;viewer=1&amp;item=F193</t>
        </is>
      </c>
      <c r="Q194" s="2" t="inlineStr"/>
    </row>
    <row r="195">
      <c r="A195" s="2" t="inlineStr">
        <is>
          <t>F194</t>
        </is>
      </c>
      <c r="B195" s="2" t="inlineStr">
        <is>
          <t>governance</t>
        </is>
      </c>
      <c r="C195" s="2" t="inlineStr">
        <is>
          <t>related_party_flow</t>
        </is>
      </c>
      <c r="D195" s="3" t="inlineStr">
        <is>
          <t>Related-party flow: counterparty; kind (fee, rent, dividend, buyback, loan); amount; year; terms</t>
        </is>
      </c>
      <c r="E195" s="2" t="n"/>
      <c r="F195" s="2" t="n">
        <v>7.7</v>
      </c>
      <c r="G195" s="2" t="n"/>
      <c r="H195" s="3" t="inlineStr">
        <is>
          <t>counterparty: related parties; kind: other income; amount: 7.7; year: 2023 (2022: 5.0)</t>
        </is>
      </c>
      <c r="I195" s="2" t="inlineStr">
        <is>
          <t>S1</t>
        </is>
      </c>
      <c r="J195" s="2" t="n">
        <v>84</v>
      </c>
      <c r="K195" s="2" t="inlineStr">
        <is>
          <t>Other income 7.7 5.0</t>
        </is>
      </c>
      <c r="L195" s="2" t="inlineStr">
        <is>
          <t>ok</t>
        </is>
      </c>
      <c r="M195" s="2" t="inlineStr">
        <is>
          <t>demo reviewer</t>
        </is>
      </c>
      <c r="N195" s="2" t="n"/>
      <c r="O195" s="3" t="inlineStr">
        <is>
          <t>https://vanillabonds.com/dossier-data/pdf/katjes/katjes-2023-annual-report.pdf#page=84</t>
        </is>
      </c>
      <c r="P195" s="3" t="inlineStr">
        <is>
          <t>https://vanillabonds.com/dossier.html?c=katjes&amp;viewer=1&amp;item=F194</t>
        </is>
      </c>
      <c r="Q195" s="2" t="inlineStr"/>
    </row>
    <row r="196">
      <c r="A196" s="2" t="inlineStr">
        <is>
          <t>F195</t>
        </is>
      </c>
      <c r="B196" s="2" t="inlineStr">
        <is>
          <t>governance</t>
        </is>
      </c>
      <c r="C196" s="2" t="inlineStr">
        <is>
          <t>related_party_flow</t>
        </is>
      </c>
      <c r="D196" s="3" t="inlineStr">
        <is>
          <t>Related-party flow: counterparty; kind (fee, rent, dividend, buyback, loan); amount; year; terms</t>
        </is>
      </c>
      <c r="E196" s="2" t="n"/>
      <c r="F196" s="2" t="n">
        <v>1.8</v>
      </c>
      <c r="G196" s="2" t="n"/>
      <c r="H196" s="3" t="inlineStr">
        <is>
          <t>counterparty: related companies; kind: loan; amount: 1.8; year: 2023 (2022: 3.6); interest income from loans to related parties 0.1 (2022: 0.3)</t>
        </is>
      </c>
      <c r="I196" s="2" t="inlineStr">
        <is>
          <t>S1</t>
        </is>
      </c>
      <c r="J196" s="2" t="n">
        <v>84</v>
      </c>
      <c r="K196" s="2" t="inlineStr">
        <is>
          <t>Loans to related companies 1.8 3.6</t>
        </is>
      </c>
      <c r="L196" s="2" t="inlineStr">
        <is>
          <t>ok</t>
        </is>
      </c>
      <c r="M196" s="2" t="inlineStr">
        <is>
          <t>demo reviewer</t>
        </is>
      </c>
      <c r="N196" s="2" t="n"/>
      <c r="O196" s="3" t="inlineStr">
        <is>
          <t>https://vanillabonds.com/dossier-data/pdf/katjes/katjes-2023-annual-report.pdf#page=84</t>
        </is>
      </c>
      <c r="P196" s="3" t="inlineStr">
        <is>
          <t>https://vanillabonds.com/dossier.html?c=katjes&amp;viewer=1&amp;item=F195</t>
        </is>
      </c>
      <c r="Q196" s="2" t="inlineStr"/>
    </row>
    <row r="197">
      <c r="A197" s="2" t="inlineStr">
        <is>
          <t>F196</t>
        </is>
      </c>
      <c r="B197" s="2" t="inlineStr">
        <is>
          <t>governance</t>
        </is>
      </c>
      <c r="C197" s="2" t="inlineStr">
        <is>
          <t>related_party_flow</t>
        </is>
      </c>
      <c r="D197" s="3" t="inlineStr">
        <is>
          <t>Related-party flow: counterparty; kind (fee, rent, dividend, buyback, loan); amount; year; terms</t>
        </is>
      </c>
      <c r="E197" s="2" t="n"/>
      <c r="F197" s="2" t="n">
        <v>0.5</v>
      </c>
      <c r="G197" s="2" t="n"/>
      <c r="H197" s="3" t="inlineStr">
        <is>
          <t>counterparty: limited partners Bastian Fassin and Tobias Bachmüller; kind: interest-bearing clearing accounts; amount: 0.5; year: 2023 (2022: 0.5); terms: 5.0% interest</t>
        </is>
      </c>
      <c r="I197" s="2" t="inlineStr">
        <is>
          <t>S1</t>
        </is>
      </c>
      <c r="J197" s="2" t="n">
        <v>84</v>
      </c>
      <c r="K197" s="3" t="inlineStr">
        <is>
          <t>Interest-bearing clearing accounts of the limited partners 0.5 0.5</t>
        </is>
      </c>
      <c r="L197" s="2" t="inlineStr">
        <is>
          <t>ok</t>
        </is>
      </c>
      <c r="M197" s="2" t="inlineStr">
        <is>
          <t>demo reviewer</t>
        </is>
      </c>
      <c r="N197" s="2" t="n"/>
      <c r="O197" s="3" t="inlineStr">
        <is>
          <t>https://vanillabonds.com/dossier-data/pdf/katjes/katjes-2023-annual-report.pdf#page=84</t>
        </is>
      </c>
      <c r="P197" s="3" t="inlineStr">
        <is>
          <t>https://vanillabonds.com/dossier.html?c=katjes&amp;viewer=1&amp;item=F196</t>
        </is>
      </c>
      <c r="Q197" s="2" t="inlineStr"/>
    </row>
    <row r="198">
      <c r="A198" s="2" t="inlineStr">
        <is>
          <t>F197</t>
        </is>
      </c>
      <c r="B198" s="2" t="inlineStr">
        <is>
          <t>governance</t>
        </is>
      </c>
      <c r="C198" s="2" t="inlineStr">
        <is>
          <t>shareholder_loan</t>
        </is>
      </c>
      <c r="D198" s="3" t="inlineStr">
        <is>
          <t>Shareholder loan: lender; amount; rate; maturity; subordinated (yes / no)</t>
        </is>
      </c>
      <c r="E198" s="2" t="n"/>
      <c r="F198" s="2" t="n">
        <v>0.5</v>
      </c>
      <c r="G198" s="2" t="n"/>
      <c r="H198" s="3" t="inlineStr">
        <is>
          <t>lender: limited partners (interest-bearing clearing accounts); amount: 0.5; rate: 5.0% (2022: 5.0%); maturity: not stated; subordinated: not stated</t>
        </is>
      </c>
      <c r="I198" s="2" t="inlineStr">
        <is>
          <t>S1</t>
        </is>
      </c>
      <c r="J198" s="2" t="n">
        <v>84</v>
      </c>
      <c r="K198" s="3" t="inlineStr">
        <is>
          <t>ners bear interest at a rate of 5.0% (2022: 5.0%).</t>
        </is>
      </c>
      <c r="L198" s="2" t="inlineStr">
        <is>
          <t>ok</t>
        </is>
      </c>
      <c r="M198" s="2" t="inlineStr">
        <is>
          <t>demo reviewer</t>
        </is>
      </c>
      <c r="N198" s="2" t="n"/>
      <c r="O198" s="3" t="inlineStr">
        <is>
          <t>https://vanillabonds.com/dossier-data/pdf/katjes/katjes-2023-annual-report.pdf#page=84</t>
        </is>
      </c>
      <c r="P198" s="3" t="inlineStr">
        <is>
          <t>https://vanillabonds.com/dossier.html?c=katjes&amp;viewer=1&amp;item=F197</t>
        </is>
      </c>
      <c r="Q198" s="2" t="inlineStr"/>
    </row>
    <row r="199">
      <c r="A199" s="2" t="inlineStr">
        <is>
          <t>F198</t>
        </is>
      </c>
      <c r="B199" s="2" t="inlineStr">
        <is>
          <t>governance</t>
        </is>
      </c>
      <c r="C199" s="2" t="inlineStr">
        <is>
          <t>owner_stake</t>
        </is>
      </c>
      <c r="D199" s="3" t="inlineStr">
        <is>
          <t>Owner's stake as stated: personal guarantee, pledged shares, family charter</t>
        </is>
      </c>
      <c r="E199" s="2" t="n"/>
      <c r="F199" s="2" t="n"/>
      <c r="G199" s="2" t="n"/>
      <c r="H199" s="3" t="inlineStr">
        <is>
          <t>Limited partners' fixed capital shares: Bastian Fassin EUR 0.5m, Tobias Bachmüller EUR 0.1m (registered liability EUR 540k / EUR 60k); interest-bearing clearing accounts of the limited partners EUR 0.5m at 5.0%.</t>
        </is>
      </c>
      <c r="I199" s="2" t="inlineStr">
        <is>
          <t>S1</t>
        </is>
      </c>
      <c r="J199" s="2" t="n">
        <v>71</v>
      </c>
      <c r="K199" s="3" t="inlineStr">
        <is>
          <t>Limited partner Bastian Fassin 0.5 0.5 Limited partner Tobias Bachmüller 0.1 0.1</t>
        </is>
      </c>
      <c r="L199" s="2" t="inlineStr">
        <is>
          <t>ok</t>
        </is>
      </c>
      <c r="M199" s="2" t="inlineStr">
        <is>
          <t>demo reviewer</t>
        </is>
      </c>
      <c r="N199" s="2" t="n"/>
      <c r="O199" s="3" t="inlineStr">
        <is>
          <t>https://vanillabonds.com/dossier-data/pdf/katjes/katjes-2023-annual-report.pdf#page=71</t>
        </is>
      </c>
      <c r="P199" s="3" t="inlineStr">
        <is>
          <t>https://vanillabonds.com/dossier.html?c=katjes&amp;viewer=1&amp;item=F198</t>
        </is>
      </c>
      <c r="Q199" s="2" t="inlineStr"/>
    </row>
    <row r="200">
      <c r="A200" s="2" t="inlineStr">
        <is>
          <t>F199</t>
        </is>
      </c>
      <c r="B200" s="2" t="inlineStr">
        <is>
          <t>market</t>
        </is>
      </c>
      <c r="C200" s="2" t="inlineStr">
        <is>
          <t>market_series</t>
        </is>
      </c>
      <c r="D200" s="3" t="inlineStr">
        <is>
          <t>Market variable: variable; year; value; unit; source (a distribution adds n; median; spread; p10; p25; p75; p90)</t>
        </is>
      </c>
      <c r="E200" s="2" t="n"/>
      <c r="F200" s="2" t="n">
        <v>298</v>
      </c>
      <c r="G200" s="2" t="n"/>
      <c r="H200" s="3" t="inlineStr">
        <is>
          <t>variable: European sugar confectionery market volume (forecast); year: 2028; value: just under 298; unit: EUR bn; source: statista, November 2023</t>
        </is>
      </c>
      <c r="I200" s="2" t="inlineStr">
        <is>
          <t>S1</t>
        </is>
      </c>
      <c r="J200" s="2" t="n">
        <v>29</v>
      </c>
      <c r="K200" s="3" t="inlineStr">
        <is>
          <t>dicting that the European sugar confectionery market will continue to grow and will reach a volume of just under EUR 298 billion by 2028.</t>
        </is>
      </c>
      <c r="L200" s="2" t="inlineStr">
        <is>
          <t>ok</t>
        </is>
      </c>
      <c r="M200" s="2" t="inlineStr">
        <is>
          <t>demo reviewer</t>
        </is>
      </c>
      <c r="N200" s="2" t="n"/>
      <c r="O200" s="3" t="inlineStr">
        <is>
          <t>https://vanillabonds.com/dossier-data/pdf/katjes/katjes-2023-annual-report.pdf#page=29</t>
        </is>
      </c>
      <c r="P200" s="3" t="inlineStr">
        <is>
          <t>https://vanillabonds.com/dossier.html?c=katjes&amp;viewer=1&amp;item=F199</t>
        </is>
      </c>
      <c r="Q200" s="2" t="inlineStr"/>
    </row>
    <row r="201">
      <c r="A201" s="2" t="inlineStr">
        <is>
          <t>F200</t>
        </is>
      </c>
      <c r="B201" s="2" t="inlineStr">
        <is>
          <t>market</t>
        </is>
      </c>
      <c r="C201" s="2" t="inlineStr">
        <is>
          <t>market_series</t>
        </is>
      </c>
      <c r="D201" s="3" t="inlineStr">
        <is>
          <t>Market variable: variable; year; value; unit; source (a distribution adds n; median; spread; p10; p25; p75; p90)</t>
        </is>
      </c>
      <c r="E201" s="2" t="n"/>
      <c r="F201" s="2" t="n">
        <v>4</v>
      </c>
      <c r="G201" s="2" t="n"/>
      <c r="H201" s="3" t="inlineStr">
        <is>
          <t>variable: German sugar confectionery market growth; year: 2023; value: just under 4; unit: %; source: company statement (management report)</t>
        </is>
      </c>
      <c r="I201" s="2" t="inlineStr">
        <is>
          <t>S1</t>
        </is>
      </c>
      <c r="J201" s="2" t="n">
        <v>29</v>
      </c>
      <c r="K201" s="3" t="inlineStr">
        <is>
          <t>The German sugar confectionery market grew by just</t>
        </is>
      </c>
      <c r="L201" s="2" t="inlineStr">
        <is>
          <t>ok</t>
        </is>
      </c>
      <c r="M201" s="2" t="inlineStr">
        <is>
          <t>demo reviewer</t>
        </is>
      </c>
      <c r="N201" s="2" t="n"/>
      <c r="O201" s="3" t="inlineStr">
        <is>
          <t>https://vanillabonds.com/dossier-data/pdf/katjes/katjes-2023-annual-report.pdf#page=29</t>
        </is>
      </c>
      <c r="P201" s="3" t="inlineStr">
        <is>
          <t>https://vanillabonds.com/dossier.html?c=katjes&amp;viewer=1&amp;item=F200</t>
        </is>
      </c>
      <c r="Q201" s="2" t="inlineStr"/>
    </row>
    <row r="202">
      <c r="A202" s="2" t="inlineStr">
        <is>
          <t>F201</t>
        </is>
      </c>
      <c r="B202" s="2" t="inlineStr">
        <is>
          <t>market</t>
        </is>
      </c>
      <c r="C202" s="2" t="inlineStr">
        <is>
          <t>market_series</t>
        </is>
      </c>
      <c r="D202" s="3" t="inlineStr">
        <is>
          <t>Market variable: variable; year; value; unit; source (a distribution adds n; median; spread; p10; p25; p75; p90)</t>
        </is>
      </c>
      <c r="E202" s="2" t="n"/>
      <c r="F202" s="2" t="n">
        <v>4.1</v>
      </c>
      <c r="G202" s="2" t="n"/>
      <c r="H202" s="3" t="inlineStr">
        <is>
          <t>variable: European sugar confectionery market growth; year: 2023; value: 4.1; unit: %; source: company statement (management report)</t>
        </is>
      </c>
      <c r="I202" s="2" t="inlineStr">
        <is>
          <t>S1</t>
        </is>
      </c>
      <c r="J202" s="2" t="n">
        <v>29</v>
      </c>
      <c r="K202" s="3" t="inlineStr">
        <is>
          <t>ry market confirms this resilience: a further increase of 4.1% was recorded in 2023</t>
        </is>
      </c>
      <c r="L202" s="2" t="inlineStr">
        <is>
          <t>ok</t>
        </is>
      </c>
      <c r="M202" s="2" t="inlineStr">
        <is>
          <t>demo reviewer</t>
        </is>
      </c>
      <c r="N202" s="2" t="n"/>
      <c r="O202" s="3" t="inlineStr">
        <is>
          <t>https://vanillabonds.com/dossier-data/pdf/katjes/katjes-2023-annual-report.pdf#page=29</t>
        </is>
      </c>
      <c r="P202" s="3" t="inlineStr">
        <is>
          <t>https://vanillabonds.com/dossier.html?c=katjes&amp;viewer=1&amp;item=F201</t>
        </is>
      </c>
      <c r="Q202" s="2" t="inlineStr"/>
    </row>
    <row r="203">
      <c r="A203" s="2" t="inlineStr">
        <is>
          <t>F202</t>
        </is>
      </c>
      <c r="B203" s="2" t="inlineStr">
        <is>
          <t>market</t>
        </is>
      </c>
      <c r="C203" s="2" t="inlineStr">
        <is>
          <t>market_series</t>
        </is>
      </c>
      <c r="D203" s="3" t="inlineStr">
        <is>
          <t>Market variable: variable; year; value; unit; source (a distribution adds n; median; spread; p10; p25; p75; p90)</t>
        </is>
      </c>
      <c r="E203" s="2" t="n"/>
      <c r="F203" s="2" t="n">
        <v>0.5</v>
      </c>
      <c r="G203" s="2" t="n"/>
      <c r="H203" s="3" t="inlineStr">
        <is>
          <t>variable: Eurozone GDP growth; year: 2023; value: 0.5 (2022: 3.4); unit: %; source: OECD Economic Outlook November 2023, updated February 2024</t>
        </is>
      </c>
      <c r="I203" s="2" t="inlineStr">
        <is>
          <t>S1</t>
        </is>
      </c>
      <c r="J203" s="2" t="n">
        <v>29</v>
      </c>
      <c r="K203" s="3" t="inlineStr">
        <is>
          <t>(GDP) increased by only 0.5% as a whole (2022: 3.4%)</t>
        </is>
      </c>
      <c r="L203" s="2" t="inlineStr">
        <is>
          <t>ok</t>
        </is>
      </c>
      <c r="M203" s="2" t="inlineStr">
        <is>
          <t>demo reviewer</t>
        </is>
      </c>
      <c r="N203" s="2" t="n"/>
      <c r="O203" s="3" t="inlineStr">
        <is>
          <t>https://vanillabonds.com/dossier-data/pdf/katjes/katjes-2023-annual-report.pdf#page=29</t>
        </is>
      </c>
      <c r="P203" s="3" t="inlineStr">
        <is>
          <t>https://vanillabonds.com/dossier.html?c=katjes&amp;viewer=1&amp;item=F202</t>
        </is>
      </c>
      <c r="Q203" s="2" t="inlineStr"/>
    </row>
    <row r="204">
      <c r="A204" s="2" t="inlineStr">
        <is>
          <t>F203</t>
        </is>
      </c>
      <c r="B204" s="2" t="inlineStr">
        <is>
          <t>market</t>
        </is>
      </c>
      <c r="C204" s="2" t="inlineStr">
        <is>
          <t>market_series</t>
        </is>
      </c>
      <c r="D204" s="3" t="inlineStr">
        <is>
          <t>Market variable: variable; year; value; unit; source (a distribution adds n; median; spread; p10; p25; p75; p90)</t>
        </is>
      </c>
      <c r="E204" s="2" t="n"/>
      <c r="F204" s="2" t="n">
        <v>0.7</v>
      </c>
      <c r="G204" s="2" t="n"/>
      <c r="H204" s="3" t="inlineStr">
        <is>
          <t>variable: Italy GDP growth; year: 2023; value: 0.7 (2022: 3.9); unit: %; source: OECD Economic Outlook November 2023 / February 2024</t>
        </is>
      </c>
      <c r="I204" s="2" t="inlineStr">
        <is>
          <t>S1</t>
        </is>
      </c>
      <c r="J204" s="2" t="n">
        <v>29</v>
      </c>
      <c r="K204" s="3" t="inlineStr">
        <is>
          <t>The Italian economy grew by 0.7% (2022: 3.9%)</t>
        </is>
      </c>
      <c r="L204" s="2" t="inlineStr">
        <is>
          <t>ok</t>
        </is>
      </c>
      <c r="M204" s="2" t="inlineStr">
        <is>
          <t>demo reviewer</t>
        </is>
      </c>
      <c r="N204" s="2" t="n"/>
      <c r="O204" s="3" t="inlineStr">
        <is>
          <t>https://vanillabonds.com/dossier-data/pdf/katjes/katjes-2023-annual-report.pdf#page=29</t>
        </is>
      </c>
      <c r="P204" s="3" t="inlineStr">
        <is>
          <t>https://vanillabonds.com/dossier.html?c=katjes&amp;viewer=1&amp;item=F203</t>
        </is>
      </c>
      <c r="Q204" s="2" t="inlineStr"/>
    </row>
    <row r="205">
      <c r="A205" s="2" t="inlineStr">
        <is>
          <t>F204</t>
        </is>
      </c>
      <c r="B205" s="2" t="inlineStr">
        <is>
          <t>market</t>
        </is>
      </c>
      <c r="C205" s="2" t="inlineStr">
        <is>
          <t>market_series</t>
        </is>
      </c>
      <c r="D205" s="3" t="inlineStr">
        <is>
          <t>Market variable: variable; year; value; unit; source (a distribution adds n; median; spread; p10; p25; p75; p90)</t>
        </is>
      </c>
      <c r="E205" s="2" t="n"/>
      <c r="F205" s="2" t="n">
        <v>-0.1</v>
      </c>
      <c r="G205" s="2" t="n"/>
      <c r="H205" s="3" t="inlineStr">
        <is>
          <t>variable: Germany GDP growth; year: 2023; value: -0.1 (2022: 1.9); unit: %; source: OECD Economic Outlook November 2023 / February 2024</t>
        </is>
      </c>
      <c r="I205" s="2" t="inlineStr">
        <is>
          <t>S1</t>
        </is>
      </c>
      <c r="J205" s="2" t="n">
        <v>29</v>
      </c>
      <c r="K205" s="3" t="inlineStr">
        <is>
          <t>Germany’s GDP fell by -0.1% (2022: 1.9%).</t>
        </is>
      </c>
      <c r="L205" s="2" t="inlineStr">
        <is>
          <t>ok</t>
        </is>
      </c>
      <c r="M205" s="2" t="inlineStr">
        <is>
          <t>demo reviewer</t>
        </is>
      </c>
      <c r="N205" s="2" t="n"/>
      <c r="O205" s="3" t="inlineStr">
        <is>
          <t>https://vanillabonds.com/dossier-data/pdf/katjes/katjes-2023-annual-report.pdf#page=29</t>
        </is>
      </c>
      <c r="P205" s="3" t="inlineStr">
        <is>
          <t>https://vanillabonds.com/dossier.html?c=katjes&amp;viewer=1&amp;item=F204</t>
        </is>
      </c>
      <c r="Q205" s="2" t="inlineStr"/>
    </row>
    <row r="206">
      <c r="A206" s="2" t="inlineStr">
        <is>
          <t>F205</t>
        </is>
      </c>
      <c r="B206" s="2" t="inlineStr">
        <is>
          <t>market</t>
        </is>
      </c>
      <c r="C206" s="2" t="inlineStr">
        <is>
          <t>market_series</t>
        </is>
      </c>
      <c r="D206" s="3" t="inlineStr">
        <is>
          <t>Market variable: variable; year; value; unit; source (a distribution adds n; median; spread; p10; p25; p75; p90)</t>
        </is>
      </c>
      <c r="E206" s="2" t="n"/>
      <c r="F206" s="2" t="n">
        <v>0.9</v>
      </c>
      <c r="G206" s="2" t="n"/>
      <c r="H206" s="3" t="inlineStr">
        <is>
          <t>variable: France GDP growth; year: 2023; value: 0.9 (2022: 2.5); unit: %; source: OECD Economic Outlook November 2023 / February 2024</t>
        </is>
      </c>
      <c r="I206" s="2" t="inlineStr">
        <is>
          <t>S1</t>
        </is>
      </c>
      <c r="J206" s="2" t="n">
        <v>29</v>
      </c>
      <c r="K206" s="3" t="inlineStr">
        <is>
          <t>reporting only slight growth of 0.9% (2022: 2.5%)</t>
        </is>
      </c>
      <c r="L206" s="2" t="inlineStr">
        <is>
          <t>ok</t>
        </is>
      </c>
      <c r="M206" s="2" t="inlineStr">
        <is>
          <t>demo reviewer</t>
        </is>
      </c>
      <c r="N206" s="2" t="n"/>
      <c r="O206" s="3" t="inlineStr">
        <is>
          <t>https://vanillabonds.com/dossier-data/pdf/katjes/katjes-2023-annual-report.pdf#page=29</t>
        </is>
      </c>
      <c r="P206" s="3" t="inlineStr">
        <is>
          <t>https://vanillabonds.com/dossier.html?c=katjes&amp;viewer=1&amp;item=F205</t>
        </is>
      </c>
      <c r="Q206" s="2" t="inlineStr"/>
    </row>
    <row r="207">
      <c r="A207" s="2" t="inlineStr">
        <is>
          <t>F206</t>
        </is>
      </c>
      <c r="B207" s="2" t="inlineStr">
        <is>
          <t>market</t>
        </is>
      </c>
      <c r="C207" s="2" t="inlineStr">
        <is>
          <t>market_series</t>
        </is>
      </c>
      <c r="D207" s="3" t="inlineStr">
        <is>
          <t>Market variable: variable; year; value; unit; source (a distribution adds n; median; spread; p10; p25; p75; p90)</t>
        </is>
      </c>
      <c r="E207" s="2" t="n"/>
      <c r="F207" s="2" t="n">
        <v>0.3</v>
      </c>
      <c r="G207" s="2" t="n"/>
      <c r="H207" s="3" t="inlineStr">
        <is>
          <t>variable: UK GDP growth; year: 2023; value: 0.3 (2022: 4.3); unit: %; source: OECD Economic Outlook November 2023 / February 2024</t>
        </is>
      </c>
      <c r="I207" s="2" t="inlineStr">
        <is>
          <t>S1</t>
        </is>
      </c>
      <c r="J207" s="2" t="n">
        <v>29</v>
      </c>
      <c r="K207" s="3" t="inlineStr">
        <is>
          <t>Growth in the UK was weak at 0.3% in total (2022: 4.3%).</t>
        </is>
      </c>
      <c r="L207" s="2" t="inlineStr">
        <is>
          <t>ok</t>
        </is>
      </c>
      <c r="M207" s="2" t="inlineStr">
        <is>
          <t>demo reviewer</t>
        </is>
      </c>
      <c r="N207" s="2" t="n"/>
      <c r="O207" s="3" t="inlineStr">
        <is>
          <t>https://vanillabonds.com/dossier-data/pdf/katjes/katjes-2023-annual-report.pdf#page=29</t>
        </is>
      </c>
      <c r="P207" s="3" t="inlineStr">
        <is>
          <t>https://vanillabonds.com/dossier.html?c=katjes&amp;viewer=1&amp;item=F206</t>
        </is>
      </c>
      <c r="Q207" s="2" t="inlineStr"/>
    </row>
    <row r="208">
      <c r="A208" s="2" t="inlineStr">
        <is>
          <t>F207</t>
        </is>
      </c>
      <c r="B208" s="2" t="inlineStr">
        <is>
          <t>market</t>
        </is>
      </c>
      <c r="C208" s="2" t="inlineStr">
        <is>
          <t>market_series</t>
        </is>
      </c>
      <c r="D208" s="3" t="inlineStr">
        <is>
          <t>Market variable: variable; year; value; unit; source (a distribution adds n; median; spread; p10; p25; p75; p90)</t>
        </is>
      </c>
      <c r="E208" s="2" t="n"/>
      <c r="F208" s="2" t="n">
        <v>0.2</v>
      </c>
      <c r="G208" s="2" t="n"/>
      <c r="H208" s="3" t="inlineStr">
        <is>
          <t>variable: Netherlands GDP growth; year: 2023; value: 0.2 (2022: 4.3); unit: %; source: OECD Economic Outlook November 2023 / February 2024</t>
        </is>
      </c>
      <c r="I208" s="2" t="inlineStr">
        <is>
          <t>S1</t>
        </is>
      </c>
      <c r="J208" s="2" t="n">
        <v>29</v>
      </c>
      <c r="K208" s="3" t="inlineStr">
        <is>
          <t>The Netherlands recorded GDP growth of 0.2% (2022: 4.3%).</t>
        </is>
      </c>
      <c r="L208" s="2" t="inlineStr">
        <is>
          <t>ok</t>
        </is>
      </c>
      <c r="M208" s="2" t="inlineStr">
        <is>
          <t>demo reviewer</t>
        </is>
      </c>
      <c r="N208" s="2" t="n"/>
      <c r="O208" s="3" t="inlineStr">
        <is>
          <t>https://vanillabonds.com/dossier-data/pdf/katjes/katjes-2023-annual-report.pdf#page=29</t>
        </is>
      </c>
      <c r="P208" s="3" t="inlineStr">
        <is>
          <t>https://vanillabonds.com/dossier.html?c=katjes&amp;viewer=1&amp;item=F207</t>
        </is>
      </c>
      <c r="Q208" s="2" t="inlineStr"/>
    </row>
    <row r="209">
      <c r="A209" s="2" t="inlineStr">
        <is>
          <t>F208</t>
        </is>
      </c>
      <c r="B209" s="2" t="inlineStr">
        <is>
          <t>market</t>
        </is>
      </c>
      <c r="C209" s="2" t="inlineStr">
        <is>
          <t>market_series</t>
        </is>
      </c>
      <c r="D209" s="3" t="inlineStr">
        <is>
          <t>Market variable: variable; year; value; unit; source (a distribution adds n; median; spread; p10; p25; p75; p90)</t>
        </is>
      </c>
      <c r="E209" s="2" t="n"/>
      <c r="F209" s="2" t="n">
        <v>1.8</v>
      </c>
      <c r="G209" s="2" t="n"/>
      <c r="H209" s="3" t="inlineStr">
        <is>
          <t>variable: German dental and oral care market sales; year: 2023; value: around 1.8; unit: EUR bn; source: company statement (+4.6% vs 2022)</t>
        </is>
      </c>
      <c r="I209" s="2" t="inlineStr">
        <is>
          <t>S1</t>
        </is>
      </c>
      <c r="J209" s="2" t="n">
        <v>30</v>
      </c>
      <c r="K209" s="3" t="inlineStr">
        <is>
          <t>In 2023, sales of these types of products amounted to around EUR 1.8 billion</t>
        </is>
      </c>
      <c r="L209" s="2" t="inlineStr">
        <is>
          <t>ok</t>
        </is>
      </c>
      <c r="M209" s="2" t="inlineStr">
        <is>
          <t>demo reviewer</t>
        </is>
      </c>
      <c r="N209" s="2" t="n"/>
      <c r="O209" s="3" t="inlineStr">
        <is>
          <t>https://vanillabonds.com/dossier-data/pdf/katjes/katjes-2023-annual-report.pdf#page=30</t>
        </is>
      </c>
      <c r="P209" s="3" t="inlineStr">
        <is>
          <t>https://vanillabonds.com/dossier.html?c=katjes&amp;viewer=1&amp;item=F208</t>
        </is>
      </c>
      <c r="Q209" s="2" t="inlineStr"/>
    </row>
    <row r="210">
      <c r="A210" s="2" t="inlineStr">
        <is>
          <t>F209</t>
        </is>
      </c>
      <c r="B210" s="2" t="inlineStr">
        <is>
          <t>market</t>
        </is>
      </c>
      <c r="C210" s="2" t="inlineStr">
        <is>
          <t>market_series</t>
        </is>
      </c>
      <c r="D210" s="3" t="inlineStr">
        <is>
          <t>Market variable: variable; year; value; unit; source (a distribution adds n; median; spread; p10; p25; p75; p90)</t>
        </is>
      </c>
      <c r="E210" s="2" t="n"/>
      <c r="F210" s="2" t="n">
        <v>554</v>
      </c>
      <c r="G210" s="2" t="n"/>
      <c r="H210" s="3" t="inlineStr">
        <is>
          <t>variable: German baby and kids body care market volume; year: 2023; value: 554; unit: EUR m; source: Nielsen analysis (+7.6% value, +0.4% volume)</t>
        </is>
      </c>
      <c r="I210" s="2" t="inlineStr">
        <is>
          <t>S1</t>
        </is>
      </c>
      <c r="J210" s="2" t="n">
        <v>30</v>
      </c>
      <c r="K210" s="3" t="inlineStr">
        <is>
          <t>According to the Nielsen analysis, the total market volume in Germany grew by 7.6% to EUR 554 million in 2023.</t>
        </is>
      </c>
      <c r="L210" s="2" t="inlineStr">
        <is>
          <t>ok</t>
        </is>
      </c>
      <c r="M210" s="2" t="inlineStr">
        <is>
          <t>demo reviewer</t>
        </is>
      </c>
      <c r="N210" s="2" t="n"/>
      <c r="O210" s="3" t="inlineStr">
        <is>
          <t>https://vanillabonds.com/dossier-data/pdf/katjes/katjes-2023-annual-report.pdf#page=30</t>
        </is>
      </c>
      <c r="P210" s="3" t="inlineStr">
        <is>
          <t>https://vanillabonds.com/dossier.html?c=katjes&amp;viewer=1&amp;item=F209</t>
        </is>
      </c>
      <c r="Q210" s="2" t="inlineStr"/>
    </row>
    <row r="211">
      <c r="A211" s="2" t="inlineStr">
        <is>
          <t>F210</t>
        </is>
      </c>
      <c r="B211" s="2" t="inlineStr">
        <is>
          <t>market</t>
        </is>
      </c>
      <c r="C211" s="2" t="inlineStr">
        <is>
          <t>market_series</t>
        </is>
      </c>
      <c r="D211" s="3" t="inlineStr">
        <is>
          <t>Market variable: variable; year; value; unit; source (a distribution adds n; median; spread; p10; p25; p75; p90)</t>
        </is>
      </c>
      <c r="E211" s="2" t="n"/>
      <c r="F211" s="2" t="n">
        <v>17.1</v>
      </c>
      <c r="G211" s="2" t="n"/>
      <c r="H211" s="3" t="inlineStr">
        <is>
          <t>variable: confectionery market volume Germany; year: 2023; value: 17.1 (2022: 16.8); unit: EUR bn; source: statista</t>
        </is>
      </c>
      <c r="I211" s="2" t="inlineStr">
        <is>
          <t>S1</t>
        </is>
      </c>
      <c r="J211" s="2" t="n">
        <v>30</v>
      </c>
      <c r="K211" s="2" t="inlineStr">
        <is>
          <t>Germany 17.1 16.8</t>
        </is>
      </c>
      <c r="L211" s="2" t="inlineStr">
        <is>
          <t>ok</t>
        </is>
      </c>
      <c r="M211" s="2" t="inlineStr">
        <is>
          <t>demo reviewer</t>
        </is>
      </c>
      <c r="N211" s="2" t="n"/>
      <c r="O211" s="3" t="inlineStr">
        <is>
          <t>https://vanillabonds.com/dossier-data/pdf/katjes/katjes-2023-annual-report.pdf#page=30</t>
        </is>
      </c>
      <c r="P211" s="3" t="inlineStr">
        <is>
          <t>https://vanillabonds.com/dossier.html?c=katjes&amp;viewer=1&amp;item=F210</t>
        </is>
      </c>
      <c r="Q211" s="2" t="inlineStr"/>
    </row>
    <row r="212">
      <c r="A212" s="2" t="inlineStr">
        <is>
          <t>F211</t>
        </is>
      </c>
      <c r="B212" s="2" t="inlineStr">
        <is>
          <t>market</t>
        </is>
      </c>
      <c r="C212" s="2" t="inlineStr">
        <is>
          <t>market_series</t>
        </is>
      </c>
      <c r="D212" s="3" t="inlineStr">
        <is>
          <t>Market variable: variable; year; value; unit; source (a distribution adds n; median; spread; p10; p25; p75; p90)</t>
        </is>
      </c>
      <c r="E212" s="2" t="n"/>
      <c r="F212" s="2" t="n">
        <v>17.4</v>
      </c>
      <c r="G212" s="2" t="n"/>
      <c r="H212" s="3" t="inlineStr">
        <is>
          <t>variable: confectionery market volume France; year: 2023; value: 17.4 (2022: 17.3); unit: EUR bn; source: statista</t>
        </is>
      </c>
      <c r="I212" s="2" t="inlineStr">
        <is>
          <t>S1</t>
        </is>
      </c>
      <c r="J212" s="2" t="n">
        <v>30</v>
      </c>
      <c r="K212" s="2" t="inlineStr">
        <is>
          <t>France 17.4 17.3</t>
        </is>
      </c>
      <c r="L212" s="2" t="inlineStr">
        <is>
          <t>ok</t>
        </is>
      </c>
      <c r="M212" s="2" t="inlineStr">
        <is>
          <t>demo reviewer</t>
        </is>
      </c>
      <c r="N212" s="2" t="n"/>
      <c r="O212" s="3" t="inlineStr">
        <is>
          <t>https://vanillabonds.com/dossier-data/pdf/katjes/katjes-2023-annual-report.pdf#page=30</t>
        </is>
      </c>
      <c r="P212" s="3" t="inlineStr">
        <is>
          <t>https://vanillabonds.com/dossier.html?c=katjes&amp;viewer=1&amp;item=F211</t>
        </is>
      </c>
      <c r="Q212" s="2" t="inlineStr"/>
    </row>
    <row r="213">
      <c r="A213" s="2" t="inlineStr">
        <is>
          <t>F212</t>
        </is>
      </c>
      <c r="B213" s="2" t="inlineStr">
        <is>
          <t>market</t>
        </is>
      </c>
      <c r="C213" s="2" t="inlineStr">
        <is>
          <t>market_series</t>
        </is>
      </c>
      <c r="D213" s="3" t="inlineStr">
        <is>
          <t>Market variable: variable; year; value; unit; source (a distribution adds n; median; spread; p10; p25; p75; p90)</t>
        </is>
      </c>
      <c r="E213" s="2" t="n"/>
      <c r="F213" s="2" t="n">
        <v>2.7</v>
      </c>
      <c r="G213" s="2" t="n"/>
      <c r="H213" s="3" t="inlineStr">
        <is>
          <t>variable: confectionery market volume Netherlands; year: 2023; value: 2.7 (2022: 2.7); unit: EUR bn; source: statista</t>
        </is>
      </c>
      <c r="I213" s="2" t="inlineStr">
        <is>
          <t>S1</t>
        </is>
      </c>
      <c r="J213" s="2" t="n">
        <v>30</v>
      </c>
      <c r="K213" s="2" t="inlineStr">
        <is>
          <t>Netherlands 2.7 2.7</t>
        </is>
      </c>
      <c r="L213" s="2" t="inlineStr">
        <is>
          <t>ok</t>
        </is>
      </c>
      <c r="M213" s="2" t="inlineStr">
        <is>
          <t>demo reviewer</t>
        </is>
      </c>
      <c r="N213" s="2" t="n"/>
      <c r="O213" s="3" t="inlineStr">
        <is>
          <t>https://vanillabonds.com/dossier-data/pdf/katjes/katjes-2023-annual-report.pdf#page=30</t>
        </is>
      </c>
      <c r="P213" s="3" t="inlineStr">
        <is>
          <t>https://vanillabonds.com/dossier.html?c=katjes&amp;viewer=1&amp;item=F212</t>
        </is>
      </c>
      <c r="Q213" s="2" t="inlineStr"/>
    </row>
    <row r="214">
      <c r="A214" s="2" t="inlineStr">
        <is>
          <t>F213</t>
        </is>
      </c>
      <c r="B214" s="2" t="inlineStr">
        <is>
          <t>market</t>
        </is>
      </c>
      <c r="C214" s="2" t="inlineStr">
        <is>
          <t>market_series</t>
        </is>
      </c>
      <c r="D214" s="3" t="inlineStr">
        <is>
          <t>Market variable: variable; year; value; unit; source (a distribution adds n; median; spread; p10; p25; p75; p90)</t>
        </is>
      </c>
      <c r="E214" s="2" t="n"/>
      <c r="F214" s="2" t="n">
        <v>20.8</v>
      </c>
      <c r="G214" s="2" t="n"/>
      <c r="H214" s="3" t="inlineStr">
        <is>
          <t>variable: confectionery market volume Italy; year: 2023; value: 20.8 (2022: 20.7); unit: EUR bn; source: statista</t>
        </is>
      </c>
      <c r="I214" s="2" t="inlineStr">
        <is>
          <t>S1</t>
        </is>
      </c>
      <c r="J214" s="2" t="n">
        <v>30</v>
      </c>
      <c r="K214" s="2" t="inlineStr">
        <is>
          <t>Italy 20.8 20.7</t>
        </is>
      </c>
      <c r="L214" s="2" t="inlineStr">
        <is>
          <t>ok</t>
        </is>
      </c>
      <c r="M214" s="2" t="inlineStr">
        <is>
          <t>demo reviewer</t>
        </is>
      </c>
      <c r="N214" s="2" t="n"/>
      <c r="O214" s="3" t="inlineStr">
        <is>
          <t>https://vanillabonds.com/dossier-data/pdf/katjes/katjes-2023-annual-report.pdf#page=30</t>
        </is>
      </c>
      <c r="P214" s="3" t="inlineStr">
        <is>
          <t>https://vanillabonds.com/dossier.html?c=katjes&amp;viewer=1&amp;item=F213</t>
        </is>
      </c>
      <c r="Q214" s="2" t="inlineStr"/>
    </row>
    <row r="215">
      <c r="A215" s="2" t="inlineStr">
        <is>
          <t>F214</t>
        </is>
      </c>
      <c r="B215" s="2" t="inlineStr">
        <is>
          <t>market</t>
        </is>
      </c>
      <c r="C215" s="2" t="inlineStr">
        <is>
          <t>market_series</t>
        </is>
      </c>
      <c r="D215" s="3" t="inlineStr">
        <is>
          <t>Market variable: variable; year; value; unit; source (a distribution adds n; median; spread; p10; p25; p75; p90)</t>
        </is>
      </c>
      <c r="E215" s="2" t="n"/>
      <c r="F215" s="2" t="n">
        <v>16.2</v>
      </c>
      <c r="G215" s="2" t="n"/>
      <c r="H215" s="3" t="inlineStr">
        <is>
          <t>variable: confectionery market volume United Kingdom; year: 2023; value: 16.2 (2022: 15.7); unit: EUR bn; source: statista</t>
        </is>
      </c>
      <c r="I215" s="2" t="inlineStr">
        <is>
          <t>S1</t>
        </is>
      </c>
      <c r="J215" s="2" t="n">
        <v>30</v>
      </c>
      <c r="K215" s="2" t="inlineStr">
        <is>
          <t>United Kingdom 16.2 15.7</t>
        </is>
      </c>
      <c r="L215" s="2" t="inlineStr">
        <is>
          <t>ok</t>
        </is>
      </c>
      <c r="M215" s="2" t="inlineStr">
        <is>
          <t>demo reviewer</t>
        </is>
      </c>
      <c r="N215" s="2" t="n"/>
      <c r="O215" s="3" t="inlineStr">
        <is>
          <t>https://vanillabonds.com/dossier-data/pdf/katjes/katjes-2023-annual-report.pdf#page=30</t>
        </is>
      </c>
      <c r="P215" s="3" t="inlineStr">
        <is>
          <t>https://vanillabonds.com/dossier.html?c=katjes&amp;viewer=1&amp;item=F214</t>
        </is>
      </c>
      <c r="Q215" s="2" t="inlineStr"/>
    </row>
    <row r="216">
      <c r="A216" s="2" t="inlineStr">
        <is>
          <t>F215</t>
        </is>
      </c>
      <c r="B216" s="2" t="inlineStr">
        <is>
          <t>market</t>
        </is>
      </c>
      <c r="C216" s="2" t="inlineStr">
        <is>
          <t>market_series</t>
        </is>
      </c>
      <c r="D216" s="3" t="inlineStr">
        <is>
          <t>Market variable: variable; year; value; unit; source (a distribution adds n; median; spread; p10; p25; p75; p90)</t>
        </is>
      </c>
      <c r="E216" s="2" t="n"/>
      <c r="F216" s="2" t="n">
        <v>6</v>
      </c>
      <c r="G216" s="2" t="n"/>
      <c r="H216" s="3" t="inlineStr">
        <is>
          <t>variable: European sugar confectionery market volume growth (expected); year: 2024; value: around 6; unit: %; source: company statement (forecast report)</t>
        </is>
      </c>
      <c r="I216" s="2" t="inlineStr">
        <is>
          <t>S1</t>
        </is>
      </c>
      <c r="J216" s="2" t="n">
        <v>41</v>
      </c>
      <c r="K216" s="3" t="inlineStr">
        <is>
          <t>The market volume for sugar confectionery in Europe is expected to increase by around 6% in 2024</t>
        </is>
      </c>
      <c r="L216" s="2" t="inlineStr">
        <is>
          <t>ok</t>
        </is>
      </c>
      <c r="M216" s="2" t="inlineStr">
        <is>
          <t>demo reviewer</t>
        </is>
      </c>
      <c r="N216" s="2" t="n"/>
      <c r="O216" s="3" t="inlineStr">
        <is>
          <t>https://vanillabonds.com/dossier-data/pdf/katjes/katjes-2023-annual-report.pdf#page=41</t>
        </is>
      </c>
      <c r="P216" s="3" t="inlineStr">
        <is>
          <t>https://vanillabonds.com/dossier.html?c=katjes&amp;viewer=1&amp;item=F215</t>
        </is>
      </c>
      <c r="Q216" s="2" t="inlineStr"/>
    </row>
    <row r="217">
      <c r="A217" s="2" t="inlineStr">
        <is>
          <t>F216</t>
        </is>
      </c>
      <c r="B217" s="2" t="inlineStr">
        <is>
          <t>market</t>
        </is>
      </c>
      <c r="C217" s="2" t="inlineStr">
        <is>
          <t>market_series</t>
        </is>
      </c>
      <c r="D217" s="3" t="inlineStr">
        <is>
          <t>Market variable: variable; year; value; unit; source (a distribution adds n; median; spread; p10; p25; p75; p90)</t>
        </is>
      </c>
      <c r="E217" s="2" t="n"/>
      <c r="F217" s="2" t="n">
        <v>0.6</v>
      </c>
      <c r="G217" s="2" t="n"/>
      <c r="H217" s="3" t="inlineStr">
        <is>
          <t>variable: Eurozone GDP growth (forecast); year: 2024; value: 0.6; unit: %; source: OECD, November 2023 updated February 2024</t>
        </is>
      </c>
      <c r="I217" s="2" t="inlineStr">
        <is>
          <t>S1</t>
        </is>
      </c>
      <c r="J217" s="2" t="n">
        <v>41</v>
      </c>
      <c r="K217" s="3" t="inlineStr">
        <is>
          <t>The OECD is expecting gross domestic product (GDP) to increase by a modest 0.6% in the Eurozone in 2024.</t>
        </is>
      </c>
      <c r="L217" s="2" t="inlineStr">
        <is>
          <t>ok</t>
        </is>
      </c>
      <c r="M217" s="2" t="inlineStr">
        <is>
          <t>demo reviewer</t>
        </is>
      </c>
      <c r="N217" s="2" t="n"/>
      <c r="O217" s="3" t="inlineStr">
        <is>
          <t>https://vanillabonds.com/dossier-data/pdf/katjes/katjes-2023-annual-report.pdf#page=41</t>
        </is>
      </c>
      <c r="P217" s="3" t="inlineStr">
        <is>
          <t>https://vanillabonds.com/dossier.html?c=katjes&amp;viewer=1&amp;item=F216</t>
        </is>
      </c>
      <c r="Q217" s="2" t="inlineStr"/>
    </row>
    <row r="218">
      <c r="A218" s="2" t="inlineStr">
        <is>
          <t>F217</t>
        </is>
      </c>
      <c r="B218" s="2" t="inlineStr">
        <is>
          <t>market</t>
        </is>
      </c>
      <c r="C218" s="2" t="inlineStr">
        <is>
          <t>market_series</t>
        </is>
      </c>
      <c r="D218" s="3" t="inlineStr">
        <is>
          <t>Market variable: variable; year; value; unit; source (a distribution adds n; median; spread; p10; p25; p75; p90)</t>
        </is>
      </c>
      <c r="E218" s="2" t="n"/>
      <c r="F218" s="2" t="n">
        <v>0.3</v>
      </c>
      <c r="G218" s="2" t="n"/>
      <c r="H218" s="3" t="inlineStr">
        <is>
          <t>variable: Germany GDP growth (forecast); year: 2024; value: 0.3 (Netherlands 0.5, Italy 0.7, France 0.6, UK 0.7); unit: %; source: OECD, November 2023 updated February 2024</t>
        </is>
      </c>
      <c r="I218" s="2" t="inlineStr">
        <is>
          <t>S1</t>
        </is>
      </c>
      <c r="J218" s="2" t="n">
        <v>41</v>
      </c>
      <c r="K218" s="3" t="inlineStr">
        <is>
          <t>An increase of 0.3% is expected for Germany and 0.5% for the Netherlands. GDP in Italy is expected to grow by 0.7%.</t>
        </is>
      </c>
      <c r="L218" s="2" t="inlineStr">
        <is>
          <t>ok</t>
        </is>
      </c>
      <c r="M218" s="2" t="inlineStr">
        <is>
          <t>demo reviewer</t>
        </is>
      </c>
      <c r="N218" s="2" t="n"/>
      <c r="O218" s="3" t="inlineStr">
        <is>
          <t>https://vanillabonds.com/dossier-data/pdf/katjes/katjes-2023-annual-report.pdf#page=41</t>
        </is>
      </c>
      <c r="P218" s="3" t="inlineStr">
        <is>
          <t>https://vanillabonds.com/dossier.html?c=katjes&amp;viewer=1&amp;item=F217</t>
        </is>
      </c>
      <c r="Q218" s="2" t="inlineStr"/>
    </row>
    <row r="219">
      <c r="A219" s="2" t="inlineStr">
        <is>
          <t>F218</t>
        </is>
      </c>
      <c r="B219" s="2" t="inlineStr">
        <is>
          <t>market</t>
        </is>
      </c>
      <c r="C219" s="2" t="inlineStr">
        <is>
          <t>regulation_item</t>
        </is>
      </c>
      <c r="D219" s="3" t="inlineStr">
        <is>
          <t>Regulation: measure; effective; effect on the company as stated; source</t>
        </is>
      </c>
      <c r="E219" s="2" t="n"/>
      <c r="F219" s="2" t="n"/>
      <c r="G219" s="2" t="n"/>
      <c r="H219" s="3" t="inlineStr">
        <is>
          <t>measure: OECD Pillar Two global minimum tax (IAS 12 amendments); effective: 2023; effect on the company as stated: none, group revenue below the EUR 750m threshold; source: notes 2.2.1</t>
        </is>
      </c>
      <c r="I219" s="2" t="inlineStr">
        <is>
          <t>S1</t>
        </is>
      </c>
      <c r="J219" s="2" t="n">
        <v>52</v>
      </c>
      <c r="K219" s="3" t="inlineStr">
        <is>
          <t>the Group did not exceed the required minimum revenue volume of EUR 750 million</t>
        </is>
      </c>
      <c r="L219" s="2" t="inlineStr">
        <is>
          <t>ok</t>
        </is>
      </c>
      <c r="M219" s="2" t="inlineStr">
        <is>
          <t>demo reviewer</t>
        </is>
      </c>
      <c r="N219" s="2" t="n"/>
      <c r="O219" s="3" t="inlineStr">
        <is>
          <t>https://vanillabonds.com/dossier-data/pdf/katjes/katjes-2023-annual-report.pdf#page=52</t>
        </is>
      </c>
      <c r="P219" s="3" t="inlineStr">
        <is>
          <t>https://vanillabonds.com/dossier.html?c=katjes&amp;viewer=1&amp;item=F218</t>
        </is>
      </c>
      <c r="Q219" s="2" t="inlineStr"/>
    </row>
    <row r="220">
      <c r="A220" s="2" t="inlineStr">
        <is>
          <t>F219</t>
        </is>
      </c>
      <c r="B220" s="2" t="inlineStr">
        <is>
          <t>market</t>
        </is>
      </c>
      <c r="C220" s="2" t="inlineStr">
        <is>
          <t>regulation_item</t>
        </is>
      </c>
      <c r="D220" s="3" t="inlineStr">
        <is>
          <t>Regulation: measure; effective; effect on the company as stated; source</t>
        </is>
      </c>
      <c r="E220" s="2" t="n"/>
      <c r="F220" s="2" t="n">
        <v>2.4</v>
      </c>
      <c r="G220" s="2" t="n"/>
      <c r="H220" s="3" t="inlineStr">
        <is>
          <t>measure: Electricity Price Reduction Act (StromPBG) relief amounts; effective: 2023; effect on the company as stated: government grants of around EUR 2.4m recognised as a reduction in cost of sales; source: notes 2.3</t>
        </is>
      </c>
      <c r="I220" s="2" t="inlineStr">
        <is>
          <t>S1</t>
        </is>
      </c>
      <c r="J220" s="2" t="n">
        <v>54</v>
      </c>
      <c r="K220" s="3" t="inlineStr">
        <is>
          <t>the form of relief amounts under the Electricity Price Reduction Act (StromPBG) around EUR 2.4 million.</t>
        </is>
      </c>
      <c r="L220" s="2" t="inlineStr">
        <is>
          <t>ok</t>
        </is>
      </c>
      <c r="M220" s="2" t="inlineStr">
        <is>
          <t>demo reviewer</t>
        </is>
      </c>
      <c r="N220" s="2" t="n"/>
      <c r="O220" s="3" t="inlineStr">
        <is>
          <t>https://vanillabonds.com/dossier-data/pdf/katjes/katjes-2023-annual-report.pdf#page=54</t>
        </is>
      </c>
      <c r="P220" s="3" t="inlineStr">
        <is>
          <t>https://vanillabonds.com/dossier.html?c=katjes&amp;viewer=1&amp;item=F219</t>
        </is>
      </c>
      <c r="Q220" s="2" t="inlineStr"/>
    </row>
    <row r="221">
      <c r="A221" s="2" t="inlineStr">
        <is>
          <t>F220</t>
        </is>
      </c>
      <c r="B221" s="2" t="inlineStr">
        <is>
          <t>market</t>
        </is>
      </c>
      <c r="C221" s="2" t="inlineStr">
        <is>
          <t>industry_assessment</t>
        </is>
      </c>
      <c r="D221" s="3" t="inlineStr">
        <is>
          <t>Third-party industry assessment, quoted verbatim: source; date; text; licence (T)</t>
        </is>
      </c>
      <c r="E221" s="2" t="n"/>
      <c r="F221" s="2" t="n"/>
      <c r="G221" s="2" t="n"/>
      <c r="H221" s="3" t="inlineStr">
        <is>
          <t>source: statista (cited as 'Experts'); date: November 2023; text: 'the European sugar confectionery market will continue to grow and will reach a volume of just under EUR 298 billion by 2028'; licence: not stated</t>
        </is>
      </c>
      <c r="I221" s="2" t="inlineStr">
        <is>
          <t>S1</t>
        </is>
      </c>
      <c r="J221" s="2" t="n">
        <v>29</v>
      </c>
      <c r="K221" s="3" t="inlineStr">
        <is>
          <t>dicting that the European sugar confectionery market will continue to grow and will reach a volume of just under EUR 298 billion by 2028.</t>
        </is>
      </c>
      <c r="L221" s="2" t="inlineStr">
        <is>
          <t>ok</t>
        </is>
      </c>
      <c r="M221" s="2" t="inlineStr">
        <is>
          <t>demo reviewer</t>
        </is>
      </c>
      <c r="N221" s="2" t="n"/>
      <c r="O221" s="3" t="inlineStr">
        <is>
          <t>https://vanillabonds.com/dossier-data/pdf/katjes/katjes-2023-annual-report.pdf#page=29</t>
        </is>
      </c>
      <c r="P221" s="3" t="inlineStr">
        <is>
          <t>https://vanillabonds.com/dossier.html?c=katjes&amp;viewer=1&amp;item=F220</t>
        </is>
      </c>
      <c r="Q221" s="2" t="inlineStr"/>
    </row>
    <row r="222">
      <c r="A222" s="2" t="inlineStr">
        <is>
          <t>F221</t>
        </is>
      </c>
      <c r="B222" s="2" t="inlineStr">
        <is>
          <t>market</t>
        </is>
      </c>
      <c r="C222" s="2" t="inlineStr">
        <is>
          <t>industry_assessment</t>
        </is>
      </c>
      <c r="D222" s="3" t="inlineStr">
        <is>
          <t>Third-party industry assessment, quoted verbatim: source; date; text; licence (T)</t>
        </is>
      </c>
      <c r="E222" s="2" t="n"/>
      <c r="F222" s="2" t="n"/>
      <c r="G222" s="2" t="n"/>
      <c r="H222" s="3" t="inlineStr">
        <is>
          <t>source: OECD Economic Outlook; date: November 2023, updated February 2024; text: 'the OECD identified subdued development overall for 2023 in the Eurozone'; licence: not stated</t>
        </is>
      </c>
      <c r="I222" s="2" t="inlineStr">
        <is>
          <t>S1</t>
        </is>
      </c>
      <c r="J222" s="2" t="n">
        <v>29</v>
      </c>
      <c r="K222" s="3" t="inlineStr">
        <is>
          <t>2024, the OECD identified subdued development overall for 2023 in the Eurozone, the region that is particularly rele‐</t>
        </is>
      </c>
      <c r="L222" s="2" t="inlineStr">
        <is>
          <t>ok</t>
        </is>
      </c>
      <c r="M222" s="2" t="inlineStr">
        <is>
          <t>demo reviewer</t>
        </is>
      </c>
      <c r="N222" s="2" t="n"/>
      <c r="O222" s="3" t="inlineStr">
        <is>
          <t>https://vanillabonds.com/dossier-data/pdf/katjes/katjes-2023-annual-report.pdf#page=29</t>
        </is>
      </c>
      <c r="P222" s="3" t="inlineStr">
        <is>
          <t>https://vanillabonds.com/dossier.html?c=katjes&amp;viewer=1&amp;item=F221</t>
        </is>
      </c>
      <c r="Q222" s="2" t="inlineStr"/>
    </row>
    <row r="223">
      <c r="A223" s="2" t="inlineStr">
        <is>
          <t>F222</t>
        </is>
      </c>
      <c r="B223" s="2" t="inlineStr">
        <is>
          <t>market</t>
        </is>
      </c>
      <c r="C223" s="2" t="inlineStr">
        <is>
          <t>contract_term</t>
        </is>
      </c>
      <c r="D223" s="3" t="inlineStr">
        <is>
          <t>Key contract: counterparty; share (of revenue or purchases, 0-1); duration; termination; indexation</t>
        </is>
      </c>
      <c r="E223" s="2" t="n"/>
      <c r="F223" s="2" t="n"/>
      <c r="G223" s="2" t="n"/>
      <c r="H223" s="3" t="inlineStr">
        <is>
          <t>counterparty: Henkel AG &amp; Co. KGaA; duration: transitional production of oral care goods for Bübchen Bodycare until the Viersen site transfer on 2 January 2024</t>
        </is>
      </c>
      <c r="I223" s="2" t="inlineStr">
        <is>
          <t>S1</t>
        </is>
      </c>
      <c r="J223" s="2" t="n">
        <v>59</v>
      </c>
      <c r="K223" s="3" t="inlineStr">
        <is>
          <t>then,Henkel continued to produce the goods for Bübchen Bodycare.</t>
        </is>
      </c>
      <c r="L223" s="2" t="inlineStr">
        <is>
          <t>ok</t>
        </is>
      </c>
      <c r="M223" s="2" t="inlineStr">
        <is>
          <t>demo reviewer</t>
        </is>
      </c>
      <c r="N223" s="2" t="n"/>
      <c r="O223" s="3" t="inlineStr">
        <is>
          <t>https://vanillabonds.com/dossier-data/pdf/katjes/katjes-2023-annual-report.pdf#page=59</t>
        </is>
      </c>
      <c r="P223" s="3" t="inlineStr">
        <is>
          <t>https://vanillabonds.com/dossier.html?c=katjes&amp;viewer=1&amp;item=F222</t>
        </is>
      </c>
      <c r="Q223" s="2" t="inlineStr"/>
    </row>
    <row r="224">
      <c r="A224" s="2" t="inlineStr">
        <is>
          <t>F223</t>
        </is>
      </c>
      <c r="B224" s="2" t="inlineStr">
        <is>
          <t>market</t>
        </is>
      </c>
      <c r="C224" s="2" t="inlineStr">
        <is>
          <t>permit</t>
        </is>
      </c>
      <c r="D224" s="3" t="inlineStr">
        <is>
          <t>Certification, licence, permit or patent: item; issuer; expiry; register</t>
        </is>
      </c>
      <c r="E224" s="2" t="n"/>
      <c r="F224" s="2" t="n"/>
      <c r="G224" s="2" t="n"/>
      <c r="H224" s="3" t="inlineStr">
        <is>
          <t>item: ECOCERT certification of the Vademecum organic toothpaste line; issuer: ECOCERT; expiry: not stated</t>
        </is>
      </c>
      <c r="I224" s="2" t="inlineStr">
        <is>
          <t>S1</t>
        </is>
      </c>
      <c r="J224" s="2" t="n">
        <v>20</v>
      </c>
      <c r="K224" s="3" t="inlineStr">
        <is>
          <t>ECOCERT-certified product line, Vademecum offers consumers toothpaste alternatives</t>
        </is>
      </c>
      <c r="L224" s="2" t="inlineStr">
        <is>
          <t>ok</t>
        </is>
      </c>
      <c r="M224" s="2" t="inlineStr">
        <is>
          <t>demo reviewer</t>
        </is>
      </c>
      <c r="N224" s="2" t="n"/>
      <c r="O224" s="3" t="inlineStr">
        <is>
          <t>https://vanillabonds.com/dossier-data/pdf/katjes/katjes-2023-annual-report.pdf#page=20</t>
        </is>
      </c>
      <c r="P224" s="3" t="inlineStr">
        <is>
          <t>https://vanillabonds.com/dossier.html?c=katjes&amp;viewer=1&amp;item=F223</t>
        </is>
      </c>
      <c r="Q224" s="2" t="inlineStr"/>
    </row>
    <row r="225">
      <c r="A225" s="2" t="inlineStr">
        <is>
          <t>F224</t>
        </is>
      </c>
      <c r="B225" s="2" t="inlineStr">
        <is>
          <t>market</t>
        </is>
      </c>
      <c r="C225" s="2" t="inlineStr">
        <is>
          <t>permit</t>
        </is>
      </c>
      <c r="D225" s="3" t="inlineStr">
        <is>
          <t>Certification, licence, permit or patent: item; issuer; expiry; register</t>
        </is>
      </c>
      <c r="E225" s="2" t="n"/>
      <c r="F225" s="2" t="n"/>
      <c r="G225" s="2" t="n"/>
      <c r="H225" s="3" t="inlineStr">
        <is>
          <t>item: IFS (International Featured Standards) or BRC Food Safety Standard certification of production sites of the significant holdings; issuer: IFS / British Retail Consortium; expiry: not stated</t>
        </is>
      </c>
      <c r="I225" s="2" t="inlineStr">
        <is>
          <t>S1</t>
        </is>
      </c>
      <c r="J225" s="2" t="n">
        <v>35</v>
      </c>
      <c r="K225" s="3" t="inlineStr">
        <is>
          <t>dergo regular food and quality audits and are certified according to the International Featured Standards (IFS) or the British Retail Consortium (BRC) Food Safety Standard</t>
        </is>
      </c>
      <c r="L225" s="2" t="inlineStr">
        <is>
          <t>ok</t>
        </is>
      </c>
      <c r="M225" s="2" t="inlineStr">
        <is>
          <t>demo reviewer</t>
        </is>
      </c>
      <c r="N225" s="2" t="n"/>
      <c r="O225" s="3" t="inlineStr">
        <is>
          <t>https://vanillabonds.com/dossier-data/pdf/katjes/katjes-2023-annual-report.pdf#page=35</t>
        </is>
      </c>
      <c r="P225" s="3" t="inlineStr">
        <is>
          <t>https://vanillabonds.com/dossier.html?c=katjes&amp;viewer=1&amp;item=F224</t>
        </is>
      </c>
      <c r="Q225" s="2" t="inlineStr"/>
    </row>
    <row r="226">
      <c r="A226" s="2" t="inlineStr">
        <is>
          <t>F225</t>
        </is>
      </c>
      <c r="B226" s="2" t="inlineStr">
        <is>
          <t>market</t>
        </is>
      </c>
      <c r="C226" s="2" t="inlineStr">
        <is>
          <t>permit</t>
        </is>
      </c>
      <c r="D226" s="3" t="inlineStr">
        <is>
          <t>Certification, licence, permit or patent: item; issuer; expiry; register</t>
        </is>
      </c>
      <c r="E226" s="2" t="n"/>
      <c r="F226" s="2" t="n"/>
      <c r="G226" s="2" t="n"/>
      <c r="H226" s="3" t="inlineStr">
        <is>
          <t>item: trademarks Theramed, Antica Erboristeria, Vademecum, Licor del Polo, Denivit with associated patents, formulas and customer lists acquired from Henkel; register: not stated</t>
        </is>
      </c>
      <c r="I226" s="2" t="inlineStr">
        <is>
          <t>S1</t>
        </is>
      </c>
      <c r="J226" s="2" t="n">
        <v>59</v>
      </c>
      <c r="K226" s="3" t="inlineStr">
        <is>
          <t>ng five trademarks and all associated patents, formulas, customer lists, rights, etc.: Theramed, Antica Erboristeria, Vademecum, Licor del Polo, Denivit.</t>
        </is>
      </c>
      <c r="L226" s="2" t="inlineStr">
        <is>
          <t>ok</t>
        </is>
      </c>
      <c r="M226" s="2" t="inlineStr">
        <is>
          <t>demo reviewer</t>
        </is>
      </c>
      <c r="N226" s="2" t="n"/>
      <c r="O226" s="3" t="inlineStr">
        <is>
          <t>https://vanillabonds.com/dossier-data/pdf/katjes/katjes-2023-annual-report.pdf#page=59</t>
        </is>
      </c>
      <c r="P226" s="3" t="inlineStr">
        <is>
          <t>https://vanillabonds.com/dossier.html?c=katjes&amp;viewer=1&amp;item=F225</t>
        </is>
      </c>
      <c r="Q226" s="2" t="inlineStr"/>
    </row>
    <row r="227">
      <c r="A227" s="2" t="inlineStr">
        <is>
          <t>F226</t>
        </is>
      </c>
      <c r="B227" s="2" t="inlineStr">
        <is>
          <t>financials</t>
        </is>
      </c>
      <c r="C227" s="2" t="inlineStr">
        <is>
          <t>one_off</t>
        </is>
      </c>
      <c r="D227" s="3" t="inlineStr">
        <is>
          <t>One-off item: item; amount; recurrence (years in which it recurred)</t>
        </is>
      </c>
      <c r="E227" s="2" t="inlineStr">
        <is>
          <t>FY2022</t>
        </is>
      </c>
      <c r="F227" s="2" t="n">
        <v>14.1</v>
      </c>
      <c r="G227" s="2" t="n"/>
      <c r="H227" s="3" t="inlineStr">
        <is>
          <t>item: purchase price allocation effect Paluani recognised in the income statement; amount: 14.1; recurrence: 2022</t>
        </is>
      </c>
      <c r="I227" s="2" t="inlineStr">
        <is>
          <t>S1</t>
        </is>
      </c>
      <c r="J227" s="2" t="n">
        <v>32</v>
      </c>
      <c r="K227" s="3" t="inlineStr">
        <is>
          <t>on of EUR 14.1 million for Paluani and EUR 10.3 million for the oral care business</t>
        </is>
      </c>
      <c r="L227" s="2" t="inlineStr">
        <is>
          <t>ok</t>
        </is>
      </c>
      <c r="M227" s="2" t="inlineStr">
        <is>
          <t>demo reviewer</t>
        </is>
      </c>
      <c r="N227" s="2" t="n"/>
      <c r="O227" s="3" t="inlineStr">
        <is>
          <t>https://vanillabonds.com/dossier-data/pdf/katjes/katjes-2023-annual-report.pdf#page=32</t>
        </is>
      </c>
      <c r="P227" s="3" t="inlineStr">
        <is>
          <t>https://vanillabonds.com/dossier.html?c=katjes&amp;viewer=1&amp;item=F226</t>
        </is>
      </c>
      <c r="Q227" s="2" t="inlineStr"/>
    </row>
    <row r="228">
      <c r="A228" s="2" t="inlineStr">
        <is>
          <t>F227</t>
        </is>
      </c>
      <c r="B228" s="2" t="inlineStr">
        <is>
          <t>financials</t>
        </is>
      </c>
      <c r="C228" s="2" t="inlineStr">
        <is>
          <t>one_off</t>
        </is>
      </c>
      <c r="D228" s="3" t="inlineStr">
        <is>
          <t>One-off item: item; amount; recurrence (years in which it recurred)</t>
        </is>
      </c>
      <c r="E228" s="2" t="inlineStr">
        <is>
          <t>FY2022</t>
        </is>
      </c>
      <c r="F228" s="2" t="n">
        <v>10.3</v>
      </c>
      <c r="G228" s="2" t="n"/>
      <c r="H228" s="3" t="inlineStr">
        <is>
          <t>item: purchase price allocation effect (negative goodwill) oral care business recognised in other operating income at initial consolidation 7 Dec 2022; amount: 10.3; recurrence: 2022</t>
        </is>
      </c>
      <c r="I228" s="2" t="inlineStr">
        <is>
          <t>S1</t>
        </is>
      </c>
      <c r="J228" s="2" t="n">
        <v>59</v>
      </c>
      <c r="K228" s="3" t="inlineStr">
        <is>
          <t>At the time of initial consolidation on 7 December 2022, a difference on the liabilities side in the amount of EUR 10.3 million was recognised in other operating income</t>
        </is>
      </c>
      <c r="L228" s="2" t="inlineStr">
        <is>
          <t>ok</t>
        </is>
      </c>
      <c r="M228" s="2" t="inlineStr">
        <is>
          <t>demo reviewer</t>
        </is>
      </c>
      <c r="N228" s="2" t="n"/>
      <c r="O228" s="3" t="inlineStr">
        <is>
          <t>https://vanillabonds.com/dossier-data/pdf/katjes/katjes-2023-annual-report.pdf#page=59</t>
        </is>
      </c>
      <c r="P228" s="3" t="inlineStr">
        <is>
          <t>https://vanillabonds.com/dossier.html?c=katjes&amp;viewer=1&amp;item=F227</t>
        </is>
      </c>
      <c r="Q228" s="2" t="inlineStr"/>
    </row>
    <row r="229">
      <c r="A229" s="2" t="inlineStr">
        <is>
          <t>F228</t>
        </is>
      </c>
      <c r="B229" s="2" t="inlineStr">
        <is>
          <t>financials</t>
        </is>
      </c>
      <c r="C229" s="2" t="inlineStr">
        <is>
          <t>one_off</t>
        </is>
      </c>
      <c r="D229" s="3" t="inlineStr">
        <is>
          <t>One-off item: item; amount; recurrence (years in which it recurred)</t>
        </is>
      </c>
      <c r="E229" s="2" t="inlineStr">
        <is>
          <t>FY2022</t>
        </is>
      </c>
      <c r="F229" s="2" t="n">
        <v>24.4</v>
      </c>
      <c r="G229" s="2" t="n"/>
      <c r="H229" s="3" t="inlineStr">
        <is>
          <t>item: recognition of negative goodwill in profit or loss (other operating income); amount: 24.4; recurrence: 2022 only (2023: 0.0)</t>
        </is>
      </c>
      <c r="I229" s="2" t="inlineStr">
        <is>
          <t>S1</t>
        </is>
      </c>
      <c r="J229" s="2" t="n">
        <v>79</v>
      </c>
      <c r="K229" s="3" t="inlineStr">
        <is>
          <t>Recognition of negative goodwill in profit or loss 0.0 24.4</t>
        </is>
      </c>
      <c r="L229" s="2" t="inlineStr">
        <is>
          <t>ok</t>
        </is>
      </c>
      <c r="M229" s="2" t="inlineStr">
        <is>
          <t>demo reviewer</t>
        </is>
      </c>
      <c r="N229" s="2" t="n"/>
      <c r="O229" s="3" t="inlineStr">
        <is>
          <t>https://vanillabonds.com/dossier-data/pdf/katjes/katjes-2023-annual-report.pdf#page=79</t>
        </is>
      </c>
      <c r="P229" s="3" t="inlineStr">
        <is>
          <t>https://vanillabonds.com/dossier.html?c=katjes&amp;viewer=1&amp;item=F228</t>
        </is>
      </c>
      <c r="Q229" s="2" t="inlineStr"/>
    </row>
    <row r="230">
      <c r="A230" s="2" t="inlineStr">
        <is>
          <t>F229</t>
        </is>
      </c>
      <c r="B230" s="2" t="inlineStr">
        <is>
          <t>financials</t>
        </is>
      </c>
      <c r="C230" s="2" t="inlineStr">
        <is>
          <t>one_off</t>
        </is>
      </c>
      <c r="D230" s="3" t="inlineStr">
        <is>
          <t>One-off item: item; amount; recurrence (years in which it recurred)</t>
        </is>
      </c>
      <c r="E230" s="2" t="inlineStr">
        <is>
          <t>FY2022</t>
        </is>
      </c>
      <c r="F230" s="2" t="n">
        <v>1.2</v>
      </c>
      <c r="G230" s="2" t="n"/>
      <c r="H230" s="3" t="inlineStr">
        <is>
          <t>item: severance payments; amount: 1.2; recurrence: 2023 (0.2)</t>
        </is>
      </c>
      <c r="I230" s="2" t="inlineStr">
        <is>
          <t>S1</t>
        </is>
      </c>
      <c r="J230" s="2" t="n">
        <v>79</v>
      </c>
      <c r="K230" s="3" t="inlineStr">
        <is>
          <t>ments were incurred in the amount of EUR 0.2 million (2022: EUR 1.2 million).</t>
        </is>
      </c>
      <c r="L230" s="2" t="inlineStr">
        <is>
          <t>ok</t>
        </is>
      </c>
      <c r="M230" s="2" t="inlineStr">
        <is>
          <t>demo reviewer</t>
        </is>
      </c>
      <c r="N230" s="2" t="n"/>
      <c r="O230" s="3" t="inlineStr">
        <is>
          <t>https://vanillabonds.com/dossier-data/pdf/katjes/katjes-2023-annual-report.pdf#page=79</t>
        </is>
      </c>
      <c r="P230" s="3" t="inlineStr">
        <is>
          <t>https://vanillabonds.com/dossier.html?c=katjes&amp;viewer=1&amp;item=F229</t>
        </is>
      </c>
      <c r="Q230" s="2" t="inlineStr"/>
    </row>
    <row r="231">
      <c r="A231" s="2" t="inlineStr">
        <is>
          <t>F230</t>
        </is>
      </c>
      <c r="B231" s="2" t="inlineStr">
        <is>
          <t>financials</t>
        </is>
      </c>
      <c r="C231" s="2" t="inlineStr">
        <is>
          <t>one_off</t>
        </is>
      </c>
      <c r="D231" s="3" t="inlineStr">
        <is>
          <t>One-off item: item; amount; recurrence (years in which it recurred)</t>
        </is>
      </c>
      <c r="E231" s="2" t="inlineStr">
        <is>
          <t>FY2023</t>
        </is>
      </c>
      <c r="F231" s="2" t="n">
        <v>2.4</v>
      </c>
      <c r="G231" s="2" t="n"/>
      <c r="H231" s="3" t="inlineStr">
        <is>
          <t>item: government grant, electricity price relief (StromPBG) netted in cost of sales; amount: 2.4; recurrence: 2023</t>
        </is>
      </c>
      <c r="I231" s="2" t="inlineStr">
        <is>
          <t>S1</t>
        </is>
      </c>
      <c r="J231" s="2" t="n">
        <v>54</v>
      </c>
      <c r="K231" s="3" t="inlineStr">
        <is>
          <t>the form of relief amounts under the Electricity Price Reduction Act (StromPBG) around EUR 2.4 million.</t>
        </is>
      </c>
      <c r="L231" s="2" t="inlineStr">
        <is>
          <t>ok</t>
        </is>
      </c>
      <c r="M231" s="2" t="inlineStr">
        <is>
          <t>demo reviewer</t>
        </is>
      </c>
      <c r="N231" s="2" t="n"/>
      <c r="O231" s="3" t="inlineStr">
        <is>
          <t>https://vanillabonds.com/dossier-data/pdf/katjes/katjes-2023-annual-report.pdf#page=54</t>
        </is>
      </c>
      <c r="P231" s="3" t="inlineStr">
        <is>
          <t>https://vanillabonds.com/dossier.html?c=katjes&amp;viewer=1&amp;item=F230</t>
        </is>
      </c>
      <c r="Q231" s="2" t="inlineStr"/>
    </row>
    <row r="232">
      <c r="A232" s="2" t="inlineStr">
        <is>
          <t>F231</t>
        </is>
      </c>
      <c r="B232" s="2" t="inlineStr">
        <is>
          <t>financials</t>
        </is>
      </c>
      <c r="C232" s="2" t="inlineStr">
        <is>
          <t>one_off</t>
        </is>
      </c>
      <c r="D232" s="3" t="inlineStr">
        <is>
          <t>One-off item: item; amount; recurrence (years in which it recurred)</t>
        </is>
      </c>
      <c r="E232" s="2" t="inlineStr">
        <is>
          <t>FY2023</t>
        </is>
      </c>
      <c r="F232" s="2" t="n">
        <v>7.9</v>
      </c>
      <c r="G232" s="2" t="n"/>
      <c r="H232" s="3" t="inlineStr">
        <is>
          <t>item: other operating income 'Other' (mainly settlements with several contracting parties, plus income relating to other periods); amount: 7.9; recurrence: 2022 5.9</t>
        </is>
      </c>
      <c r="I232" s="2" t="inlineStr">
        <is>
          <t>S1</t>
        </is>
      </c>
      <c r="J232" s="2" t="n">
        <v>79</v>
      </c>
      <c r="K232" s="2" t="inlineStr">
        <is>
          <t>sions 0.5 0.7 Other 7.9 5.9</t>
        </is>
      </c>
      <c r="L232" s="2" t="inlineStr">
        <is>
          <t>ok</t>
        </is>
      </c>
      <c r="M232" s="2" t="inlineStr">
        <is>
          <t>demo reviewer</t>
        </is>
      </c>
      <c r="N232" s="2" t="n"/>
      <c r="O232" s="3" t="inlineStr">
        <is>
          <t>https://vanillabonds.com/dossier-data/pdf/katjes/katjes-2023-annual-report.pdf#page=79</t>
        </is>
      </c>
      <c r="P232" s="3" t="inlineStr">
        <is>
          <t>https://vanillabonds.com/dossier.html?c=katjes&amp;viewer=1&amp;item=F231</t>
        </is>
      </c>
      <c r="Q232" s="2" t="inlineStr"/>
    </row>
    <row r="233">
      <c r="A233" s="2" t="inlineStr">
        <is>
          <t>F232</t>
        </is>
      </c>
      <c r="B233" s="2" t="inlineStr">
        <is>
          <t>financials</t>
        </is>
      </c>
      <c r="C233" s="2" t="inlineStr">
        <is>
          <t>one_off</t>
        </is>
      </c>
      <c r="D233" s="3" t="inlineStr">
        <is>
          <t>One-off item: item; amount; recurrence (years in which it recurred)</t>
        </is>
      </c>
      <c r="E233" s="2" t="inlineStr">
        <is>
          <t>FY2023</t>
        </is>
      </c>
      <c r="F233" s="2" t="n">
        <v>0.2</v>
      </c>
      <c r="G233" s="2" t="n"/>
      <c r="H233" s="3" t="inlineStr">
        <is>
          <t>item: severance payments; amount: 0.2; recurrence: 2022 (1.2)</t>
        </is>
      </c>
      <c r="I233" s="2" t="inlineStr">
        <is>
          <t>S1</t>
        </is>
      </c>
      <c r="J233" s="2" t="n">
        <v>79</v>
      </c>
      <c r="K233" s="3" t="inlineStr">
        <is>
          <t>ments were incurred in the amount of EUR 0.2 million (2022: EUR 1.2 million).</t>
        </is>
      </c>
      <c r="L233" s="2" t="inlineStr">
        <is>
          <t>ok</t>
        </is>
      </c>
      <c r="M233" s="2" t="inlineStr">
        <is>
          <t>demo reviewer</t>
        </is>
      </c>
      <c r="N233" s="2" t="n"/>
      <c r="O233" s="3" t="inlineStr">
        <is>
          <t>https://vanillabonds.com/dossier-data/pdf/katjes/katjes-2023-annual-report.pdf#page=79</t>
        </is>
      </c>
      <c r="P233" s="3" t="inlineStr">
        <is>
          <t>https://vanillabonds.com/dossier.html?c=katjes&amp;viewer=1&amp;item=F232</t>
        </is>
      </c>
      <c r="Q233" s="2" t="inlineStr"/>
    </row>
    <row r="234">
      <c r="A234" s="2" t="inlineStr">
        <is>
          <t>F233</t>
        </is>
      </c>
      <c r="B234" s="2" t="inlineStr">
        <is>
          <t>financials</t>
        </is>
      </c>
      <c r="C234" s="2" t="inlineStr">
        <is>
          <t>one_off</t>
        </is>
      </c>
      <c r="D234" s="3" t="inlineStr">
        <is>
          <t>One-off item: item; amount; recurrence (years in which it recurred)</t>
        </is>
      </c>
      <c r="E234" s="2" t="inlineStr">
        <is>
          <t>FY2023</t>
        </is>
      </c>
      <c r="F234" s="2" t="n">
        <v>2.6</v>
      </c>
      <c r="G234" s="2" t="n"/>
      <c r="H234" s="3" t="inlineStr">
        <is>
          <t>item: deferred tax income from tax rate changes; amount: 2.6 (reduces tax expense); recurrence: 2022 expense 0.4</t>
        </is>
      </c>
      <c r="I234" s="2" t="inlineStr">
        <is>
          <t>S1</t>
        </is>
      </c>
      <c r="J234" s="2" t="n">
        <v>80</v>
      </c>
      <c r="K234" s="2" t="inlineStr">
        <is>
          <t>Tax rate changes -2.6 0.4</t>
        </is>
      </c>
      <c r="L234" s="2" t="inlineStr">
        <is>
          <t>ok</t>
        </is>
      </c>
      <c r="M234" s="2" t="inlineStr">
        <is>
          <t>demo reviewer</t>
        </is>
      </c>
      <c r="N234" s="2" t="n"/>
      <c r="O234" s="3" t="inlineStr">
        <is>
          <t>https://vanillabonds.com/dossier-data/pdf/katjes/katjes-2023-annual-report.pdf#page=80</t>
        </is>
      </c>
      <c r="P234" s="3" t="inlineStr">
        <is>
          <t>https://vanillabonds.com/dossier.html?c=katjes&amp;viewer=1&amp;item=F233</t>
        </is>
      </c>
      <c r="Q234" s="2" t="inlineStr"/>
    </row>
    <row r="235">
      <c r="A235" s="2" t="inlineStr">
        <is>
          <t>F234</t>
        </is>
      </c>
      <c r="B235" s="2" t="inlineStr">
        <is>
          <t>financials</t>
        </is>
      </c>
      <c r="C235" s="2" t="inlineStr">
        <is>
          <t>offbalance_item</t>
        </is>
      </c>
      <c r="D235" s="3" t="inlineStr">
        <is>
          <t>Off-balance item: kind (lease, factoring, guarantee given, pension deficit, earn-out, litigation provision); amount; counterparty</t>
        </is>
      </c>
      <c r="E235" s="2" t="inlineStr">
        <is>
          <t>FY2022</t>
        </is>
      </c>
      <c r="F235" s="2" t="n">
        <v>9</v>
      </c>
      <c r="G235" s="2" t="n"/>
      <c r="H235" s="3" t="inlineStr">
        <is>
          <t>kind: pension deficit; amount: 9.0 (adjusted); counterparty: defined benefit plans in Germany and Italy</t>
        </is>
      </c>
      <c r="I235" s="2" t="inlineStr">
        <is>
          <t>S1</t>
        </is>
      </c>
      <c r="J235" s="2" t="n">
        <v>46</v>
      </c>
      <c r="K235" s="3" t="inlineStr">
        <is>
          <t>Provisions for pensions and similar obligations(1) 6.12 9.6 9.0</t>
        </is>
      </c>
      <c r="L235" s="2" t="inlineStr">
        <is>
          <t>ok</t>
        </is>
      </c>
      <c r="M235" s="2" t="inlineStr">
        <is>
          <t>demo reviewer</t>
        </is>
      </c>
      <c r="N235" s="2" t="n"/>
      <c r="O235" s="3" t="inlineStr">
        <is>
          <t>https://vanillabonds.com/dossier-data/pdf/katjes/katjes-2023-annual-report.pdf#page=46</t>
        </is>
      </c>
      <c r="P235" s="3" t="inlineStr">
        <is>
          <t>https://vanillabonds.com/dossier.html?c=katjes&amp;viewer=1&amp;item=F234</t>
        </is>
      </c>
      <c r="Q235" s="2" t="inlineStr"/>
    </row>
    <row r="236">
      <c r="A236" s="2" t="inlineStr">
        <is>
          <t>F235</t>
        </is>
      </c>
      <c r="B236" s="2" t="inlineStr">
        <is>
          <t>financials</t>
        </is>
      </c>
      <c r="C236" s="2" t="inlineStr">
        <is>
          <t>offbalance_item</t>
        </is>
      </c>
      <c r="D236" s="3" t="inlineStr">
        <is>
          <t>Off-balance item: kind (lease, factoring, guarantee given, pension deficit, earn-out, litigation provision); amount; counterparty</t>
        </is>
      </c>
      <c r="E236" s="2" t="inlineStr">
        <is>
          <t>FY2023</t>
        </is>
      </c>
      <c r="F236" s="2" t="n">
        <v>9.6</v>
      </c>
      <c r="G236" s="2" t="n"/>
      <c r="H236" s="3" t="inlineStr">
        <is>
          <t>kind: pension deficit; amount: 9.6; counterparty: defined benefit plans in Germany and Italy (provision on balance sheet)</t>
        </is>
      </c>
      <c r="I236" s="2" t="inlineStr">
        <is>
          <t>S1</t>
        </is>
      </c>
      <c r="J236" s="2" t="n">
        <v>46</v>
      </c>
      <c r="K236" s="3" t="inlineStr">
        <is>
          <t>Provisions for pensions and similar obligations(1) 6.12 9.6 9.0</t>
        </is>
      </c>
      <c r="L236" s="2" t="inlineStr">
        <is>
          <t>ok</t>
        </is>
      </c>
      <c r="M236" s="2" t="inlineStr">
        <is>
          <t>demo reviewer</t>
        </is>
      </c>
      <c r="N236" s="2" t="n"/>
      <c r="O236" s="3" t="inlineStr">
        <is>
          <t>https://vanillabonds.com/dossier-data/pdf/katjes/katjes-2023-annual-report.pdf#page=46</t>
        </is>
      </c>
      <c r="P236" s="3" t="inlineStr">
        <is>
          <t>https://vanillabonds.com/dossier.html?c=katjes&amp;viewer=1&amp;item=F235</t>
        </is>
      </c>
      <c r="Q236" s="2" t="inlineStr"/>
    </row>
    <row r="237">
      <c r="A237" s="2" t="inlineStr">
        <is>
          <t>F236</t>
        </is>
      </c>
      <c r="B237" s="2" t="inlineStr">
        <is>
          <t>financials</t>
        </is>
      </c>
      <c r="C237" s="2" t="inlineStr">
        <is>
          <t>offbalance_item</t>
        </is>
      </c>
      <c r="D237" s="3" t="inlineStr">
        <is>
          <t>Off-balance item: kind (lease, factoring, guarantee given, pension deficit, earn-out, litigation provision); amount; counterparty</t>
        </is>
      </c>
      <c r="E237" s="2" t="inlineStr">
        <is>
          <t>FY2023</t>
        </is>
      </c>
      <c r="F237" s="2" t="n">
        <v>1.2</v>
      </c>
      <c r="G237" s="2" t="n"/>
      <c r="H237" s="3" t="inlineStr">
        <is>
          <t>kind: earn-out (purchase option); amount: 1.2; counterparty: minority holders of the remaining 25% of Dulcioliva S.r.l.; option fully recognised as a liability as exercise is still assumed</t>
        </is>
      </c>
      <c r="I237" s="2" t="inlineStr">
        <is>
          <t>S1</t>
        </is>
      </c>
      <c r="J237" s="2" t="n">
        <v>64</v>
      </c>
      <c r="K237" s="3" t="inlineStr">
        <is>
          <t>the liability from the exercise of the purchase option for the remaining 25% of Dulcioliva is reported here (EUR 1.2 million)</t>
        </is>
      </c>
      <c r="L237" s="2" t="inlineStr">
        <is>
          <t>ok</t>
        </is>
      </c>
      <c r="M237" s="2" t="inlineStr">
        <is>
          <t>demo reviewer</t>
        </is>
      </c>
      <c r="N237" s="2" t="n"/>
      <c r="O237" s="3" t="inlineStr">
        <is>
          <t>https://vanillabonds.com/dossier-data/pdf/katjes/katjes-2023-annual-report.pdf#page=64</t>
        </is>
      </c>
      <c r="P237" s="3" t="inlineStr">
        <is>
          <t>https://vanillabonds.com/dossier.html?c=katjes&amp;viewer=1&amp;item=F236</t>
        </is>
      </c>
      <c r="Q237" s="2" t="inlineStr"/>
    </row>
    <row r="238">
      <c r="A238" s="2" t="inlineStr">
        <is>
          <t>F237</t>
        </is>
      </c>
      <c r="B238" s="2" t="inlineStr">
        <is>
          <t>financials</t>
        </is>
      </c>
      <c r="C238" s="2" t="inlineStr">
        <is>
          <t>offbalance_item</t>
        </is>
      </c>
      <c r="D238" s="3" t="inlineStr">
        <is>
          <t>Off-balance item: kind (lease, factoring, guarantee given, pension deficit, earn-out, litigation provision); amount; counterparty</t>
        </is>
      </c>
      <c r="E238" s="2" t="inlineStr">
        <is>
          <t>FY2023</t>
        </is>
      </c>
      <c r="F238" s="2" t="n"/>
      <c r="G238" s="2" t="n"/>
      <c r="H238" s="3" t="inlineStr">
        <is>
          <t>kind: factoring; amount: not stated; counterparty: factoring companies; 87% of Piasten's, around 38% of Sperlari's and 70% of Candy Kittens' trade receivables sold and derecognised (IFRS 9.3.2.3)</t>
        </is>
      </c>
      <c r="I238" s="2" t="inlineStr">
        <is>
          <t>S1</t>
        </is>
      </c>
      <c r="J238" s="2" t="n">
        <v>70</v>
      </c>
      <c r="K238" s="3" t="inlineStr">
        <is>
          <t>In the reporting year, 87% of Piasten’s trade receivables, around 38% of Sperlari’s trade receivables and 70% of Candy Kittens’ trade receivables were sold to factoring</t>
        </is>
      </c>
      <c r="L238" s="2" t="inlineStr">
        <is>
          <t>ok</t>
        </is>
      </c>
      <c r="M238" s="2" t="inlineStr">
        <is>
          <t>demo reviewer</t>
        </is>
      </c>
      <c r="N238" s="2" t="n"/>
      <c r="O238" s="3" t="inlineStr">
        <is>
          <t>https://vanillabonds.com/dossier-data/pdf/katjes/katjes-2023-annual-report.pdf#page=70</t>
        </is>
      </c>
      <c r="P238" s="3" t="inlineStr">
        <is>
          <t>https://vanillabonds.com/dossier.html?c=katjes&amp;viewer=1&amp;item=F237</t>
        </is>
      </c>
      <c r="Q238" s="2" t="inlineStr"/>
    </row>
    <row r="239">
      <c r="A239" s="2" t="inlineStr">
        <is>
          <t>F238</t>
        </is>
      </c>
      <c r="B239" s="2" t="inlineStr">
        <is>
          <t>financials</t>
        </is>
      </c>
      <c r="C239" s="2" t="inlineStr">
        <is>
          <t>offbalance_item</t>
        </is>
      </c>
      <c r="D239" s="3" t="inlineStr">
        <is>
          <t>Off-balance item: kind (lease, factoring, guarantee given, pension deficit, earn-out, litigation provision); amount; counterparty</t>
        </is>
      </c>
      <c r="E239" s="2" t="inlineStr">
        <is>
          <t>FY2023</t>
        </is>
      </c>
      <c r="F239" s="2" t="n">
        <v>0.9</v>
      </c>
      <c r="G239" s="2" t="n"/>
      <c r="H239" s="3" t="inlineStr">
        <is>
          <t>kind: pension deficit (funded plans); amount: 0.9; counterparty: funded defined benefit plans, DBO 10.7 vs plan assets 9.8; unfunded obligations 8.5, provision 8.7</t>
        </is>
      </c>
      <c r="I239" s="2" t="inlineStr">
        <is>
          <t>S1</t>
        </is>
      </c>
      <c r="J239" s="2" t="n">
        <v>75</v>
      </c>
      <c r="K239" s="3" t="inlineStr">
        <is>
          <t>Fair value of plan assets -9.8 -10.6 Obligation reported 0.9 0.0</t>
        </is>
      </c>
      <c r="L239" s="2" t="inlineStr">
        <is>
          <t>ok</t>
        </is>
      </c>
      <c r="M239" s="2" t="inlineStr">
        <is>
          <t>demo reviewer</t>
        </is>
      </c>
      <c r="N239" s="2" t="n"/>
      <c r="O239" s="3" t="inlineStr">
        <is>
          <t>https://vanillabonds.com/dossier-data/pdf/katjes/katjes-2023-annual-report.pdf#page=75</t>
        </is>
      </c>
      <c r="P239" s="3" t="inlineStr">
        <is>
          <t>https://vanillabonds.com/dossier.html?c=katjes&amp;viewer=1&amp;item=F238</t>
        </is>
      </c>
      <c r="Q239" s="2" t="inlineStr"/>
    </row>
    <row r="240">
      <c r="A240" s="2" t="inlineStr">
        <is>
          <t>F239</t>
        </is>
      </c>
      <c r="B240" s="2" t="inlineStr">
        <is>
          <t>financials</t>
        </is>
      </c>
      <c r="C240" s="2" t="inlineStr">
        <is>
          <t>audit_adjustment</t>
        </is>
      </c>
      <c r="D240" s="3" t="inlineStr">
        <is>
          <t>Audit facts: adjustments (number); management_letter_points (number); restatements; key_audit_matters</t>
        </is>
      </c>
      <c r="E240" s="2" t="inlineStr">
        <is>
          <t>FY2022</t>
        </is>
      </c>
      <c r="F240" s="2" t="n">
        <v>7.7</v>
      </c>
      <c r="G240" s="2" t="n"/>
      <c r="H240" s="3" t="inlineStr">
        <is>
          <t>restatements: finalisation of the purchase price allocation added 7.7 to profit carried forward 2022 (equity restated to 167.0)</t>
        </is>
      </c>
      <c r="I240" s="2" t="inlineStr">
        <is>
          <t>S1</t>
        </is>
      </c>
      <c r="J240" s="2" t="n">
        <v>47</v>
      </c>
      <c r="K240" s="3" t="inlineStr">
        <is>
          <t>Finalisation purchase price allocation 0.0 0.0 0.0 7.7 0.0 0.0 0.0 0.0 7.7 0.0 7.7</t>
        </is>
      </c>
      <c r="L240" s="2" t="inlineStr">
        <is>
          <t>ok</t>
        </is>
      </c>
      <c r="M240" s="2" t="inlineStr">
        <is>
          <t>demo reviewer</t>
        </is>
      </c>
      <c r="N240" s="2" t="n"/>
      <c r="O240" s="3" t="inlineStr">
        <is>
          <t>https://vanillabonds.com/dossier-data/pdf/katjes/katjes-2023-annual-report.pdf#page=47</t>
        </is>
      </c>
      <c r="P240" s="3" t="inlineStr">
        <is>
          <t>https://vanillabonds.com/dossier.html?c=katjes&amp;viewer=1&amp;item=F239</t>
        </is>
      </c>
      <c r="Q240" s="2" t="inlineStr"/>
    </row>
    <row r="241">
      <c r="A241" s="2" t="inlineStr">
        <is>
          <t>F240</t>
        </is>
      </c>
      <c r="B241" s="2" t="inlineStr">
        <is>
          <t>financials</t>
        </is>
      </c>
      <c r="C241" s="2" t="inlineStr">
        <is>
          <t>audit_adjustment</t>
        </is>
      </c>
      <c r="D241" s="3" t="inlineStr">
        <is>
          <t>Audit facts: adjustments (number); management_letter_points (number); restatements; key_audit_matters</t>
        </is>
      </c>
      <c r="E241" s="2" t="inlineStr">
        <is>
          <t>FY2023</t>
        </is>
      </c>
      <c r="F241" s="2" t="n"/>
      <c r="G241" s="2" t="n"/>
      <c r="H241" s="3" t="inlineStr">
        <is>
          <t>restatements: prior-year figures adjusted for the retrospective finalisation of the oral care purchase price allocation (PP&amp;E, equity, pension provisions, deferred taxes, current financial liabilities); key_audit_matters: none presented in the auditor's report; adjustments: not disclosed</t>
        </is>
      </c>
      <c r="I241" s="2" t="inlineStr">
        <is>
          <t>S1</t>
        </is>
      </c>
      <c r="J241" s="2" t="n">
        <v>33</v>
      </c>
      <c r="K241" s="3" t="inlineStr">
        <is>
          <t>figures were adjusted with regard to property, plant and equipment, equity, pension provisions, deferred taxes and current financial liabilities.</t>
        </is>
      </c>
      <c r="L241" s="2" t="inlineStr">
        <is>
          <t>ok</t>
        </is>
      </c>
      <c r="M241" s="2" t="inlineStr">
        <is>
          <t>demo reviewer</t>
        </is>
      </c>
      <c r="N241" s="2" t="n"/>
      <c r="O241" s="3" t="inlineStr">
        <is>
          <t>https://vanillabonds.com/dossier-data/pdf/katjes/katjes-2023-annual-report.pdf#page=33</t>
        </is>
      </c>
      <c r="P241" s="3" t="inlineStr">
        <is>
          <t>https://vanillabonds.com/dossier.html?c=katjes&amp;viewer=1&amp;item=F240</t>
        </is>
      </c>
      <c r="Q241" s="2" t="inlineStr">
        <is>
          <t>no</t>
        </is>
      </c>
    </row>
    <row r="242">
      <c r="A242" s="2" t="inlineStr">
        <is>
          <t>F241</t>
        </is>
      </c>
      <c r="B242" s="2" t="inlineStr">
        <is>
          <t>financials</t>
        </is>
      </c>
      <c r="C242" s="2" t="inlineStr">
        <is>
          <t>filing_days</t>
        </is>
      </c>
      <c r="D242" s="3" t="inlineStr">
        <is>
          <t>Days from year end to filing of the accounts</t>
        </is>
      </c>
      <c r="E242" s="2" t="inlineStr">
        <is>
          <t>FY2023</t>
        </is>
      </c>
      <c r="F242" s="2" t="n">
        <v>87</v>
      </c>
      <c r="G242" s="2" t="n"/>
      <c r="H242" s="3" t="inlineStr">
        <is>
          <t>Year end 31 Dec 2023 to approval for publication and auditor's report on 27 March 2024</t>
        </is>
      </c>
      <c r="I242" s="2" t="inlineStr">
        <is>
          <t>S1</t>
        </is>
      </c>
      <c r="J242" s="2" t="n">
        <v>85</v>
      </c>
      <c r="K242" s="3" t="inlineStr">
        <is>
          <t>These consolidated financial statements were approved for publication by the management on 27 March 2024.</t>
        </is>
      </c>
      <c r="L242" s="2" t="inlineStr">
        <is>
          <t>ok</t>
        </is>
      </c>
      <c r="M242" s="2" t="inlineStr">
        <is>
          <t>demo reviewer</t>
        </is>
      </c>
      <c r="N242" s="2" t="n"/>
      <c r="O242" s="3" t="inlineStr">
        <is>
          <t>https://vanillabonds.com/dossier-data/pdf/katjes/katjes-2023-annual-report.pdf#page=85</t>
        </is>
      </c>
      <c r="P242" s="3" t="inlineStr">
        <is>
          <t>https://vanillabonds.com/dossier.html?c=katjes&amp;viewer=1&amp;item=F241</t>
        </is>
      </c>
      <c r="Q242" s="2" t="inlineStr"/>
    </row>
    <row r="243">
      <c r="A243" s="2" t="inlineStr">
        <is>
          <t>F242</t>
        </is>
      </c>
      <c r="B243" s="2" t="inlineStr">
        <is>
          <t>financials</t>
        </is>
      </c>
      <c r="C243" s="2" t="inlineStr">
        <is>
          <t>tax_item</t>
        </is>
      </c>
      <c r="D243" s="3" t="inlineStr">
        <is>
          <t>Tax item: position, open assessment, dispute, ruling, payment-behaviour statement</t>
        </is>
      </c>
      <c r="E243" s="2" t="n"/>
      <c r="F243" s="2" t="n"/>
      <c r="G243" s="2" t="n"/>
      <c r="H243" s="3" t="inlineStr">
        <is>
          <t>Management lists 'general tax risks' among company-related risks without quantification.</t>
        </is>
      </c>
      <c r="I243" s="2" t="inlineStr">
        <is>
          <t>S1</t>
        </is>
      </c>
      <c r="J243" s="2" t="n">
        <v>39</v>
      </c>
      <c r="K243" s="2" t="inlineStr">
        <is>
          <t>There are general tax risks.</t>
        </is>
      </c>
      <c r="L243" s="2" t="inlineStr">
        <is>
          <t>ok</t>
        </is>
      </c>
      <c r="M243" s="2" t="inlineStr">
        <is>
          <t>demo reviewer</t>
        </is>
      </c>
      <c r="N243" s="2" t="n"/>
      <c r="O243" s="3" t="inlineStr">
        <is>
          <t>https://vanillabonds.com/dossier-data/pdf/katjes/katjes-2023-annual-report.pdf#page=39</t>
        </is>
      </c>
      <c r="P243" s="3" t="inlineStr">
        <is>
          <t>https://vanillabonds.com/dossier.html?c=katjes&amp;viewer=1&amp;item=F242</t>
        </is>
      </c>
      <c r="Q243" s="2" t="inlineStr"/>
    </row>
    <row r="244">
      <c r="A244" s="2" t="inlineStr">
        <is>
          <t>F243</t>
        </is>
      </c>
      <c r="B244" s="2" t="inlineStr">
        <is>
          <t>financials</t>
        </is>
      </c>
      <c r="C244" s="2" t="inlineStr">
        <is>
          <t>tax_item</t>
        </is>
      </c>
      <c r="D244" s="3" t="inlineStr">
        <is>
          <t>Tax item: position, open assessment, dispute, ruling, payment-behaviour statement</t>
        </is>
      </c>
      <c r="E244" s="2" t="n"/>
      <c r="F244" s="2" t="n"/>
      <c r="G244" s="2" t="n"/>
      <c r="H244" s="3" t="inlineStr">
        <is>
          <t>No deferred tax assets on corporate tax loss carryforwards EUR 35.8m (2022: 35.9), trade tax loss carryforwards EUR 6.8m (6.2) and other loss carryforwards EUR 8.1m (8.3); recognised deferred tax asset on losses 9.0; six-year planning horizon.</t>
        </is>
      </c>
      <c r="I244" s="2" t="inlineStr">
        <is>
          <t>S1</t>
        </is>
      </c>
      <c r="J244" s="2" t="n">
        <v>74</v>
      </c>
      <c r="K244" s="3" t="inlineStr">
        <is>
          <t>No deferred taxes were recognised on corporate tax loss carryforwards in the amount of EUR 35.8 million (2022: EUR 35.9 million)</t>
        </is>
      </c>
      <c r="L244" s="2" t="inlineStr">
        <is>
          <t>ok</t>
        </is>
      </c>
      <c r="M244" s="2" t="inlineStr">
        <is>
          <t>demo reviewer</t>
        </is>
      </c>
      <c r="N244" s="2" t="n"/>
      <c r="O244" s="3" t="inlineStr">
        <is>
          <t>https://vanillabonds.com/dossier-data/pdf/katjes/katjes-2023-annual-report.pdf#page=74</t>
        </is>
      </c>
      <c r="P244" s="3" t="inlineStr">
        <is>
          <t>https://vanillabonds.com/dossier.html?c=katjes&amp;viewer=1&amp;item=F243</t>
        </is>
      </c>
      <c r="Q244" s="2" t="inlineStr"/>
    </row>
    <row r="245">
      <c r="A245" s="2" t="inlineStr">
        <is>
          <t>F244</t>
        </is>
      </c>
      <c r="B245" s="2" t="inlineStr">
        <is>
          <t>financials</t>
        </is>
      </c>
      <c r="C245" s="2" t="inlineStr">
        <is>
          <t>tax_item</t>
        </is>
      </c>
      <c r="D245" s="3" t="inlineStr">
        <is>
          <t>Tax item: position, open assessment, dispute, ruling, payment-behaviour statement</t>
        </is>
      </c>
      <c r="E245" s="2" t="n"/>
      <c r="F245" s="2" t="n"/>
      <c r="G245" s="2" t="n"/>
      <c r="H245" s="3" t="inlineStr">
        <is>
          <t>Dutch corporation loss carryforwards EUR 1.3m (2022: 1.7) expire in one to five years; other loss carryforwards can be carried forward indefinitely.</t>
        </is>
      </c>
      <c r="I245" s="2" t="inlineStr">
        <is>
          <t>S1</t>
        </is>
      </c>
      <c r="J245" s="2" t="n">
        <v>74</v>
      </c>
      <c r="K245" s="3" t="inlineStr">
        <is>
          <t>ception involves Dutch corporation loss carryforwards in the amount of EUR 1.3 million (2022: EUR 1.7 million), which expire in one to five years.</t>
        </is>
      </c>
      <c r="L245" s="2" t="inlineStr">
        <is>
          <t>ok</t>
        </is>
      </c>
      <c r="M245" s="2" t="inlineStr">
        <is>
          <t>demo reviewer</t>
        </is>
      </c>
      <c r="N245" s="2" t="n"/>
      <c r="O245" s="3" t="inlineStr">
        <is>
          <t>https://vanillabonds.com/dossier-data/pdf/katjes/katjes-2023-annual-report.pdf#page=74</t>
        </is>
      </c>
      <c r="P245" s="3" t="inlineStr">
        <is>
          <t>https://vanillabonds.com/dossier.html?c=katjes&amp;viewer=1&amp;item=F244</t>
        </is>
      </c>
      <c r="Q245" s="2" t="inlineStr"/>
    </row>
    <row r="246">
      <c r="A246" s="2" t="inlineStr">
        <is>
          <t>F245</t>
        </is>
      </c>
      <c r="B246" s="2" t="inlineStr">
        <is>
          <t>financials</t>
        </is>
      </c>
      <c r="C246" s="2" t="inlineStr">
        <is>
          <t>tax_item</t>
        </is>
      </c>
      <c r="D246" s="3" t="inlineStr">
        <is>
          <t>Tax item: position, open assessment, dispute, ruling, payment-behaviour statement</t>
        </is>
      </c>
      <c r="E246" s="2" t="n"/>
      <c r="F246" s="2" t="n"/>
      <c r="G246" s="2" t="n"/>
      <c r="H246" s="3" t="inlineStr">
        <is>
          <t>Tax expense 2023 EUR 0.9m (2022: 1.0): current tax 4.4 (Germany 4.2, other 0.2) less deferred tax income 3.5; expected rate 12.4% = average trade tax rate of the German parent (partnership).</t>
        </is>
      </c>
      <c r="I246" s="2" t="inlineStr">
        <is>
          <t>S1</t>
        </is>
      </c>
      <c r="J246" s="2" t="n">
        <v>80</v>
      </c>
      <c r="K246" s="3" t="inlineStr">
        <is>
          <t>The expected tax rate of 12.4% (2022: 12.3%) is the</t>
        </is>
      </c>
      <c r="L246" s="2" t="inlineStr">
        <is>
          <t>ok</t>
        </is>
      </c>
      <c r="M246" s="2" t="inlineStr">
        <is>
          <t>demo reviewer</t>
        </is>
      </c>
      <c r="N246" s="2" t="n"/>
      <c r="O246" s="3" t="inlineStr">
        <is>
          <t>https://vanillabonds.com/dossier-data/pdf/katjes/katjes-2023-annual-report.pdf#page=80</t>
        </is>
      </c>
      <c r="P246" s="3" t="inlineStr">
        <is>
          <t>https://vanillabonds.com/dossier.html?c=katjes&amp;viewer=1&amp;item=F245</t>
        </is>
      </c>
      <c r="Q246" s="2" t="inlineStr"/>
    </row>
    <row r="247">
      <c r="A247" s="2" t="inlineStr">
        <is>
          <t>F246</t>
        </is>
      </c>
      <c r="B247" s="2" t="inlineStr">
        <is>
          <t>financials</t>
        </is>
      </c>
      <c r="C247" s="2" t="inlineStr">
        <is>
          <t>tax_item</t>
        </is>
      </c>
      <c r="D247" s="3" t="inlineStr">
        <is>
          <t>Tax item: position, open assessment, dispute, ruling, payment-behaviour statement</t>
        </is>
      </c>
      <c r="E247" s="2" t="n"/>
      <c r="F247" s="2" t="n"/>
      <c r="G247" s="2" t="n"/>
      <c r="H247" s="3" t="inlineStr">
        <is>
          <t>No deferred tax liabilities on taxable temporary differences of EUR 654.2m (2022: 562.1) relating to shares in subsidiaries, as reversal is controlled and not foreseeable.</t>
        </is>
      </c>
      <c r="I247" s="2" t="inlineStr">
        <is>
          <t>S1</t>
        </is>
      </c>
      <c r="J247" s="2" t="n">
        <v>80</v>
      </c>
      <c r="K247" s="3" t="inlineStr">
        <is>
          <t>shares in subsidiaries in the amount of EUR 654.2 million (2022: EUR 562.1 million), no deferred taxes were</t>
        </is>
      </c>
      <c r="L247" s="2" t="inlineStr">
        <is>
          <t>ok</t>
        </is>
      </c>
      <c r="M247" s="2" t="inlineStr">
        <is>
          <t>demo reviewer</t>
        </is>
      </c>
      <c r="N247" s="2" t="n"/>
      <c r="O247" s="3" t="inlineStr">
        <is>
          <t>https://vanillabonds.com/dossier-data/pdf/katjes/katjes-2023-annual-report.pdf#page=80</t>
        </is>
      </c>
      <c r="P247" s="3" t="inlineStr">
        <is>
          <t>https://vanillabonds.com/dossier.html?c=katjes&amp;viewer=1&amp;item=F246</t>
        </is>
      </c>
      <c r="Q247" s="2" t="inlineStr"/>
    </row>
    <row r="248">
      <c r="A248" s="2" t="inlineStr">
        <is>
          <t>F247</t>
        </is>
      </c>
      <c r="B248" s="2" t="inlineStr">
        <is>
          <t>financials</t>
        </is>
      </c>
      <c r="C248" s="2" t="inlineStr">
        <is>
          <t>segment</t>
        </is>
      </c>
      <c r="D248" s="3" t="inlineStr">
        <is>
          <t>Segment: segment; revenue; ebitda; assets</t>
        </is>
      </c>
      <c r="E248" s="2" t="inlineStr">
        <is>
          <t>FY2022</t>
        </is>
      </c>
      <c r="F248" s="2" t="n">
        <v>127</v>
      </c>
      <c r="G248" s="2" t="n"/>
      <c r="H248" s="3" t="inlineStr">
        <is>
          <t>segment: Confectionery (business line); revenue: 127.0</t>
        </is>
      </c>
      <c r="I248" s="2" t="inlineStr">
        <is>
          <t>S1</t>
        </is>
      </c>
      <c r="J248" s="2" t="n">
        <v>78</v>
      </c>
      <c r="K248" s="2" t="inlineStr">
        <is>
          <t>Confectionery 156.2 127.0</t>
        </is>
      </c>
      <c r="L248" s="2" t="inlineStr">
        <is>
          <t>ok</t>
        </is>
      </c>
      <c r="M248" s="2" t="inlineStr">
        <is>
          <t>demo reviewer</t>
        </is>
      </c>
      <c r="N248" s="2" t="n"/>
      <c r="O248" s="3" t="inlineStr">
        <is>
          <t>https://vanillabonds.com/dossier-data/pdf/katjes/katjes-2023-annual-report.pdf#page=78</t>
        </is>
      </c>
      <c r="P248" s="3" t="inlineStr">
        <is>
          <t>https://vanillabonds.com/dossier.html?c=katjes&amp;viewer=1&amp;item=F247</t>
        </is>
      </c>
      <c r="Q248" s="2" t="inlineStr"/>
    </row>
    <row r="249">
      <c r="A249" s="2" t="inlineStr">
        <is>
          <t>F248</t>
        </is>
      </c>
      <c r="B249" s="2" t="inlineStr">
        <is>
          <t>financials</t>
        </is>
      </c>
      <c r="C249" s="2" t="inlineStr">
        <is>
          <t>segment</t>
        </is>
      </c>
      <c r="D249" s="3" t="inlineStr">
        <is>
          <t>Segment: segment; revenue; ebitda; assets</t>
        </is>
      </c>
      <c r="E249" s="2" t="inlineStr">
        <is>
          <t>FY2022</t>
        </is>
      </c>
      <c r="F249" s="2" t="n">
        <v>55.4</v>
      </c>
      <c r="G249" s="2" t="n"/>
      <c r="H249" s="3" t="inlineStr">
        <is>
          <t>segment: Body care products (business line); revenue: 55.4</t>
        </is>
      </c>
      <c r="I249" s="2" t="inlineStr">
        <is>
          <t>S1</t>
        </is>
      </c>
      <c r="J249" s="2" t="n">
        <v>78</v>
      </c>
      <c r="K249" s="2" t="inlineStr">
        <is>
          <t>Body care products 87.0 55.4</t>
        </is>
      </c>
      <c r="L249" s="2" t="inlineStr">
        <is>
          <t>ok</t>
        </is>
      </c>
      <c r="M249" s="2" t="inlineStr">
        <is>
          <t>demo reviewer</t>
        </is>
      </c>
      <c r="N249" s="2" t="n"/>
      <c r="O249" s="3" t="inlineStr">
        <is>
          <t>https://vanillabonds.com/dossier-data/pdf/katjes/katjes-2023-annual-report.pdf#page=78</t>
        </is>
      </c>
      <c r="P249" s="3" t="inlineStr">
        <is>
          <t>https://vanillabonds.com/dossier.html?c=katjes&amp;viewer=1&amp;item=F248</t>
        </is>
      </c>
      <c r="Q249" s="2" t="inlineStr"/>
    </row>
    <row r="250">
      <c r="A250" s="2" t="inlineStr">
        <is>
          <t>F249</t>
        </is>
      </c>
      <c r="B250" s="2" t="inlineStr">
        <is>
          <t>financials</t>
        </is>
      </c>
      <c r="C250" s="2" t="inlineStr">
        <is>
          <t>segment</t>
        </is>
      </c>
      <c r="D250" s="3" t="inlineStr">
        <is>
          <t>Segment: segment; revenue; ebitda; assets</t>
        </is>
      </c>
      <c r="E250" s="2" t="inlineStr">
        <is>
          <t>FY2022</t>
        </is>
      </c>
      <c r="F250" s="2" t="n">
        <v>55.2</v>
      </c>
      <c r="G250" s="2" t="n"/>
      <c r="H250" s="3" t="inlineStr">
        <is>
          <t>segment: Chocolate (business line); revenue: 55.2</t>
        </is>
      </c>
      <c r="I250" s="2" t="inlineStr">
        <is>
          <t>S1</t>
        </is>
      </c>
      <c r="J250" s="2" t="n">
        <v>78</v>
      </c>
      <c r="K250" s="2" t="inlineStr">
        <is>
          <t>Chocolate 59.4 55.2</t>
        </is>
      </c>
      <c r="L250" s="2" t="inlineStr">
        <is>
          <t>ok</t>
        </is>
      </c>
      <c r="M250" s="2" t="inlineStr">
        <is>
          <t>demo reviewer</t>
        </is>
      </c>
      <c r="N250" s="2" t="n"/>
      <c r="O250" s="3" t="inlineStr">
        <is>
          <t>https://vanillabonds.com/dossier-data/pdf/katjes/katjes-2023-annual-report.pdf#page=78</t>
        </is>
      </c>
      <c r="P250" s="3" t="inlineStr">
        <is>
          <t>https://vanillabonds.com/dossier.html?c=katjes&amp;viewer=1&amp;item=F249</t>
        </is>
      </c>
      <c r="Q250" s="2" t="inlineStr"/>
    </row>
    <row r="251">
      <c r="A251" s="2" t="inlineStr">
        <is>
          <t>F250</t>
        </is>
      </c>
      <c r="B251" s="2" t="inlineStr">
        <is>
          <t>financials</t>
        </is>
      </c>
      <c r="C251" s="2" t="inlineStr">
        <is>
          <t>segment</t>
        </is>
      </c>
      <c r="D251" s="3" t="inlineStr">
        <is>
          <t>Segment: segment; revenue; ebitda; assets</t>
        </is>
      </c>
      <c r="E251" s="2" t="inlineStr">
        <is>
          <t>FY2022</t>
        </is>
      </c>
      <c r="F251" s="2" t="n">
        <v>37.2</v>
      </c>
      <c r="G251" s="2" t="n"/>
      <c r="H251" s="3" t="inlineStr">
        <is>
          <t>segment: Seasonals (business line); revenue: 37.2</t>
        </is>
      </c>
      <c r="I251" s="2" t="inlineStr">
        <is>
          <t>S1</t>
        </is>
      </c>
      <c r="J251" s="2" t="n">
        <v>78</v>
      </c>
      <c r="K251" s="2" t="inlineStr">
        <is>
          <t>Seasonals 46.7 37.2</t>
        </is>
      </c>
      <c r="L251" s="2" t="inlineStr">
        <is>
          <t>ok</t>
        </is>
      </c>
      <c r="M251" s="2" t="inlineStr">
        <is>
          <t>demo reviewer</t>
        </is>
      </c>
      <c r="N251" s="2" t="n"/>
      <c r="O251" s="3" t="inlineStr">
        <is>
          <t>https://vanillabonds.com/dossier-data/pdf/katjes/katjes-2023-annual-report.pdf#page=78</t>
        </is>
      </c>
      <c r="P251" s="3" t="inlineStr">
        <is>
          <t>https://vanillabonds.com/dossier.html?c=katjes&amp;viewer=1&amp;item=F250</t>
        </is>
      </c>
      <c r="Q251" s="2" t="inlineStr"/>
    </row>
    <row r="252">
      <c r="A252" s="2" t="inlineStr">
        <is>
          <t>F251</t>
        </is>
      </c>
      <c r="B252" s="2" t="inlineStr">
        <is>
          <t>financials</t>
        </is>
      </c>
      <c r="C252" s="2" t="inlineStr">
        <is>
          <t>segment</t>
        </is>
      </c>
      <c r="D252" s="3" t="inlineStr">
        <is>
          <t>Segment: segment; revenue; ebitda; assets</t>
        </is>
      </c>
      <c r="E252" s="2" t="inlineStr">
        <is>
          <t>FY2022</t>
        </is>
      </c>
      <c r="F252" s="2" t="n">
        <v>19.7</v>
      </c>
      <c r="G252" s="2" t="n"/>
      <c r="H252" s="3" t="inlineStr">
        <is>
          <t>segment: Other (business line); revenue: 19.7</t>
        </is>
      </c>
      <c r="I252" s="2" t="inlineStr">
        <is>
          <t>S1</t>
        </is>
      </c>
      <c r="J252" s="2" t="n">
        <v>78</v>
      </c>
      <c r="K252" s="2" t="inlineStr">
        <is>
          <t>Other 28.1 19.7</t>
        </is>
      </c>
      <c r="L252" s="2" t="inlineStr">
        <is>
          <t>ok</t>
        </is>
      </c>
      <c r="M252" s="2" t="inlineStr">
        <is>
          <t>demo reviewer</t>
        </is>
      </c>
      <c r="N252" s="2" t="n"/>
      <c r="O252" s="3" t="inlineStr">
        <is>
          <t>https://vanillabonds.com/dossier-data/pdf/katjes/katjes-2023-annual-report.pdf#page=78</t>
        </is>
      </c>
      <c r="P252" s="3" t="inlineStr">
        <is>
          <t>https://vanillabonds.com/dossier.html?c=katjes&amp;viewer=1&amp;item=F251</t>
        </is>
      </c>
      <c r="Q252" s="2" t="inlineStr"/>
    </row>
    <row r="253">
      <c r="A253" s="2" t="inlineStr">
        <is>
          <t>F252</t>
        </is>
      </c>
      <c r="B253" s="2" t="inlineStr">
        <is>
          <t>financials</t>
        </is>
      </c>
      <c r="C253" s="2" t="inlineStr">
        <is>
          <t>segment</t>
        </is>
      </c>
      <c r="D253" s="3" t="inlineStr">
        <is>
          <t>Segment: segment; revenue; ebitda; assets</t>
        </is>
      </c>
      <c r="E253" s="2" t="inlineStr">
        <is>
          <t>FY2022</t>
        </is>
      </c>
      <c r="F253" s="2" t="n">
        <v>86</v>
      </c>
      <c r="G253" s="2" t="n"/>
      <c r="H253" s="2" t="inlineStr">
        <is>
          <t>segment: Italy (region); revenue: 86.0</t>
        </is>
      </c>
      <c r="I253" s="2" t="inlineStr">
        <is>
          <t>S1</t>
        </is>
      </c>
      <c r="J253" s="2" t="n">
        <v>81</v>
      </c>
      <c r="K253" s="2" t="inlineStr">
        <is>
          <t>Italy 115.5 86.0</t>
        </is>
      </c>
      <c r="L253" s="2" t="inlineStr">
        <is>
          <t>ok</t>
        </is>
      </c>
      <c r="M253" s="2" t="inlineStr">
        <is>
          <t>demo reviewer</t>
        </is>
      </c>
      <c r="N253" s="2" t="n"/>
      <c r="O253" s="3" t="inlineStr">
        <is>
          <t>https://vanillabonds.com/dossier-data/pdf/katjes/katjes-2023-annual-report.pdf#page=81</t>
        </is>
      </c>
      <c r="P253" s="3" t="inlineStr">
        <is>
          <t>https://vanillabonds.com/dossier.html?c=katjes&amp;viewer=1&amp;item=F252</t>
        </is>
      </c>
      <c r="Q253" s="2" t="inlineStr"/>
    </row>
    <row r="254">
      <c r="A254" s="2" t="inlineStr">
        <is>
          <t>F253</t>
        </is>
      </c>
      <c r="B254" s="2" t="inlineStr">
        <is>
          <t>financials</t>
        </is>
      </c>
      <c r="C254" s="2" t="inlineStr">
        <is>
          <t>segment</t>
        </is>
      </c>
      <c r="D254" s="3" t="inlineStr">
        <is>
          <t>Segment: segment; revenue; ebitda; assets</t>
        </is>
      </c>
      <c r="E254" s="2" t="inlineStr">
        <is>
          <t>FY2022</t>
        </is>
      </c>
      <c r="F254" s="2" t="n">
        <v>86.7</v>
      </c>
      <c r="G254" s="2" t="n"/>
      <c r="H254" s="2" t="inlineStr">
        <is>
          <t>segment: Germany (region); revenue: 86.7</t>
        </is>
      </c>
      <c r="I254" s="2" t="inlineStr">
        <is>
          <t>S1</t>
        </is>
      </c>
      <c r="J254" s="2" t="n">
        <v>81</v>
      </c>
      <c r="K254" s="2" t="inlineStr">
        <is>
          <t>Germany 104.4 86.7</t>
        </is>
      </c>
      <c r="L254" s="2" t="inlineStr">
        <is>
          <t>ok</t>
        </is>
      </c>
      <c r="M254" s="2" t="inlineStr">
        <is>
          <t>demo reviewer</t>
        </is>
      </c>
      <c r="N254" s="2" t="n"/>
      <c r="O254" s="3" t="inlineStr">
        <is>
          <t>https://vanillabonds.com/dossier-data/pdf/katjes/katjes-2023-annual-report.pdf#page=81</t>
        </is>
      </c>
      <c r="P254" s="3" t="inlineStr">
        <is>
          <t>https://vanillabonds.com/dossier.html?c=katjes&amp;viewer=1&amp;item=F253</t>
        </is>
      </c>
      <c r="Q254" s="2" t="inlineStr"/>
    </row>
    <row r="255">
      <c r="A255" s="2" t="inlineStr">
        <is>
          <t>F254</t>
        </is>
      </c>
      <c r="B255" s="2" t="inlineStr">
        <is>
          <t>financials</t>
        </is>
      </c>
      <c r="C255" s="2" t="inlineStr">
        <is>
          <t>segment</t>
        </is>
      </c>
      <c r="D255" s="3" t="inlineStr">
        <is>
          <t>Segment: segment; revenue; ebitda; assets</t>
        </is>
      </c>
      <c r="E255" s="2" t="inlineStr">
        <is>
          <t>FY2022</t>
        </is>
      </c>
      <c r="F255" s="2" t="n">
        <v>15.5</v>
      </c>
      <c r="G255" s="2" t="n"/>
      <c r="H255" s="3" t="inlineStr">
        <is>
          <t>segment: Netherlands (region); revenue: 15.5</t>
        </is>
      </c>
      <c r="I255" s="2" t="inlineStr">
        <is>
          <t>S1</t>
        </is>
      </c>
      <c r="J255" s="2" t="n">
        <v>81</v>
      </c>
      <c r="K255" s="2" t="inlineStr">
        <is>
          <t>Netherlands 16.5 15.5</t>
        </is>
      </c>
      <c r="L255" s="2" t="inlineStr">
        <is>
          <t>ok</t>
        </is>
      </c>
      <c r="M255" s="2" t="inlineStr">
        <is>
          <t>demo reviewer</t>
        </is>
      </c>
      <c r="N255" s="2" t="n"/>
      <c r="O255" s="3" t="inlineStr">
        <is>
          <t>https://vanillabonds.com/dossier-data/pdf/katjes/katjes-2023-annual-report.pdf#page=81</t>
        </is>
      </c>
      <c r="P255" s="3" t="inlineStr">
        <is>
          <t>https://vanillabonds.com/dossier.html?c=katjes&amp;viewer=1&amp;item=F254</t>
        </is>
      </c>
      <c r="Q255" s="2" t="inlineStr"/>
    </row>
    <row r="256">
      <c r="A256" s="2" t="inlineStr">
        <is>
          <t>F255</t>
        </is>
      </c>
      <c r="B256" s="2" t="inlineStr">
        <is>
          <t>financials</t>
        </is>
      </c>
      <c r="C256" s="2" t="inlineStr">
        <is>
          <t>segment</t>
        </is>
      </c>
      <c r="D256" s="3" t="inlineStr">
        <is>
          <t>Segment: segment; revenue; ebitda; assets</t>
        </is>
      </c>
      <c r="E256" s="2" t="inlineStr">
        <is>
          <t>FY2022</t>
        </is>
      </c>
      <c r="F256" s="2" t="n">
        <v>14.2</v>
      </c>
      <c r="G256" s="2" t="n"/>
      <c r="H256" s="2" t="inlineStr">
        <is>
          <t>segment: UK (region); revenue: 14.2</t>
        </is>
      </c>
      <c r="I256" s="2" t="inlineStr">
        <is>
          <t>S1</t>
        </is>
      </c>
      <c r="J256" s="2" t="n">
        <v>81</v>
      </c>
      <c r="K256" s="2" t="inlineStr">
        <is>
          <t>UK 15.1 14.2</t>
        </is>
      </c>
      <c r="L256" s="2" t="inlineStr">
        <is>
          <t>ok</t>
        </is>
      </c>
      <c r="M256" s="2" t="inlineStr">
        <is>
          <t>demo reviewer</t>
        </is>
      </c>
      <c r="N256" s="2" t="n"/>
      <c r="O256" s="3" t="inlineStr">
        <is>
          <t>https://vanillabonds.com/dossier-data/pdf/katjes/katjes-2023-annual-report.pdf#page=81</t>
        </is>
      </c>
      <c r="P256" s="3" t="inlineStr">
        <is>
          <t>https://vanillabonds.com/dossier.html?c=katjes&amp;viewer=1&amp;item=F255</t>
        </is>
      </c>
      <c r="Q256" s="2" t="inlineStr"/>
    </row>
    <row r="257">
      <c r="A257" s="2" t="inlineStr">
        <is>
          <t>F256</t>
        </is>
      </c>
      <c r="B257" s="2" t="inlineStr">
        <is>
          <t>financials</t>
        </is>
      </c>
      <c r="C257" s="2" t="inlineStr">
        <is>
          <t>segment</t>
        </is>
      </c>
      <c r="D257" s="3" t="inlineStr">
        <is>
          <t>Segment: segment; revenue; ebitda; assets</t>
        </is>
      </c>
      <c r="E257" s="2" t="inlineStr">
        <is>
          <t>FY2022</t>
        </is>
      </c>
      <c r="F257" s="2" t="n">
        <v>76.3</v>
      </c>
      <c r="G257" s="2" t="n"/>
      <c r="H257" s="3" t="inlineStr">
        <is>
          <t>segment: Other EU countries + Switzerland (region); revenue: 76.3</t>
        </is>
      </c>
      <c r="I257" s="2" t="inlineStr">
        <is>
          <t>S1</t>
        </is>
      </c>
      <c r="J257" s="2" t="n">
        <v>81</v>
      </c>
      <c r="K257" s="3" t="inlineStr">
        <is>
          <t>Other EU countries + Switzerland 107.8 76.3</t>
        </is>
      </c>
      <c r="L257" s="2" t="inlineStr">
        <is>
          <t>ok</t>
        </is>
      </c>
      <c r="M257" s="2" t="inlineStr">
        <is>
          <t>demo reviewer</t>
        </is>
      </c>
      <c r="N257" s="2" t="n"/>
      <c r="O257" s="3" t="inlineStr">
        <is>
          <t>https://vanillabonds.com/dossier-data/pdf/katjes/katjes-2023-annual-report.pdf#page=81</t>
        </is>
      </c>
      <c r="P257" s="3" t="inlineStr">
        <is>
          <t>https://vanillabonds.com/dossier.html?c=katjes&amp;viewer=1&amp;item=F256</t>
        </is>
      </c>
      <c r="Q257" s="2" t="inlineStr"/>
    </row>
    <row r="258">
      <c r="A258" s="2" t="inlineStr">
        <is>
          <t>F257</t>
        </is>
      </c>
      <c r="B258" s="2" t="inlineStr">
        <is>
          <t>financials</t>
        </is>
      </c>
      <c r="C258" s="2" t="inlineStr">
        <is>
          <t>segment</t>
        </is>
      </c>
      <c r="D258" s="3" t="inlineStr">
        <is>
          <t>Segment: segment; revenue; ebitda; assets</t>
        </is>
      </c>
      <c r="E258" s="2" t="inlineStr">
        <is>
          <t>FY2022</t>
        </is>
      </c>
      <c r="F258" s="2" t="n">
        <v>15.8</v>
      </c>
      <c r="G258" s="2" t="n"/>
      <c r="H258" s="3" t="inlineStr">
        <is>
          <t>segment: Non-EU countries (region); revenue: 15.8</t>
        </is>
      </c>
      <c r="I258" s="2" t="inlineStr">
        <is>
          <t>S1</t>
        </is>
      </c>
      <c r="J258" s="2" t="n">
        <v>81</v>
      </c>
      <c r="K258" s="2" t="inlineStr">
        <is>
          <t>Non-EU countries 18.1 15.8</t>
        </is>
      </c>
      <c r="L258" s="2" t="inlineStr">
        <is>
          <t>ok</t>
        </is>
      </c>
      <c r="M258" s="2" t="inlineStr">
        <is>
          <t>demo reviewer</t>
        </is>
      </c>
      <c r="N258" s="2" t="n"/>
      <c r="O258" s="3" t="inlineStr">
        <is>
          <t>https://vanillabonds.com/dossier-data/pdf/katjes/katjes-2023-annual-report.pdf#page=81</t>
        </is>
      </c>
      <c r="P258" s="3" t="inlineStr">
        <is>
          <t>https://vanillabonds.com/dossier.html?c=katjes&amp;viewer=1&amp;item=F257</t>
        </is>
      </c>
      <c r="Q258" s="2" t="inlineStr"/>
    </row>
    <row r="259">
      <c r="A259" s="2" t="inlineStr">
        <is>
          <t>F258</t>
        </is>
      </c>
      <c r="B259" s="2" t="inlineStr">
        <is>
          <t>financials</t>
        </is>
      </c>
      <c r="C259" s="2" t="inlineStr">
        <is>
          <t>segment</t>
        </is>
      </c>
      <c r="D259" s="3" t="inlineStr">
        <is>
          <t>Segment: segment; revenue; ebitda; assets</t>
        </is>
      </c>
      <c r="E259" s="2" t="inlineStr">
        <is>
          <t>FY2022</t>
        </is>
      </c>
      <c r="F259" s="2" t="n">
        <v>121.5</v>
      </c>
      <c r="G259" s="2" t="n"/>
      <c r="H259" s="3" t="inlineStr">
        <is>
          <t>segment: Germany (region); assets: 121.5 non-current assets</t>
        </is>
      </c>
      <c r="I259" s="2" t="inlineStr">
        <is>
          <t>S1</t>
        </is>
      </c>
      <c r="J259" s="2" t="n">
        <v>82</v>
      </c>
      <c r="K259" s="2" t="inlineStr">
        <is>
          <t>Germany 132.4 121.5</t>
        </is>
      </c>
      <c r="L259" s="2" t="inlineStr">
        <is>
          <t>ok</t>
        </is>
      </c>
      <c r="M259" s="2" t="inlineStr">
        <is>
          <t>demo reviewer</t>
        </is>
      </c>
      <c r="N259" s="2" t="n"/>
      <c r="O259" s="3" t="inlineStr">
        <is>
          <t>https://vanillabonds.com/dossier-data/pdf/katjes/katjes-2023-annual-report.pdf#page=82</t>
        </is>
      </c>
      <c r="P259" s="3" t="inlineStr">
        <is>
          <t>https://vanillabonds.com/dossier.html?c=katjes&amp;viewer=1&amp;item=F258</t>
        </is>
      </c>
      <c r="Q259" s="2" t="inlineStr"/>
    </row>
    <row r="260">
      <c r="A260" s="2" t="inlineStr">
        <is>
          <t>F259</t>
        </is>
      </c>
      <c r="B260" s="2" t="inlineStr">
        <is>
          <t>financials</t>
        </is>
      </c>
      <c r="C260" s="2" t="inlineStr">
        <is>
          <t>segment</t>
        </is>
      </c>
      <c r="D260" s="3" t="inlineStr">
        <is>
          <t>Segment: segment; revenue; ebitda; assets</t>
        </is>
      </c>
      <c r="E260" s="2" t="inlineStr">
        <is>
          <t>FY2022</t>
        </is>
      </c>
      <c r="F260" s="2" t="n">
        <v>97.2</v>
      </c>
      <c r="G260" s="2" t="n"/>
      <c r="H260" s="3" t="inlineStr">
        <is>
          <t>segment: Italy (region); assets: 97.2 non-current assets</t>
        </is>
      </c>
      <c r="I260" s="2" t="inlineStr">
        <is>
          <t>S1</t>
        </is>
      </c>
      <c r="J260" s="2" t="n">
        <v>82</v>
      </c>
      <c r="K260" s="2" t="inlineStr">
        <is>
          <t>Italy 94.9 97.2</t>
        </is>
      </c>
      <c r="L260" s="2" t="inlineStr">
        <is>
          <t>ok</t>
        </is>
      </c>
      <c r="M260" s="2" t="inlineStr">
        <is>
          <t>demo reviewer</t>
        </is>
      </c>
      <c r="N260" s="2" t="n"/>
      <c r="O260" s="3" t="inlineStr">
        <is>
          <t>https://vanillabonds.com/dossier-data/pdf/katjes/katjes-2023-annual-report.pdf#page=82</t>
        </is>
      </c>
      <c r="P260" s="3" t="inlineStr">
        <is>
          <t>https://vanillabonds.com/dossier.html?c=katjes&amp;viewer=1&amp;item=F259</t>
        </is>
      </c>
      <c r="Q260" s="2" t="inlineStr"/>
    </row>
    <row r="261">
      <c r="A261" s="2" t="inlineStr">
        <is>
          <t>F260</t>
        </is>
      </c>
      <c r="B261" s="2" t="inlineStr">
        <is>
          <t>financials</t>
        </is>
      </c>
      <c r="C261" s="2" t="inlineStr">
        <is>
          <t>segment</t>
        </is>
      </c>
      <c r="D261" s="3" t="inlineStr">
        <is>
          <t>Segment: segment; revenue; ebitda; assets</t>
        </is>
      </c>
      <c r="E261" s="2" t="inlineStr">
        <is>
          <t>FY2022</t>
        </is>
      </c>
      <c r="F261" s="2" t="n">
        <v>71.90000000000001</v>
      </c>
      <c r="G261" s="2" t="n"/>
      <c r="H261" s="3" t="inlineStr">
        <is>
          <t>segment: Netherlands (region); assets: 71.9 non-current assets</t>
        </is>
      </c>
      <c r="I261" s="2" t="inlineStr">
        <is>
          <t>S1</t>
        </is>
      </c>
      <c r="J261" s="2" t="n">
        <v>82</v>
      </c>
      <c r="K261" s="2" t="inlineStr">
        <is>
          <t>Netherlands 71.1 71.9</t>
        </is>
      </c>
      <c r="L261" s="2" t="inlineStr">
        <is>
          <t>ok</t>
        </is>
      </c>
      <c r="M261" s="2" t="inlineStr">
        <is>
          <t>demo reviewer</t>
        </is>
      </c>
      <c r="N261" s="2" t="n"/>
      <c r="O261" s="3" t="inlineStr">
        <is>
          <t>https://vanillabonds.com/dossier-data/pdf/katjes/katjes-2023-annual-report.pdf#page=82</t>
        </is>
      </c>
      <c r="P261" s="3" t="inlineStr">
        <is>
          <t>https://vanillabonds.com/dossier.html?c=katjes&amp;viewer=1&amp;item=F260</t>
        </is>
      </c>
      <c r="Q261" s="2" t="inlineStr"/>
    </row>
    <row r="262">
      <c r="A262" s="2" t="inlineStr">
        <is>
          <t>F261</t>
        </is>
      </c>
      <c r="B262" s="2" t="inlineStr">
        <is>
          <t>financials</t>
        </is>
      </c>
      <c r="C262" s="2" t="inlineStr">
        <is>
          <t>segment</t>
        </is>
      </c>
      <c r="D262" s="3" t="inlineStr">
        <is>
          <t>Segment: segment; revenue; ebitda; assets</t>
        </is>
      </c>
      <c r="E262" s="2" t="inlineStr">
        <is>
          <t>FY2022</t>
        </is>
      </c>
      <c r="F262" s="2" t="n">
        <v>10.6</v>
      </c>
      <c r="G262" s="2" t="n"/>
      <c r="H262" s="3" t="inlineStr">
        <is>
          <t>segment: UK (region); assets: 10.6 non-current assets</t>
        </is>
      </c>
      <c r="I262" s="2" t="inlineStr">
        <is>
          <t>S1</t>
        </is>
      </c>
      <c r="J262" s="2" t="n">
        <v>82</v>
      </c>
      <c r="K262" s="2" t="inlineStr">
        <is>
          <t>UK 10.3 10.6</t>
        </is>
      </c>
      <c r="L262" s="2" t="inlineStr">
        <is>
          <t>ok</t>
        </is>
      </c>
      <c r="M262" s="2" t="inlineStr">
        <is>
          <t>demo reviewer</t>
        </is>
      </c>
      <c r="N262" s="2" t="n"/>
      <c r="O262" s="3" t="inlineStr">
        <is>
          <t>https://vanillabonds.com/dossier-data/pdf/katjes/katjes-2023-annual-report.pdf#page=82</t>
        </is>
      </c>
      <c r="P262" s="3" t="inlineStr">
        <is>
          <t>https://vanillabonds.com/dossier.html?c=katjes&amp;viewer=1&amp;item=F261</t>
        </is>
      </c>
      <c r="Q262" s="2" t="inlineStr"/>
    </row>
    <row r="263">
      <c r="A263" s="2" t="inlineStr">
        <is>
          <t>F262</t>
        </is>
      </c>
      <c r="B263" s="2" t="inlineStr">
        <is>
          <t>financials</t>
        </is>
      </c>
      <c r="C263" s="2" t="inlineStr">
        <is>
          <t>segment</t>
        </is>
      </c>
      <c r="D263" s="3" t="inlineStr">
        <is>
          <t>Segment: segment; revenue; ebitda; assets</t>
        </is>
      </c>
      <c r="E263" s="2" t="inlineStr">
        <is>
          <t>FY2023</t>
        </is>
      </c>
      <c r="F263" s="2" t="n">
        <v>156.2</v>
      </c>
      <c r="G263" s="2" t="n"/>
      <c r="H263" s="3" t="inlineStr">
        <is>
          <t>segment: Confectionery (business line); revenue: 156.2</t>
        </is>
      </c>
      <c r="I263" s="2" t="inlineStr">
        <is>
          <t>S1</t>
        </is>
      </c>
      <c r="J263" s="2" t="n">
        <v>78</v>
      </c>
      <c r="K263" s="2" t="inlineStr">
        <is>
          <t>Confectionery 156.2 127.0</t>
        </is>
      </c>
      <c r="L263" s="2" t="inlineStr">
        <is>
          <t>ok</t>
        </is>
      </c>
      <c r="M263" s="2" t="inlineStr">
        <is>
          <t>demo reviewer</t>
        </is>
      </c>
      <c r="N263" s="2" t="n"/>
      <c r="O263" s="3" t="inlineStr">
        <is>
          <t>https://vanillabonds.com/dossier-data/pdf/katjes/katjes-2023-annual-report.pdf#page=78</t>
        </is>
      </c>
      <c r="P263" s="3" t="inlineStr">
        <is>
          <t>https://vanillabonds.com/dossier.html?c=katjes&amp;viewer=1&amp;item=F262</t>
        </is>
      </c>
      <c r="Q263" s="2" t="inlineStr"/>
    </row>
    <row r="264">
      <c r="A264" s="2" t="inlineStr">
        <is>
          <t>F263</t>
        </is>
      </c>
      <c r="B264" s="2" t="inlineStr">
        <is>
          <t>financials</t>
        </is>
      </c>
      <c r="C264" s="2" t="inlineStr">
        <is>
          <t>segment</t>
        </is>
      </c>
      <c r="D264" s="3" t="inlineStr">
        <is>
          <t>Segment: segment; revenue; ebitda; assets</t>
        </is>
      </c>
      <c r="E264" s="2" t="inlineStr">
        <is>
          <t>FY2023</t>
        </is>
      </c>
      <c r="F264" s="2" t="n">
        <v>87</v>
      </c>
      <c r="G264" s="2" t="n"/>
      <c r="H264" s="3" t="inlineStr">
        <is>
          <t>segment: Body care products (business line); revenue: 87.0</t>
        </is>
      </c>
      <c r="I264" s="2" t="inlineStr">
        <is>
          <t>S1</t>
        </is>
      </c>
      <c r="J264" s="2" t="n">
        <v>78</v>
      </c>
      <c r="K264" s="2" t="inlineStr">
        <is>
          <t>Body care products 87.0 55.4</t>
        </is>
      </c>
      <c r="L264" s="2" t="inlineStr">
        <is>
          <t>ok</t>
        </is>
      </c>
      <c r="M264" s="2" t="inlineStr">
        <is>
          <t>demo reviewer</t>
        </is>
      </c>
      <c r="N264" s="2" t="n"/>
      <c r="O264" s="3" t="inlineStr">
        <is>
          <t>https://vanillabonds.com/dossier-data/pdf/katjes/katjes-2023-annual-report.pdf#page=78</t>
        </is>
      </c>
      <c r="P264" s="3" t="inlineStr">
        <is>
          <t>https://vanillabonds.com/dossier.html?c=katjes&amp;viewer=1&amp;item=F263</t>
        </is>
      </c>
      <c r="Q264" s="2" t="inlineStr"/>
    </row>
    <row r="265">
      <c r="A265" s="2" t="inlineStr">
        <is>
          <t>F264</t>
        </is>
      </c>
      <c r="B265" s="2" t="inlineStr">
        <is>
          <t>financials</t>
        </is>
      </c>
      <c r="C265" s="2" t="inlineStr">
        <is>
          <t>segment</t>
        </is>
      </c>
      <c r="D265" s="3" t="inlineStr">
        <is>
          <t>Segment: segment; revenue; ebitda; assets</t>
        </is>
      </c>
      <c r="E265" s="2" t="inlineStr">
        <is>
          <t>FY2023</t>
        </is>
      </c>
      <c r="F265" s="2" t="n">
        <v>59.4</v>
      </c>
      <c r="G265" s="2" t="n"/>
      <c r="H265" s="3" t="inlineStr">
        <is>
          <t>segment: Chocolate (business line); revenue: 59.4</t>
        </is>
      </c>
      <c r="I265" s="2" t="inlineStr">
        <is>
          <t>S1</t>
        </is>
      </c>
      <c r="J265" s="2" t="n">
        <v>78</v>
      </c>
      <c r="K265" s="2" t="inlineStr">
        <is>
          <t>Chocolate 59.4 55.2</t>
        </is>
      </c>
      <c r="L265" s="2" t="inlineStr">
        <is>
          <t>ok</t>
        </is>
      </c>
      <c r="M265" s="2" t="inlineStr">
        <is>
          <t>demo reviewer</t>
        </is>
      </c>
      <c r="N265" s="2" t="n"/>
      <c r="O265" s="3" t="inlineStr">
        <is>
          <t>https://vanillabonds.com/dossier-data/pdf/katjes/katjes-2023-annual-report.pdf#page=78</t>
        </is>
      </c>
      <c r="P265" s="3" t="inlineStr">
        <is>
          <t>https://vanillabonds.com/dossier.html?c=katjes&amp;viewer=1&amp;item=F264</t>
        </is>
      </c>
      <c r="Q265" s="2" t="inlineStr"/>
    </row>
    <row r="266">
      <c r="A266" s="2" t="inlineStr">
        <is>
          <t>F265</t>
        </is>
      </c>
      <c r="B266" s="2" t="inlineStr">
        <is>
          <t>financials</t>
        </is>
      </c>
      <c r="C266" s="2" t="inlineStr">
        <is>
          <t>segment</t>
        </is>
      </c>
      <c r="D266" s="3" t="inlineStr">
        <is>
          <t>Segment: segment; revenue; ebitda; assets</t>
        </is>
      </c>
      <c r="E266" s="2" t="inlineStr">
        <is>
          <t>FY2023</t>
        </is>
      </c>
      <c r="F266" s="2" t="n">
        <v>46.7</v>
      </c>
      <c r="G266" s="2" t="n"/>
      <c r="H266" s="3" t="inlineStr">
        <is>
          <t>segment: Seasonals (business line); revenue: 46.7</t>
        </is>
      </c>
      <c r="I266" s="2" t="inlineStr">
        <is>
          <t>S1</t>
        </is>
      </c>
      <c r="J266" s="2" t="n">
        <v>78</v>
      </c>
      <c r="K266" s="2" t="inlineStr">
        <is>
          <t>Seasonals 46.7 37.2</t>
        </is>
      </c>
      <c r="L266" s="2" t="inlineStr">
        <is>
          <t>ok</t>
        </is>
      </c>
      <c r="M266" s="2" t="inlineStr">
        <is>
          <t>demo reviewer</t>
        </is>
      </c>
      <c r="N266" s="2" t="n"/>
      <c r="O266" s="3" t="inlineStr">
        <is>
          <t>https://vanillabonds.com/dossier-data/pdf/katjes/katjes-2023-annual-report.pdf#page=78</t>
        </is>
      </c>
      <c r="P266" s="3" t="inlineStr">
        <is>
          <t>https://vanillabonds.com/dossier.html?c=katjes&amp;viewer=1&amp;item=F265</t>
        </is>
      </c>
      <c r="Q266" s="2" t="inlineStr"/>
    </row>
    <row r="267">
      <c r="A267" s="2" t="inlineStr">
        <is>
          <t>F266</t>
        </is>
      </c>
      <c r="B267" s="2" t="inlineStr">
        <is>
          <t>financials</t>
        </is>
      </c>
      <c r="C267" s="2" t="inlineStr">
        <is>
          <t>segment</t>
        </is>
      </c>
      <c r="D267" s="3" t="inlineStr">
        <is>
          <t>Segment: segment; revenue; ebitda; assets</t>
        </is>
      </c>
      <c r="E267" s="2" t="inlineStr">
        <is>
          <t>FY2023</t>
        </is>
      </c>
      <c r="F267" s="2" t="n">
        <v>28.1</v>
      </c>
      <c r="G267" s="2" t="n"/>
      <c r="H267" s="3" t="inlineStr">
        <is>
          <t>segment: Other (business line); revenue: 28.1</t>
        </is>
      </c>
      <c r="I267" s="2" t="inlineStr">
        <is>
          <t>S1</t>
        </is>
      </c>
      <c r="J267" s="2" t="n">
        <v>78</v>
      </c>
      <c r="K267" s="2" t="inlineStr">
        <is>
          <t>Other 28.1 19.7</t>
        </is>
      </c>
      <c r="L267" s="2" t="inlineStr">
        <is>
          <t>ok</t>
        </is>
      </c>
      <c r="M267" s="2" t="inlineStr">
        <is>
          <t>demo reviewer</t>
        </is>
      </c>
      <c r="N267" s="2" t="n"/>
      <c r="O267" s="3" t="inlineStr">
        <is>
          <t>https://vanillabonds.com/dossier-data/pdf/katjes/katjes-2023-annual-report.pdf#page=78</t>
        </is>
      </c>
      <c r="P267" s="3" t="inlineStr">
        <is>
          <t>https://vanillabonds.com/dossier.html?c=katjes&amp;viewer=1&amp;item=F266</t>
        </is>
      </c>
      <c r="Q267" s="2" t="inlineStr"/>
    </row>
    <row r="268">
      <c r="A268" s="2" t="inlineStr">
        <is>
          <t>F267</t>
        </is>
      </c>
      <c r="B268" s="2" t="inlineStr">
        <is>
          <t>financials</t>
        </is>
      </c>
      <c r="C268" s="2" t="inlineStr">
        <is>
          <t>segment</t>
        </is>
      </c>
      <c r="D268" s="3" t="inlineStr">
        <is>
          <t>Segment: segment; revenue; ebitda; assets</t>
        </is>
      </c>
      <c r="E268" s="2" t="inlineStr">
        <is>
          <t>FY2023</t>
        </is>
      </c>
      <c r="F268" s="2" t="n">
        <v>115.5</v>
      </c>
      <c r="G268" s="2" t="n"/>
      <c r="H268" s="3" t="inlineStr">
        <is>
          <t>segment: Italy (region, revenue by customer location); revenue: 115.5</t>
        </is>
      </c>
      <c r="I268" s="2" t="inlineStr">
        <is>
          <t>S1</t>
        </is>
      </c>
      <c r="J268" s="2" t="n">
        <v>81</v>
      </c>
      <c r="K268" s="2" t="inlineStr">
        <is>
          <t>Italy 115.5 86.0</t>
        </is>
      </c>
      <c r="L268" s="2" t="inlineStr">
        <is>
          <t>ok</t>
        </is>
      </c>
      <c r="M268" s="2" t="inlineStr">
        <is>
          <t>demo reviewer</t>
        </is>
      </c>
      <c r="N268" s="2" t="n"/>
      <c r="O268" s="3" t="inlineStr">
        <is>
          <t>https://vanillabonds.com/dossier-data/pdf/katjes/katjes-2023-annual-report.pdf#page=81</t>
        </is>
      </c>
      <c r="P268" s="3" t="inlineStr">
        <is>
          <t>https://vanillabonds.com/dossier.html?c=katjes&amp;viewer=1&amp;item=F267</t>
        </is>
      </c>
      <c r="Q268" s="2" t="inlineStr"/>
    </row>
    <row r="269">
      <c r="A269" s="2" t="inlineStr">
        <is>
          <t>F268</t>
        </is>
      </c>
      <c r="B269" s="2" t="inlineStr">
        <is>
          <t>financials</t>
        </is>
      </c>
      <c r="C269" s="2" t="inlineStr">
        <is>
          <t>segment</t>
        </is>
      </c>
      <c r="D269" s="3" t="inlineStr">
        <is>
          <t>Segment: segment; revenue; ebitda; assets</t>
        </is>
      </c>
      <c r="E269" s="2" t="inlineStr">
        <is>
          <t>FY2023</t>
        </is>
      </c>
      <c r="F269" s="2" t="n">
        <v>104.4</v>
      </c>
      <c r="G269" s="2" t="n"/>
      <c r="H269" s="3" t="inlineStr">
        <is>
          <t>segment: Germany (region); revenue: 104.4</t>
        </is>
      </c>
      <c r="I269" s="2" t="inlineStr">
        <is>
          <t>S1</t>
        </is>
      </c>
      <c r="J269" s="2" t="n">
        <v>81</v>
      </c>
      <c r="K269" s="2" t="inlineStr">
        <is>
          <t>Germany 104.4 86.7</t>
        </is>
      </c>
      <c r="L269" s="2" t="inlineStr">
        <is>
          <t>ok</t>
        </is>
      </c>
      <c r="M269" s="2" t="inlineStr">
        <is>
          <t>demo reviewer</t>
        </is>
      </c>
      <c r="N269" s="2" t="n"/>
      <c r="O269" s="3" t="inlineStr">
        <is>
          <t>https://vanillabonds.com/dossier-data/pdf/katjes/katjes-2023-annual-report.pdf#page=81</t>
        </is>
      </c>
      <c r="P269" s="3" t="inlineStr">
        <is>
          <t>https://vanillabonds.com/dossier.html?c=katjes&amp;viewer=1&amp;item=F268</t>
        </is>
      </c>
      <c r="Q269" s="2" t="inlineStr"/>
    </row>
    <row r="270">
      <c r="A270" s="2" t="inlineStr">
        <is>
          <t>F269</t>
        </is>
      </c>
      <c r="B270" s="2" t="inlineStr">
        <is>
          <t>financials</t>
        </is>
      </c>
      <c r="C270" s="2" t="inlineStr">
        <is>
          <t>segment</t>
        </is>
      </c>
      <c r="D270" s="3" t="inlineStr">
        <is>
          <t>Segment: segment; revenue; ebitda; assets</t>
        </is>
      </c>
      <c r="E270" s="2" t="inlineStr">
        <is>
          <t>FY2023</t>
        </is>
      </c>
      <c r="F270" s="2" t="n">
        <v>16.5</v>
      </c>
      <c r="G270" s="2" t="n"/>
      <c r="H270" s="3" t="inlineStr">
        <is>
          <t>segment: Netherlands (region); revenue: 16.5</t>
        </is>
      </c>
      <c r="I270" s="2" t="inlineStr">
        <is>
          <t>S1</t>
        </is>
      </c>
      <c r="J270" s="2" t="n">
        <v>81</v>
      </c>
      <c r="K270" s="2" t="inlineStr">
        <is>
          <t>Netherlands 16.5 15.5</t>
        </is>
      </c>
      <c r="L270" s="2" t="inlineStr">
        <is>
          <t>ok</t>
        </is>
      </c>
      <c r="M270" s="2" t="inlineStr">
        <is>
          <t>demo reviewer</t>
        </is>
      </c>
      <c r="N270" s="2" t="n"/>
      <c r="O270" s="3" t="inlineStr">
        <is>
          <t>https://vanillabonds.com/dossier-data/pdf/katjes/katjes-2023-annual-report.pdf#page=81</t>
        </is>
      </c>
      <c r="P270" s="3" t="inlineStr">
        <is>
          <t>https://vanillabonds.com/dossier.html?c=katjes&amp;viewer=1&amp;item=F269</t>
        </is>
      </c>
      <c r="Q270" s="2" t="inlineStr"/>
    </row>
    <row r="271">
      <c r="A271" s="2" t="inlineStr">
        <is>
          <t>F270</t>
        </is>
      </c>
      <c r="B271" s="2" t="inlineStr">
        <is>
          <t>financials</t>
        </is>
      </c>
      <c r="C271" s="2" t="inlineStr">
        <is>
          <t>segment</t>
        </is>
      </c>
      <c r="D271" s="3" t="inlineStr">
        <is>
          <t>Segment: segment; revenue; ebitda; assets</t>
        </is>
      </c>
      <c r="E271" s="2" t="inlineStr">
        <is>
          <t>FY2023</t>
        </is>
      </c>
      <c r="F271" s="2" t="n">
        <v>15.1</v>
      </c>
      <c r="G271" s="2" t="n"/>
      <c r="H271" s="2" t="inlineStr">
        <is>
          <t>segment: UK (region); revenue: 15.1</t>
        </is>
      </c>
      <c r="I271" s="2" t="inlineStr">
        <is>
          <t>S1</t>
        </is>
      </c>
      <c r="J271" s="2" t="n">
        <v>81</v>
      </c>
      <c r="K271" s="2" t="inlineStr">
        <is>
          <t>UK 15.1 14.2</t>
        </is>
      </c>
      <c r="L271" s="2" t="inlineStr">
        <is>
          <t>ok</t>
        </is>
      </c>
      <c r="M271" s="2" t="inlineStr">
        <is>
          <t>demo reviewer</t>
        </is>
      </c>
      <c r="N271" s="2" t="n"/>
      <c r="O271" s="3" t="inlineStr">
        <is>
          <t>https://vanillabonds.com/dossier-data/pdf/katjes/katjes-2023-annual-report.pdf#page=81</t>
        </is>
      </c>
      <c r="P271" s="3" t="inlineStr">
        <is>
          <t>https://vanillabonds.com/dossier.html?c=katjes&amp;viewer=1&amp;item=F270</t>
        </is>
      </c>
      <c r="Q271" s="2" t="inlineStr"/>
    </row>
    <row r="272">
      <c r="A272" s="2" t="inlineStr">
        <is>
          <t>F271</t>
        </is>
      </c>
      <c r="B272" s="2" t="inlineStr">
        <is>
          <t>financials</t>
        </is>
      </c>
      <c r="C272" s="2" t="inlineStr">
        <is>
          <t>segment</t>
        </is>
      </c>
      <c r="D272" s="3" t="inlineStr">
        <is>
          <t>Segment: segment; revenue; ebitda; assets</t>
        </is>
      </c>
      <c r="E272" s="2" t="inlineStr">
        <is>
          <t>FY2023</t>
        </is>
      </c>
      <c r="F272" s="2" t="n">
        <v>107.8</v>
      </c>
      <c r="G272" s="2" t="n"/>
      <c r="H272" s="3" t="inlineStr">
        <is>
          <t>segment: Other EU countries + Switzerland (region); revenue: 107.8</t>
        </is>
      </c>
      <c r="I272" s="2" t="inlineStr">
        <is>
          <t>S1</t>
        </is>
      </c>
      <c r="J272" s="2" t="n">
        <v>81</v>
      </c>
      <c r="K272" s="3" t="inlineStr">
        <is>
          <t>Other EU countries + Switzerland 107.8 76.3</t>
        </is>
      </c>
      <c r="L272" s="2" t="inlineStr">
        <is>
          <t>ok</t>
        </is>
      </c>
      <c r="M272" s="2" t="inlineStr">
        <is>
          <t>demo reviewer</t>
        </is>
      </c>
      <c r="N272" s="2" t="n"/>
      <c r="O272" s="3" t="inlineStr">
        <is>
          <t>https://vanillabonds.com/dossier-data/pdf/katjes/katjes-2023-annual-report.pdf#page=81</t>
        </is>
      </c>
      <c r="P272" s="3" t="inlineStr">
        <is>
          <t>https://vanillabonds.com/dossier.html?c=katjes&amp;viewer=1&amp;item=F271</t>
        </is>
      </c>
      <c r="Q272" s="2" t="inlineStr"/>
    </row>
    <row r="273">
      <c r="A273" s="2" t="inlineStr">
        <is>
          <t>F272</t>
        </is>
      </c>
      <c r="B273" s="2" t="inlineStr">
        <is>
          <t>financials</t>
        </is>
      </c>
      <c r="C273" s="2" t="inlineStr">
        <is>
          <t>segment</t>
        </is>
      </c>
      <c r="D273" s="3" t="inlineStr">
        <is>
          <t>Segment: segment; revenue; ebitda; assets</t>
        </is>
      </c>
      <c r="E273" s="2" t="inlineStr">
        <is>
          <t>FY2023</t>
        </is>
      </c>
      <c r="F273" s="2" t="n">
        <v>18.1</v>
      </c>
      <c r="G273" s="2" t="n"/>
      <c r="H273" s="3" t="inlineStr">
        <is>
          <t>segment: Non-EU countries (region); revenue: 18.1</t>
        </is>
      </c>
      <c r="I273" s="2" t="inlineStr">
        <is>
          <t>S1</t>
        </is>
      </c>
      <c r="J273" s="2" t="n">
        <v>81</v>
      </c>
      <c r="K273" s="2" t="inlineStr">
        <is>
          <t>Non-EU countries 18.1 15.8</t>
        </is>
      </c>
      <c r="L273" s="2" t="inlineStr">
        <is>
          <t>ok</t>
        </is>
      </c>
      <c r="M273" s="2" t="inlineStr">
        <is>
          <t>demo reviewer</t>
        </is>
      </c>
      <c r="N273" s="2" t="n"/>
      <c r="O273" s="3" t="inlineStr">
        <is>
          <t>https://vanillabonds.com/dossier-data/pdf/katjes/katjes-2023-annual-report.pdf#page=81</t>
        </is>
      </c>
      <c r="P273" s="3" t="inlineStr">
        <is>
          <t>https://vanillabonds.com/dossier.html?c=katjes&amp;viewer=1&amp;item=F272</t>
        </is>
      </c>
      <c r="Q273" s="2" t="inlineStr"/>
    </row>
    <row r="274">
      <c r="A274" s="2" t="inlineStr">
        <is>
          <t>F273</t>
        </is>
      </c>
      <c r="B274" s="2" t="inlineStr">
        <is>
          <t>financials</t>
        </is>
      </c>
      <c r="C274" s="2" t="inlineStr">
        <is>
          <t>segment</t>
        </is>
      </c>
      <c r="D274" s="3" t="inlineStr">
        <is>
          <t>Segment: segment; revenue; ebitda; assets</t>
        </is>
      </c>
      <c r="E274" s="2" t="inlineStr">
        <is>
          <t>FY2023</t>
        </is>
      </c>
      <c r="F274" s="2" t="n">
        <v>132.4</v>
      </c>
      <c r="G274" s="2" t="n"/>
      <c r="H274" s="3" t="inlineStr">
        <is>
          <t>segment: Germany (region); assets: 132.4 non-current assets (PP&amp;E, intangibles, other financial assets, financial investments)</t>
        </is>
      </c>
      <c r="I274" s="2" t="inlineStr">
        <is>
          <t>S1</t>
        </is>
      </c>
      <c r="J274" s="2" t="n">
        <v>82</v>
      </c>
      <c r="K274" s="2" t="inlineStr">
        <is>
          <t>Germany 132.4 121.5</t>
        </is>
      </c>
      <c r="L274" s="2" t="inlineStr">
        <is>
          <t>ok</t>
        </is>
      </c>
      <c r="M274" s="2" t="inlineStr">
        <is>
          <t>demo reviewer</t>
        </is>
      </c>
      <c r="N274" s="2" t="n"/>
      <c r="O274" s="3" t="inlineStr">
        <is>
          <t>https://vanillabonds.com/dossier-data/pdf/katjes/katjes-2023-annual-report.pdf#page=82</t>
        </is>
      </c>
      <c r="P274" s="3" t="inlineStr">
        <is>
          <t>https://vanillabonds.com/dossier.html?c=katjes&amp;viewer=1&amp;item=F273</t>
        </is>
      </c>
      <c r="Q274" s="2" t="inlineStr"/>
    </row>
    <row r="275">
      <c r="A275" s="2" t="inlineStr">
        <is>
          <t>F274</t>
        </is>
      </c>
      <c r="B275" s="2" t="inlineStr">
        <is>
          <t>financials</t>
        </is>
      </c>
      <c r="C275" s="2" t="inlineStr">
        <is>
          <t>segment</t>
        </is>
      </c>
      <c r="D275" s="3" t="inlineStr">
        <is>
          <t>Segment: segment; revenue; ebitda; assets</t>
        </is>
      </c>
      <c r="E275" s="2" t="inlineStr">
        <is>
          <t>FY2023</t>
        </is>
      </c>
      <c r="F275" s="2" t="n">
        <v>94.90000000000001</v>
      </c>
      <c r="G275" s="2" t="n"/>
      <c r="H275" s="3" t="inlineStr">
        <is>
          <t>segment: Italy (region); assets: 94.9 non-current assets</t>
        </is>
      </c>
      <c r="I275" s="2" t="inlineStr">
        <is>
          <t>S1</t>
        </is>
      </c>
      <c r="J275" s="2" t="n">
        <v>82</v>
      </c>
      <c r="K275" s="2" t="inlineStr">
        <is>
          <t>Italy 94.9 97.2</t>
        </is>
      </c>
      <c r="L275" s="2" t="inlineStr">
        <is>
          <t>ok</t>
        </is>
      </c>
      <c r="M275" s="2" t="inlineStr">
        <is>
          <t>demo reviewer</t>
        </is>
      </c>
      <c r="N275" s="2" t="n"/>
      <c r="O275" s="3" t="inlineStr">
        <is>
          <t>https://vanillabonds.com/dossier-data/pdf/katjes/katjes-2023-annual-report.pdf#page=82</t>
        </is>
      </c>
      <c r="P275" s="3" t="inlineStr">
        <is>
          <t>https://vanillabonds.com/dossier.html?c=katjes&amp;viewer=1&amp;item=F274</t>
        </is>
      </c>
      <c r="Q275" s="2" t="inlineStr"/>
    </row>
    <row r="276">
      <c r="A276" s="2" t="inlineStr">
        <is>
          <t>F275</t>
        </is>
      </c>
      <c r="B276" s="2" t="inlineStr">
        <is>
          <t>financials</t>
        </is>
      </c>
      <c r="C276" s="2" t="inlineStr">
        <is>
          <t>segment</t>
        </is>
      </c>
      <c r="D276" s="3" t="inlineStr">
        <is>
          <t>Segment: segment; revenue; ebitda; assets</t>
        </is>
      </c>
      <c r="E276" s="2" t="inlineStr">
        <is>
          <t>FY2023</t>
        </is>
      </c>
      <c r="F276" s="2" t="n">
        <v>71.09999999999999</v>
      </c>
      <c r="G276" s="2" t="n"/>
      <c r="H276" s="3" t="inlineStr">
        <is>
          <t>segment: Netherlands (region); assets: 71.1 non-current assets incl. 63.7 equity-accounted CPK investment</t>
        </is>
      </c>
      <c r="I276" s="2" t="inlineStr">
        <is>
          <t>S1</t>
        </is>
      </c>
      <c r="J276" s="2" t="n">
        <v>82</v>
      </c>
      <c r="K276" s="2" t="inlineStr">
        <is>
          <t>Netherlands 71.1 71.9</t>
        </is>
      </c>
      <c r="L276" s="2" t="inlineStr">
        <is>
          <t>ok</t>
        </is>
      </c>
      <c r="M276" s="2" t="inlineStr">
        <is>
          <t>demo reviewer</t>
        </is>
      </c>
      <c r="N276" s="2" t="n"/>
      <c r="O276" s="3" t="inlineStr">
        <is>
          <t>https://vanillabonds.com/dossier-data/pdf/katjes/katjes-2023-annual-report.pdf#page=82</t>
        </is>
      </c>
      <c r="P276" s="3" t="inlineStr">
        <is>
          <t>https://vanillabonds.com/dossier.html?c=katjes&amp;viewer=1&amp;item=F275</t>
        </is>
      </c>
      <c r="Q276" s="2" t="inlineStr"/>
    </row>
    <row r="277">
      <c r="A277" s="2" t="inlineStr">
        <is>
          <t>F276</t>
        </is>
      </c>
      <c r="B277" s="2" t="inlineStr">
        <is>
          <t>financials</t>
        </is>
      </c>
      <c r="C277" s="2" t="inlineStr">
        <is>
          <t>segment</t>
        </is>
      </c>
      <c r="D277" s="3" t="inlineStr">
        <is>
          <t>Segment: segment; revenue; ebitda; assets</t>
        </is>
      </c>
      <c r="E277" s="2" t="inlineStr">
        <is>
          <t>FY2023</t>
        </is>
      </c>
      <c r="F277" s="2" t="n">
        <v>10.3</v>
      </c>
      <c r="G277" s="2" t="n"/>
      <c r="H277" s="3" t="inlineStr">
        <is>
          <t>segment: UK (region); assets: 10.3 non-current assets</t>
        </is>
      </c>
      <c r="I277" s="2" t="inlineStr">
        <is>
          <t>S1</t>
        </is>
      </c>
      <c r="J277" s="2" t="n">
        <v>82</v>
      </c>
      <c r="K277" s="2" t="inlineStr">
        <is>
          <t>UK 10.3 10.6</t>
        </is>
      </c>
      <c r="L277" s="2" t="inlineStr">
        <is>
          <t>ok</t>
        </is>
      </c>
      <c r="M277" s="2" t="inlineStr">
        <is>
          <t>demo reviewer</t>
        </is>
      </c>
      <c r="N277" s="2" t="n"/>
      <c r="O277" s="3" t="inlineStr">
        <is>
          <t>https://vanillabonds.com/dossier-data/pdf/katjes/katjes-2023-annual-report.pdf#page=82</t>
        </is>
      </c>
      <c r="P277" s="3" t="inlineStr">
        <is>
          <t>https://vanillabonds.com/dossier.html?c=katjes&amp;viewer=1&amp;item=F276</t>
        </is>
      </c>
      <c r="Q277" s="2" t="inlineStr"/>
    </row>
    <row r="278">
      <c r="A278" s="2" t="inlineStr">
        <is>
          <t>F277</t>
        </is>
      </c>
      <c r="B278" s="2" t="inlineStr">
        <is>
          <t>financials</t>
        </is>
      </c>
      <c r="C278" s="2" t="inlineStr">
        <is>
          <t>tax_paid</t>
        </is>
      </c>
      <c r="D278" s="2" t="inlineStr">
        <is>
          <t>Income taxes paid (cash flow statement)</t>
        </is>
      </c>
      <c r="E278" s="2" t="inlineStr">
        <is>
          <t>FY2022</t>
        </is>
      </c>
      <c r="F278" s="2" t="n">
        <v>2.6</v>
      </c>
      <c r="G278" s="2" t="inlineStr">
        <is>
          <t>EUR m</t>
        </is>
      </c>
      <c r="H278" s="2" t="inlineStr">
        <is>
          <t>Income taxes paid (cash outflow)</t>
        </is>
      </c>
      <c r="I278" s="2" t="inlineStr">
        <is>
          <t>S1</t>
        </is>
      </c>
      <c r="J278" s="2" t="n">
        <v>48</v>
      </c>
      <c r="K278" s="2" t="inlineStr">
        <is>
          <t>Income taxes paid -2.5 -2.6</t>
        </is>
      </c>
      <c r="L278" s="2" t="inlineStr">
        <is>
          <t>ok</t>
        </is>
      </c>
      <c r="M278" s="2" t="inlineStr">
        <is>
          <t>demo reviewer</t>
        </is>
      </c>
      <c r="N278" s="2" t="n"/>
      <c r="O278" s="3" t="inlineStr">
        <is>
          <t>https://vanillabonds.com/dossier-data/pdf/katjes/katjes-2023-annual-report.pdf#page=48</t>
        </is>
      </c>
      <c r="P278" s="3" t="inlineStr">
        <is>
          <t>https://vanillabonds.com/dossier.html?c=katjes&amp;viewer=1&amp;item=F277</t>
        </is>
      </c>
      <c r="Q278" s="2" t="inlineStr"/>
    </row>
    <row r="279">
      <c r="A279" s="2" t="inlineStr">
        <is>
          <t>F278</t>
        </is>
      </c>
      <c r="B279" s="2" t="inlineStr">
        <is>
          <t>financials</t>
        </is>
      </c>
      <c r="C279" s="2" t="inlineStr">
        <is>
          <t>tax_paid</t>
        </is>
      </c>
      <c r="D279" s="2" t="inlineStr">
        <is>
          <t>Income taxes paid (cash flow statement)</t>
        </is>
      </c>
      <c r="E279" s="2" t="inlineStr">
        <is>
          <t>FY2023</t>
        </is>
      </c>
      <c r="F279" s="2" t="n">
        <v>2.5</v>
      </c>
      <c r="G279" s="2" t="inlineStr">
        <is>
          <t>EUR m</t>
        </is>
      </c>
      <c r="H279" s="2" t="inlineStr">
        <is>
          <t>Income taxes paid (cash outflow)</t>
        </is>
      </c>
      <c r="I279" s="2" t="inlineStr">
        <is>
          <t>S1</t>
        </is>
      </c>
      <c r="J279" s="2" t="n">
        <v>48</v>
      </c>
      <c r="K279" s="2" t="inlineStr">
        <is>
          <t>Income taxes paid -2.5 -2.6</t>
        </is>
      </c>
      <c r="L279" s="2" t="inlineStr">
        <is>
          <t>ok</t>
        </is>
      </c>
      <c r="M279" s="2" t="inlineStr">
        <is>
          <t>demo reviewer</t>
        </is>
      </c>
      <c r="N279" s="2" t="n"/>
      <c r="O279" s="3" t="inlineStr">
        <is>
          <t>https://vanillabonds.com/dossier-data/pdf/katjes/katjes-2023-annual-report.pdf#page=48</t>
        </is>
      </c>
      <c r="P279" s="3" t="inlineStr">
        <is>
          <t>https://vanillabonds.com/dossier.html?c=katjes&amp;viewer=1&amp;item=F278</t>
        </is>
      </c>
      <c r="Q279" s="2" t="inlineStr">
        <is>
          <t>no</t>
        </is>
      </c>
    </row>
    <row r="280">
      <c r="A280" s="2" t="inlineStr">
        <is>
          <t>F279</t>
        </is>
      </c>
      <c r="B280" s="2" t="inlineStr">
        <is>
          <t>debt</t>
        </is>
      </c>
      <c r="C280" s="2" t="inlineStr">
        <is>
          <t>hedge</t>
        </is>
      </c>
      <c r="D280" s="3" t="inlineStr">
        <is>
          <t>Hedge: instrument; counterparty; notional; maturity; hedged item (rate, FX)</t>
        </is>
      </c>
      <c r="E280" s="2" t="n"/>
      <c r="F280" s="2" t="n">
        <v>6</v>
      </c>
      <c r="G280" s="2" t="n"/>
      <c r="H280" s="3" t="inlineStr">
        <is>
          <t>instrument: interest rate swap; notional: 6.0; hedged item: rate (variable interest rate increase); 2022 notional 8.2</t>
        </is>
      </c>
      <c r="I280" s="2" t="inlineStr">
        <is>
          <t>S1</t>
        </is>
      </c>
      <c r="J280" s="2" t="n">
        <v>69</v>
      </c>
      <c r="K280" s="3" t="inlineStr">
        <is>
          <t>a notional principal amount of EUR 6.0 million, EUR 0.3 mil‐ lion and EUR 1.7 million respectively (2022: EUR 8.2 million,</t>
        </is>
      </c>
      <c r="L280" s="2" t="inlineStr">
        <is>
          <t>ok</t>
        </is>
      </c>
      <c r="M280" s="2" t="inlineStr">
        <is>
          <t>demo reviewer</t>
        </is>
      </c>
      <c r="N280" s="2" t="n"/>
      <c r="O280" s="3" t="inlineStr">
        <is>
          <t>https://vanillabonds.com/dossier-data/pdf/katjes/katjes-2023-annual-report.pdf#page=69</t>
        </is>
      </c>
      <c r="P280" s="3" t="inlineStr">
        <is>
          <t>https://vanillabonds.com/dossier.html?c=katjes&amp;viewer=1&amp;item=F279</t>
        </is>
      </c>
      <c r="Q280" s="2" t="inlineStr"/>
    </row>
    <row r="281">
      <c r="A281" s="2" t="inlineStr">
        <is>
          <t>F280</t>
        </is>
      </c>
      <c r="B281" s="2" t="inlineStr">
        <is>
          <t>debt</t>
        </is>
      </c>
      <c r="C281" s="2" t="inlineStr">
        <is>
          <t>hedge</t>
        </is>
      </c>
      <c r="D281" s="3" t="inlineStr">
        <is>
          <t>Hedge: instrument; counterparty; notional; maturity; hedged item (rate, FX)</t>
        </is>
      </c>
      <c r="E281" s="2" t="n"/>
      <c r="F281" s="2" t="n">
        <v>0.3</v>
      </c>
      <c r="G281" s="2" t="n"/>
      <c r="H281" s="3" t="inlineStr">
        <is>
          <t>instrument: interest rate swap; notional: 0.3; hedged item: rate (variable interest rate increase); 2022 notional 0.9</t>
        </is>
      </c>
      <c r="I281" s="2" t="inlineStr">
        <is>
          <t>S1</t>
        </is>
      </c>
      <c r="J281" s="2" t="n">
        <v>69</v>
      </c>
      <c r="K281" s="3" t="inlineStr">
        <is>
          <t>a notional principal amount of EUR 6.0 million, EUR 0.3 mil‐ lion and EUR 1.7 million respectively (2022: EUR 8.2 million,</t>
        </is>
      </c>
      <c r="L281" s="2" t="inlineStr">
        <is>
          <t>ok</t>
        </is>
      </c>
      <c r="M281" s="2" t="inlineStr">
        <is>
          <t>demo reviewer</t>
        </is>
      </c>
      <c r="N281" s="2" t="n"/>
      <c r="O281" s="3" t="inlineStr">
        <is>
          <t>https://vanillabonds.com/dossier-data/pdf/katjes/katjes-2023-annual-report.pdf#page=69</t>
        </is>
      </c>
      <c r="P281" s="3" t="inlineStr">
        <is>
          <t>https://vanillabonds.com/dossier.html?c=katjes&amp;viewer=1&amp;item=F280</t>
        </is>
      </c>
      <c r="Q281" s="2" t="inlineStr"/>
    </row>
    <row r="282">
      <c r="A282" s="2" t="inlineStr">
        <is>
          <t>F281</t>
        </is>
      </c>
      <c r="B282" s="2" t="inlineStr">
        <is>
          <t>debt</t>
        </is>
      </c>
      <c r="C282" s="2" t="inlineStr">
        <is>
          <t>hedge</t>
        </is>
      </c>
      <c r="D282" s="3" t="inlineStr">
        <is>
          <t>Hedge: instrument; counterparty; notional; maturity; hedged item (rate, FX)</t>
        </is>
      </c>
      <c r="E282" s="2" t="n"/>
      <c r="F282" s="2" t="n">
        <v>1.7</v>
      </c>
      <c r="G282" s="2" t="n"/>
      <c r="H282" s="3" t="inlineStr">
        <is>
          <t>instrument: interest rate swap; notional: 1.7; hedged item: rate (variable interest rate increase); 2022 notional 3.3; fair value change of the swaps EUR 0.0m</t>
        </is>
      </c>
      <c r="I282" s="2" t="inlineStr">
        <is>
          <t>S1</t>
        </is>
      </c>
      <c r="J282" s="2" t="n">
        <v>69</v>
      </c>
      <c r="K282" s="3" t="inlineStr">
        <is>
          <t>lion and EUR 1.7 million respectively (2022: EUR 8.2 million, EUR 0.9 million and EUR 3.3 million respectively)</t>
        </is>
      </c>
      <c r="L282" s="2" t="inlineStr">
        <is>
          <t>ok</t>
        </is>
      </c>
      <c r="M282" s="2" t="inlineStr">
        <is>
          <t>demo reviewer</t>
        </is>
      </c>
      <c r="N282" s="2" t="n"/>
      <c r="O282" s="3" t="inlineStr">
        <is>
          <t>https://vanillabonds.com/dossier-data/pdf/katjes/katjes-2023-annual-report.pdf#page=69</t>
        </is>
      </c>
      <c r="P282" s="3" t="inlineStr">
        <is>
          <t>https://vanillabonds.com/dossier.html?c=katjes&amp;viewer=1&amp;item=F281</t>
        </is>
      </c>
      <c r="Q282" s="2" t="inlineStr"/>
    </row>
    <row r="283">
      <c r="A283" s="2" t="inlineStr">
        <is>
          <t>F282</t>
        </is>
      </c>
      <c r="B283" s="2" t="inlineStr">
        <is>
          <t>debt</t>
        </is>
      </c>
      <c r="C283" s="2" t="inlineStr">
        <is>
          <t>rate_type</t>
        </is>
      </c>
      <c r="D283" s="3" t="inlineStr">
        <is>
          <t>Rate structure of the debt: floating_share (0-1); base rate; fixed_share; fx mismatch revenue vs cost</t>
        </is>
      </c>
      <c r="E283" s="2" t="n"/>
      <c r="F283" s="2" t="n"/>
      <c r="G283" s="2" t="n"/>
      <c r="H283" s="3" t="inlineStr">
        <is>
          <t>fixed_share: not stated (bond EUR 115m fixed 6.75%; bank loans at stated fixed rates; other loans 'variable and fixed'); base rate: Euribor three-month and two-month on factoring contracts; fx mismatch revenue vs cost: vast majority of transactions in euros, variable-rate liabilities in euros</t>
        </is>
      </c>
      <c r="I283" s="2" t="inlineStr">
        <is>
          <t>S1</t>
        </is>
      </c>
      <c r="J283" s="2" t="n">
        <v>61</v>
      </c>
      <c r="K283" s="3" t="inlineStr">
        <is>
          <t>The Company operates mainly within the European Union. The vast majority of transactions are conducted in Euros.</t>
        </is>
      </c>
      <c r="L283" s="2" t="inlineStr">
        <is>
          <t>ok</t>
        </is>
      </c>
      <c r="M283" s="2" t="inlineStr">
        <is>
          <t>demo reviewer</t>
        </is>
      </c>
      <c r="N283" s="2" t="n"/>
      <c r="O283" s="3" t="inlineStr">
        <is>
          <t>https://vanillabonds.com/dossier-data/pdf/katjes/katjes-2023-annual-report.pdf#page=61</t>
        </is>
      </c>
      <c r="P283" s="3" t="inlineStr">
        <is>
          <t>https://vanillabonds.com/dossier.html?c=katjes&amp;viewer=1&amp;item=F282</t>
        </is>
      </c>
      <c r="Q283" s="2" t="inlineStr">
        <is>
          <t>no</t>
        </is>
      </c>
    </row>
    <row r="284">
      <c r="A284" s="2" t="inlineStr">
        <is>
          <t>F283</t>
        </is>
      </c>
      <c r="B284" s="2" t="inlineStr">
        <is>
          <t>debt</t>
        </is>
      </c>
      <c r="C284" s="2" t="inlineStr">
        <is>
          <t>rollover_event</t>
        </is>
      </c>
      <c r="D284" s="3" t="inlineStr">
        <is>
          <t>Past maturity: instrument; amount; due; outcome (repaid, refinanced, extended, waived)</t>
        </is>
      </c>
      <c r="E284" s="2" t="n"/>
      <c r="F284" s="2" t="n">
        <v>65.59999999999999</v>
      </c>
      <c r="G284" s="2" t="n"/>
      <c r="H284" s="3" t="inlineStr">
        <is>
          <t>instrument: corporate bond 2019/2024 non-exchanged portion; amount: 65.6; due: 2024; outcome: redeemed early on 2023-11-12</t>
        </is>
      </c>
      <c r="I284" s="2" t="inlineStr">
        <is>
          <t>S1</t>
        </is>
      </c>
      <c r="J284" s="2" t="n">
        <v>33</v>
      </c>
      <c r="K284" s="3" t="inlineStr">
        <is>
          <t>viously been exchanged in the exchange offer was subse‐ quently redeemed early on 12 November 2023.</t>
        </is>
      </c>
      <c r="L284" s="2" t="inlineStr">
        <is>
          <t>ok</t>
        </is>
      </c>
      <c r="M284" s="2" t="inlineStr">
        <is>
          <t>demo reviewer</t>
        </is>
      </c>
      <c r="N284" s="2" t="n"/>
      <c r="O284" s="3" t="inlineStr">
        <is>
          <t>https://vanillabonds.com/dossier-data/pdf/katjes/katjes-2023-annual-report.pdf#page=33</t>
        </is>
      </c>
      <c r="P284" s="3" t="inlineStr">
        <is>
          <t>https://vanillabonds.com/dossier.html?c=katjes&amp;viewer=1&amp;item=F283</t>
        </is>
      </c>
      <c r="Q284" s="2" t="inlineStr"/>
    </row>
    <row r="285">
      <c r="A285" s="2" t="inlineStr">
        <is>
          <t>F284</t>
        </is>
      </c>
      <c r="B285" s="2" t="inlineStr">
        <is>
          <t>debt</t>
        </is>
      </c>
      <c r="C285" s="2" t="inlineStr">
        <is>
          <t>rollover_event</t>
        </is>
      </c>
      <c r="D285" s="3" t="inlineStr">
        <is>
          <t>Past maturity: instrument; amount; due; outcome (repaid, refinanced, extended, waived)</t>
        </is>
      </c>
      <c r="E285" s="2" t="n"/>
      <c r="F285" s="2" t="n">
        <v>110</v>
      </c>
      <c r="G285" s="2" t="n"/>
      <c r="H285" s="3" t="inlineStr">
        <is>
          <t>instrument: corporate bond 2019/2024 (4.25%); amount: 110.0; due: 2024; outcome: refinanced early, exchange offer into 2023/2028 bond and redemption of remaining EUR 65.6m at 100.5% on 2023-11-12</t>
        </is>
      </c>
      <c r="I285" s="2" t="inlineStr">
        <is>
          <t>S1</t>
        </is>
      </c>
      <c r="J285" s="2" t="n">
        <v>72</v>
      </c>
      <c r="K285" s="2" t="inlineStr">
        <is>
          <t>turely at 100.5% on 12 November 2023.</t>
        </is>
      </c>
      <c r="L285" s="2" t="inlineStr">
        <is>
          <t>ok</t>
        </is>
      </c>
      <c r="M285" s="2" t="inlineStr">
        <is>
          <t>demo reviewer</t>
        </is>
      </c>
      <c r="N285" s="2" t="n"/>
      <c r="O285" s="3" t="inlineStr">
        <is>
          <t>https://vanillabonds.com/dossier-data/pdf/katjes/katjes-2023-annual-report.pdf#page=72</t>
        </is>
      </c>
      <c r="P285" s="3" t="inlineStr">
        <is>
          <t>https://vanillabonds.com/dossier.html?c=katjes&amp;viewer=1&amp;item=F284</t>
        </is>
      </c>
      <c r="Q285" s="2" t="inlineStr"/>
    </row>
    <row r="286">
      <c r="A286" s="2" t="inlineStr">
        <is>
          <t>F285</t>
        </is>
      </c>
      <c r="B286" s="2" t="inlineStr">
        <is>
          <t>management</t>
        </is>
      </c>
      <c r="C286" s="2" t="inlineStr">
        <is>
          <t>project_outcome</t>
        </is>
      </c>
      <c r="D286" s="3" t="inlineStr">
        <is>
          <t>Project or acquisition: name; approved budget; approved timing; realised cost; realised timing; realised result</t>
        </is>
      </c>
      <c r="E286" s="2" t="n"/>
      <c r="F286" s="2" t="n"/>
      <c r="G286" s="2" t="n"/>
      <c r="H286" s="3" t="inlineStr">
        <is>
          <t>name: Paluani (Aug 2022) and Oral Care (Dec 2022) acquisitions; realised result: contributed to the 2023 result 'as planned' per management</t>
        </is>
      </c>
      <c r="I286" s="2" t="inlineStr">
        <is>
          <t>S1</t>
        </is>
      </c>
      <c r="J286" s="2" t="n">
        <v>5</v>
      </c>
      <c r="K286" s="3" t="inlineStr">
        <is>
          <t>The acquisitions made in the previous year contributed to the company's success in 2023 as planned.</t>
        </is>
      </c>
      <c r="L286" s="2" t="inlineStr">
        <is>
          <t>ok</t>
        </is>
      </c>
      <c r="M286" s="2" t="inlineStr">
        <is>
          <t>demo reviewer</t>
        </is>
      </c>
      <c r="N286" s="2" t="n"/>
      <c r="O286" s="3" t="inlineStr">
        <is>
          <t>https://vanillabonds.com/dossier-data/pdf/katjes/katjes-2023-annual-report.pdf#page=5</t>
        </is>
      </c>
      <c r="P286" s="3" t="inlineStr">
        <is>
          <t>https://vanillabonds.com/dossier.html?c=katjes&amp;viewer=1&amp;item=F285</t>
        </is>
      </c>
      <c r="Q286" s="2" t="inlineStr"/>
    </row>
    <row r="287">
      <c r="A287" s="2" t="inlineStr">
        <is>
          <t>F286</t>
        </is>
      </c>
      <c r="B287" s="2" t="inlineStr">
        <is>
          <t>management</t>
        </is>
      </c>
      <c r="C287" s="2" t="inlineStr">
        <is>
          <t>strategy_statement</t>
        </is>
      </c>
      <c r="D287" s="3" t="inlineStr">
        <is>
          <t>Stated strategy: year; statement; what happened; source</t>
        </is>
      </c>
      <c r="E287" s="2" t="n"/>
      <c r="F287" s="2" t="n"/>
      <c r="G287" s="2" t="n"/>
      <c r="H287" s="3" t="inlineStr">
        <is>
          <t>year: 2023; statement: expand position in Europe in FMCG (confectionery and body care) by acquiring 'strong brands' and leveraging synergies, incl. carve-outs from large corporations; what happened: N.A.E. acquired Nov 2023; source: group management report</t>
        </is>
      </c>
      <c r="I287" s="2" t="inlineStr">
        <is>
          <t>S1</t>
        </is>
      </c>
      <c r="J287" s="2" t="n">
        <v>26</v>
      </c>
      <c r="K287" s="3" t="inlineStr">
        <is>
          <t>Katjes International pursues the objective of further expanding its position in Europe with a focus on FMCG (mainly confectionery and body care products).</t>
        </is>
      </c>
      <c r="L287" s="2" t="inlineStr">
        <is>
          <t>ok</t>
        </is>
      </c>
      <c r="M287" s="2" t="inlineStr">
        <is>
          <t>demo reviewer</t>
        </is>
      </c>
      <c r="N287" s="3" t="inlineStr">
        <is>
          <t>text: company wording put in quotation marks (reviewer, 20 Oct 2026)</t>
        </is>
      </c>
      <c r="O287" s="3" t="inlineStr">
        <is>
          <t>https://vanillabonds.com/dossier-data/pdf/katjes/katjes-2023-annual-report.pdf#page=26</t>
        </is>
      </c>
      <c r="P287" s="3" t="inlineStr">
        <is>
          <t>https://vanillabonds.com/dossier.html?c=katjes&amp;viewer=1&amp;item=F286</t>
        </is>
      </c>
      <c r="Q287" s="2" t="inlineStr"/>
    </row>
    <row r="288">
      <c r="A288" s="2" t="inlineStr">
        <is>
          <t>F287</t>
        </is>
      </c>
      <c r="B288" s="2" t="inlineStr">
        <is>
          <t>management</t>
        </is>
      </c>
      <c r="C288" s="2" t="inlineStr">
        <is>
          <t>strategy_statement</t>
        </is>
      </c>
      <c r="D288" s="3" t="inlineStr">
        <is>
          <t>Stated strategy: year; statement; what happened; source</t>
        </is>
      </c>
      <c r="E288" s="2" t="n"/>
      <c r="F288" s="2" t="n"/>
      <c r="G288" s="2" t="n"/>
      <c r="H288" s="3" t="inlineStr">
        <is>
          <t>year: 2024; statement: reach and sustain an average EBITDA margin of at least 10%; source: forecast report</t>
        </is>
      </c>
      <c r="I288" s="2" t="inlineStr">
        <is>
          <t>S1</t>
        </is>
      </c>
      <c r="J288" s="2" t="n">
        <v>41</v>
      </c>
      <c r="K288" s="3" t="inlineStr">
        <is>
          <t>The company’s goal is to reach and sustain an average EBITDA margin of at least 10%.</t>
        </is>
      </c>
      <c r="L288" s="2" t="inlineStr">
        <is>
          <t>ok</t>
        </is>
      </c>
      <c r="M288" s="2" t="inlineStr">
        <is>
          <t>demo reviewer</t>
        </is>
      </c>
      <c r="N288" s="2" t="n"/>
      <c r="O288" s="3" t="inlineStr">
        <is>
          <t>https://vanillabonds.com/dossier-data/pdf/katjes/katjes-2023-annual-report.pdf#page=41</t>
        </is>
      </c>
      <c r="P288" s="3" t="inlineStr">
        <is>
          <t>https://vanillabonds.com/dossier.html?c=katjes&amp;viewer=1&amp;item=F287</t>
        </is>
      </c>
      <c r="Q288" s="2" t="inlineStr"/>
    </row>
    <row r="289">
      <c r="A289" s="2" t="inlineStr">
        <is>
          <t>F288</t>
        </is>
      </c>
      <c r="B289" s="2" t="inlineStr">
        <is>
          <t>management</t>
        </is>
      </c>
      <c r="C289" s="2" t="inlineStr">
        <is>
          <t>strategy_statement</t>
        </is>
      </c>
      <c r="D289" s="3" t="inlineStr">
        <is>
          <t>Stated strategy: year; statement; what happened; source</t>
        </is>
      </c>
      <c r="E289" s="2" t="n"/>
      <c r="F289" s="2" t="n"/>
      <c r="G289" s="2" t="n"/>
      <c r="H289" s="3" t="inlineStr">
        <is>
          <t>year: 2024; statement: continue organic growth and acquisitions in target regions, actively take part in market consolidation, regularly at different stages of negotiating or closing deals; source: forecast report</t>
        </is>
      </c>
      <c r="I289" s="2" t="inlineStr">
        <is>
          <t>S1</t>
        </is>
      </c>
      <c r="J289" s="2" t="n">
        <v>41</v>
      </c>
      <c r="K289" s="3" t="inlineStr">
        <is>
          <t>interesting acquisition opportunities and is regularly at different stages of negotiating or closing deals.</t>
        </is>
      </c>
      <c r="L289" s="2" t="inlineStr">
        <is>
          <t>ok</t>
        </is>
      </c>
      <c r="M289" s="2" t="inlineStr">
        <is>
          <t>demo reviewer</t>
        </is>
      </c>
      <c r="N289" s="2" t="n"/>
      <c r="O289" s="3" t="inlineStr">
        <is>
          <t>https://vanillabonds.com/dossier-data/pdf/katjes/katjes-2023-annual-report.pdf#page=41</t>
        </is>
      </c>
      <c r="P289" s="3" t="inlineStr">
        <is>
          <t>https://vanillabonds.com/dossier.html?c=katjes&amp;viewer=1&amp;item=F288</t>
        </is>
      </c>
      <c r="Q289" s="2" t="inlineStr"/>
    </row>
    <row r="290">
      <c r="A290" s="2" t="inlineStr">
        <is>
          <t>F289</t>
        </is>
      </c>
      <c r="B290" s="2" t="inlineStr">
        <is>
          <t>management</t>
        </is>
      </c>
      <c r="C290" s="2" t="inlineStr">
        <is>
          <t>risk_policy</t>
        </is>
      </c>
      <c r="D290" s="3" t="inlineStr">
        <is>
          <t>Financial policy, stated and revealed: item (leverage target, dividend, hedging, cash held, acquisition funding); stated; realised; year</t>
        </is>
      </c>
      <c r="E290" s="2" t="n"/>
      <c r="F290" s="2" t="n"/>
      <c r="G290" s="2" t="n"/>
      <c r="H290" s="3" t="inlineStr">
        <is>
          <t>item: acquisition funding; stated: corporate bonds are generally used to finance acquisitions; realised: EUR 115m bond 2023 refinanced the 2019 bond; year: 2023</t>
        </is>
      </c>
      <c r="I290" s="2" t="inlineStr">
        <is>
          <t>S1</t>
        </is>
      </c>
      <c r="J290" s="2" t="n">
        <v>33</v>
      </c>
      <c r="K290" s="3" t="inlineStr">
        <is>
          <t>Katjes International generally uses corporate bonds as an instrument to finance acquisitions.</t>
        </is>
      </c>
      <c r="L290" s="2" t="inlineStr">
        <is>
          <t>ok</t>
        </is>
      </c>
      <c r="M290" s="2" t="inlineStr">
        <is>
          <t>demo reviewer</t>
        </is>
      </c>
      <c r="N290" s="2" t="n"/>
      <c r="O290" s="3" t="inlineStr">
        <is>
          <t>https://vanillabonds.com/dossier-data/pdf/katjes/katjes-2023-annual-report.pdf#page=33</t>
        </is>
      </c>
      <c r="P290" s="3" t="inlineStr">
        <is>
          <t>https://vanillabonds.com/dossier.html?c=katjes&amp;viewer=1&amp;item=F289</t>
        </is>
      </c>
      <c r="Q290" s="2" t="inlineStr"/>
    </row>
    <row r="291">
      <c r="A291" s="2" t="inlineStr">
        <is>
          <t>F290</t>
        </is>
      </c>
      <c r="B291" s="2" t="inlineStr">
        <is>
          <t>management</t>
        </is>
      </c>
      <c r="C291" s="2" t="inlineStr">
        <is>
          <t>risk_policy</t>
        </is>
      </c>
      <c r="D291" s="3" t="inlineStr">
        <is>
          <t>Financial policy, stated and revealed: item (leverage target, dividend, hedging, cash held, acquisition funding); stated; realised; year</t>
        </is>
      </c>
      <c r="E291" s="2" t="n"/>
      <c r="F291" s="2" t="n"/>
      <c r="G291" s="2" t="n"/>
      <c r="H291" s="3" t="inlineStr">
        <is>
          <t>item: operating funding; stated: operations financed with internal funds, factoring, bank loans and credit facilities; year: 2023</t>
        </is>
      </c>
      <c r="I291" s="2" t="inlineStr">
        <is>
          <t>S1</t>
        </is>
      </c>
      <c r="J291" s="2" t="n">
        <v>33</v>
      </c>
      <c r="K291" s="3" t="inlineStr">
        <is>
          <t>The company mainly finances its operations with internal funds, factoring, bank loans and credit facilities provided for this purpose.</t>
        </is>
      </c>
      <c r="L291" s="2" t="inlineStr">
        <is>
          <t>ok</t>
        </is>
      </c>
      <c r="M291" s="2" t="inlineStr">
        <is>
          <t>demo reviewer</t>
        </is>
      </c>
      <c r="N291" s="2" t="n"/>
      <c r="O291" s="3" t="inlineStr">
        <is>
          <t>https://vanillabonds.com/dossier-data/pdf/katjes/katjes-2023-annual-report.pdf#page=33</t>
        </is>
      </c>
      <c r="P291" s="3" t="inlineStr">
        <is>
          <t>https://vanillabonds.com/dossier.html?c=katjes&amp;viewer=1&amp;item=F290</t>
        </is>
      </c>
      <c r="Q291" s="2" t="inlineStr"/>
    </row>
    <row r="292">
      <c r="A292" s="2" t="inlineStr">
        <is>
          <t>F291</t>
        </is>
      </c>
      <c r="B292" s="2" t="inlineStr">
        <is>
          <t>management</t>
        </is>
      </c>
      <c r="C292" s="2" t="inlineStr">
        <is>
          <t>risk_policy</t>
        </is>
      </c>
      <c r="D292" s="3" t="inlineStr">
        <is>
          <t>Financial policy, stated and revealed: item (leverage target, dividend, hedging, cash held, acquisition funding); stated; realised; year</t>
        </is>
      </c>
      <c r="E292" s="2" t="n"/>
      <c r="F292" s="2" t="n"/>
      <c r="G292" s="2" t="n"/>
      <c r="H292" s="3" t="inlineStr">
        <is>
          <t>item: hedging; stated: interest rate swaps used 'to an appropriate extent' where sensible from a risk perspective; realised: three swaps, notional 8.0 total at 31 Dec 2023; year: 2023</t>
        </is>
      </c>
      <c r="I292" s="2" t="inlineStr">
        <is>
          <t>S1</t>
        </is>
      </c>
      <c r="J292" s="2" t="n">
        <v>61</v>
      </c>
      <c r="K292" s="3" t="inlineStr">
        <is>
          <t>To hedge any interest rate risks, the Company makes use of derivatives (interest rate swaps)</t>
        </is>
      </c>
      <c r="L292" s="2" t="inlineStr">
        <is>
          <t>ok</t>
        </is>
      </c>
      <c r="M292" s="2" t="inlineStr">
        <is>
          <t>demo reviewer</t>
        </is>
      </c>
      <c r="N292" s="2" t="n"/>
      <c r="O292" s="3" t="inlineStr">
        <is>
          <t>https://vanillabonds.com/dossier-data/pdf/katjes/katjes-2023-annual-report.pdf#page=61</t>
        </is>
      </c>
      <c r="P292" s="3" t="inlineStr">
        <is>
          <t>https://vanillabonds.com/dossier.html?c=katjes&amp;viewer=1&amp;item=F291</t>
        </is>
      </c>
      <c r="Q292" s="2" t="inlineStr"/>
    </row>
    <row r="293">
      <c r="A293" s="2" t="inlineStr">
        <is>
          <t>F292</t>
        </is>
      </c>
      <c r="B293" s="2" t="inlineStr">
        <is>
          <t>management</t>
        </is>
      </c>
      <c r="C293" s="2" t="inlineStr">
        <is>
          <t>risk_policy</t>
        </is>
      </c>
      <c r="D293" s="3" t="inlineStr">
        <is>
          <t>Financial policy, stated and revealed: item (leverage target, dividend, hedging, cash held, acquisition funding); stated; realised; year</t>
        </is>
      </c>
      <c r="E293" s="2" t="n"/>
      <c r="F293" s="2" t="n"/>
      <c r="G293" s="2" t="n"/>
      <c r="H293" s="3" t="inlineStr">
        <is>
          <t>item: raw material price risk; stated: supplier contracts generally with a term of three to 24 months for sugar, glucose, cocoa, nuts, panthenol and energy; year: 2023</t>
        </is>
      </c>
      <c r="I293" s="2" t="inlineStr">
        <is>
          <t>S1</t>
        </is>
      </c>
      <c r="J293" s="2" t="n">
        <v>61</v>
      </c>
      <c r="K293" s="3" t="inlineStr">
        <is>
          <t>counters this risk by concluding contracts with suppliers that generally have a term of three to 24 months.</t>
        </is>
      </c>
      <c r="L293" s="2" t="inlineStr">
        <is>
          <t>ok</t>
        </is>
      </c>
      <c r="M293" s="2" t="inlineStr">
        <is>
          <t>demo reviewer</t>
        </is>
      </c>
      <c r="N293" s="2" t="n"/>
      <c r="O293" s="3" t="inlineStr">
        <is>
          <t>https://vanillabonds.com/dossier-data/pdf/katjes/katjes-2023-annual-report.pdf#page=61</t>
        </is>
      </c>
      <c r="P293" s="3" t="inlineStr">
        <is>
          <t>https://vanillabonds.com/dossier.html?c=katjes&amp;viewer=1&amp;item=F292</t>
        </is>
      </c>
      <c r="Q293" s="2" t="inlineStr"/>
    </row>
    <row r="294">
      <c r="A294" s="2" t="inlineStr">
        <is>
          <t>F293</t>
        </is>
      </c>
      <c r="B294" s="2" t="inlineStr">
        <is>
          <t>management</t>
        </is>
      </c>
      <c r="C294" s="2" t="inlineStr">
        <is>
          <t>risk_policy</t>
        </is>
      </c>
      <c r="D294" s="3" t="inlineStr">
        <is>
          <t>Financial policy, stated and revealed: item (leverage target, dividend, hedging, cash held, acquisition funding); stated; realised; year</t>
        </is>
      </c>
      <c r="E294" s="2" t="n"/>
      <c r="F294" s="2" t="n"/>
      <c r="G294" s="2" t="n"/>
      <c r="H294" s="3" t="inlineStr">
        <is>
          <t>item: liquidity; stated: 'cover the assets tied up in the long term through long-term financing', short-term needs by 'sufficient credit lines', cash planning updated regularly; year: 2023</t>
        </is>
      </c>
      <c r="I294" s="2" t="inlineStr">
        <is>
          <t>S1</t>
        </is>
      </c>
      <c r="J294" s="2" t="n">
        <v>62</v>
      </c>
      <c r="K294" s="3" t="inlineStr">
        <is>
          <t>The Group’s aim is to cover the assets tied up in the long term through long-term financing</t>
        </is>
      </c>
      <c r="L294" s="2" t="inlineStr">
        <is>
          <t>ok</t>
        </is>
      </c>
      <c r="M294" s="2" t="inlineStr">
        <is>
          <t>demo reviewer</t>
        </is>
      </c>
      <c r="N294" s="3" t="inlineStr">
        <is>
          <t>text: company wording put in quotation marks (reviewer, 20 Oct 2026)</t>
        </is>
      </c>
      <c r="O294" s="3" t="inlineStr">
        <is>
          <t>https://vanillabonds.com/dossier-data/pdf/katjes/katjes-2023-annual-report.pdf#page=62</t>
        </is>
      </c>
      <c r="P294" s="3" t="inlineStr">
        <is>
          <t>https://vanillabonds.com/dossier.html?c=katjes&amp;viewer=1&amp;item=F293</t>
        </is>
      </c>
      <c r="Q294" s="2" t="inlineStr"/>
    </row>
    <row r="295">
      <c r="A295" s="2" t="inlineStr">
        <is>
          <t>F294</t>
        </is>
      </c>
      <c r="B295" s="2" t="inlineStr">
        <is>
          <t>management</t>
        </is>
      </c>
      <c r="C295" s="2" t="inlineStr">
        <is>
          <t>risk_policy</t>
        </is>
      </c>
      <c r="D295" s="3" t="inlineStr">
        <is>
          <t>Financial policy, stated and revealed: item (leverage target, dividend, hedging, cash held, acquisition funding); stated; realised; year</t>
        </is>
      </c>
      <c r="E295" s="2" t="n"/>
      <c r="F295" s="2" t="n"/>
      <c r="G295" s="2" t="n"/>
      <c r="H295" s="3" t="inlineStr">
        <is>
          <t>item: leverage target; stated: capital monitored on net debt / total capital, 'optimal capital structure' to reduce cost of capital, no numeric target; realised: 43% 2023, 45% 2022; year: 2023</t>
        </is>
      </c>
      <c r="I295" s="2" t="inlineStr">
        <is>
          <t>S1</t>
        </is>
      </c>
      <c r="J295" s="2" t="n">
        <v>64</v>
      </c>
      <c r="K295" s="2" t="inlineStr">
        <is>
          <t>Leverage ratio 43% 45%</t>
        </is>
      </c>
      <c r="L295" s="2" t="inlineStr">
        <is>
          <t>ok</t>
        </is>
      </c>
      <c r="M295" s="2" t="inlineStr">
        <is>
          <t>demo reviewer</t>
        </is>
      </c>
      <c r="N295" s="2" t="n"/>
      <c r="O295" s="3" t="inlineStr">
        <is>
          <t>https://vanillabonds.com/dossier-data/pdf/katjes/katjes-2023-annual-report.pdf#page=64</t>
        </is>
      </c>
      <c r="P295" s="3" t="inlineStr">
        <is>
          <t>https://vanillabonds.com/dossier.html?c=katjes&amp;viewer=1&amp;item=F294</t>
        </is>
      </c>
      <c r="Q295" s="2" t="inlineStr"/>
    </row>
    <row r="296">
      <c r="A296" s="2" t="inlineStr">
        <is>
          <t>F295</t>
        </is>
      </c>
      <c r="B296" s="2" t="inlineStr">
        <is>
          <t>management</t>
        </is>
      </c>
      <c r="C296" s="2" t="inlineStr">
        <is>
          <t>insurance</t>
        </is>
      </c>
      <c r="D296" s="3" t="inlineStr">
        <is>
          <t>Insurance: cover (property, business interruption, key person, cyber, D&amp;O); insurer; sum; expiry</t>
        </is>
      </c>
      <c r="E296" s="2" t="n"/>
      <c r="F296" s="2" t="n"/>
      <c r="G296" s="2" t="n"/>
      <c r="H296" s="3" t="inlineStr">
        <is>
          <t>cover: loss incidents from quality risks (product); insurer: not named</t>
        </is>
      </c>
      <c r="I296" s="2" t="inlineStr">
        <is>
          <t>S1</t>
        </is>
      </c>
      <c r="J296" s="2" t="n">
        <v>40</v>
      </c>
      <c r="K296" s="3" t="inlineStr">
        <is>
          <t>In addition, insurance policies are taken out against corresponding loss</t>
        </is>
      </c>
      <c r="L296" s="2" t="inlineStr">
        <is>
          <t>ok</t>
        </is>
      </c>
      <c r="M296" s="2" t="inlineStr">
        <is>
          <t>demo reviewer</t>
        </is>
      </c>
      <c r="N296" s="2" t="n"/>
      <c r="O296" s="3" t="inlineStr">
        <is>
          <t>https://vanillabonds.com/dossier-data/pdf/katjes/katjes-2023-annual-report.pdf#page=40</t>
        </is>
      </c>
      <c r="P296" s="3" t="inlineStr">
        <is>
          <t>https://vanillabonds.com/dossier.html?c=katjes&amp;viewer=1&amp;item=F295</t>
        </is>
      </c>
      <c r="Q296" s="2" t="inlineStr"/>
    </row>
    <row r="297">
      <c r="A297" s="2" t="inlineStr">
        <is>
          <t>F296</t>
        </is>
      </c>
      <c r="B297" s="2" t="inlineStr">
        <is>
          <t>management</t>
        </is>
      </c>
      <c r="C297" s="2" t="inlineStr">
        <is>
          <t>insurance</t>
        </is>
      </c>
      <c r="D297" s="3" t="inlineStr">
        <is>
          <t>Insurance: cover (property, business interruption, key person, cyber, D&amp;O); insurer; sum; expiry</t>
        </is>
      </c>
      <c r="E297" s="2" t="n"/>
      <c r="F297" s="2" t="n"/>
      <c r="G297" s="2" t="n"/>
      <c r="H297" s="3" t="inlineStr">
        <is>
          <t>cover: credit insurance on certain trade receivables; insurer: not named</t>
        </is>
      </c>
      <c r="I297" s="2" t="inlineStr">
        <is>
          <t>S1</t>
        </is>
      </c>
      <c r="J297" s="2" t="n">
        <v>62</v>
      </c>
      <c r="K297" s="3" t="inlineStr">
        <is>
          <t>Credit insurance is also taken out for certain receivables.</t>
        </is>
      </c>
      <c r="L297" s="2" t="inlineStr">
        <is>
          <t>ok</t>
        </is>
      </c>
      <c r="M297" s="2" t="inlineStr">
        <is>
          <t>demo reviewer</t>
        </is>
      </c>
      <c r="N297" s="2" t="n"/>
      <c r="O297" s="3" t="inlineStr">
        <is>
          <t>https://vanillabonds.com/dossier-data/pdf/katjes/katjes-2023-annual-report.pdf#page=62</t>
        </is>
      </c>
      <c r="P297" s="3" t="inlineStr">
        <is>
          <t>https://vanillabonds.com/dossier.html?c=katjes&amp;viewer=1&amp;item=F296</t>
        </is>
      </c>
      <c r="Q297" s="2" t="inlineStr"/>
    </row>
    <row r="298">
      <c r="A298" s="2" t="inlineStr">
        <is>
          <t>F297</t>
        </is>
      </c>
      <c r="B298" s="2" t="inlineStr">
        <is>
          <t>management</t>
        </is>
      </c>
      <c r="C298" s="2" t="inlineStr">
        <is>
          <t>insurance</t>
        </is>
      </c>
      <c r="D298" s="3" t="inlineStr">
        <is>
          <t>Insurance: cover (property, business interruption, key person, cyber, D&amp;O); insurer; sum; expiry</t>
        </is>
      </c>
      <c r="E298" s="2" t="n"/>
      <c r="F298" s="2" t="n">
        <v>0.7</v>
      </c>
      <c r="G298" s="2" t="n"/>
      <c r="H298" s="3" t="inlineStr">
        <is>
          <t>cover: group insurance expense (not broken down); sum: 0.7 in 2023 (2022: 0.9)</t>
        </is>
      </c>
      <c r="I298" s="2" t="inlineStr">
        <is>
          <t>S1</t>
        </is>
      </c>
      <c r="J298" s="2" t="n">
        <v>78</v>
      </c>
      <c r="K298" s="2" t="inlineStr">
        <is>
          <t>Insurance 0.7 0.9</t>
        </is>
      </c>
      <c r="L298" s="2" t="inlineStr">
        <is>
          <t>ok</t>
        </is>
      </c>
      <c r="M298" s="2" t="inlineStr">
        <is>
          <t>demo reviewer</t>
        </is>
      </c>
      <c r="N298" s="2" t="n"/>
      <c r="O298" s="3" t="inlineStr">
        <is>
          <t>https://vanillabonds.com/dossier-data/pdf/katjes/katjes-2023-annual-report.pdf#page=78</t>
        </is>
      </c>
      <c r="P298" s="3" t="inlineStr">
        <is>
          <t>https://vanillabonds.com/dossier.html?c=katjes&amp;viewer=1&amp;item=F297</t>
        </is>
      </c>
      <c r="Q298" s="2" t="inlineStr"/>
    </row>
    <row r="299">
      <c r="A299" s="2" t="inlineStr">
        <is>
          <t>F298</t>
        </is>
      </c>
      <c r="B299" s="2" t="inlineStr">
        <is>
          <t>management</t>
        </is>
      </c>
      <c r="C299" s="2" t="inlineStr">
        <is>
          <t>remuneration</t>
        </is>
      </c>
      <c r="D299" s="3" t="inlineStr">
        <is>
          <t>Remuneration as disclosed in the filed accounts: person or body; amount; year</t>
        </is>
      </c>
      <c r="E299" s="2" t="n"/>
      <c r="F299" s="2" t="n">
        <v>0.3</v>
      </c>
      <c r="G299" s="2" t="n"/>
      <c r="H299" s="3" t="inlineStr">
        <is>
          <t>person or body: general partner Xaver Fassin International GmbH (total remuneration paid to the management); amount: 0.3; year: 2023 (2022: 0.3)</t>
        </is>
      </c>
      <c r="I299" s="2" t="inlineStr">
        <is>
          <t>S1</t>
        </is>
      </c>
      <c r="J299" s="2" t="n">
        <v>84</v>
      </c>
      <c r="K299" s="3" t="inlineStr">
        <is>
          <t>Total remuneration paid to the ma‐ nagement* 0.3 0.3</t>
        </is>
      </c>
      <c r="L299" s="2" t="inlineStr">
        <is>
          <t>ok</t>
        </is>
      </c>
      <c r="M299" s="2" t="inlineStr">
        <is>
          <t>demo reviewer</t>
        </is>
      </c>
      <c r="N299" s="2" t="n"/>
      <c r="O299" s="3" t="inlineStr">
        <is>
          <t>https://vanillabonds.com/dossier-data/pdf/katjes/katjes-2023-annual-report.pdf#page=84</t>
        </is>
      </c>
      <c r="P299" s="3" t="inlineStr">
        <is>
          <t>https://vanillabonds.com/dossier.html?c=katjes&amp;viewer=1&amp;item=F298</t>
        </is>
      </c>
      <c r="Q299" s="2" t="inlineStr"/>
    </row>
    <row r="300">
      <c r="A300" s="2" t="inlineStr">
        <is>
          <t>F299</t>
        </is>
      </c>
      <c r="B300" s="2" t="inlineStr">
        <is>
          <t>management</t>
        </is>
      </c>
      <c r="C300" s="2" t="inlineStr">
        <is>
          <t>remuneration</t>
        </is>
      </c>
      <c r="D300" s="3" t="inlineStr">
        <is>
          <t>Remuneration as disclosed in the filed accounts: person or body; amount; year</t>
        </is>
      </c>
      <c r="E300" s="2" t="n"/>
      <c r="F300" s="2" t="n"/>
      <c r="G300" s="2" t="n"/>
      <c r="H300" s="3" t="inlineStr">
        <is>
          <t>person or body: executive bodies beyond the general partner; amount: not disclosed (protective clause Sec. 286 (4) HGB); year: 2023</t>
        </is>
      </c>
      <c r="I300" s="2" t="inlineStr">
        <is>
          <t>S1</t>
        </is>
      </c>
      <c r="J300" s="2" t="n">
        <v>84</v>
      </c>
      <c r="K300" s="3" t="inlineStr">
        <is>
          <t>With reference to the protective clause set out in section 286 (4) of the German Commercial Code (HGB)</t>
        </is>
      </c>
      <c r="L300" s="2" t="inlineStr">
        <is>
          <t>ok</t>
        </is>
      </c>
      <c r="M300" s="2" t="inlineStr">
        <is>
          <t>demo reviewer</t>
        </is>
      </c>
      <c r="N300" s="2" t="n"/>
      <c r="O300" s="3" t="inlineStr">
        <is>
          <t>https://vanillabonds.com/dossier-data/pdf/katjes/katjes-2023-annual-report.pdf#page=84</t>
        </is>
      </c>
      <c r="P300" s="3" t="inlineStr">
        <is>
          <t>https://vanillabonds.com/dossier.html?c=katjes&amp;viewer=1&amp;item=F299</t>
        </is>
      </c>
      <c r="Q300" s="2" t="inlineStr"/>
    </row>
    <row r="301">
      <c r="A301" s="2" t="inlineStr">
        <is>
          <t>F300</t>
        </is>
      </c>
      <c r="B301" s="2" t="inlineStr">
        <is>
          <t>structure</t>
        </is>
      </c>
      <c r="C301" s="2" t="inlineStr">
        <is>
          <t>security_asset</t>
        </is>
      </c>
      <c r="D301" s="3" t="inlineStr">
        <is>
          <t>Security asset: asset; book value; encumbrance (register); insured (yes / no); register</t>
        </is>
      </c>
      <c r="E301" s="2" t="n"/>
      <c r="F301" s="2" t="n">
        <v>112.4</v>
      </c>
      <c r="G301" s="2" t="n"/>
      <c r="H301" s="3" t="inlineStr">
        <is>
          <t>asset: capitalised brands and other intangible assets; book value: 112.4 (2022: 109.7); encumbrance: not stated; insured: not stated; register: brand values represented as intangible assets in the group balance sheet</t>
        </is>
      </c>
      <c r="I301" s="2" t="inlineStr">
        <is>
          <t>S1</t>
        </is>
      </c>
      <c r="J301" s="2" t="n">
        <v>35</v>
      </c>
      <c r="K301" s="3" t="inlineStr">
        <is>
          <t>The value of these brands is represented financially as an intangible asset in the Group’s balance sheet.</t>
        </is>
      </c>
      <c r="L301" s="2" t="inlineStr">
        <is>
          <t>ok</t>
        </is>
      </c>
      <c r="M301" s="2" t="inlineStr">
        <is>
          <t>demo reviewer</t>
        </is>
      </c>
      <c r="N301" s="2" t="n"/>
      <c r="O301" s="3" t="inlineStr">
        <is>
          <t>https://vanillabonds.com/dossier-data/pdf/katjes/katjes-2023-annual-report.pdf#page=35</t>
        </is>
      </c>
      <c r="P301" s="3" t="inlineStr">
        <is>
          <t>https://vanillabonds.com/dossier.html?c=katjes&amp;viewer=1&amp;item=F300</t>
        </is>
      </c>
      <c r="Q301" s="2" t="inlineStr"/>
    </row>
    <row r="302">
      <c r="A302" s="2" t="inlineStr">
        <is>
          <t>F301</t>
        </is>
      </c>
      <c r="B302" s="2" t="inlineStr">
        <is>
          <t>structure</t>
        </is>
      </c>
      <c r="C302" s="2" t="inlineStr">
        <is>
          <t>security_asset</t>
        </is>
      </c>
      <c r="D302" s="3" t="inlineStr">
        <is>
          <t>Security asset: asset; book value; encumbrance (register); insured (yes / no); register</t>
        </is>
      </c>
      <c r="E302" s="2" t="inlineStr">
        <is>
          <t>FY2023</t>
        </is>
      </c>
      <c r="F302" s="2" t="n">
        <v>0</v>
      </c>
      <c r="G302" s="2" t="n"/>
      <c r="H302" s="3" t="inlineStr">
        <is>
          <t>asset: inventories; book value: 46.4; encumbrance: EUR 0.0m deposited as collateral at 31 Dec 2023 (2022: EUR 3.7m)</t>
        </is>
      </c>
      <c r="I302" s="2" t="inlineStr">
        <is>
          <t>S1</t>
        </is>
      </c>
      <c r="J302" s="2" t="n">
        <v>70</v>
      </c>
      <c r="K302" s="3" t="inlineStr">
        <is>
          <t>0.0 million (2022: EUR 3.7 million) of the inventory assets were deposited as collateral.</t>
        </is>
      </c>
      <c r="L302" s="2" t="inlineStr">
        <is>
          <t>ok</t>
        </is>
      </c>
      <c r="M302" s="2" t="inlineStr">
        <is>
          <t>demo reviewer</t>
        </is>
      </c>
      <c r="N302" s="2" t="n"/>
      <c r="O302" s="3" t="inlineStr">
        <is>
          <t>https://vanillabonds.com/dossier-data/pdf/katjes/katjes-2023-annual-report.pdf#page=70</t>
        </is>
      </c>
      <c r="P302" s="3" t="inlineStr">
        <is>
          <t>https://vanillabonds.com/dossier.html?c=katjes&amp;viewer=1&amp;item=F301</t>
        </is>
      </c>
      <c r="Q302" s="2" t="inlineStr"/>
    </row>
    <row r="303">
      <c r="A303" s="2" t="inlineStr">
        <is>
          <t>F302</t>
        </is>
      </c>
      <c r="B303" s="2" t="inlineStr">
        <is>
          <t>structure</t>
        </is>
      </c>
      <c r="C303" s="2" t="inlineStr">
        <is>
          <t>appraisal</t>
        </is>
      </c>
      <c r="D303" s="3" t="inlineStr">
        <is>
          <t>Appraisal: asset; date; appraiser; method; value</t>
        </is>
      </c>
      <c r="E303" s="2" t="n"/>
      <c r="F303" s="2" t="n">
        <v>25.9</v>
      </c>
      <c r="G303" s="2" t="n"/>
      <c r="H303" s="3" t="inlineStr">
        <is>
          <t>asset: oral care division property, plant and equipment (Viersen site); date: 2023 (within PPA measurement period); appraiser: independent experts (not named); method: not stated; value: 25.9 in final PPA</t>
        </is>
      </c>
      <c r="I303" s="2" t="inlineStr">
        <is>
          <t>S1</t>
        </is>
      </c>
      <c r="J303" s="2" t="n">
        <v>59</v>
      </c>
      <c r="K303" s="3" t="inlineStr">
        <is>
          <t>In the financial year 2023, the property, plant and equip‐ ment to be acquired was valued by independent experts</t>
        </is>
      </c>
      <c r="L303" s="2" t="inlineStr">
        <is>
          <t>ok</t>
        </is>
      </c>
      <c r="M303" s="2" t="inlineStr">
        <is>
          <t>demo reviewer</t>
        </is>
      </c>
      <c r="N303" s="2" t="n"/>
      <c r="O303" s="3" t="inlineStr">
        <is>
          <t>https://vanillabonds.com/dossier-data/pdf/katjes/katjes-2023-annual-report.pdf#page=59</t>
        </is>
      </c>
      <c r="P303" s="3" t="inlineStr">
        <is>
          <t>https://vanillabonds.com/dossier.html?c=katjes&amp;viewer=1&amp;item=F302</t>
        </is>
      </c>
      <c r="Q303" s="2" t="inlineStr"/>
    </row>
    <row r="304">
      <c r="A304" s="2" t="inlineStr">
        <is>
          <t>F303</t>
        </is>
      </c>
      <c r="B304" s="2" t="inlineStr">
        <is>
          <t>structure</t>
        </is>
      </c>
      <c r="C304" s="2" t="inlineStr">
        <is>
          <t>appraisal</t>
        </is>
      </c>
      <c r="D304" s="3" t="inlineStr">
        <is>
          <t>Appraisal: asset; date; appraiser; method; value</t>
        </is>
      </c>
      <c r="E304" s="2" t="n"/>
      <c r="F304" s="2" t="n">
        <v>4.9</v>
      </c>
      <c r="G304" s="2" t="n"/>
      <c r="H304" s="3" t="inlineStr">
        <is>
          <t>asset: Harlekijntjes brand; date: initial consolidation 2016; appraiser: not named; method: relief-from-royalty, royalty 6.0%, discount rate 6.3%, indefinite useful life; value: 4.9</t>
        </is>
      </c>
      <c r="I304" s="2" t="inlineStr">
        <is>
          <t>S1</t>
        </is>
      </c>
      <c r="J304" s="2" t="n">
        <v>66</v>
      </c>
      <c r="K304" s="3" t="inlineStr">
        <is>
          <t>due to the strength of the brand.The brand value calcula‐ ted using this method amounted to EUR 4.9 million.</t>
        </is>
      </c>
      <c r="L304" s="2" t="inlineStr">
        <is>
          <t>ok</t>
        </is>
      </c>
      <c r="M304" s="2" t="inlineStr">
        <is>
          <t>demo reviewer</t>
        </is>
      </c>
      <c r="N304" s="2" t="n"/>
      <c r="O304" s="3" t="inlineStr">
        <is>
          <t>https://vanillabonds.com/dossier-data/pdf/katjes/katjes-2023-annual-report.pdf#page=66</t>
        </is>
      </c>
      <c r="P304" s="3" t="inlineStr">
        <is>
          <t>https://vanillabonds.com/dossier.html?c=katjes&amp;viewer=1&amp;item=F303</t>
        </is>
      </c>
      <c r="Q304" s="2" t="inlineStr"/>
    </row>
    <row r="305">
      <c r="A305" s="2" t="inlineStr">
        <is>
          <t>F304</t>
        </is>
      </c>
      <c r="B305" s="2" t="inlineStr">
        <is>
          <t>structure</t>
        </is>
      </c>
      <c r="C305" s="2" t="inlineStr">
        <is>
          <t>appraisal</t>
        </is>
      </c>
      <c r="D305" s="3" t="inlineStr">
        <is>
          <t>Appraisal: asset; date; appraiser; method; value</t>
        </is>
      </c>
      <c r="E305" s="2" t="n"/>
      <c r="F305" s="2" t="n">
        <v>6</v>
      </c>
      <c r="G305" s="2" t="n"/>
      <c r="H305" s="3" t="inlineStr">
        <is>
          <t>asset: Piasten brand; date: initial consolidation 2014/15; appraiser: not named; method: relief-from-royalty, royalty 2.0%, discount rate 7.5%, 40-year life; value: 6.0</t>
        </is>
      </c>
      <c r="I305" s="2" t="inlineStr">
        <is>
          <t>S1</t>
        </is>
      </c>
      <c r="J305" s="2" t="n">
        <v>66</v>
      </c>
      <c r="K305" s="3" t="inlineStr">
        <is>
          <t>was 40 years. The brand value calculated using this me‐ thod amounted to EUR 6.0 million.</t>
        </is>
      </c>
      <c r="L305" s="2" t="inlineStr">
        <is>
          <t>ok</t>
        </is>
      </c>
      <c r="M305" s="2" t="inlineStr">
        <is>
          <t>demo reviewer</t>
        </is>
      </c>
      <c r="N305" s="2" t="n"/>
      <c r="O305" s="3" t="inlineStr">
        <is>
          <t>https://vanillabonds.com/dossier-data/pdf/katjes/katjes-2023-annual-report.pdf#page=66</t>
        </is>
      </c>
      <c r="P305" s="3" t="inlineStr">
        <is>
          <t>https://vanillabonds.com/dossier.html?c=katjes&amp;viewer=1&amp;item=F304</t>
        </is>
      </c>
      <c r="Q305" s="2" t="inlineStr"/>
    </row>
    <row r="306">
      <c r="A306" s="2" t="inlineStr">
        <is>
          <t>F305</t>
        </is>
      </c>
      <c r="B306" s="2" t="inlineStr">
        <is>
          <t>structure</t>
        </is>
      </c>
      <c r="C306" s="2" t="inlineStr">
        <is>
          <t>appraisal</t>
        </is>
      </c>
      <c r="D306" s="3" t="inlineStr">
        <is>
          <t>Appraisal: asset; date; appraiser; method; value</t>
        </is>
      </c>
      <c r="E306" s="2" t="n"/>
      <c r="F306" s="2" t="n">
        <v>7.7</v>
      </c>
      <c r="G306" s="2" t="n"/>
      <c r="H306" s="3" t="inlineStr">
        <is>
          <t>asset: Dallmann's brand; date: initial consolidation 2012; appraiser: not named; method: relief-from-royalty, royalty 9.5%, discount rate 8.4%, indefinite life; value: 7.7</t>
        </is>
      </c>
      <c r="I306" s="2" t="inlineStr">
        <is>
          <t>S1</t>
        </is>
      </c>
      <c r="J306" s="2" t="n">
        <v>67</v>
      </c>
      <c r="K306" s="3" t="inlineStr">
        <is>
          <t>lue calculated using this method amounted to EUR 7.7 mil‐ lion.</t>
        </is>
      </c>
      <c r="L306" s="2" t="inlineStr">
        <is>
          <t>ok</t>
        </is>
      </c>
      <c r="M306" s="2" t="inlineStr">
        <is>
          <t>demo reviewer</t>
        </is>
      </c>
      <c r="N306" s="2" t="n"/>
      <c r="O306" s="3" t="inlineStr">
        <is>
          <t>https://vanillabonds.com/dossier-data/pdf/katjes/katjes-2023-annual-report.pdf#page=67</t>
        </is>
      </c>
      <c r="P306" s="3" t="inlineStr">
        <is>
          <t>https://vanillabonds.com/dossier.html?c=katjes&amp;viewer=1&amp;item=F305</t>
        </is>
      </c>
      <c r="Q306" s="2" t="inlineStr"/>
    </row>
    <row r="307">
      <c r="A307" s="2" t="inlineStr">
        <is>
          <t>F306</t>
        </is>
      </c>
      <c r="B307" s="2" t="inlineStr">
        <is>
          <t>structure</t>
        </is>
      </c>
      <c r="C307" s="2" t="inlineStr">
        <is>
          <t>appraisal</t>
        </is>
      </c>
      <c r="D307" s="3" t="inlineStr">
        <is>
          <t>Appraisal: asset; date; appraiser; method; value</t>
        </is>
      </c>
      <c r="E307" s="2" t="n"/>
      <c r="F307" s="2" t="n">
        <v>22.9</v>
      </c>
      <c r="G307" s="2" t="n"/>
      <c r="H307" s="3" t="inlineStr">
        <is>
          <t>asset: Sperlari brands; date: initial consolidation 2017; appraiser: not named; method: relief-from-royalty, royalty 3.5%, discount rate 6.4%, 40-year life; value: 22.9</t>
        </is>
      </c>
      <c r="I307" s="2" t="inlineStr">
        <is>
          <t>S1</t>
        </is>
      </c>
      <c r="J307" s="2" t="n">
        <v>67</v>
      </c>
      <c r="K307" s="3" t="inlineStr">
        <is>
          <t>The useful life is 40 years.The brand value calculated using this method amounted to EUR 22.9 million.</t>
        </is>
      </c>
      <c r="L307" s="2" t="inlineStr">
        <is>
          <t>ok</t>
        </is>
      </c>
      <c r="M307" s="2" t="inlineStr">
        <is>
          <t>demo reviewer</t>
        </is>
      </c>
      <c r="N307" s="2" t="n"/>
      <c r="O307" s="3" t="inlineStr">
        <is>
          <t>https://vanillabonds.com/dossier-data/pdf/katjes/katjes-2023-annual-report.pdf#page=67</t>
        </is>
      </c>
      <c r="P307" s="3" t="inlineStr">
        <is>
          <t>https://vanillabonds.com/dossier.html?c=katjes&amp;viewer=1&amp;item=F306</t>
        </is>
      </c>
      <c r="Q307" s="2" t="inlineStr"/>
    </row>
    <row r="308">
      <c r="A308" s="2" t="inlineStr">
        <is>
          <t>F307</t>
        </is>
      </c>
      <c r="B308" s="2" t="inlineStr">
        <is>
          <t>structure</t>
        </is>
      </c>
      <c r="C308" s="2" t="inlineStr">
        <is>
          <t>appraisal</t>
        </is>
      </c>
      <c r="D308" s="3" t="inlineStr">
        <is>
          <t>Appraisal: asset; date; appraiser; method; value</t>
        </is>
      </c>
      <c r="E308" s="2" t="n"/>
      <c r="F308" s="2" t="n">
        <v>9.800000000000001</v>
      </c>
      <c r="G308" s="2" t="n"/>
      <c r="H308" s="3" t="inlineStr">
        <is>
          <t>asset: Candy Kittens brand; date: initial consolidation (forecast revenue from 2021); appraiser: not named; method: relief-from-royalty, royalty 6%, discount rate 8.3%, indefinite life; value: 9.8</t>
        </is>
      </c>
      <c r="I308" s="2" t="inlineStr">
        <is>
          <t>S1</t>
        </is>
      </c>
      <c r="J308" s="2" t="n">
        <v>67</v>
      </c>
      <c r="K308" s="3" t="inlineStr">
        <is>
          <t>rate was 8.3%. The useful life is indefinite due to the strength of the brand. The brand value calculated using this method amounted to EUR 9.8 million.</t>
        </is>
      </c>
      <c r="L308" s="2" t="inlineStr">
        <is>
          <t>ok</t>
        </is>
      </c>
      <c r="M308" s="2" t="inlineStr">
        <is>
          <t>demo reviewer</t>
        </is>
      </c>
      <c r="N308" s="2" t="n"/>
      <c r="O308" s="3" t="inlineStr">
        <is>
          <t>https://vanillabonds.com/dossier-data/pdf/katjes/katjes-2023-annual-report.pdf#page=67</t>
        </is>
      </c>
      <c r="P308" s="3" t="inlineStr">
        <is>
          <t>https://vanillabonds.com/dossier.html?c=katjes&amp;viewer=1&amp;item=F307</t>
        </is>
      </c>
      <c r="Q308" s="2" t="inlineStr"/>
    </row>
    <row r="309">
      <c r="A309" s="2" t="inlineStr">
        <is>
          <t>F308</t>
        </is>
      </c>
      <c r="B309" s="2" t="inlineStr">
        <is>
          <t>structure</t>
        </is>
      </c>
      <c r="C309" s="2" t="inlineStr">
        <is>
          <t>appraisal</t>
        </is>
      </c>
      <c r="D309" s="3" t="inlineStr">
        <is>
          <t>Appraisal: asset; date; appraiser; method; value</t>
        </is>
      </c>
      <c r="E309" s="2" t="n"/>
      <c r="F309" s="2" t="n">
        <v>22.5</v>
      </c>
      <c r="G309" s="2" t="n"/>
      <c r="H309" s="3" t="inlineStr">
        <is>
          <t>asset: Bübchen brand; date: initial consolidation 2021 (pro rata revenue 2021); appraiser: not named; method: relief-from-royalty, royalty 4.0%, discount rate 5.0%, 40-year life; value: 22.5</t>
        </is>
      </c>
      <c r="I309" s="2" t="inlineStr">
        <is>
          <t>S1</t>
        </is>
      </c>
      <c r="J309" s="2" t="n">
        <v>67</v>
      </c>
      <c r="K309" s="3" t="inlineStr">
        <is>
          <t>useful life is 40 years.The brand value calculated using this method amounted to EUR 22.5 million.</t>
        </is>
      </c>
      <c r="L309" s="2" t="inlineStr">
        <is>
          <t>ok</t>
        </is>
      </c>
      <c r="M309" s="2" t="inlineStr">
        <is>
          <t>demo reviewer</t>
        </is>
      </c>
      <c r="N309" s="2" t="n"/>
      <c r="O309" s="3" t="inlineStr">
        <is>
          <t>https://vanillabonds.com/dossier-data/pdf/katjes/katjes-2023-annual-report.pdf#page=67</t>
        </is>
      </c>
      <c r="P309" s="3" t="inlineStr">
        <is>
          <t>https://vanillabonds.com/dossier.html?c=katjes&amp;viewer=1&amp;item=F308</t>
        </is>
      </c>
      <c r="Q309" s="2" t="inlineStr"/>
    </row>
    <row r="310">
      <c r="A310" s="2" t="inlineStr">
        <is>
          <t>F309</t>
        </is>
      </c>
      <c r="B310" s="2" t="inlineStr">
        <is>
          <t>structure</t>
        </is>
      </c>
      <c r="C310" s="2" t="inlineStr">
        <is>
          <t>appraisal</t>
        </is>
      </c>
      <c r="D310" s="3" t="inlineStr">
        <is>
          <t>Appraisal: asset; date; appraiser; method; value</t>
        </is>
      </c>
      <c r="E310" s="2" t="n"/>
      <c r="F310" s="2" t="n">
        <v>7.6</v>
      </c>
      <c r="G310" s="2" t="n"/>
      <c r="H310" s="3" t="inlineStr">
        <is>
          <t>asset: Dulcioliva brand; date: initial consolidation 2021; appraiser: not named; method: relief-from-royalty, royalty 5.0%, discount rate 4.0%, 40-year life; value: 7.6</t>
        </is>
      </c>
      <c r="I310" s="2" t="inlineStr">
        <is>
          <t>S1</t>
        </is>
      </c>
      <c r="J310" s="2" t="n">
        <v>67</v>
      </c>
      <c r="K310" s="3" t="inlineStr">
        <is>
          <t>useful life is 40 years.The brand value calculated using this method amounted to EUR 7.6 million.</t>
        </is>
      </c>
      <c r="L310" s="2" t="inlineStr">
        <is>
          <t>ok</t>
        </is>
      </c>
      <c r="M310" s="2" t="inlineStr">
        <is>
          <t>demo reviewer</t>
        </is>
      </c>
      <c r="N310" s="2" t="n"/>
      <c r="O310" s="3" t="inlineStr">
        <is>
          <t>https://vanillabonds.com/dossier-data/pdf/katjes/katjes-2023-annual-report.pdf#page=67</t>
        </is>
      </c>
      <c r="P310" s="3" t="inlineStr">
        <is>
          <t>https://vanillabonds.com/dossier.html?c=katjes&amp;viewer=1&amp;item=F309</t>
        </is>
      </c>
      <c r="Q310" s="2" t="inlineStr"/>
    </row>
    <row r="311">
      <c r="A311" s="2" t="inlineStr">
        <is>
          <t>F310</t>
        </is>
      </c>
      <c r="B311" s="2" t="inlineStr">
        <is>
          <t>structure</t>
        </is>
      </c>
      <c r="C311" s="2" t="inlineStr">
        <is>
          <t>appraisal</t>
        </is>
      </c>
      <c r="D311" s="3" t="inlineStr">
        <is>
          <t>Appraisal: asset; date; appraiser; method; value</t>
        </is>
      </c>
      <c r="E311" s="2" t="n"/>
      <c r="F311" s="2" t="n">
        <v>7.1</v>
      </c>
      <c r="G311" s="2" t="n"/>
      <c r="H311" s="3" t="inlineStr">
        <is>
          <t>asset: Paluani brand; date: initial consolidation 2022; appraiser: not named; method: relief-from-royalty, royalty 3.5%, discount rate 5.9%, 40-year life; value: 7.1</t>
        </is>
      </c>
      <c r="I311" s="2" t="inlineStr">
        <is>
          <t>S1</t>
        </is>
      </c>
      <c r="J311" s="2" t="n">
        <v>67</v>
      </c>
      <c r="K311" s="3" t="inlineStr">
        <is>
          <t>is 40 years.The brand value calculated using this method amounted to EUR 7.1 million.</t>
        </is>
      </c>
      <c r="L311" s="2" t="inlineStr">
        <is>
          <t>ok</t>
        </is>
      </c>
      <c r="M311" s="2" t="inlineStr">
        <is>
          <t>demo reviewer</t>
        </is>
      </c>
      <c r="N311" s="2" t="n"/>
      <c r="O311" s="3" t="inlineStr">
        <is>
          <t>https://vanillabonds.com/dossier-data/pdf/katjes/katjes-2023-annual-report.pdf#page=67</t>
        </is>
      </c>
      <c r="P311" s="3" t="inlineStr">
        <is>
          <t>https://vanillabonds.com/dossier.html?c=katjes&amp;viewer=1&amp;item=F310</t>
        </is>
      </c>
      <c r="Q311" s="2" t="inlineStr"/>
    </row>
    <row r="312">
      <c r="A312" s="2" t="inlineStr">
        <is>
          <t>F311</t>
        </is>
      </c>
      <c r="B312" s="2" t="inlineStr">
        <is>
          <t>structure</t>
        </is>
      </c>
      <c r="C312" s="2" t="inlineStr">
        <is>
          <t>appraisal</t>
        </is>
      </c>
      <c r="D312" s="3" t="inlineStr">
        <is>
          <t>Appraisal: asset; date; appraiser; method; value</t>
        </is>
      </c>
      <c r="E312" s="2" t="n"/>
      <c r="F312" s="2" t="n">
        <v>23.8</v>
      </c>
      <c r="G312" s="2" t="n"/>
      <c r="H312" s="3" t="inlineStr">
        <is>
          <t>asset: oral care brands (Theramed, Vademecum, Antica Erboristeria, Licor del Polo, Denivit); date: initial consolidation 7 Dec 2022; appraiser: not named; method: relief-from-royalty, royalty 4.0%, discount rate 5.7%, 40-year life; value: 23.8</t>
        </is>
      </c>
      <c r="I312" s="2" t="inlineStr">
        <is>
          <t>S1</t>
        </is>
      </c>
      <c r="J312" s="2" t="n">
        <v>67</v>
      </c>
      <c r="K312" s="3" t="inlineStr">
        <is>
          <t>discount rate was 5.7%.The useful life is 40 years.The brand value calculated using this method amounted to EUR 23.8 million.</t>
        </is>
      </c>
      <c r="L312" s="2" t="inlineStr">
        <is>
          <t>ok</t>
        </is>
      </c>
      <c r="M312" s="2" t="inlineStr">
        <is>
          <t>demo reviewer</t>
        </is>
      </c>
      <c r="N312" s="2" t="n"/>
      <c r="O312" s="3" t="inlineStr">
        <is>
          <t>https://vanillabonds.com/dossier-data/pdf/katjes/katjes-2023-annual-report.pdf#page=67</t>
        </is>
      </c>
      <c r="P312" s="3" t="inlineStr">
        <is>
          <t>https://vanillabonds.com/dossier.html?c=katjes&amp;viewer=1&amp;item=F311</t>
        </is>
      </c>
      <c r="Q312" s="2" t="inlineStr"/>
    </row>
    <row r="313">
      <c r="A313" s="2" t="inlineStr">
        <is>
          <t>F312</t>
        </is>
      </c>
      <c r="B313" s="2" t="inlineStr">
        <is>
          <t>compliance</t>
        </is>
      </c>
      <c r="C313" s="2" t="inlineStr">
        <is>
          <t>litigation_item</t>
        </is>
      </c>
      <c r="D313" s="3" t="inlineStr">
        <is>
          <t>Litigation, insolvency, fine or tax dispute: register; case; date; amount; status</t>
        </is>
      </c>
      <c r="E313" s="2" t="n"/>
      <c r="F313" s="2" t="n"/>
      <c r="G313" s="2" t="n"/>
      <c r="H313" s="3" t="inlineStr">
        <is>
          <t>register: none; case: company statement that no group company is a defendant in current or foreseeable legal or arbitration proceedings with significant influence, nor within the last two years; status: provisions set up for other proceedings</t>
        </is>
      </c>
      <c r="I313" s="2" t="inlineStr">
        <is>
          <t>S1</t>
        </is>
      </c>
      <c r="J313" s="2" t="n">
        <v>83</v>
      </c>
      <c r="K313" s="3" t="inlineStr">
        <is>
          <t>able legal or arbitration proceedings that could have a significant influence on the economic situation or have</t>
        </is>
      </c>
      <c r="L313" s="2" t="inlineStr">
        <is>
          <t>ok</t>
        </is>
      </c>
      <c r="M313" s="2" t="inlineStr">
        <is>
          <t>demo reviewer</t>
        </is>
      </c>
      <c r="N313" s="2" t="n"/>
      <c r="O313" s="3" t="inlineStr">
        <is>
          <t>https://vanillabonds.com/dossier-data/pdf/katjes/katjes-2023-annual-report.pdf#page=83</t>
        </is>
      </c>
      <c r="P313" s="3" t="inlineStr">
        <is>
          <t>https://vanillabonds.com/dossier.html?c=katjes&amp;viewer=1&amp;item=F312</t>
        </is>
      </c>
      <c r="Q313" s="2" t="inlineStr"/>
    </row>
    <row r="314">
      <c r="A314" s="2" t="inlineStr">
        <is>
          <t>F313</t>
        </is>
      </c>
      <c r="B314" s="2" t="inlineStr">
        <is>
          <t>compliance</t>
        </is>
      </c>
      <c r="C314" s="2" t="inlineStr">
        <is>
          <t>esg_fact</t>
        </is>
      </c>
      <c r="D314" s="3" t="inlineStr">
        <is>
          <t>ESG fact: item (CSRD / VSME status, energy, emissions, taxonomy, permit, incident, labour); value; year; source</t>
        </is>
      </c>
      <c r="E314" s="2" t="n"/>
      <c r="F314" s="2" t="n"/>
      <c r="G314" s="2" t="n"/>
      <c r="H314" s="3" t="inlineStr">
        <is>
          <t>item: emissions (Candy Kittens packaging); value: plastic reseal zipper removed from 140g pouches, 25% less plastic, 80 tonnes CO2 saved, 82.6 tonnes animal gelatine removed; year: 2023; source: company statement</t>
        </is>
      </c>
      <c r="I314" s="2" t="inlineStr">
        <is>
          <t>S1</t>
        </is>
      </c>
      <c r="J314" s="2" t="n">
        <v>23</v>
      </c>
      <c r="K314" s="3" t="inlineStr">
        <is>
          <t>resulting in a 25% reduction in plastic and consequently saving 80 tonnes of carbon dioxide emissions.</t>
        </is>
      </c>
      <c r="L314" s="2" t="inlineStr">
        <is>
          <t>ok</t>
        </is>
      </c>
      <c r="M314" s="2" t="inlineStr">
        <is>
          <t>demo reviewer</t>
        </is>
      </c>
      <c r="N314" s="2" t="n"/>
      <c r="O314" s="3" t="inlineStr">
        <is>
          <t>https://vanillabonds.com/dossier-data/pdf/katjes/katjes-2023-annual-report.pdf#page=23</t>
        </is>
      </c>
      <c r="P314" s="3" t="inlineStr">
        <is>
          <t>https://vanillabonds.com/dossier.html?c=katjes&amp;viewer=1&amp;item=F313</t>
        </is>
      </c>
      <c r="Q314" s="2" t="inlineStr"/>
    </row>
    <row r="315">
      <c r="A315" s="2" t="inlineStr">
        <is>
          <t>F314</t>
        </is>
      </c>
      <c r="B315" s="2" t="inlineStr">
        <is>
          <t>compliance</t>
        </is>
      </c>
      <c r="C315" s="2" t="inlineStr">
        <is>
          <t>esg_fact</t>
        </is>
      </c>
      <c r="D315" s="3" t="inlineStr">
        <is>
          <t>ESG fact: item (CSRD / VSME status, energy, emissions, taxonomy, permit, incident, labour); value; year; source</t>
        </is>
      </c>
      <c r="E315" s="2" t="n"/>
      <c r="F315" s="2" t="n"/>
      <c r="G315" s="2" t="n"/>
      <c r="H315" s="3" t="inlineStr">
        <is>
          <t>item: climate target; value: goal of climate-neutral production 'being driven forward' with continuous footprint improvement, no date or baseline given; year: 2023; source: company statement</t>
        </is>
      </c>
      <c r="I315" s="2" t="inlineStr">
        <is>
          <t>S1</t>
        </is>
      </c>
      <c r="J315" s="2" t="n">
        <v>30</v>
      </c>
      <c r="K315" s="3" t="inlineStr">
        <is>
          <t>goal of climate-neutral production is being driven forward with the continuous improvement of our footprint.</t>
        </is>
      </c>
      <c r="L315" s="2" t="inlineStr">
        <is>
          <t>ok</t>
        </is>
      </c>
      <c r="M315" s="2" t="inlineStr">
        <is>
          <t>demo reviewer</t>
        </is>
      </c>
      <c r="N315" s="2" t="n"/>
      <c r="O315" s="3" t="inlineStr">
        <is>
          <t>https://vanillabonds.com/dossier-data/pdf/katjes/katjes-2023-annual-report.pdf#page=30</t>
        </is>
      </c>
      <c r="P315" s="3" t="inlineStr">
        <is>
          <t>https://vanillabonds.com/dossier.html?c=katjes&amp;viewer=1&amp;item=F314</t>
        </is>
      </c>
      <c r="Q315" s="2" t="inlineStr"/>
    </row>
    <row r="316">
      <c r="A316" s="2" t="inlineStr">
        <is>
          <t>F315</t>
        </is>
      </c>
      <c r="B316" s="2" t="inlineStr">
        <is>
          <t>compliance</t>
        </is>
      </c>
      <c r="C316" s="2" t="inlineStr">
        <is>
          <t>esg_fact</t>
        </is>
      </c>
      <c r="D316" s="3" t="inlineStr">
        <is>
          <t>ESG fact: item (CSRD / VSME status, energy, emissions, taxonomy, permit, incident, labour); value; year; source</t>
        </is>
      </c>
      <c r="E316" s="2" t="n"/>
      <c r="F316" s="2" t="n"/>
      <c r="G316" s="2" t="n"/>
      <c r="H316" s="3" t="inlineStr">
        <is>
          <t>item: labour; value: average of 24 apprentices employed; year: 2023; source: management report</t>
        </is>
      </c>
      <c r="I316" s="2" t="inlineStr">
        <is>
          <t>S1</t>
        </is>
      </c>
      <c r="J316" s="2" t="n">
        <v>35</v>
      </c>
      <c r="K316" s="3" t="inlineStr">
        <is>
          <t>onal employed an average of 24 apprentices in 2023.</t>
        </is>
      </c>
      <c r="L316" s="2" t="inlineStr">
        <is>
          <t>ok</t>
        </is>
      </c>
      <c r="M316" s="2" t="inlineStr">
        <is>
          <t>demo reviewer</t>
        </is>
      </c>
      <c r="N316" s="2" t="n"/>
      <c r="O316" s="3" t="inlineStr">
        <is>
          <t>https://vanillabonds.com/dossier-data/pdf/katjes/katjes-2023-annual-report.pdf#page=35</t>
        </is>
      </c>
      <c r="P316" s="3" t="inlineStr">
        <is>
          <t>https://vanillabonds.com/dossier.html?c=katjes&amp;viewer=1&amp;item=F315</t>
        </is>
      </c>
      <c r="Q316" s="2" t="inlineStr"/>
    </row>
    <row r="317">
      <c r="A317" s="2" t="inlineStr">
        <is>
          <t>F316</t>
        </is>
      </c>
      <c r="B317" s="2" t="inlineStr">
        <is>
          <t>compliance</t>
        </is>
      </c>
      <c r="C317" s="2" t="inlineStr">
        <is>
          <t>esg_fact</t>
        </is>
      </c>
      <c r="D317" s="3" t="inlineStr">
        <is>
          <t>ESG fact: item (CSRD / VSME status, energy, emissions, taxonomy, permit, incident, labour); value; year; source</t>
        </is>
      </c>
      <c r="E317" s="2" t="n"/>
      <c r="F317" s="2" t="n"/>
      <c r="G317" s="2" t="n"/>
      <c r="H317" s="3" t="inlineStr">
        <is>
          <t>item: CSRD / sustainability reporting status; value: no CSRD or sustainability statement in the report; sustainability described as a principle with stakeholder dialogue; year: 2023; source: management report</t>
        </is>
      </c>
      <c r="I317" s="2" t="inlineStr">
        <is>
          <t>S1</t>
        </is>
      </c>
      <c r="J317" s="2" t="n">
        <v>35</v>
      </c>
      <c r="K317" s="3" t="inlineStr">
        <is>
          <t>As a medium-sized family business, Katjes International im‐ plements sustainable practices as a principle.</t>
        </is>
      </c>
      <c r="L317" s="2" t="inlineStr">
        <is>
          <t>ok</t>
        </is>
      </c>
      <c r="M317" s="2" t="inlineStr">
        <is>
          <t>demo reviewer</t>
        </is>
      </c>
      <c r="N317" s="2" t="n"/>
      <c r="O317" s="3" t="inlineStr">
        <is>
          <t>https://vanillabonds.com/dossier-data/pdf/katjes/katjes-2023-annual-report.pdf#page=35</t>
        </is>
      </c>
      <c r="P317" s="3" t="inlineStr">
        <is>
          <t>https://vanillabonds.com/dossier.html?c=katjes&amp;viewer=1&amp;item=F316</t>
        </is>
      </c>
      <c r="Q317" s="2" t="inlineStr"/>
    </row>
    <row r="318">
      <c r="A318" s="2" t="inlineStr">
        <is>
          <t>F317</t>
        </is>
      </c>
      <c r="B318" s="2" t="inlineStr">
        <is>
          <t>market_data</t>
        </is>
      </c>
      <c r="C318" s="2" t="inlineStr">
        <is>
          <t>instrument_term</t>
        </is>
      </c>
      <c r="D318" s="3" t="inlineStr">
        <is>
          <t>Instrument term: term (rate type, base rate, maturity, call, listing, ISIN, denomination, settlement, holders, transfer); value</t>
        </is>
      </c>
      <c r="E318" s="2" t="n"/>
      <c r="F318" s="2" t="n"/>
      <c r="G318" s="2" t="n"/>
      <c r="H318" s="3" t="inlineStr">
        <is>
          <t>term: format; value: issued for the first time as a 'Nordic Bond'</t>
        </is>
      </c>
      <c r="I318" s="2" t="inlineStr">
        <is>
          <t>S1</t>
        </is>
      </c>
      <c r="J318" s="2" t="n">
        <v>4</v>
      </c>
      <c r="K318" s="3" t="inlineStr">
        <is>
          <t>which was issued for the first time as a so-called "Nordic Bond".</t>
        </is>
      </c>
      <c r="L318" s="2" t="inlineStr">
        <is>
          <t>ok</t>
        </is>
      </c>
      <c r="M318" s="2" t="inlineStr">
        <is>
          <t>demo reviewer</t>
        </is>
      </c>
      <c r="N318" s="2" t="n"/>
      <c r="O318" s="3" t="inlineStr">
        <is>
          <t>https://vanillabonds.com/dossier-data/pdf/katjes/katjes-2023-annual-report.pdf#page=4</t>
        </is>
      </c>
      <c r="P318" s="3" t="inlineStr">
        <is>
          <t>https://vanillabonds.com/dossier.html?c=katjes&amp;viewer=1&amp;item=F317</t>
        </is>
      </c>
      <c r="Q318" s="2" t="inlineStr"/>
    </row>
    <row r="319">
      <c r="A319" s="2" t="inlineStr">
        <is>
          <t>F318</t>
        </is>
      </c>
      <c r="B319" s="2" t="inlineStr">
        <is>
          <t>market_data</t>
        </is>
      </c>
      <c r="C319" s="2" t="inlineStr">
        <is>
          <t>instrument_term</t>
        </is>
      </c>
      <c r="D319" s="3" t="inlineStr">
        <is>
          <t>Instrument term: term (rate type, base rate, maturity, call, listing, ISIN, denomination, settlement, holders, transfer); value</t>
        </is>
      </c>
      <c r="E319" s="2" t="n"/>
      <c r="F319" s="2" t="n"/>
      <c r="G319" s="2" t="n"/>
      <c r="H319" s="3" t="inlineStr">
        <is>
          <t>term: holders; value: exchange offer to existing 2019 bondholders, first-time subscription via company website, international private placement to institutional investors</t>
        </is>
      </c>
      <c r="I319" s="2" t="inlineStr">
        <is>
          <t>S1</t>
        </is>
      </c>
      <c r="J319" s="2" t="n">
        <v>4</v>
      </c>
      <c r="K319" s="3" t="inlineStr">
        <is>
          <t>response to the exchange offer, which was offered for the first time to existing investors, as well as the first-time opportunity to subscribe via our website.</t>
        </is>
      </c>
      <c r="L319" s="2" t="inlineStr">
        <is>
          <t>ok</t>
        </is>
      </c>
      <c r="M319" s="2" t="inlineStr">
        <is>
          <t>demo reviewer</t>
        </is>
      </c>
      <c r="N319" s="2" t="n"/>
      <c r="O319" s="3" t="inlineStr">
        <is>
          <t>https://vanillabonds.com/dossier-data/pdf/katjes/katjes-2023-annual-report.pdf#page=4</t>
        </is>
      </c>
      <c r="P319" s="3" t="inlineStr">
        <is>
          <t>https://vanillabonds.com/dossier.html?c=katjes&amp;viewer=1&amp;item=F318</t>
        </is>
      </c>
      <c r="Q319" s="2" t="inlineStr"/>
    </row>
    <row r="320">
      <c r="A320" s="2" t="inlineStr">
        <is>
          <t>F319</t>
        </is>
      </c>
      <c r="B320" s="2" t="inlineStr">
        <is>
          <t>market_data</t>
        </is>
      </c>
      <c r="C320" s="2" t="inlineStr">
        <is>
          <t>instrument_term</t>
        </is>
      </c>
      <c r="D320" s="3" t="inlineStr">
        <is>
          <t>Instrument term: term (rate type, base rate, maturity, call, listing, ISIN, denomination, settlement, holders, transfer); value</t>
        </is>
      </c>
      <c r="E320" s="2" t="n"/>
      <c r="F320" s="2" t="n"/>
      <c r="G320" s="2" t="n"/>
      <c r="H320" s="3" t="inlineStr">
        <is>
          <t>term: maturity; value: 2028 (bond labelled 2023/2028); undiscounted financial liabilities due in two to five years EUR 137.4m</t>
        </is>
      </c>
      <c r="I320" s="2" t="inlineStr">
        <is>
          <t>S1</t>
        </is>
      </c>
      <c r="J320" s="2" t="n">
        <v>48</v>
      </c>
      <c r="K320" s="3" t="inlineStr">
        <is>
          <t>Repayment of the 2019/2024 bond (EUR 110 million) / issue of the 2023/2028 bond (EUR 115 million)</t>
        </is>
      </c>
      <c r="L320" s="2" t="inlineStr">
        <is>
          <t>ok</t>
        </is>
      </c>
      <c r="M320" s="2" t="inlineStr">
        <is>
          <t>demo reviewer</t>
        </is>
      </c>
      <c r="N320" s="2" t="n"/>
      <c r="O320" s="3" t="inlineStr">
        <is>
          <t>https://vanillabonds.com/dossier-data/pdf/katjes/katjes-2023-annual-report.pdf#page=48</t>
        </is>
      </c>
      <c r="P320" s="3" t="inlineStr">
        <is>
          <t>https://vanillabonds.com/dossier.html?c=katjes&amp;viewer=1&amp;item=F319</t>
        </is>
      </c>
      <c r="Q320" s="2" t="inlineStr"/>
    </row>
    <row r="321">
      <c r="A321" s="2" t="inlineStr">
        <is>
          <t>F320</t>
        </is>
      </c>
      <c r="B321" s="2" t="inlineStr">
        <is>
          <t>market_data</t>
        </is>
      </c>
      <c r="C321" s="2" t="inlineStr">
        <is>
          <t>instrument_term</t>
        </is>
      </c>
      <c r="D321" s="3" t="inlineStr">
        <is>
          <t>Instrument term: term (rate type, base rate, maturity, call, listing, ISIN, denomination, settlement, holders, transfer); value</t>
        </is>
      </c>
      <c r="E321" s="2" t="n"/>
      <c r="F321" s="2" t="n">
        <v>123.1</v>
      </c>
      <c r="G321" s="2" t="n"/>
      <c r="H321" s="3" t="inlineStr">
        <is>
          <t>term: fair value 31 Dec 2023; value: 123.1 (level II) vs carrying amount 115.0</t>
        </is>
      </c>
      <c r="I321" s="2" t="inlineStr">
        <is>
          <t>S1</t>
        </is>
      </c>
      <c r="J321" s="2" t="n">
        <v>68</v>
      </c>
      <c r="K321" s="3" t="inlineStr">
        <is>
          <t>Liabilities from the issuance of a bond2 115.0 123.1**</t>
        </is>
      </c>
      <c r="L321" s="2" t="inlineStr">
        <is>
          <t>ok</t>
        </is>
      </c>
      <c r="M321" s="2" t="inlineStr">
        <is>
          <t>demo reviewer</t>
        </is>
      </c>
      <c r="N321" s="2" t="n"/>
      <c r="O321" s="3" t="inlineStr">
        <is>
          <t>https://vanillabonds.com/dossier-data/pdf/katjes/katjes-2023-annual-report.pdf#page=68</t>
        </is>
      </c>
      <c r="P321" s="3" t="inlineStr">
        <is>
          <t>https://vanillabonds.com/dossier.html?c=katjes&amp;viewer=1&amp;item=F320</t>
        </is>
      </c>
      <c r="Q321" s="2" t="inlineStr"/>
    </row>
    <row r="322">
      <c r="A322" s="2" t="inlineStr">
        <is>
          <t>F321</t>
        </is>
      </c>
      <c r="B322" s="2" t="inlineStr">
        <is>
          <t>market_data</t>
        </is>
      </c>
      <c r="C322" s="2" t="inlineStr">
        <is>
          <t>instrument_term</t>
        </is>
      </c>
      <c r="D322" s="3" t="inlineStr">
        <is>
          <t>Instrument term: term (rate type, base rate, maturity, call, listing, ISIN, denomination, settlement, holders, transfer); value</t>
        </is>
      </c>
      <c r="E322" s="2" t="n"/>
      <c r="F322" s="2" t="n"/>
      <c r="G322" s="2" t="n"/>
      <c r="H322" s="3" t="inlineStr">
        <is>
          <t>term: rate type; value: fixed 6.75% coupon, EUR 115m, issued September 2023 to redeem the 2019/2024 bond</t>
        </is>
      </c>
      <c r="I322" s="2" t="inlineStr">
        <is>
          <t>S1</t>
        </is>
      </c>
      <c r="J322" s="2" t="n">
        <v>72</v>
      </c>
      <c r="K322" s="3" t="inlineStr">
        <is>
          <t>mand, a bond with an interest rate of 6.75% and a total volume of EUR 115 million was issued in September 2023</t>
        </is>
      </c>
      <c r="L322" s="2" t="inlineStr">
        <is>
          <t>ok</t>
        </is>
      </c>
      <c r="M322" s="2" t="inlineStr">
        <is>
          <t>demo reviewer</t>
        </is>
      </c>
      <c r="N322" s="2" t="n"/>
      <c r="O322" s="3" t="inlineStr">
        <is>
          <t>https://vanillabonds.com/dossier-data/pdf/katjes/katjes-2023-annual-report.pdf#page=72</t>
        </is>
      </c>
      <c r="P322" s="3" t="inlineStr">
        <is>
          <t>https://vanillabonds.com/dossier.html?c=katjes&amp;viewer=1&amp;item=F321</t>
        </is>
      </c>
      <c r="Q322" s="2" t="inlineStr"/>
    </row>
    <row r="323">
      <c r="A323" s="2" t="inlineStr">
        <is>
          <t>F322</t>
        </is>
      </c>
      <c r="B323" s="2" t="inlineStr">
        <is>
          <t>market_data</t>
        </is>
      </c>
      <c r="C323" s="2" t="inlineStr">
        <is>
          <t>instrument_term</t>
        </is>
      </c>
      <c r="D323" s="3" t="inlineStr">
        <is>
          <t>Instrument term: term (rate type, base rate, maturity, call, listing, ISIN, denomination, settlement, holders, transfer); value</t>
        </is>
      </c>
      <c r="E323" s="2" t="n"/>
      <c r="F323" s="2" t="n"/>
      <c r="G323" s="2" t="n"/>
      <c r="H323" s="3" t="inlineStr">
        <is>
          <t>term: listing; value: Nordic ABM of the Oslo Stock Exchange, included end of January 2024 (within six months of issue)</t>
        </is>
      </c>
      <c r="I323" s="2" t="inlineStr">
        <is>
          <t>S1</t>
        </is>
      </c>
      <c r="J323" s="2" t="n">
        <v>85</v>
      </c>
      <c r="K323" s="3" t="inlineStr">
        <is>
          <t>the Nordic ABM of the Oslo Stock Exchange at the end of January 2024 as planned within six months of the issue</t>
        </is>
      </c>
      <c r="L323" s="2" t="inlineStr">
        <is>
          <t>ok</t>
        </is>
      </c>
      <c r="M323" s="2" t="inlineStr">
        <is>
          <t>demo reviewer</t>
        </is>
      </c>
      <c r="N323" s="2" t="n"/>
      <c r="O323" s="3" t="inlineStr">
        <is>
          <t>https://vanillabonds.com/dossier-data/pdf/katjes/katjes-2023-annual-report.pdf#page=85</t>
        </is>
      </c>
      <c r="P323" s="3" t="inlineStr">
        <is>
          <t>https://vanillabonds.com/dossier.html?c=katjes&amp;viewer=1&amp;item=F322</t>
        </is>
      </c>
      <c r="Q323" s="2" t="inlineStr"/>
    </row>
    <row r="324">
      <c r="A324" s="2" t="inlineStr">
        <is>
          <t>F323</t>
        </is>
      </c>
      <c r="B324" s="2" t="inlineStr">
        <is>
          <t>identity</t>
        </is>
      </c>
      <c r="C324" s="2" t="inlineStr">
        <is>
          <t>legal_name</t>
        </is>
      </c>
      <c r="D324" s="2" t="inlineStr">
        <is>
          <t>Legal name</t>
        </is>
      </c>
      <c r="E324" s="2" t="n"/>
      <c r="F324" s="2" t="n"/>
      <c r="G324" s="2" t="n"/>
      <c r="H324" s="2" t="inlineStr">
        <is>
          <t>Katjes International GmbH &amp; Co. KG</t>
        </is>
      </c>
      <c r="I324" s="2" t="inlineStr">
        <is>
          <t>S2</t>
        </is>
      </c>
      <c r="J324" s="2" t="n">
        <v>47</v>
      </c>
      <c r="K324" s="3" t="inlineStr">
        <is>
          <t>Katjes International GmbH &amp; Co. KG (“Katjes International”) is a limited partnership established under the laws of the Federal Republic of Germany</t>
        </is>
      </c>
      <c r="L324" s="2" t="inlineStr">
        <is>
          <t>ok</t>
        </is>
      </c>
      <c r="M324" s="2" t="inlineStr">
        <is>
          <t>demo reviewer</t>
        </is>
      </c>
      <c r="N324" s="2" t="n"/>
      <c r="O324" s="3" t="inlineStr">
        <is>
          <t>https://vanillabonds.com/dossier-data/pdf/katjes/katjes-2024-annual-report.pdf#page=47</t>
        </is>
      </c>
      <c r="P324" s="3" t="inlineStr">
        <is>
          <t>https://vanillabonds.com/dossier.html?c=katjes&amp;viewer=1&amp;item=F323</t>
        </is>
      </c>
      <c r="Q324" s="2" t="inlineStr">
        <is>
          <t>no</t>
        </is>
      </c>
    </row>
    <row r="325">
      <c r="A325" s="2" t="inlineStr">
        <is>
          <t>F324</t>
        </is>
      </c>
      <c r="B325" s="2" t="inlineStr">
        <is>
          <t>identity</t>
        </is>
      </c>
      <c r="C325" s="2" t="inlineStr">
        <is>
          <t>legal_form</t>
        </is>
      </c>
      <c r="D325" s="2" t="inlineStr">
        <is>
          <t>Legal form</t>
        </is>
      </c>
      <c r="E325" s="2" t="n"/>
      <c r="F325" s="2" t="n"/>
      <c r="G325" s="2" t="n"/>
      <c r="H325" s="3" t="inlineStr">
        <is>
          <t>German GmbH &amp; Co. KG (limited partnership)</t>
        </is>
      </c>
      <c r="I325" s="2" t="inlineStr">
        <is>
          <t>S2</t>
        </is>
      </c>
      <c r="J325" s="2" t="n">
        <v>47</v>
      </c>
      <c r="K325" s="3" t="inlineStr">
        <is>
          <t>a limited partnership established under the laws of the Federal Republic of Germany, with its registered office in Emmerich am Rhein</t>
        </is>
      </c>
      <c r="L325" s="2" t="inlineStr">
        <is>
          <t>ok</t>
        </is>
      </c>
      <c r="M325" s="2" t="inlineStr">
        <is>
          <t>demo reviewer</t>
        </is>
      </c>
      <c r="N325" s="2" t="n"/>
      <c r="O325" s="3" t="inlineStr">
        <is>
          <t>https://vanillabonds.com/dossier-data/pdf/katjes/katjes-2024-annual-report.pdf#page=47</t>
        </is>
      </c>
      <c r="P325" s="3" t="inlineStr">
        <is>
          <t>https://vanillabonds.com/dossier.html?c=katjes&amp;viewer=1&amp;item=F324</t>
        </is>
      </c>
      <c r="Q325" s="2" t="inlineStr">
        <is>
          <t>no</t>
        </is>
      </c>
    </row>
    <row r="326">
      <c r="A326" s="2" t="inlineStr">
        <is>
          <t>F325</t>
        </is>
      </c>
      <c r="B326" s="2" t="inlineStr">
        <is>
          <t>identity</t>
        </is>
      </c>
      <c r="C326" s="2" t="inlineStr">
        <is>
          <t>registry</t>
        </is>
      </c>
      <c r="D326" s="2" t="inlineStr">
        <is>
          <t>Commercial register / registration no.</t>
        </is>
      </c>
      <c r="E326" s="2" t="n"/>
      <c r="F326" s="2" t="n"/>
      <c r="G326" s="2" t="n"/>
      <c r="H326" s="2" t="inlineStr">
        <is>
          <t>HRA 1076, Local Court of Kleve</t>
        </is>
      </c>
      <c r="I326" s="2" t="inlineStr">
        <is>
          <t>S2</t>
        </is>
      </c>
      <c r="J326" s="2" t="n">
        <v>47</v>
      </c>
      <c r="K326" s="3" t="inlineStr">
        <is>
          <t>It is registered in the Commercial Register of the Local Court of Kleve under number HRA 1076.</t>
        </is>
      </c>
      <c r="L326" s="2" t="inlineStr">
        <is>
          <t>ok</t>
        </is>
      </c>
      <c r="M326" s="2" t="inlineStr">
        <is>
          <t>demo reviewer</t>
        </is>
      </c>
      <c r="N326" s="2" t="n"/>
      <c r="O326" s="3" t="inlineStr">
        <is>
          <t>https://vanillabonds.com/dossier-data/pdf/katjes/katjes-2024-annual-report.pdf#page=47</t>
        </is>
      </c>
      <c r="P326" s="3" t="inlineStr">
        <is>
          <t>https://vanillabonds.com/dossier.html?c=katjes&amp;viewer=1&amp;item=F325</t>
        </is>
      </c>
      <c r="Q326" s="2" t="inlineStr">
        <is>
          <t>no</t>
        </is>
      </c>
    </row>
    <row r="327">
      <c r="A327" s="2" t="inlineStr">
        <is>
          <t>F326</t>
        </is>
      </c>
      <c r="B327" s="2" t="inlineStr">
        <is>
          <t>identity</t>
        </is>
      </c>
      <c r="C327" s="2" t="inlineStr">
        <is>
          <t>founded</t>
        </is>
      </c>
      <c r="D327" s="2" t="inlineStr">
        <is>
          <t>Founded</t>
        </is>
      </c>
      <c r="E327" s="2" t="n"/>
      <c r="F327" s="2" t="n"/>
      <c r="G327" s="2" t="n"/>
      <c r="H327" s="3" t="inlineStr">
        <is>
          <t>Formed in 2011 from predecessor companies</t>
        </is>
      </c>
      <c r="I327" s="2" t="inlineStr">
        <is>
          <t>S2</t>
        </is>
      </c>
      <c r="J327" s="2" t="n">
        <v>9</v>
      </c>
      <c r="K327" s="3" t="inlineStr">
        <is>
          <t>Formed in 2011 from predecessor companies, Katjes International GmbH &amp; Co. KG (‘Katjes International’)</t>
        </is>
      </c>
      <c r="L327" s="2" t="inlineStr">
        <is>
          <t>ok</t>
        </is>
      </c>
      <c r="M327" s="2" t="inlineStr">
        <is>
          <t>demo reviewer</t>
        </is>
      </c>
      <c r="N327" s="2" t="n"/>
      <c r="O327" s="3" t="inlineStr">
        <is>
          <t>https://vanillabonds.com/dossier-data/pdf/katjes/katjes-2024-annual-report.pdf#page=9</t>
        </is>
      </c>
      <c r="P327" s="3" t="inlineStr">
        <is>
          <t>https://vanillabonds.com/dossier.html?c=katjes&amp;viewer=1&amp;item=F326</t>
        </is>
      </c>
      <c r="Q327" s="2" t="inlineStr">
        <is>
          <t>no</t>
        </is>
      </c>
    </row>
    <row r="328">
      <c r="A328" s="2" t="inlineStr">
        <is>
          <t>F327</t>
        </is>
      </c>
      <c r="B328" s="2" t="inlineStr">
        <is>
          <t>identity</t>
        </is>
      </c>
      <c r="C328" s="2" t="inlineStr">
        <is>
          <t>registered_office</t>
        </is>
      </c>
      <c r="D328" s="2" t="inlineStr">
        <is>
          <t>Registered office</t>
        </is>
      </c>
      <c r="E328" s="2" t="n"/>
      <c r="F328" s="2" t="n"/>
      <c r="G328" s="2" t="n"/>
      <c r="H328" s="3" t="inlineStr">
        <is>
          <t>Emmerich am Rhein (Dechant-Sprünken-Str. 53–57, 46446)</t>
        </is>
      </c>
      <c r="I328" s="2" t="inlineStr">
        <is>
          <t>S2</t>
        </is>
      </c>
      <c r="J328" s="2" t="n">
        <v>47</v>
      </c>
      <c r="K328" s="3" t="inlineStr">
        <is>
          <t>Dechant-Sprünken-Str. 53–57 46446 Emmerich am Rhein Germany</t>
        </is>
      </c>
      <c r="L328" s="2" t="inlineStr">
        <is>
          <t>ok</t>
        </is>
      </c>
      <c r="M328" s="2" t="inlineStr">
        <is>
          <t>demo reviewer</t>
        </is>
      </c>
      <c r="N328" s="2" t="n"/>
      <c r="O328" s="3" t="inlineStr">
        <is>
          <t>https://vanillabonds.com/dossier-data/pdf/katjes/katjes-2024-annual-report.pdf#page=47</t>
        </is>
      </c>
      <c r="P328" s="3" t="inlineStr">
        <is>
          <t>https://vanillabonds.com/dossier.html?c=katjes&amp;viewer=1&amp;item=F327</t>
        </is>
      </c>
      <c r="Q328" s="2" t="inlineStr">
        <is>
          <t>no</t>
        </is>
      </c>
    </row>
    <row r="329">
      <c r="A329" s="2" t="inlineStr">
        <is>
          <t>F328</t>
        </is>
      </c>
      <c r="B329" s="2" t="inlineStr">
        <is>
          <t>identity</t>
        </is>
      </c>
      <c r="C329" s="2" t="inlineStr">
        <is>
          <t>country</t>
        </is>
      </c>
      <c r="D329" s="2" t="inlineStr">
        <is>
          <t>Country of incorporation (ISO-2)</t>
        </is>
      </c>
      <c r="E329" s="2" t="n"/>
      <c r="F329" s="2" t="n"/>
      <c r="G329" s="2" t="n"/>
      <c r="H329" s="2" t="inlineStr">
        <is>
          <t>DE</t>
        </is>
      </c>
      <c r="I329" s="2" t="inlineStr">
        <is>
          <t>S2</t>
        </is>
      </c>
      <c r="J329" s="2" t="n">
        <v>47</v>
      </c>
      <c r="K329" s="3" t="inlineStr">
        <is>
          <t>established under the laws of the Federal Republic of Germany, with its registered office in Emmerich am Rhein</t>
        </is>
      </c>
      <c r="L329" s="2" t="inlineStr">
        <is>
          <t>ok</t>
        </is>
      </c>
      <c r="M329" s="2" t="inlineStr">
        <is>
          <t>demo reviewer</t>
        </is>
      </c>
      <c r="N329" s="2" t="n"/>
      <c r="O329" s="3" t="inlineStr">
        <is>
          <t>https://vanillabonds.com/dossier-data/pdf/katjes/katjes-2024-annual-report.pdf#page=47</t>
        </is>
      </c>
      <c r="P329" s="3" t="inlineStr">
        <is>
          <t>https://vanillabonds.com/dossier.html?c=katjes&amp;viewer=1&amp;item=F328</t>
        </is>
      </c>
      <c r="Q329" s="2" t="inlineStr">
        <is>
          <t>no</t>
        </is>
      </c>
    </row>
    <row r="330">
      <c r="A330" s="2" t="inlineStr">
        <is>
          <t>F329</t>
        </is>
      </c>
      <c r="B330" s="2" t="inlineStr">
        <is>
          <t>identity</t>
        </is>
      </c>
      <c r="C330" s="2" t="inlineStr">
        <is>
          <t>sector</t>
        </is>
      </c>
      <c r="D330" s="2" t="inlineStr">
        <is>
          <t>Sector</t>
        </is>
      </c>
      <c r="E330" s="2" t="n"/>
      <c r="F330" s="2" t="n"/>
      <c r="G330" s="2" t="n"/>
      <c r="H330" s="3" t="inlineStr">
        <is>
          <t>FMCG: confectionery and body care products</t>
        </is>
      </c>
      <c r="I330" s="2" t="inlineStr">
        <is>
          <t>S2</t>
        </is>
      </c>
      <c r="J330" s="2" t="n">
        <v>77</v>
      </c>
      <c r="K330" s="3" t="inlineStr">
        <is>
          <t>Katjes International, through its subsidiaries, is a manufacturer and supplier of confectionery and body care products, which are classified as fast-moving consumer goods (FMCG).</t>
        </is>
      </c>
      <c r="L330" s="2" t="inlineStr">
        <is>
          <t>ok</t>
        </is>
      </c>
      <c r="M330" s="2" t="inlineStr">
        <is>
          <t>demo reviewer</t>
        </is>
      </c>
      <c r="N330" s="2" t="n"/>
      <c r="O330" s="3" t="inlineStr">
        <is>
          <t>https://vanillabonds.com/dossier-data/pdf/katjes/katjes-2024-annual-report.pdf#page=77</t>
        </is>
      </c>
      <c r="P330" s="3" t="inlineStr">
        <is>
          <t>https://vanillabonds.com/dossier.html?c=katjes&amp;viewer=1&amp;item=F329</t>
        </is>
      </c>
      <c r="Q330" s="2" t="inlineStr">
        <is>
          <t>no</t>
        </is>
      </c>
    </row>
    <row r="331">
      <c r="A331" s="2" t="inlineStr">
        <is>
          <t>F330</t>
        </is>
      </c>
      <c r="B331" s="2" t="inlineStr">
        <is>
          <t>identity</t>
        </is>
      </c>
      <c r="C331" s="2" t="inlineStr">
        <is>
          <t>sites</t>
        </is>
      </c>
      <c r="D331" s="2" t="inlineStr">
        <is>
          <t>Sites / countries of operation</t>
        </is>
      </c>
      <c r="E331" s="2" t="n"/>
      <c r="F331" s="2" t="n"/>
      <c r="G331" s="2" t="n"/>
      <c r="H331" s="3" t="inlineStr">
        <is>
          <t>Markets: Italy, Germany, UK, France, Netherlands, Spain</t>
        </is>
      </c>
      <c r="I331" s="2" t="inlineStr">
        <is>
          <t>S2</t>
        </is>
      </c>
      <c r="J331" s="2" t="n">
        <v>26</v>
      </c>
      <c r="K331" s="3" t="inlineStr">
        <is>
          <t>In 2024, Katjes International was primarily active in the markets of Italy, Germany, the United Kingdom, France, the Netherlands, and Spain through its portfolio companies.</t>
        </is>
      </c>
      <c r="L331" s="2" t="inlineStr">
        <is>
          <t>ok</t>
        </is>
      </c>
      <c r="M331" s="2" t="inlineStr">
        <is>
          <t>demo reviewer</t>
        </is>
      </c>
      <c r="N331" s="2" t="n"/>
      <c r="O331" s="3" t="inlineStr">
        <is>
          <t>https://vanillabonds.com/dossier-data/pdf/katjes/katjes-2024-annual-report.pdf#page=26</t>
        </is>
      </c>
      <c r="P331" s="3" t="inlineStr">
        <is>
          <t>https://vanillabonds.com/dossier.html?c=katjes&amp;viewer=1&amp;item=F330</t>
        </is>
      </c>
      <c r="Q331" s="2" t="inlineStr">
        <is>
          <t>no</t>
        </is>
      </c>
    </row>
    <row r="332">
      <c r="A332" s="2" t="inlineStr">
        <is>
          <t>F331</t>
        </is>
      </c>
      <c r="B332" s="2" t="inlineStr">
        <is>
          <t>identity</t>
        </is>
      </c>
      <c r="C332" s="2" t="inlineStr">
        <is>
          <t>sites</t>
        </is>
      </c>
      <c r="D332" s="2" t="inlineStr">
        <is>
          <t>Sites / countries of operation</t>
        </is>
      </c>
      <c r="E332" s="2" t="n"/>
      <c r="F332" s="2" t="n"/>
      <c r="G332" s="2" t="n"/>
      <c r="H332" s="3" t="inlineStr">
        <is>
          <t>Production and distribution in IT, DE, UK, NL</t>
        </is>
      </c>
      <c r="I332" s="2" t="inlineStr">
        <is>
          <t>S2</t>
        </is>
      </c>
      <c r="J332" s="2" t="n">
        <v>47</v>
      </c>
      <c r="K332" s="3" t="inlineStr">
        <is>
          <t>In the financial year 2024, production and distribution activities were carried out by group companies in Italy, Germany, the Un- ited Kingdom, and the Netherlands.</t>
        </is>
      </c>
      <c r="L332" s="2" t="inlineStr">
        <is>
          <t>ok</t>
        </is>
      </c>
      <c r="M332" s="2" t="inlineStr">
        <is>
          <t>demo reviewer</t>
        </is>
      </c>
      <c r="N332" s="2" t="n"/>
      <c r="O332" s="3" t="inlineStr">
        <is>
          <t>https://vanillabonds.com/dossier-data/pdf/katjes/katjes-2024-annual-report.pdf#page=47</t>
        </is>
      </c>
      <c r="P332" s="3" t="inlineStr">
        <is>
          <t>https://vanillabonds.com/dossier.html?c=katjes&amp;viewer=1&amp;item=F331</t>
        </is>
      </c>
      <c r="Q332" s="2" t="inlineStr">
        <is>
          <t>no</t>
        </is>
      </c>
    </row>
    <row r="333">
      <c r="A333" s="2" t="inlineStr">
        <is>
          <t>F332</t>
        </is>
      </c>
      <c r="B333" s="2" t="inlineStr">
        <is>
          <t>identity</t>
        </is>
      </c>
      <c r="C333" s="2" t="inlineStr">
        <is>
          <t>employees</t>
        </is>
      </c>
      <c r="D333" s="2" t="inlineStr">
        <is>
          <t>Employees (FTE, period end)</t>
        </is>
      </c>
      <c r="E333" s="2" t="inlineStr">
        <is>
          <t>FY2023</t>
        </is>
      </c>
      <c r="F333" s="2" t="n">
        <v>998</v>
      </c>
      <c r="G333" s="2" t="n"/>
      <c r="H333" s="3" t="inlineStr">
        <is>
          <t>Average number of employees in 2023 (not period-end FTE): 998, of which 596 in Germany, 373 in Italy, 15 in the UK, 14 in the Netherlands.</t>
        </is>
      </c>
      <c r="I333" s="2" t="inlineStr">
        <is>
          <t>S2</t>
        </is>
      </c>
      <c r="J333" s="2" t="n">
        <v>47</v>
      </c>
      <c r="K333" s="3" t="inlineStr">
        <is>
          <t>Germany (2023: 596), 374 in Italy (2023: 373), and 17 in the United Kingdom (2023: 15). In the Netherlands, an average of 14 employees were employed during the reporting year (2023: 14).</t>
        </is>
      </c>
      <c r="L333" s="2" t="inlineStr">
        <is>
          <t>ok</t>
        </is>
      </c>
      <c r="M333" s="2" t="inlineStr">
        <is>
          <t>demo reviewer</t>
        </is>
      </c>
      <c r="N333" s="2" t="n"/>
      <c r="O333" s="3" t="inlineStr">
        <is>
          <t>https://vanillabonds.com/dossier-data/pdf/katjes/katjes-2024-annual-report.pdf#page=47</t>
        </is>
      </c>
      <c r="P333" s="3" t="inlineStr">
        <is>
          <t>https://vanillabonds.com/dossier.html?c=katjes&amp;viewer=1&amp;item=F332</t>
        </is>
      </c>
      <c r="Q333" s="2" t="inlineStr">
        <is>
          <t>yes</t>
        </is>
      </c>
    </row>
    <row r="334">
      <c r="A334" s="2" t="inlineStr">
        <is>
          <t>F333</t>
        </is>
      </c>
      <c r="B334" s="2" t="inlineStr">
        <is>
          <t>identity</t>
        </is>
      </c>
      <c r="C334" s="2" t="inlineStr">
        <is>
          <t>employees</t>
        </is>
      </c>
      <c r="D334" s="2" t="inlineStr">
        <is>
          <t>Employees (FTE, period end)</t>
        </is>
      </c>
      <c r="E334" s="2" t="inlineStr">
        <is>
          <t>FY2024</t>
        </is>
      </c>
      <c r="F334" s="2" t="n">
        <v>1097</v>
      </c>
      <c r="G334" s="2" t="n"/>
      <c r="H334" s="3" t="inlineStr">
        <is>
          <t>Average number of employees in 2024 (not period-end FTE): 1,097, of which 692 in Germany, 374 in Italy, 17 in the UK, 14 in the Netherlands.</t>
        </is>
      </c>
      <c r="I334" s="2" t="inlineStr">
        <is>
          <t>S2</t>
        </is>
      </c>
      <c r="J334" s="2" t="n">
        <v>47</v>
      </c>
      <c r="K334" s="3" t="inlineStr">
        <is>
          <t>The Group employed an average of 1,097 people during the 2024 financial year (2023: 998), of which 692 were based in</t>
        </is>
      </c>
      <c r="L334" s="2" t="inlineStr">
        <is>
          <t>ok</t>
        </is>
      </c>
      <c r="M334" s="2" t="inlineStr">
        <is>
          <t>demo reviewer</t>
        </is>
      </c>
      <c r="N334" s="2" t="n"/>
      <c r="O334" s="3" t="inlineStr">
        <is>
          <t>https://vanillabonds.com/dossier-data/pdf/katjes/katjes-2024-annual-report.pdf#page=47</t>
        </is>
      </c>
      <c r="P334" s="3" t="inlineStr">
        <is>
          <t>https://vanillabonds.com/dossier.html?c=katjes&amp;viewer=1&amp;item=F333</t>
        </is>
      </c>
      <c r="Q334" s="2" t="inlineStr">
        <is>
          <t>no</t>
        </is>
      </c>
    </row>
    <row r="335">
      <c r="A335" s="2" t="inlineStr">
        <is>
          <t>F334</t>
        </is>
      </c>
      <c r="B335" s="2" t="inlineStr">
        <is>
          <t>identity</t>
        </is>
      </c>
      <c r="C335" s="2" t="inlineStr">
        <is>
          <t>ownership</t>
        </is>
      </c>
      <c r="D335" s="2" t="inlineStr">
        <is>
          <t>Ownership / UBO</t>
        </is>
      </c>
      <c r="E335" s="2" t="n"/>
      <c r="F335" s="2" t="n"/>
      <c r="G335" s="2" t="n"/>
      <c r="H335" s="3" t="inlineStr">
        <is>
          <t>Limited partners B. Fassin (EUR 900k) and T. Bachmüller (EUR 100k)</t>
        </is>
      </c>
      <c r="I335" s="2" t="inlineStr">
        <is>
          <t>S2</t>
        </is>
      </c>
      <c r="J335" s="2" t="n">
        <v>47</v>
      </c>
      <c r="K335" s="3" t="inlineStr">
        <is>
          <t>Bastian Fassin and Tobias Bachmüller are the limited partners, with registered liability amounts of EUR 900 thousand and EUR 100 thousand, respectively.</t>
        </is>
      </c>
      <c r="L335" s="2" t="inlineStr">
        <is>
          <t>ok</t>
        </is>
      </c>
      <c r="M335" s="2" t="inlineStr">
        <is>
          <t>demo reviewer</t>
        </is>
      </c>
      <c r="N335" s="2" t="n"/>
      <c r="O335" s="3" t="inlineStr">
        <is>
          <t>https://vanillabonds.com/dossier-data/pdf/katjes/katjes-2024-annual-report.pdf#page=47</t>
        </is>
      </c>
      <c r="P335" s="3" t="inlineStr">
        <is>
          <t>https://vanillabonds.com/dossier.html?c=katjes&amp;viewer=1&amp;item=F334</t>
        </is>
      </c>
      <c r="Q335" s="2" t="inlineStr">
        <is>
          <t>no</t>
        </is>
      </c>
    </row>
    <row r="336">
      <c r="A336" s="2" t="inlineStr">
        <is>
          <t>F335</t>
        </is>
      </c>
      <c r="B336" s="2" t="inlineStr">
        <is>
          <t>identity</t>
        </is>
      </c>
      <c r="C336" s="2" t="inlineStr">
        <is>
          <t>auditor</t>
        </is>
      </c>
      <c r="D336" s="2" t="inlineStr">
        <is>
          <t>Auditor</t>
        </is>
      </c>
      <c r="E336" s="2" t="n"/>
      <c r="F336" s="2" t="n"/>
      <c r="G336" s="2" t="n"/>
      <c r="H336" s="3" t="inlineStr">
        <is>
          <t>EY GmbH &amp; Co. KG Wirtschaftsprüfungsgesellschaft, Düsseldorf</t>
        </is>
      </c>
      <c r="I336" s="2" t="inlineStr">
        <is>
          <t>S2</t>
        </is>
      </c>
      <c r="J336" s="2" t="n">
        <v>90</v>
      </c>
      <c r="K336" s="3" t="inlineStr">
        <is>
          <t>Dusseldorf, 9th April 2025 EY GmbH &amp; Co. KG Wirtschaftsprüfungsgesellschaft</t>
        </is>
      </c>
      <c r="L336" s="2" t="inlineStr">
        <is>
          <t>ok</t>
        </is>
      </c>
      <c r="M336" s="2" t="inlineStr">
        <is>
          <t>demo reviewer</t>
        </is>
      </c>
      <c r="N336" s="2" t="n"/>
      <c r="O336" s="3" t="inlineStr">
        <is>
          <t>https://vanillabonds.com/dossier-data/pdf/katjes/katjes-2024-annual-report.pdf#page=90</t>
        </is>
      </c>
      <c r="P336" s="3" t="inlineStr">
        <is>
          <t>https://vanillabonds.com/dossier.html?c=katjes&amp;viewer=1&amp;item=F335</t>
        </is>
      </c>
      <c r="Q336" s="2" t="inlineStr">
        <is>
          <t>no</t>
        </is>
      </c>
    </row>
    <row r="337">
      <c r="A337" s="2" t="inlineStr">
        <is>
          <t>F336</t>
        </is>
      </c>
      <c r="B337" s="2" t="inlineStr">
        <is>
          <t>identity</t>
        </is>
      </c>
      <c r="C337" s="2" t="inlineStr">
        <is>
          <t>audit_opinion</t>
        </is>
      </c>
      <c r="D337" s="2" t="inlineStr">
        <is>
          <t>Audit opinion</t>
        </is>
      </c>
      <c r="E337" s="2" t="inlineStr">
        <is>
          <t>FY2024</t>
        </is>
      </c>
      <c r="F337" s="2" t="n"/>
      <c r="G337" s="2" t="n"/>
      <c r="H337" s="3" t="inlineStr">
        <is>
          <t>unqualified; auditor declares the audit 'has not led to any reservations' and reports nothing on the other information; no emphasis of matter.</t>
        </is>
      </c>
      <c r="I337" s="2" t="inlineStr">
        <is>
          <t>S2</t>
        </is>
      </c>
      <c r="J337" s="2" t="n">
        <v>87</v>
      </c>
      <c r="K337" s="3" t="inlineStr">
        <is>
          <t>we declare that our audit has not led to any reservations relating to the legal</t>
        </is>
      </c>
      <c r="L337" s="2" t="inlineStr">
        <is>
          <t>ok</t>
        </is>
      </c>
      <c r="M337" s="2" t="inlineStr">
        <is>
          <t>demo reviewer</t>
        </is>
      </c>
      <c r="N337" s="2" t="n"/>
      <c r="O337" s="3" t="inlineStr">
        <is>
          <t>https://vanillabonds.com/dossier-data/pdf/katjes/katjes-2024-annual-report.pdf#page=87</t>
        </is>
      </c>
      <c r="P337" s="3" t="inlineStr">
        <is>
          <t>https://vanillabonds.com/dossier.html?c=katjes&amp;viewer=1&amp;item=F336</t>
        </is>
      </c>
      <c r="Q337" s="2" t="inlineStr"/>
    </row>
    <row r="338">
      <c r="A338" s="2" t="inlineStr">
        <is>
          <t>F337</t>
        </is>
      </c>
      <c r="B338" s="2" t="inlineStr">
        <is>
          <t>identity</t>
        </is>
      </c>
      <c r="C338" s="2" t="inlineStr">
        <is>
          <t>accounting_standard</t>
        </is>
      </c>
      <c r="D338" s="2" t="inlineStr">
        <is>
          <t>Accounting standard</t>
        </is>
      </c>
      <c r="E338" s="2" t="n"/>
      <c r="F338" s="2" t="n"/>
      <c r="G338" s="2" t="n"/>
      <c r="H338" s="3" t="inlineStr">
        <is>
          <t>IFRS as adopted by the EU plus § 315e (1) HGB</t>
        </is>
      </c>
      <c r="I338" s="2" t="inlineStr">
        <is>
          <t>S2</t>
        </is>
      </c>
      <c r="J338" s="2" t="n">
        <v>48</v>
      </c>
      <c r="K338" s="3" t="inlineStr">
        <is>
          <t>accordance with the IFRS Accounting Standards (IFRS) as adopted by the European Union, and in compliance with the</t>
        </is>
      </c>
      <c r="L338" s="2" t="inlineStr">
        <is>
          <t>ok</t>
        </is>
      </c>
      <c r="M338" s="2" t="inlineStr">
        <is>
          <t>demo reviewer</t>
        </is>
      </c>
      <c r="N338" s="2" t="n"/>
      <c r="O338" s="3" t="inlineStr">
        <is>
          <t>https://vanillabonds.com/dossier-data/pdf/katjes/katjes-2024-annual-report.pdf#page=48</t>
        </is>
      </c>
      <c r="P338" s="3" t="inlineStr">
        <is>
          <t>https://vanillabonds.com/dossier.html?c=katjes&amp;viewer=1&amp;item=F337</t>
        </is>
      </c>
      <c r="Q338" s="2" t="inlineStr">
        <is>
          <t>no</t>
        </is>
      </c>
    </row>
    <row r="339">
      <c r="A339" s="2" t="inlineStr">
        <is>
          <t>F338</t>
        </is>
      </c>
      <c r="B339" s="2" t="inlineStr">
        <is>
          <t>identity</t>
        </is>
      </c>
      <c r="C339" s="2" t="inlineStr">
        <is>
          <t>fiscal_year_end</t>
        </is>
      </c>
      <c r="D339" s="2" t="inlineStr">
        <is>
          <t>Fiscal year end</t>
        </is>
      </c>
      <c r="E339" s="2" t="n"/>
      <c r="F339" s="2" t="n"/>
      <c r="G339" s="2" t="n"/>
      <c r="H339" s="2" t="inlineStr">
        <is>
          <t>31 December (calendar year)</t>
        </is>
      </c>
      <c r="I339" s="2" t="inlineStr">
        <is>
          <t>S2</t>
        </is>
      </c>
      <c r="J339" s="2" t="n">
        <v>40</v>
      </c>
      <c r="K339" s="2" t="inlineStr">
        <is>
          <t>(from 1 January to 31 December 2024)</t>
        </is>
      </c>
      <c r="L339" s="2" t="inlineStr">
        <is>
          <t>ok</t>
        </is>
      </c>
      <c r="M339" s="2" t="inlineStr">
        <is>
          <t>demo reviewer</t>
        </is>
      </c>
      <c r="N339" s="2" t="n"/>
      <c r="O339" s="3" t="inlineStr">
        <is>
          <t>https://vanillabonds.com/dossier-data/pdf/katjes/katjes-2024-annual-report.pdf#page=40</t>
        </is>
      </c>
      <c r="P339" s="3" t="inlineStr">
        <is>
          <t>https://vanillabonds.com/dossier.html?c=katjes&amp;viewer=1&amp;item=F338</t>
        </is>
      </c>
      <c r="Q339" s="2" t="inlineStr">
        <is>
          <t>no</t>
        </is>
      </c>
    </row>
    <row r="340">
      <c r="A340" s="2" t="inlineStr">
        <is>
          <t>F339</t>
        </is>
      </c>
      <c r="B340" s="2" t="inlineStr">
        <is>
          <t>business</t>
        </is>
      </c>
      <c r="C340" s="2" t="inlineStr">
        <is>
          <t>business_fact</t>
        </is>
      </c>
      <c r="D340" s="2" t="inlineStr">
        <is>
          <t>Business fact</t>
        </is>
      </c>
      <c r="E340" s="2" t="n"/>
      <c r="F340" s="2" t="n"/>
      <c r="G340" s="2" t="n"/>
      <c r="H340" s="3" t="inlineStr">
        <is>
          <t>Katjes International is part of a family-owned group of companies for over 100 years; it bundles the Group’s holdings in established local brands in Europe.</t>
        </is>
      </c>
      <c r="I340" s="2" t="inlineStr">
        <is>
          <t>S2</t>
        </is>
      </c>
      <c r="J340" s="2" t="n">
        <v>9</v>
      </c>
      <c r="K340" s="3" t="inlineStr">
        <is>
          <t>group of companies that has been family-owned for over 100 years</t>
        </is>
      </c>
      <c r="L340" s="2" t="inlineStr">
        <is>
          <t>ok</t>
        </is>
      </c>
      <c r="M340" s="2" t="inlineStr">
        <is>
          <t>demo reviewer</t>
        </is>
      </c>
      <c r="N340" s="2" t="n"/>
      <c r="O340" s="3" t="inlineStr">
        <is>
          <t>https://vanillabonds.com/dossier-data/pdf/katjes/katjes-2024-annual-report.pdf#page=9</t>
        </is>
      </c>
      <c r="P340" s="3" t="inlineStr">
        <is>
          <t>https://vanillabonds.com/dossier.html?c=katjes&amp;viewer=1&amp;item=F339</t>
        </is>
      </c>
      <c r="Q340" s="2" t="inlineStr"/>
    </row>
    <row r="341">
      <c r="A341" s="2" t="inlineStr">
        <is>
          <t>F340</t>
        </is>
      </c>
      <c r="B341" s="2" t="inlineStr">
        <is>
          <t>business</t>
        </is>
      </c>
      <c r="C341" s="2" t="inlineStr">
        <is>
          <t>business_fact</t>
        </is>
      </c>
      <c r="D341" s="2" t="inlineStr">
        <is>
          <t>Business fact</t>
        </is>
      </c>
      <c r="E341" s="2" t="n"/>
      <c r="F341" s="2" t="n"/>
      <c r="G341" s="2" t="n"/>
      <c r="H341" s="3" t="inlineStr">
        <is>
          <t>Treets vegan peanut dragees developed with Planet A Foods using the cocoa-free chocolate alternative Choviva; launched in Germany and the Netherlands in autumn 2024.</t>
        </is>
      </c>
      <c r="I341" s="2" t="inlineStr">
        <is>
          <t>S2</t>
        </is>
      </c>
      <c r="J341" s="2" t="n">
        <v>12</v>
      </c>
      <c r="K341" s="3" t="inlineStr">
        <is>
          <t>The vegan Peanut Dragees were developed in collaboration with Planet A Foods and their cocoa-free chocolate alternative Choviva.</t>
        </is>
      </c>
      <c r="L341" s="2" t="inlineStr">
        <is>
          <t>ok</t>
        </is>
      </c>
      <c r="M341" s="2" t="inlineStr">
        <is>
          <t>demo reviewer</t>
        </is>
      </c>
      <c r="N341" s="2" t="n"/>
      <c r="O341" s="3" t="inlineStr">
        <is>
          <t>https://vanillabonds.com/dossier-data/pdf/katjes/katjes-2024-annual-report.pdf#page=12</t>
        </is>
      </c>
      <c r="P341" s="3" t="inlineStr">
        <is>
          <t>https://vanillabonds.com/dossier.html?c=katjes&amp;viewer=1&amp;item=F340</t>
        </is>
      </c>
      <c r="Q341" s="2" t="inlineStr"/>
    </row>
    <row r="342">
      <c r="A342" s="2" t="inlineStr">
        <is>
          <t>F341</t>
        </is>
      </c>
      <c r="B342" s="2" t="inlineStr">
        <is>
          <t>business</t>
        </is>
      </c>
      <c r="C342" s="2" t="inlineStr">
        <is>
          <t>business_fact</t>
        </is>
      </c>
      <c r="D342" s="2" t="inlineStr">
        <is>
          <t>Business fact</t>
        </is>
      </c>
      <c r="E342" s="2" t="n"/>
      <c r="F342" s="2" t="n">
        <v>1.3</v>
      </c>
      <c r="G342" s="2" t="n"/>
      <c r="H342" s="3" t="inlineStr">
        <is>
          <t>Share of profit from the at-equity investment in CPK EUR 1.3m in 2024 (2023: EUR -0.7m), recognised in the financial result.</t>
        </is>
      </c>
      <c r="I342" s="2" t="inlineStr">
        <is>
          <t>S2</t>
        </is>
      </c>
      <c r="J342" s="2" t="n">
        <v>29</v>
      </c>
      <c r="K342" s="3" t="inlineStr">
        <is>
          <t>profit from the at-equity investment in CPK in the amount of EUR 1.3 million (previous year: EUR -0.7 million)</t>
        </is>
      </c>
      <c r="L342" s="2" t="inlineStr">
        <is>
          <t>ok</t>
        </is>
      </c>
      <c r="M342" s="2" t="inlineStr">
        <is>
          <t>demo reviewer</t>
        </is>
      </c>
      <c r="N342" s="2" t="n"/>
      <c r="O342" s="3" t="inlineStr">
        <is>
          <t>https://vanillabonds.com/dossier-data/pdf/katjes/katjes-2024-annual-report.pdf#page=29</t>
        </is>
      </c>
      <c r="P342" s="3" t="inlineStr">
        <is>
          <t>https://vanillabonds.com/dossier.html?c=katjes&amp;viewer=1&amp;item=F341</t>
        </is>
      </c>
      <c r="Q342" s="2" t="inlineStr"/>
    </row>
    <row r="343">
      <c r="A343" s="2" t="inlineStr">
        <is>
          <t>F342</t>
        </is>
      </c>
      <c r="B343" s="2" t="inlineStr">
        <is>
          <t>business</t>
        </is>
      </c>
      <c r="C343" s="2" t="inlineStr">
        <is>
          <t>business_fact</t>
        </is>
      </c>
      <c r="D343" s="2" t="inlineStr">
        <is>
          <t>Business fact</t>
        </is>
      </c>
      <c r="E343" s="2" t="n"/>
      <c r="F343" s="2" t="n">
        <v>35.9</v>
      </c>
      <c r="G343" s="2" t="n"/>
      <c r="H343" s="3" t="inlineStr">
        <is>
          <t>Equity ratio 35.9% at 31 Dec 2024 (2023: 36.9%), described by management as 'stable'; equity attributable to shareholders 175.0 (173.0).</t>
        </is>
      </c>
      <c r="I343" s="2" t="inlineStr">
        <is>
          <t>S2</t>
        </is>
      </c>
      <c r="J343" s="2" t="n">
        <v>31</v>
      </c>
      <c r="K343" s="3" t="inlineStr">
        <is>
          <t>remained stable at 35.9% (December 31, 2023: 36.9%). Equity attributable to the shareholders of Katjes International amoun</t>
        </is>
      </c>
      <c r="L343" s="2" t="inlineStr">
        <is>
          <t>ok</t>
        </is>
      </c>
      <c r="M343" s="2" t="inlineStr">
        <is>
          <t>demo reviewer</t>
        </is>
      </c>
      <c r="N343" s="2" t="n"/>
      <c r="O343" s="3" t="inlineStr">
        <is>
          <t>https://vanillabonds.com/dossier-data/pdf/katjes/katjes-2024-annual-report.pdf#page=31</t>
        </is>
      </c>
      <c r="P343" s="3" t="inlineStr">
        <is>
          <t>https://vanillabonds.com/dossier.html?c=katjes&amp;viewer=1&amp;item=F342</t>
        </is>
      </c>
      <c r="Q343" s="2" t="inlineStr"/>
    </row>
    <row r="344">
      <c r="A344" s="2" t="inlineStr">
        <is>
          <t>F343</t>
        </is>
      </c>
      <c r="B344" s="2" t="inlineStr">
        <is>
          <t>business</t>
        </is>
      </c>
      <c r="C344" s="2" t="inlineStr">
        <is>
          <t>business_fact</t>
        </is>
      </c>
      <c r="D344" s="2" t="inlineStr">
        <is>
          <t>Business fact</t>
        </is>
      </c>
      <c r="E344" s="2" t="n"/>
      <c r="F344" s="2" t="n"/>
      <c r="G344" s="2" t="n"/>
      <c r="H344" s="3" t="inlineStr">
        <is>
          <t>Brand portfolio: Piasten/Treets, Dallmann’s, Bübchen, oral care (Theramed, Vademecum, Antica Erboristeria, Licor del Polo, Denivit), Sperlari, Dulcioliva, Paluani, Candy Kittens, Harlekĳntjes, N.A.E., Barnängen.</t>
        </is>
      </c>
      <c r="I344" s="2" t="inlineStr">
        <is>
          <t>S2</t>
        </is>
      </c>
      <c r="J344" s="2" t="n">
        <v>32</v>
      </c>
      <c r="K344" s="3" t="inlineStr">
        <is>
          <t>Katjes International holds a portfolio of well-known and establis- hed brands.</t>
        </is>
      </c>
      <c r="L344" s="2" t="inlineStr">
        <is>
          <t>ok</t>
        </is>
      </c>
      <c r="M344" s="2" t="inlineStr">
        <is>
          <t>demo reviewer</t>
        </is>
      </c>
      <c r="N344" s="2" t="n"/>
      <c r="O344" s="3" t="inlineStr">
        <is>
          <t>https://vanillabonds.com/dossier-data/pdf/katjes/katjes-2024-annual-report.pdf#page=32</t>
        </is>
      </c>
      <c r="P344" s="3" t="inlineStr">
        <is>
          <t>https://vanillabonds.com/dossier.html?c=katjes&amp;viewer=1&amp;item=F343</t>
        </is>
      </c>
      <c r="Q344" s="2" t="inlineStr"/>
    </row>
    <row r="345">
      <c r="A345" s="2" t="inlineStr">
        <is>
          <t>F344</t>
        </is>
      </c>
      <c r="B345" s="2" t="inlineStr">
        <is>
          <t>business</t>
        </is>
      </c>
      <c r="C345" s="2" t="inlineStr">
        <is>
          <t>business_fact</t>
        </is>
      </c>
      <c r="D345" s="2" t="inlineStr">
        <is>
          <t>Business fact</t>
        </is>
      </c>
      <c r="E345" s="2" t="n"/>
      <c r="F345" s="2" t="n">
        <v>99</v>
      </c>
      <c r="G345" s="2" t="n"/>
      <c r="H345" s="3" t="inlineStr">
        <is>
          <t>Gross profit EUR 99.0m in 2024 (2023: 81.9), gross margin 25.2% (21.7%); cost of sales 293.6 (295.5), 74.8% of revenue.</t>
        </is>
      </c>
      <c r="I345" s="2" t="inlineStr">
        <is>
          <t>S2</t>
        </is>
      </c>
      <c r="J345" s="2" t="n">
        <v>40</v>
      </c>
      <c r="K345" s="2" t="inlineStr">
        <is>
          <t>Gross profit on sales 99.0 81.9</t>
        </is>
      </c>
      <c r="L345" s="2" t="inlineStr">
        <is>
          <t>ok</t>
        </is>
      </c>
      <c r="M345" s="2" t="inlineStr">
        <is>
          <t>demo reviewer</t>
        </is>
      </c>
      <c r="N345" s="2" t="n"/>
      <c r="O345" s="3" t="inlineStr">
        <is>
          <t>https://vanillabonds.com/dossier-data/pdf/katjes/katjes-2024-annual-report.pdf#page=40</t>
        </is>
      </c>
      <c r="P345" s="3" t="inlineStr">
        <is>
          <t>https://vanillabonds.com/dossier.html?c=katjes&amp;viewer=1&amp;item=F344</t>
        </is>
      </c>
      <c r="Q345" s="2" t="inlineStr"/>
    </row>
    <row r="346">
      <c r="A346" s="2" t="inlineStr">
        <is>
          <t>F345</t>
        </is>
      </c>
      <c r="B346" s="2" t="inlineStr">
        <is>
          <t>business</t>
        </is>
      </c>
      <c r="C346" s="2" t="inlineStr">
        <is>
          <t>business_fact</t>
        </is>
      </c>
      <c r="D346" s="2" t="inlineStr">
        <is>
          <t>Business fact</t>
        </is>
      </c>
      <c r="E346" s="2" t="n"/>
      <c r="F346" s="2" t="n">
        <v>65</v>
      </c>
      <c r="G346" s="2" t="n"/>
      <c r="H346" s="3" t="inlineStr">
        <is>
          <t>At-equity investments carried at EUR 65.0m at 31 Dec 2024 (2023: 63.7), essentially the ~23% stake in CPK S.A.S., Paris.</t>
        </is>
      </c>
      <c r="I346" s="2" t="inlineStr">
        <is>
          <t>S2</t>
        </is>
      </c>
      <c r="J346" s="2" t="n">
        <v>42</v>
      </c>
      <c r="K346" s="2" t="inlineStr">
        <is>
          <t>At-equity investments 3 65.0 63.7</t>
        </is>
      </c>
      <c r="L346" s="2" t="inlineStr">
        <is>
          <t>ok</t>
        </is>
      </c>
      <c r="M346" s="2" t="inlineStr">
        <is>
          <t>demo reviewer</t>
        </is>
      </c>
      <c r="N346" s="2" t="n"/>
      <c r="O346" s="3" t="inlineStr">
        <is>
          <t>https://vanillabonds.com/dossier-data/pdf/katjes/katjes-2024-annual-report.pdf#page=42</t>
        </is>
      </c>
      <c r="P346" s="3" t="inlineStr">
        <is>
          <t>https://vanillabonds.com/dossier.html?c=katjes&amp;viewer=1&amp;item=F345</t>
        </is>
      </c>
      <c r="Q346" s="2" t="inlineStr"/>
    </row>
    <row r="347">
      <c r="A347" s="2" t="inlineStr">
        <is>
          <t>F346</t>
        </is>
      </c>
      <c r="B347" s="2" t="inlineStr">
        <is>
          <t>business</t>
        </is>
      </c>
      <c r="C347" s="2" t="inlineStr">
        <is>
          <t>business_fact</t>
        </is>
      </c>
      <c r="D347" s="2" t="inlineStr">
        <is>
          <t>Business fact</t>
        </is>
      </c>
      <c r="E347" s="2" t="n"/>
      <c r="F347" s="2" t="n">
        <v>113.1</v>
      </c>
      <c r="G347" s="2" t="n"/>
      <c r="H347" s="3" t="inlineStr">
        <is>
          <t>Intangible assets EUR 113.1m at 31 Dec 2024 (2023: 112.4), mainly capitalised brands (111.7) plus goodwill 0.3; PP&amp;E 125.1 (122.4); right-of-use assets 13.0 (6.7).</t>
        </is>
      </c>
      <c r="I347" s="2" t="inlineStr">
        <is>
          <t>S2</t>
        </is>
      </c>
      <c r="J347" s="2" t="n">
        <v>42</v>
      </c>
      <c r="K347" s="2" t="inlineStr">
        <is>
          <t>Intangible assets 6.1 113.1 112.4</t>
        </is>
      </c>
      <c r="L347" s="2" t="inlineStr">
        <is>
          <t>ok</t>
        </is>
      </c>
      <c r="M347" s="2" t="inlineStr">
        <is>
          <t>demo reviewer</t>
        </is>
      </c>
      <c r="N347" s="2" t="n"/>
      <c r="O347" s="3" t="inlineStr">
        <is>
          <t>https://vanillabonds.com/dossier-data/pdf/katjes/katjes-2024-annual-report.pdf#page=42</t>
        </is>
      </c>
      <c r="P347" s="3" t="inlineStr">
        <is>
          <t>https://vanillabonds.com/dossier.html?c=katjes&amp;viewer=1&amp;item=F346</t>
        </is>
      </c>
      <c r="Q347" s="2" t="inlineStr"/>
    </row>
    <row r="348">
      <c r="A348" s="2" t="inlineStr">
        <is>
          <t>F347</t>
        </is>
      </c>
      <c r="B348" s="2" t="inlineStr">
        <is>
          <t>business</t>
        </is>
      </c>
      <c r="C348" s="2" t="inlineStr">
        <is>
          <t>business_fact</t>
        </is>
      </c>
      <c r="D348" s="2" t="inlineStr">
        <is>
          <t>Business fact</t>
        </is>
      </c>
      <c r="E348" s="2" t="n"/>
      <c r="F348" s="2" t="n">
        <v>-25.3</v>
      </c>
      <c r="G348" s="2" t="n"/>
      <c r="H348" s="3" t="inlineStr">
        <is>
          <t>Cash flow from financing activities EUR -25.3m in 2024 (2023: +5.7): loan repayments net -7.7 (2023: +16.9 new borrowings), lease payments -4.8, interest paid -12.8; cash fell 4.4 to 54.0.</t>
        </is>
      </c>
      <c r="I348" s="2" t="inlineStr">
        <is>
          <t>S2</t>
        </is>
      </c>
      <c r="J348" s="2" t="n">
        <v>45</v>
      </c>
      <c r="K348" s="3" t="inlineStr">
        <is>
          <t>Cash flow from financing activities -25.3 5.7</t>
        </is>
      </c>
      <c r="L348" s="2" t="inlineStr">
        <is>
          <t>ok</t>
        </is>
      </c>
      <c r="M348" s="2" t="inlineStr">
        <is>
          <t>demo reviewer</t>
        </is>
      </c>
      <c r="N348" s="2" t="n"/>
      <c r="O348" s="3" t="inlineStr">
        <is>
          <t>https://vanillabonds.com/dossier-data/pdf/katjes/katjes-2024-annual-report.pdf#page=45</t>
        </is>
      </c>
      <c r="P348" s="3" t="inlineStr">
        <is>
          <t>https://vanillabonds.com/dossier.html?c=katjes&amp;viewer=1&amp;item=F347</t>
        </is>
      </c>
      <c r="Q348" s="2" t="inlineStr"/>
    </row>
    <row r="349">
      <c r="A349" s="2" t="inlineStr">
        <is>
          <t>F348</t>
        </is>
      </c>
      <c r="B349" s="2" t="inlineStr">
        <is>
          <t>business</t>
        </is>
      </c>
      <c r="C349" s="2" t="inlineStr">
        <is>
          <t>business_fact</t>
        </is>
      </c>
      <c r="D349" s="2" t="inlineStr">
        <is>
          <t>Business fact</t>
        </is>
      </c>
      <c r="E349" s="2" t="n"/>
      <c r="F349" s="2" t="n">
        <v>-24.7</v>
      </c>
      <c r="G349" s="2" t="n"/>
      <c r="H349" s="3" t="inlineStr">
        <is>
          <t>Cash flow from investing activities EUR -24.7m in 2024 (2023: -14.6), incl. 6.8 for Candy Kittens minorities and the Barnängen brand purchase.</t>
        </is>
      </c>
      <c r="I349" s="2" t="inlineStr">
        <is>
          <t>S2</t>
        </is>
      </c>
      <c r="J349" s="2" t="n">
        <v>45</v>
      </c>
      <c r="K349" s="3" t="inlineStr">
        <is>
          <t>Cash flow from investing activities -24.7 -14.6</t>
        </is>
      </c>
      <c r="L349" s="2" t="inlineStr">
        <is>
          <t>ok</t>
        </is>
      </c>
      <c r="M349" s="2" t="inlineStr">
        <is>
          <t>demo reviewer</t>
        </is>
      </c>
      <c r="N349" s="2" t="n"/>
      <c r="O349" s="3" t="inlineStr">
        <is>
          <t>https://vanillabonds.com/dossier-data/pdf/katjes/katjes-2024-annual-report.pdf#page=45</t>
        </is>
      </c>
      <c r="P349" s="3" t="inlineStr">
        <is>
          <t>https://vanillabonds.com/dossier.html?c=katjes&amp;viewer=1&amp;item=F348</t>
        </is>
      </c>
      <c r="Q349" s="2" t="inlineStr"/>
    </row>
    <row r="350">
      <c r="A350" s="2" t="inlineStr">
        <is>
          <t>F349</t>
        </is>
      </c>
      <c r="B350" s="2" t="inlineStr">
        <is>
          <t>business</t>
        </is>
      </c>
      <c r="C350" s="2" t="inlineStr">
        <is>
          <t>business_fact</t>
        </is>
      </c>
      <c r="D350" s="2" t="inlineStr">
        <is>
          <t>Business fact</t>
        </is>
      </c>
      <c r="E350" s="2" t="n"/>
      <c r="F350" s="2" t="n"/>
      <c r="G350" s="2" t="n"/>
      <c r="H350" s="3" t="inlineStr">
        <is>
          <t>Katjes International provides management services to its subsidiaries and supports them in financing where appropriate for the Group.</t>
        </is>
      </c>
      <c r="I350" s="2" t="inlineStr">
        <is>
          <t>S2</t>
        </is>
      </c>
      <c r="J350" s="2" t="n">
        <v>47</v>
      </c>
      <c r="K350" s="3" t="inlineStr">
        <is>
          <t>Katjes International also provides management services to its subsidiaries.</t>
        </is>
      </c>
      <c r="L350" s="2" t="inlineStr">
        <is>
          <t>ok</t>
        </is>
      </c>
      <c r="M350" s="2" t="inlineStr">
        <is>
          <t>demo reviewer</t>
        </is>
      </c>
      <c r="N350" s="2" t="n"/>
      <c r="O350" s="3" t="inlineStr">
        <is>
          <t>https://vanillabonds.com/dossier-data/pdf/katjes/katjes-2024-annual-report.pdf#page=47</t>
        </is>
      </c>
      <c r="P350" s="3" t="inlineStr">
        <is>
          <t>https://vanillabonds.com/dossier.html?c=katjes&amp;viewer=1&amp;item=F349</t>
        </is>
      </c>
      <c r="Q350" s="2" t="inlineStr"/>
    </row>
    <row r="351">
      <c r="A351" s="2" t="inlineStr">
        <is>
          <t>F350</t>
        </is>
      </c>
      <c r="B351" s="2" t="inlineStr">
        <is>
          <t>business</t>
        </is>
      </c>
      <c r="C351" s="2" t="inlineStr">
        <is>
          <t>business_fact</t>
        </is>
      </c>
      <c r="D351" s="2" t="inlineStr">
        <is>
          <t>Business fact</t>
        </is>
      </c>
      <c r="E351" s="2" t="n"/>
      <c r="F351" s="2" t="n"/>
      <c r="G351" s="2" t="n"/>
      <c r="H351" s="3" t="inlineStr">
        <is>
          <t>Scope of consolidation: 32 fully consolidated entities at end-2024 (23 in Germany, 9 in other countries; 2023: 31).</t>
        </is>
      </c>
      <c r="I351" s="2" t="inlineStr">
        <is>
          <t>S2</t>
        </is>
      </c>
      <c r="J351" s="2" t="n">
        <v>49</v>
      </c>
      <c r="K351" s="3" t="inlineStr">
        <is>
          <t>Germany 23 22 Other countries 9 9 Total 32 31</t>
        </is>
      </c>
      <c r="L351" s="2" t="inlineStr">
        <is>
          <t>ok</t>
        </is>
      </c>
      <c r="M351" s="2" t="inlineStr">
        <is>
          <t>demo reviewer</t>
        </is>
      </c>
      <c r="N351" s="2" t="n"/>
      <c r="O351" s="3" t="inlineStr">
        <is>
          <t>https://vanillabonds.com/dossier-data/pdf/katjes/katjes-2024-annual-report.pdf#page=49</t>
        </is>
      </c>
      <c r="P351" s="3" t="inlineStr">
        <is>
          <t>https://vanillabonds.com/dossier.html?c=katjes&amp;viewer=1&amp;item=F350</t>
        </is>
      </c>
      <c r="Q351" s="2" t="inlineStr"/>
    </row>
    <row r="352">
      <c r="A352" s="2" t="inlineStr">
        <is>
          <t>F351</t>
        </is>
      </c>
      <c r="B352" s="2" t="inlineStr">
        <is>
          <t>business</t>
        </is>
      </c>
      <c r="C352" s="2" t="inlineStr">
        <is>
          <t>business_fact</t>
        </is>
      </c>
      <c r="D352" s="2" t="inlineStr">
        <is>
          <t>Business fact</t>
        </is>
      </c>
      <c r="E352" s="2" t="n"/>
      <c r="F352" s="2" t="n">
        <v>1.3</v>
      </c>
      <c r="G352" s="2" t="n"/>
      <c r="H352" s="3" t="inlineStr">
        <is>
          <t>Liability of EUR 1.3m recognised for the call option on the remaining 25% of Dulcioliva (measured at fair value through profit or loss); exercise still expected at 31 Dec 2024.</t>
        </is>
      </c>
      <c r="I352" s="2" t="inlineStr">
        <is>
          <t>S2</t>
        </is>
      </c>
      <c r="J352" s="2" t="n">
        <v>60</v>
      </c>
      <c r="K352" s="3" t="inlineStr">
        <is>
          <t>Also included is a liability arising from the exercise of the call option for the remaining 25% stake in Dulcioliva</t>
        </is>
      </c>
      <c r="L352" s="2" t="inlineStr">
        <is>
          <t>ok</t>
        </is>
      </c>
      <c r="M352" s="2" t="inlineStr">
        <is>
          <t>demo reviewer</t>
        </is>
      </c>
      <c r="N352" s="2" t="n"/>
      <c r="O352" s="3" t="inlineStr">
        <is>
          <t>https://vanillabonds.com/dossier-data/pdf/katjes/katjes-2024-annual-report.pdf#page=60</t>
        </is>
      </c>
      <c r="P352" s="3" t="inlineStr">
        <is>
          <t>https://vanillabonds.com/dossier.html?c=katjes&amp;viewer=1&amp;item=F351</t>
        </is>
      </c>
      <c r="Q352" s="2" t="inlineStr"/>
    </row>
    <row r="353">
      <c r="A353" s="2" t="inlineStr">
        <is>
          <t>F352</t>
        </is>
      </c>
      <c r="B353" s="2" t="inlineStr">
        <is>
          <t>business</t>
        </is>
      </c>
      <c r="C353" s="2" t="inlineStr">
        <is>
          <t>business_fact</t>
        </is>
      </c>
      <c r="D353" s="2" t="inlineStr">
        <is>
          <t>Business fact</t>
        </is>
      </c>
      <c r="E353" s="2" t="n"/>
      <c r="F353" s="2" t="n"/>
      <c r="G353" s="2" t="n"/>
      <c r="H353" s="3" t="inlineStr">
        <is>
          <t>N.A.E. and Barnängen brands recognised at cost at acquisition; acquired trademarks with finite lives are amortised straight-line over 40 years, indefinite-life brands tested annually.</t>
        </is>
      </c>
      <c r="I353" s="2" t="inlineStr">
        <is>
          <t>S2</t>
        </is>
      </c>
      <c r="J353" s="2" t="n">
        <v>63</v>
      </c>
      <c r="K353" s="3" t="inlineStr">
        <is>
          <t>The brand „Barnängen“ was recognised at cost at the time of acquisition.</t>
        </is>
      </c>
      <c r="L353" s="2" t="inlineStr">
        <is>
          <t>ok</t>
        </is>
      </c>
      <c r="M353" s="2" t="inlineStr">
        <is>
          <t>demo reviewer</t>
        </is>
      </c>
      <c r="N353" s="2" t="n"/>
      <c r="O353" s="3" t="inlineStr">
        <is>
          <t>https://vanillabonds.com/dossier-data/pdf/katjes/katjes-2024-annual-report.pdf#page=63</t>
        </is>
      </c>
      <c r="P353" s="3" t="inlineStr">
        <is>
          <t>https://vanillabonds.com/dossier.html?c=katjes&amp;viewer=1&amp;item=F352</t>
        </is>
      </c>
      <c r="Q353" s="2" t="inlineStr"/>
    </row>
    <row r="354">
      <c r="A354" s="2" t="inlineStr">
        <is>
          <t>F353</t>
        </is>
      </c>
      <c r="B354" s="2" t="inlineStr">
        <is>
          <t>business</t>
        </is>
      </c>
      <c r="C354" s="2" t="inlineStr">
        <is>
          <t>business_fact</t>
        </is>
      </c>
      <c r="D354" s="2" t="inlineStr">
        <is>
          <t>Business fact</t>
        </is>
      </c>
      <c r="E354" s="2" t="n"/>
      <c r="F354" s="2" t="n">
        <v>62</v>
      </c>
      <c r="G354" s="2" t="n"/>
      <c r="H354" s="3" t="inlineStr">
        <is>
          <t>Trade payables and other liabilities EUR 62.0m at 31 Dec 2024 (2023: 56.7), of which trade payables 48.2 (43.5).</t>
        </is>
      </c>
      <c r="I354" s="2" t="inlineStr">
        <is>
          <t>S2</t>
        </is>
      </c>
      <c r="J354" s="2" t="n">
        <v>69</v>
      </c>
      <c r="K354" s="2" t="inlineStr">
        <is>
          <t>Trade payables 48.2 43.5</t>
        </is>
      </c>
      <c r="L354" s="2" t="inlineStr">
        <is>
          <t>ok</t>
        </is>
      </c>
      <c r="M354" s="2" t="inlineStr">
        <is>
          <t>demo reviewer</t>
        </is>
      </c>
      <c r="N354" s="2" t="n"/>
      <c r="O354" s="3" t="inlineStr">
        <is>
          <t>https://vanillabonds.com/dossier-data/pdf/katjes/katjes-2024-annual-report.pdf#page=69</t>
        </is>
      </c>
      <c r="P354" s="3" t="inlineStr">
        <is>
          <t>https://vanillabonds.com/dossier.html?c=katjes&amp;viewer=1&amp;item=F353</t>
        </is>
      </c>
      <c r="Q354" s="2" t="inlineStr"/>
    </row>
    <row r="355">
      <c r="A355" s="2" t="inlineStr">
        <is>
          <t>F354</t>
        </is>
      </c>
      <c r="B355" s="2" t="inlineStr">
        <is>
          <t>business</t>
        </is>
      </c>
      <c r="C355" s="2" t="inlineStr">
        <is>
          <t>business_fact</t>
        </is>
      </c>
      <c r="D355" s="2" t="inlineStr">
        <is>
          <t>Business fact</t>
        </is>
      </c>
      <c r="E355" s="2" t="n"/>
      <c r="F355" s="2" t="n"/>
      <c r="G355" s="2" t="n"/>
      <c r="H355" s="3" t="inlineStr">
        <is>
          <t>Pension assumptions 2024: discount rate 3.0%–3.6%, inflation 0.0%–1.8%, salary increases 0.0%–3.0%, pension increases 0.0%–2.0%; defined benefit plans in Germany and Italy, partly funded since 2020.</t>
        </is>
      </c>
      <c r="I355" s="2" t="inlineStr">
        <is>
          <t>S2</t>
        </is>
      </c>
      <c r="J355" s="2" t="n">
        <v>71</v>
      </c>
      <c r="K355" s="2" t="inlineStr">
        <is>
          <t>Discount rate 3.0%-3.6% 3.2%-3.6%</t>
        </is>
      </c>
      <c r="L355" s="2" t="inlineStr">
        <is>
          <t>ok</t>
        </is>
      </c>
      <c r="M355" s="2" t="inlineStr">
        <is>
          <t>demo reviewer</t>
        </is>
      </c>
      <c r="N355" s="2" t="n"/>
      <c r="O355" s="3" t="inlineStr">
        <is>
          <t>https://vanillabonds.com/dossier-data/pdf/katjes/katjes-2024-annual-report.pdf#page=71</t>
        </is>
      </c>
      <c r="P355" s="3" t="inlineStr">
        <is>
          <t>https://vanillabonds.com/dossier.html?c=katjes&amp;viewer=1&amp;item=F354</t>
        </is>
      </c>
      <c r="Q355" s="2" t="inlineStr"/>
    </row>
    <row r="356">
      <c r="A356" s="2" t="inlineStr">
        <is>
          <t>F355</t>
        </is>
      </c>
      <c r="B356" s="2" t="inlineStr">
        <is>
          <t>business</t>
        </is>
      </c>
      <c r="C356" s="2" t="inlineStr">
        <is>
          <t>business_fact</t>
        </is>
      </c>
      <c r="D356" s="2" t="inlineStr">
        <is>
          <t>Business fact</t>
        </is>
      </c>
      <c r="E356" s="2" t="n"/>
      <c r="F356" s="2" t="n">
        <v>19.1</v>
      </c>
      <c r="G356" s="2" t="n"/>
      <c r="H356" s="3" t="inlineStr">
        <is>
          <t>Current provisions EUR 19.1m at 31 Dec 2024 (2023: 16.7): personnel 3.3, returns 5.5, outstanding invoices 6.3, other 4.0; non-current provisions 0.9 (long-service bonuses 0.8).</t>
        </is>
      </c>
      <c r="I356" s="2" t="inlineStr">
        <is>
          <t>S2</t>
        </is>
      </c>
      <c r="J356" s="2" t="n">
        <v>73</v>
      </c>
      <c r="K356" s="3" t="inlineStr">
        <is>
          <t>Provision for returns 5.4 -5.4 5.5 0.0 5.5</t>
        </is>
      </c>
      <c r="L356" s="2" t="inlineStr">
        <is>
          <t>ok</t>
        </is>
      </c>
      <c r="M356" s="2" t="inlineStr">
        <is>
          <t>demo reviewer</t>
        </is>
      </c>
      <c r="N356" s="2" t="n"/>
      <c r="O356" s="3" t="inlineStr">
        <is>
          <t>https://vanillabonds.com/dossier-data/pdf/katjes/katjes-2024-annual-report.pdf#page=73</t>
        </is>
      </c>
      <c r="P356" s="3" t="inlineStr">
        <is>
          <t>https://vanillabonds.com/dossier.html?c=katjes&amp;viewer=1&amp;item=F355</t>
        </is>
      </c>
      <c r="Q356" s="2" t="inlineStr"/>
    </row>
    <row r="357">
      <c r="A357" s="2" t="inlineStr">
        <is>
          <t>F356</t>
        </is>
      </c>
      <c r="B357" s="2" t="inlineStr">
        <is>
          <t>business</t>
        </is>
      </c>
      <c r="C357" s="2" t="inlineStr">
        <is>
          <t>business_fact</t>
        </is>
      </c>
      <c r="D357" s="2" t="inlineStr">
        <is>
          <t>Business fact</t>
        </is>
      </c>
      <c r="E357" s="2" t="n"/>
      <c r="F357" s="2" t="n">
        <v>73.8</v>
      </c>
      <c r="G357" s="2" t="n"/>
      <c r="H357" s="3" t="inlineStr">
        <is>
          <t>Personnel expenses EUR 73.8m in 2024 (2023: 65.1), driven i.a. by the takeover of the Viersen oral care site on 1 Jan 2024; wages and salaries 57.9, social security 13.1.</t>
        </is>
      </c>
      <c r="I357" s="2" t="inlineStr">
        <is>
          <t>S2</t>
        </is>
      </c>
      <c r="J357" s="2" t="n">
        <v>74</v>
      </c>
      <c r="K357" s="2" t="inlineStr">
        <is>
          <t>Personnel expenses 73.8 65.1</t>
        </is>
      </c>
      <c r="L357" s="2" t="inlineStr">
        <is>
          <t>ok</t>
        </is>
      </c>
      <c r="M357" s="2" t="inlineStr">
        <is>
          <t>demo reviewer</t>
        </is>
      </c>
      <c r="N357" s="2" t="n"/>
      <c r="O357" s="3" t="inlineStr">
        <is>
          <t>https://vanillabonds.com/dossier-data/pdf/katjes/katjes-2024-annual-report.pdf#page=74</t>
        </is>
      </c>
      <c r="P357" s="3" t="inlineStr">
        <is>
          <t>https://vanillabonds.com/dossier.html?c=katjes&amp;viewer=1&amp;item=F356</t>
        </is>
      </c>
      <c r="Q357" s="2" t="inlineStr"/>
    </row>
    <row r="358">
      <c r="A358" s="2" t="inlineStr">
        <is>
          <t>F357</t>
        </is>
      </c>
      <c r="B358" s="2" t="inlineStr">
        <is>
          <t>business</t>
        </is>
      </c>
      <c r="C358" s="2" t="inlineStr">
        <is>
          <t>business_fact</t>
        </is>
      </c>
      <c r="D358" s="2" t="inlineStr">
        <is>
          <t>Business fact</t>
        </is>
      </c>
      <c r="E358" s="2" t="n"/>
      <c r="F358" s="2" t="n">
        <v>7.3</v>
      </c>
      <c r="G358" s="2" t="n"/>
      <c r="H358" s="3" t="inlineStr">
        <is>
          <t>Contributions to statutory pension insurance about EUR 7.3m in 2024 (2023: 6.5); average workforce 717 blue-collar, 358 salaried, 22 other.</t>
        </is>
      </c>
      <c r="I358" s="2" t="inlineStr">
        <is>
          <t>S2</t>
        </is>
      </c>
      <c r="J358" s="2" t="n">
        <v>74</v>
      </c>
      <c r="K358" s="3" t="inlineStr">
        <is>
          <t>In the reporting year, contributions to the statutory pension ins- urance system amounted to approximately EUR 7.3 million (2023: EUR 6.5 million).</t>
        </is>
      </c>
      <c r="L358" s="2" t="inlineStr">
        <is>
          <t>ok</t>
        </is>
      </c>
      <c r="M358" s="2" t="inlineStr">
        <is>
          <t>demo reviewer</t>
        </is>
      </c>
      <c r="N358" s="2" t="n"/>
      <c r="O358" s="3" t="inlineStr">
        <is>
          <t>https://vanillabonds.com/dossier-data/pdf/katjes/katjes-2024-annual-report.pdf#page=74</t>
        </is>
      </c>
      <c r="P358" s="3" t="inlineStr">
        <is>
          <t>https://vanillabonds.com/dossier.html?c=katjes&amp;viewer=1&amp;item=F357</t>
        </is>
      </c>
      <c r="Q358" s="2" t="inlineStr"/>
    </row>
    <row r="359">
      <c r="A359" s="2" t="inlineStr">
        <is>
          <t>F358</t>
        </is>
      </c>
      <c r="B359" s="2" t="inlineStr">
        <is>
          <t>business</t>
        </is>
      </c>
      <c r="C359" s="2" t="inlineStr">
        <is>
          <t>business_fact</t>
        </is>
      </c>
      <c r="D359" s="2" t="inlineStr">
        <is>
          <t>Business fact</t>
        </is>
      </c>
      <c r="E359" s="2" t="n"/>
      <c r="F359" s="2" t="n">
        <v>0.5</v>
      </c>
      <c r="G359" s="2" t="n"/>
      <c r="H359" s="3" t="inlineStr">
        <is>
          <t>Auditor’s fees 2024: audit services EUR 0.5m (0.2 for foreign subsidiaries), tax consultancy 0.0, other 0.0 (2023 total 0.6).</t>
        </is>
      </c>
      <c r="I359" s="2" t="inlineStr">
        <is>
          <t>S2</t>
        </is>
      </c>
      <c r="J359" s="2" t="n">
        <v>75</v>
      </c>
      <c r="K359" s="3" t="inlineStr">
        <is>
          <t>Fees for audit services 0.5 0.5 Tax consultancy services 0.0 0.1</t>
        </is>
      </c>
      <c r="L359" s="2" t="inlineStr">
        <is>
          <t>ok</t>
        </is>
      </c>
      <c r="M359" s="2" t="inlineStr">
        <is>
          <t>demo reviewer</t>
        </is>
      </c>
      <c r="N359" s="2" t="n"/>
      <c r="O359" s="3" t="inlineStr">
        <is>
          <t>https://vanillabonds.com/dossier-data/pdf/katjes/katjes-2024-annual-report.pdf#page=75</t>
        </is>
      </c>
      <c r="P359" s="3" t="inlineStr">
        <is>
          <t>https://vanillabonds.com/dossier.html?c=katjes&amp;viewer=1&amp;item=F358</t>
        </is>
      </c>
      <c r="Q359" s="2" t="inlineStr"/>
    </row>
    <row r="360">
      <c r="A360" s="2" t="inlineStr">
        <is>
          <t>F359</t>
        </is>
      </c>
      <c r="B360" s="2" t="inlineStr">
        <is>
          <t>business</t>
        </is>
      </c>
      <c r="C360" s="2" t="inlineStr">
        <is>
          <t>business_fact</t>
        </is>
      </c>
      <c r="D360" s="2" t="inlineStr">
        <is>
          <t>Business fact</t>
        </is>
      </c>
      <c r="E360" s="2" t="n"/>
      <c r="F360" s="2" t="n">
        <v>7.8</v>
      </c>
      <c r="G360" s="2" t="n"/>
      <c r="H360" s="3" t="inlineStr">
        <is>
          <t>Interest expense on the corporate bond EUR 7.8m in 2024 (2023: 6.5); bank interest 4.2 (3.6); leasing 0.2, hire purchase 0.3; total financial expenses 13.2 (12.0); interest paid 12.8 (10.2).</t>
        </is>
      </c>
      <c r="I360" s="2" t="inlineStr">
        <is>
          <t>S2</t>
        </is>
      </c>
      <c r="J360" s="2" t="n">
        <v>75</v>
      </c>
      <c r="K360" s="3" t="inlineStr">
        <is>
          <t>Interest expenses corporate bond 7.8 6.5 Interest expenses banks 4.2 3.6</t>
        </is>
      </c>
      <c r="L360" s="2" t="inlineStr">
        <is>
          <t>ok</t>
        </is>
      </c>
      <c r="M360" s="2" t="inlineStr">
        <is>
          <t>demo reviewer</t>
        </is>
      </c>
      <c r="N360" s="2" t="n"/>
      <c r="O360" s="3" t="inlineStr">
        <is>
          <t>https://vanillabonds.com/dossier-data/pdf/katjes/katjes-2024-annual-report.pdf#page=75</t>
        </is>
      </c>
      <c r="P360" s="3" t="inlineStr">
        <is>
          <t>https://vanillabonds.com/dossier.html?c=katjes&amp;viewer=1&amp;item=F359</t>
        </is>
      </c>
      <c r="Q360" s="2" t="inlineStr"/>
    </row>
    <row r="361">
      <c r="A361" s="2" t="inlineStr">
        <is>
          <t>F360</t>
        </is>
      </c>
      <c r="B361" s="2" t="inlineStr">
        <is>
          <t>business</t>
        </is>
      </c>
      <c r="C361" s="2" t="inlineStr">
        <is>
          <t>business_fact</t>
        </is>
      </c>
      <c r="D361" s="2" t="inlineStr">
        <is>
          <t>Business fact</t>
        </is>
      </c>
      <c r="E361" s="2" t="n"/>
      <c r="F361" s="2" t="n"/>
      <c r="G361" s="2" t="n"/>
      <c r="H361" s="3" t="inlineStr">
        <is>
          <t>Internal reporting and management are based on the single segment 'FMCG'; the general partner is the chief operating decision maker and EBITDA the key performance indicator.</t>
        </is>
      </c>
      <c r="I361" s="2" t="inlineStr">
        <is>
          <t>S2</t>
        </is>
      </c>
      <c r="J361" s="2" t="n">
        <v>77</v>
      </c>
      <c r="K361" s="3" t="inlineStr">
        <is>
          <t>Internal reporting and management are ba- sed on the single segment “FMCG”.</t>
        </is>
      </c>
      <c r="L361" s="2" t="inlineStr">
        <is>
          <t>ok</t>
        </is>
      </c>
      <c r="M361" s="2" t="inlineStr">
        <is>
          <t>demo reviewer</t>
        </is>
      </c>
      <c r="N361" s="2" t="n"/>
      <c r="O361" s="3" t="inlineStr">
        <is>
          <t>https://vanillabonds.com/dossier-data/pdf/katjes/katjes-2024-annual-report.pdf#page=77</t>
        </is>
      </c>
      <c r="P361" s="3" t="inlineStr">
        <is>
          <t>https://vanillabonds.com/dossier.html?c=katjes&amp;viewer=1&amp;item=F360</t>
        </is>
      </c>
      <c r="Q361" s="2" t="inlineStr"/>
    </row>
    <row r="362">
      <c r="A362" s="2" t="inlineStr">
        <is>
          <t>F361</t>
        </is>
      </c>
      <c r="B362" s="2" t="inlineStr">
        <is>
          <t>business</t>
        </is>
      </c>
      <c r="C362" s="2" t="inlineStr">
        <is>
          <t>business_fact</t>
        </is>
      </c>
      <c r="D362" s="2" t="inlineStr">
        <is>
          <t>Business fact</t>
        </is>
      </c>
      <c r="E362" s="2" t="n"/>
      <c r="F362" s="2" t="n"/>
      <c r="G362" s="2" t="n"/>
      <c r="H362" s="3" t="inlineStr">
        <is>
          <t>The 2024 report is a translation from the German language; the introduction is 'other information', not part of the audited financial statements or management report.</t>
        </is>
      </c>
      <c r="I362" s="2" t="inlineStr">
        <is>
          <t>S2</t>
        </is>
      </c>
      <c r="J362" s="2" t="n">
        <v>88</v>
      </c>
      <c r="K362" s="3" t="inlineStr">
        <is>
          <t>the introduction to the annual report, but not the consolidated financial statements, not the group ma- nagement report disclosures whose content is audited</t>
        </is>
      </c>
      <c r="L362" s="2" t="inlineStr">
        <is>
          <t>ok</t>
        </is>
      </c>
      <c r="M362" s="2" t="inlineStr">
        <is>
          <t>demo reviewer</t>
        </is>
      </c>
      <c r="N362" s="3" t="inlineStr">
        <is>
          <t>text: company wording put in quotation marks (reviewer, 20 Oct 2026)</t>
        </is>
      </c>
      <c r="O362" s="3" t="inlineStr">
        <is>
          <t>https://vanillabonds.com/dossier-data/pdf/katjes/katjes-2024-annual-report.pdf#page=88</t>
        </is>
      </c>
      <c r="P362" s="3" t="inlineStr">
        <is>
          <t>https://vanillabonds.com/dossier.html?c=katjes&amp;viewer=1&amp;item=F361</t>
        </is>
      </c>
      <c r="Q362" s="2" t="inlineStr"/>
    </row>
    <row r="363">
      <c r="A363" s="2" t="inlineStr">
        <is>
          <t>F362</t>
        </is>
      </c>
      <c r="B363" s="2" t="inlineStr">
        <is>
          <t>business</t>
        </is>
      </c>
      <c r="C363" s="2" t="inlineStr">
        <is>
          <t>key_event</t>
        </is>
      </c>
      <c r="D363" s="2" t="inlineStr">
        <is>
          <t>Key event (M&amp;A, financing, strategy)</t>
        </is>
      </c>
      <c r="E363" s="2" t="n"/>
      <c r="F363" s="2" t="n"/>
      <c r="G363" s="2" t="n"/>
      <c r="H363" s="3" t="inlineStr">
        <is>
          <t>The partnership exercised the corporate income tax option (Körperschaftsteuer-Option) effective 1 January 2025.</t>
        </is>
      </c>
      <c r="I363" s="2" t="inlineStr">
        <is>
          <t>S2</t>
        </is>
      </c>
      <c r="J363" s="2" t="n">
        <v>28</v>
      </c>
      <c r="K363" s="3" t="inlineStr">
        <is>
          <t>As a partnership, Katjes International exercised the so-called corporate income tax option effective January 1, 2025</t>
        </is>
      </c>
      <c r="L363" s="2" t="inlineStr">
        <is>
          <t>ok</t>
        </is>
      </c>
      <c r="M363" s="2" t="inlineStr">
        <is>
          <t>demo reviewer</t>
        </is>
      </c>
      <c r="N363" s="2" t="n"/>
      <c r="O363" s="3" t="inlineStr">
        <is>
          <t>https://vanillabonds.com/dossier-data/pdf/katjes/katjes-2024-annual-report.pdf#page=28</t>
        </is>
      </c>
      <c r="P363" s="3" t="inlineStr">
        <is>
          <t>https://vanillabonds.com/dossier.html?c=katjes&amp;viewer=1&amp;item=F362</t>
        </is>
      </c>
      <c r="Q363" s="2" t="inlineStr"/>
    </row>
    <row r="364">
      <c r="A364" s="2" t="inlineStr">
        <is>
          <t>F363</t>
        </is>
      </c>
      <c r="B364" s="2" t="inlineStr">
        <is>
          <t>business</t>
        </is>
      </c>
      <c r="C364" s="2" t="inlineStr">
        <is>
          <t>key_event</t>
        </is>
      </c>
      <c r="D364" s="2" t="inlineStr">
        <is>
          <t>Key event (M&amp;A, financing, strategy)</t>
        </is>
      </c>
      <c r="E364" s="2" t="n"/>
      <c r="F364" s="2" t="n"/>
      <c r="G364" s="2" t="n"/>
      <c r="H364" s="3" t="inlineStr">
        <is>
          <t>Joint venture with entrepreneur Shirin David established in 2024 (Shirin Beauty GmbH, 50%); body care line to launch in Q2 2025.</t>
        </is>
      </c>
      <c r="I364" s="2" t="inlineStr">
        <is>
          <t>S2</t>
        </is>
      </c>
      <c r="J364" s="2" t="n">
        <v>55</v>
      </c>
      <c r="K364" s="3" t="inlineStr">
        <is>
          <t>In the financial year 2024 Katjes International established a joint venture together with the German pop icon Shirin David.</t>
        </is>
      </c>
      <c r="L364" s="2" t="inlineStr">
        <is>
          <t>ok</t>
        </is>
      </c>
      <c r="M364" s="2" t="inlineStr">
        <is>
          <t>demo reviewer</t>
        </is>
      </c>
      <c r="N364" s="2" t="n"/>
      <c r="O364" s="3" t="inlineStr">
        <is>
          <t>https://vanillabonds.com/dossier-data/pdf/katjes/katjes-2024-annual-report.pdf#page=55</t>
        </is>
      </c>
      <c r="P364" s="3" t="inlineStr">
        <is>
          <t>https://vanillabonds.com/dossier.html?c=katjes&amp;viewer=1&amp;item=F363</t>
        </is>
      </c>
      <c r="Q364" s="2" t="inlineStr"/>
    </row>
    <row r="365">
      <c r="A365" s="2" t="inlineStr">
        <is>
          <t>F364</t>
        </is>
      </c>
      <c r="B365" s="2" t="inlineStr">
        <is>
          <t>business</t>
        </is>
      </c>
      <c r="C365" s="2" t="inlineStr">
        <is>
          <t>key_event</t>
        </is>
      </c>
      <c r="D365" s="2" t="inlineStr">
        <is>
          <t>Key event (M&amp;A, financing, strategy)</t>
        </is>
      </c>
      <c r="E365" s="2" t="n"/>
      <c r="F365" s="2" t="n"/>
      <c r="G365" s="2" t="n"/>
      <c r="H365" s="3" t="inlineStr">
        <is>
          <t>No events of particular significance after the 31 Dec 2024 reporting date, per management.</t>
        </is>
      </c>
      <c r="I365" s="2" t="inlineStr">
        <is>
          <t>S2</t>
        </is>
      </c>
      <c r="J365" s="2" t="n">
        <v>81</v>
      </c>
      <c r="K365" s="3" t="inlineStr">
        <is>
          <t>No events of particular significance or with a material impact on the financial position, cash flows or results of operations</t>
        </is>
      </c>
      <c r="L365" s="2" t="inlineStr">
        <is>
          <t>ok</t>
        </is>
      </c>
      <c r="M365" s="2" t="inlineStr">
        <is>
          <t>demo reviewer</t>
        </is>
      </c>
      <c r="N365" s="2" t="n"/>
      <c r="O365" s="3" t="inlineStr">
        <is>
          <t>https://vanillabonds.com/dossier-data/pdf/katjes/katjes-2024-annual-report.pdf#page=81</t>
        </is>
      </c>
      <c r="P365" s="3" t="inlineStr">
        <is>
          <t>https://vanillabonds.com/dossier.html?c=katjes&amp;viewer=1&amp;item=F364</t>
        </is>
      </c>
      <c r="Q365" s="2" t="inlineStr"/>
    </row>
    <row r="366">
      <c r="A366" s="2" t="inlineStr">
        <is>
          <t>F365</t>
        </is>
      </c>
      <c r="B366" s="2" t="inlineStr">
        <is>
          <t>financials</t>
        </is>
      </c>
      <c r="C366" s="2" t="inlineStr">
        <is>
          <t>revenue</t>
        </is>
      </c>
      <c r="D366" s="2" t="inlineStr">
        <is>
          <t>Revenue</t>
        </is>
      </c>
      <c r="E366" s="2" t="inlineStr">
        <is>
          <t>FY2023</t>
        </is>
      </c>
      <c r="F366" s="2" t="n">
        <v>377.4</v>
      </c>
      <c r="G366" s="2" t="inlineStr">
        <is>
          <t>EUR m</t>
        </is>
      </c>
      <c r="H366" s="2" t="inlineStr">
        <is>
          <t>Consolidated revenue 2023.</t>
        </is>
      </c>
      <c r="I366" s="2" t="inlineStr">
        <is>
          <t>S2</t>
        </is>
      </c>
      <c r="J366" s="2" t="n">
        <v>40</v>
      </c>
      <c r="K366" s="2" t="inlineStr">
        <is>
          <t>Revenue 392.6 377.4</t>
        </is>
      </c>
      <c r="L366" s="2" t="inlineStr">
        <is>
          <t>ok</t>
        </is>
      </c>
      <c r="M366" s="2" t="inlineStr">
        <is>
          <t>demo reviewer</t>
        </is>
      </c>
      <c r="N366" s="2" t="n"/>
      <c r="O366" s="3" t="inlineStr">
        <is>
          <t>https://vanillabonds.com/dossier-data/pdf/katjes/katjes-2024-annual-report.pdf#page=40</t>
        </is>
      </c>
      <c r="P366" s="3" t="inlineStr">
        <is>
          <t>https://vanillabonds.com/dossier.html?c=katjes&amp;viewer=1&amp;item=F365</t>
        </is>
      </c>
      <c r="Q366" s="2" t="inlineStr">
        <is>
          <t>no</t>
        </is>
      </c>
    </row>
    <row r="367">
      <c r="A367" s="2" t="inlineStr">
        <is>
          <t>F366</t>
        </is>
      </c>
      <c r="B367" s="2" t="inlineStr">
        <is>
          <t>financials</t>
        </is>
      </c>
      <c r="C367" s="2" t="inlineStr">
        <is>
          <t>revenue</t>
        </is>
      </c>
      <c r="D367" s="2" t="inlineStr">
        <is>
          <t>Revenue</t>
        </is>
      </c>
      <c r="E367" s="2" t="inlineStr">
        <is>
          <t>FY2024</t>
        </is>
      </c>
      <c r="F367" s="2" t="n">
        <v>392.6</v>
      </c>
      <c r="G367" s="2" t="inlineStr">
        <is>
          <t>EUR m</t>
        </is>
      </c>
      <c r="H367" s="2" t="inlineStr">
        <is>
          <t>Consolidated revenue 2024.</t>
        </is>
      </c>
      <c r="I367" s="2" t="inlineStr">
        <is>
          <t>S2</t>
        </is>
      </c>
      <c r="J367" s="2" t="n">
        <v>40</v>
      </c>
      <c r="K367" s="2" t="inlineStr">
        <is>
          <t>Revenue 392.6 377.4</t>
        </is>
      </c>
      <c r="L367" s="2" t="inlineStr">
        <is>
          <t>ok</t>
        </is>
      </c>
      <c r="M367" s="2" t="inlineStr">
        <is>
          <t>demo reviewer</t>
        </is>
      </c>
      <c r="N367" s="2" t="n"/>
      <c r="O367" s="3" t="inlineStr">
        <is>
          <t>https://vanillabonds.com/dossier-data/pdf/katjes/katjes-2024-annual-report.pdf#page=40</t>
        </is>
      </c>
      <c r="P367" s="3" t="inlineStr">
        <is>
          <t>https://vanillabonds.com/dossier.html?c=katjes&amp;viewer=1&amp;item=F366</t>
        </is>
      </c>
      <c r="Q367" s="2" t="inlineStr">
        <is>
          <t>no</t>
        </is>
      </c>
    </row>
    <row r="368">
      <c r="A368" s="2" t="inlineStr">
        <is>
          <t>F367</t>
        </is>
      </c>
      <c r="B368" s="2" t="inlineStr">
        <is>
          <t>financials</t>
        </is>
      </c>
      <c r="C368" s="2" t="inlineStr">
        <is>
          <t>revenue</t>
        </is>
      </c>
      <c r="D368" s="2" t="inlineStr">
        <is>
          <t>Revenue</t>
        </is>
      </c>
      <c r="E368" s="2" t="inlineStr">
        <is>
          <t>FY2025E</t>
        </is>
      </c>
      <c r="F368" s="2" t="n">
        <v>400</v>
      </c>
      <c r="G368" s="2" t="inlineStr">
        <is>
          <t>EUR m</t>
        </is>
      </c>
      <c r="H368" s="3" t="inlineStr">
        <is>
          <t>Management guidance for 2025: consolidated revenue of at least EUR 400m.</t>
        </is>
      </c>
      <c r="I368" s="2" t="inlineStr">
        <is>
          <t>S2</t>
        </is>
      </c>
      <c r="J368" s="2" t="n">
        <v>38</v>
      </c>
      <c r="K368" s="3" t="inlineStr">
        <is>
          <t>For the financial year 2025, the Company expects revenues of at least EUR 400 million.</t>
        </is>
      </c>
      <c r="L368" s="2" t="inlineStr">
        <is>
          <t>ok</t>
        </is>
      </c>
      <c r="M368" s="2" t="inlineStr">
        <is>
          <t>demo reviewer</t>
        </is>
      </c>
      <c r="N368" s="2" t="n"/>
      <c r="O368" s="3" t="inlineStr">
        <is>
          <t>https://vanillabonds.com/dossier-data/pdf/katjes/katjes-2024-annual-report.pdf#page=38</t>
        </is>
      </c>
      <c r="P368" s="3" t="inlineStr">
        <is>
          <t>https://vanillabonds.com/dossier.html?c=katjes&amp;viewer=1&amp;item=F367</t>
        </is>
      </c>
      <c r="Q368" s="2" t="inlineStr"/>
    </row>
    <row r="369">
      <c r="A369" s="2" t="inlineStr">
        <is>
          <t>F368</t>
        </is>
      </c>
      <c r="B369" s="2" t="inlineStr">
        <is>
          <t>financials</t>
        </is>
      </c>
      <c r="C369" s="2" t="inlineStr">
        <is>
          <t>ebitda</t>
        </is>
      </c>
      <c r="D369" s="2" t="inlineStr">
        <is>
          <t>EBITDA (as reported)</t>
        </is>
      </c>
      <c r="E369" s="2" t="inlineStr">
        <is>
          <t>FY2023</t>
        </is>
      </c>
      <c r="F369" s="2" t="n">
        <v>40.8</v>
      </c>
      <c r="G369" s="2" t="inlineStr">
        <is>
          <t>EUR m</t>
        </is>
      </c>
      <c r="H369" s="3" t="inlineStr">
        <is>
          <t>EBITDA as reported by the company; EBITDA margin 10.8%.</t>
        </is>
      </c>
      <c r="I369" s="2" t="inlineStr">
        <is>
          <t>S2</t>
        </is>
      </c>
      <c r="J369" s="2" t="n">
        <v>29</v>
      </c>
      <c r="K369" s="3" t="inlineStr">
        <is>
          <t>The operating result (EBITDA) amounted to EUR 44.8 million in the financial year 2024 (2023: EUR 40.8 million).</t>
        </is>
      </c>
      <c r="L369" s="2" t="inlineStr">
        <is>
          <t>pend</t>
        </is>
      </c>
      <c r="M369" s="2" t="n"/>
      <c r="N369" s="3" t="inlineStr">
        <is>
          <t>conflict: S1·p32 40.8 vs S2·p29 40.8 vs S3·p7 23.0; primary per fact agent: S2 p29 - S2 is the later audited report carrying FY2023 and its comparative equals S1 p32; S3 carries no FY2023 statement, and its 23.0 is a chart bar from p7 assigned to FY2023.</t>
        </is>
      </c>
      <c r="O369" s="3" t="inlineStr">
        <is>
          <t>https://vanillabonds.com/dossier-data/pdf/katjes/katjes-2024-annual-report.pdf#page=29</t>
        </is>
      </c>
      <c r="P369" s="3" t="inlineStr">
        <is>
          <t>https://vanillabonds.com/dossier.html?c=katjes&amp;viewer=1&amp;item=F368</t>
        </is>
      </c>
      <c r="Q369" s="2" t="inlineStr">
        <is>
          <t>yes</t>
        </is>
      </c>
    </row>
    <row r="370">
      <c r="A370" s="2" t="inlineStr">
        <is>
          <t>F369</t>
        </is>
      </c>
      <c r="B370" s="2" t="inlineStr">
        <is>
          <t>financials</t>
        </is>
      </c>
      <c r="C370" s="2" t="inlineStr">
        <is>
          <t>ebitda</t>
        </is>
      </c>
      <c r="D370" s="2" t="inlineStr">
        <is>
          <t>EBITDA (as reported)</t>
        </is>
      </c>
      <c r="E370" s="2" t="inlineStr">
        <is>
          <t>FY2024</t>
        </is>
      </c>
      <c r="F370" s="2" t="n">
        <v>44.8</v>
      </c>
      <c r="G370" s="2" t="inlineStr">
        <is>
          <t>EUR m</t>
        </is>
      </c>
      <c r="H370" s="3" t="inlineStr">
        <is>
          <t>EBITDA as reported by the company (operating result 25.0 plus D&amp;A 19.8); EBITDA margin 11.4%.</t>
        </is>
      </c>
      <c r="I370" s="2" t="inlineStr">
        <is>
          <t>S2</t>
        </is>
      </c>
      <c r="J370" s="2" t="n">
        <v>29</v>
      </c>
      <c r="K370" s="3" t="inlineStr">
        <is>
          <t>The operating result (EBITDA) amounted to EUR 44.8 million in the financial year 2024 (2023: EUR 40.8 million).</t>
        </is>
      </c>
      <c r="L370" s="2" t="inlineStr">
        <is>
          <t>ok</t>
        </is>
      </c>
      <c r="M370" s="2" t="inlineStr">
        <is>
          <t>demo reviewer</t>
        </is>
      </c>
      <c r="N370" s="2" t="n"/>
      <c r="O370" s="3" t="inlineStr">
        <is>
          <t>https://vanillabonds.com/dossier-data/pdf/katjes/katjes-2024-annual-report.pdf#page=29</t>
        </is>
      </c>
      <c r="P370" s="3" t="inlineStr">
        <is>
          <t>https://vanillabonds.com/dossier.html?c=katjes&amp;viewer=1&amp;item=F369</t>
        </is>
      </c>
      <c r="Q370" s="2" t="inlineStr">
        <is>
          <t>no</t>
        </is>
      </c>
    </row>
    <row r="371">
      <c r="A371" s="2" t="inlineStr">
        <is>
          <t>F370</t>
        </is>
      </c>
      <c r="B371" s="2" t="inlineStr">
        <is>
          <t>financials</t>
        </is>
      </c>
      <c r="C371" s="2" t="inlineStr">
        <is>
          <t>ebit</t>
        </is>
      </c>
      <c r="D371" s="2" t="inlineStr">
        <is>
          <t>EBIT / operating result</t>
        </is>
      </c>
      <c r="E371" s="2" t="inlineStr">
        <is>
          <t>FY2023</t>
        </is>
      </c>
      <c r="F371" s="2" t="n">
        <v>22.5</v>
      </c>
      <c r="G371" s="2" t="inlineStr">
        <is>
          <t>EUR m</t>
        </is>
      </c>
      <c r="H371" s="2" t="inlineStr">
        <is>
          <t>Operating result 2023.</t>
        </is>
      </c>
      <c r="I371" s="2" t="inlineStr">
        <is>
          <t>S2</t>
        </is>
      </c>
      <c r="J371" s="2" t="n">
        <v>40</v>
      </c>
      <c r="K371" s="2" t="inlineStr">
        <is>
          <t>Operating result 25.0 22.5</t>
        </is>
      </c>
      <c r="L371" s="2" t="inlineStr">
        <is>
          <t>ok</t>
        </is>
      </c>
      <c r="M371" s="2" t="inlineStr">
        <is>
          <t>demo reviewer</t>
        </is>
      </c>
      <c r="N371" s="2" t="n"/>
      <c r="O371" s="3" t="inlineStr">
        <is>
          <t>https://vanillabonds.com/dossier-data/pdf/katjes/katjes-2024-annual-report.pdf#page=40</t>
        </is>
      </c>
      <c r="P371" s="3" t="inlineStr">
        <is>
          <t>https://vanillabonds.com/dossier.html?c=katjes&amp;viewer=1&amp;item=F370</t>
        </is>
      </c>
      <c r="Q371" s="2" t="inlineStr">
        <is>
          <t>yes</t>
        </is>
      </c>
    </row>
    <row r="372">
      <c r="A372" s="2" t="inlineStr">
        <is>
          <t>F371</t>
        </is>
      </c>
      <c r="B372" s="2" t="inlineStr">
        <is>
          <t>financials</t>
        </is>
      </c>
      <c r="C372" s="2" t="inlineStr">
        <is>
          <t>ebit</t>
        </is>
      </c>
      <c r="D372" s="2" t="inlineStr">
        <is>
          <t>EBIT / operating result</t>
        </is>
      </c>
      <c r="E372" s="2" t="inlineStr">
        <is>
          <t>FY2024</t>
        </is>
      </c>
      <c r="F372" s="2" t="n">
        <v>25</v>
      </c>
      <c r="G372" s="2" t="inlineStr">
        <is>
          <t>EUR m</t>
        </is>
      </c>
      <c r="H372" s="2" t="inlineStr">
        <is>
          <t>Operating result 2024.</t>
        </is>
      </c>
      <c r="I372" s="2" t="inlineStr">
        <is>
          <t>S2</t>
        </is>
      </c>
      <c r="J372" s="2" t="n">
        <v>40</v>
      </c>
      <c r="K372" s="2" t="inlineStr">
        <is>
          <t>Operating result 25.0 22.5</t>
        </is>
      </c>
      <c r="L372" s="2" t="inlineStr">
        <is>
          <t>ok</t>
        </is>
      </c>
      <c r="M372" s="2" t="inlineStr">
        <is>
          <t>demo reviewer</t>
        </is>
      </c>
      <c r="N372" s="2" t="n"/>
      <c r="O372" s="3" t="inlineStr">
        <is>
          <t>https://vanillabonds.com/dossier-data/pdf/katjes/katjes-2024-annual-report.pdf#page=40</t>
        </is>
      </c>
      <c r="P372" s="3" t="inlineStr">
        <is>
          <t>https://vanillabonds.com/dossier.html?c=katjes&amp;viewer=1&amp;item=F371</t>
        </is>
      </c>
      <c r="Q372" s="2" t="inlineStr">
        <is>
          <t>no</t>
        </is>
      </c>
    </row>
    <row r="373">
      <c r="A373" s="2" t="inlineStr">
        <is>
          <t>F372</t>
        </is>
      </c>
      <c r="B373" s="2" t="inlineStr">
        <is>
          <t>financials</t>
        </is>
      </c>
      <c r="C373" s="2" t="inlineStr">
        <is>
          <t>net_income</t>
        </is>
      </c>
      <c r="D373" s="2" t="inlineStr">
        <is>
          <t>Net result</t>
        </is>
      </c>
      <c r="E373" s="2" t="inlineStr">
        <is>
          <t>FY2023</t>
        </is>
      </c>
      <c r="F373" s="2" t="n">
        <v>10.2</v>
      </c>
      <c r="G373" s="2" t="inlineStr">
        <is>
          <t>EUR m</t>
        </is>
      </c>
      <c r="H373" s="3" t="inlineStr">
        <is>
          <t>Earnings after tax 2023; attributable to Katjes International 10.1, non-controlling interests 0.1.</t>
        </is>
      </c>
      <c r="I373" s="2" t="inlineStr">
        <is>
          <t>S2</t>
        </is>
      </c>
      <c r="J373" s="2" t="n">
        <v>40</v>
      </c>
      <c r="K373" s="2" t="inlineStr">
        <is>
          <t>Earnings after tax 3.2 10.2</t>
        </is>
      </c>
      <c r="L373" s="2" t="inlineStr">
        <is>
          <t>ok</t>
        </is>
      </c>
      <c r="M373" s="2" t="inlineStr">
        <is>
          <t>demo reviewer</t>
        </is>
      </c>
      <c r="N373" s="2" t="n"/>
      <c r="O373" s="3" t="inlineStr">
        <is>
          <t>https://vanillabonds.com/dossier-data/pdf/katjes/katjes-2024-annual-report.pdf#page=40</t>
        </is>
      </c>
      <c r="P373" s="3" t="inlineStr">
        <is>
          <t>https://vanillabonds.com/dossier.html?c=katjes&amp;viewer=1&amp;item=F372</t>
        </is>
      </c>
      <c r="Q373" s="2" t="inlineStr">
        <is>
          <t>yes</t>
        </is>
      </c>
    </row>
    <row r="374">
      <c r="A374" s="2" t="inlineStr">
        <is>
          <t>F373</t>
        </is>
      </c>
      <c r="B374" s="2" t="inlineStr">
        <is>
          <t>financials</t>
        </is>
      </c>
      <c r="C374" s="2" t="inlineStr">
        <is>
          <t>net_income</t>
        </is>
      </c>
      <c r="D374" s="2" t="inlineStr">
        <is>
          <t>Net result</t>
        </is>
      </c>
      <c r="E374" s="2" t="inlineStr">
        <is>
          <t>FY2024</t>
        </is>
      </c>
      <c r="F374" s="2" t="n">
        <v>3.2</v>
      </c>
      <c r="G374" s="2" t="inlineStr">
        <is>
          <t>EUR m</t>
        </is>
      </c>
      <c r="H374" s="3" t="inlineStr">
        <is>
          <t>Earnings after tax 2024; attributable to Katjes International 3.2, non-controlling interests 0.0; includes non-recurring deferred tax expense of EUR -6.9m.</t>
        </is>
      </c>
      <c r="I374" s="2" t="inlineStr">
        <is>
          <t>S2</t>
        </is>
      </c>
      <c r="J374" s="2" t="n">
        <v>40</v>
      </c>
      <c r="K374" s="2" t="inlineStr">
        <is>
          <t>Earnings after tax 3.2 10.2</t>
        </is>
      </c>
      <c r="L374" s="2" t="inlineStr">
        <is>
          <t>ok</t>
        </is>
      </c>
      <c r="M374" s="2" t="inlineStr">
        <is>
          <t>demo reviewer</t>
        </is>
      </c>
      <c r="N374" s="2" t="n"/>
      <c r="O374" s="3" t="inlineStr">
        <is>
          <t>https://vanillabonds.com/dossier-data/pdf/katjes/katjes-2024-annual-report.pdf#page=40</t>
        </is>
      </c>
      <c r="P374" s="3" t="inlineStr">
        <is>
          <t>https://vanillabonds.com/dossier.html?c=katjes&amp;viewer=1&amp;item=F373</t>
        </is>
      </c>
      <c r="Q374" s="2" t="inlineStr">
        <is>
          <t>no</t>
        </is>
      </c>
    </row>
    <row r="375">
      <c r="A375" s="2" t="inlineStr">
        <is>
          <t>F374</t>
        </is>
      </c>
      <c r="B375" s="2" t="inlineStr">
        <is>
          <t>financials</t>
        </is>
      </c>
      <c r="C375" s="2" t="inlineStr">
        <is>
          <t>da</t>
        </is>
      </c>
      <c r="D375" s="2" t="inlineStr">
        <is>
          <t>Depreciation &amp; amortisation</t>
        </is>
      </c>
      <c r="E375" s="2" t="inlineStr">
        <is>
          <t>FY2023</t>
        </is>
      </c>
      <c r="F375" s="2" t="n">
        <v>18.1</v>
      </c>
      <c r="G375" s="2" t="inlineStr">
        <is>
          <t>EUR m</t>
        </is>
      </c>
      <c r="H375" s="3" t="inlineStr">
        <is>
          <t>Depreciation and amortisation 2023 (note 7.2).</t>
        </is>
      </c>
      <c r="I375" s="2" t="inlineStr">
        <is>
          <t>S2</t>
        </is>
      </c>
      <c r="J375" s="2" t="n">
        <v>74</v>
      </c>
      <c r="K375" s="2" t="inlineStr">
        <is>
          <t>Depreciation and amortisation 19.8 18.1</t>
        </is>
      </c>
      <c r="L375" s="2" t="inlineStr">
        <is>
          <t>ok</t>
        </is>
      </c>
      <c r="M375" s="2" t="inlineStr">
        <is>
          <t>demo reviewer</t>
        </is>
      </c>
      <c r="N375" s="2" t="n"/>
      <c r="O375" s="3" t="inlineStr">
        <is>
          <t>https://vanillabonds.com/dossier-data/pdf/katjes/katjes-2024-annual-report.pdf#page=74</t>
        </is>
      </c>
      <c r="P375" s="3" t="inlineStr">
        <is>
          <t>https://vanillabonds.com/dossier.html?c=katjes&amp;viewer=1&amp;item=F374</t>
        </is>
      </c>
      <c r="Q375" s="2" t="inlineStr">
        <is>
          <t>yes</t>
        </is>
      </c>
    </row>
    <row r="376">
      <c r="A376" s="2" t="inlineStr">
        <is>
          <t>F375</t>
        </is>
      </c>
      <c r="B376" s="2" t="inlineStr">
        <is>
          <t>financials</t>
        </is>
      </c>
      <c r="C376" s="2" t="inlineStr">
        <is>
          <t>da</t>
        </is>
      </c>
      <c r="D376" s="2" t="inlineStr">
        <is>
          <t>Depreciation &amp; amortisation</t>
        </is>
      </c>
      <c r="E376" s="2" t="inlineStr">
        <is>
          <t>FY2024</t>
        </is>
      </c>
      <c r="F376" s="2" t="n">
        <v>19.8</v>
      </c>
      <c r="G376" s="2" t="inlineStr">
        <is>
          <t>EUR m</t>
        </is>
      </c>
      <c r="H376" s="3" t="inlineStr">
        <is>
          <t>Depreciation and amortisation 2024 (note 7.2); cash flow statement: PP&amp;E 10.4, right-of-use 4.8, intangibles 4.6.</t>
        </is>
      </c>
      <c r="I376" s="2" t="inlineStr">
        <is>
          <t>S2</t>
        </is>
      </c>
      <c r="J376" s="2" t="n">
        <v>74</v>
      </c>
      <c r="K376" s="2" t="inlineStr">
        <is>
          <t>Depreciation and amortisation 19.8 18.1</t>
        </is>
      </c>
      <c r="L376" s="2" t="inlineStr">
        <is>
          <t>pend</t>
        </is>
      </c>
      <c r="M376" s="2" t="n"/>
      <c r="N376" s="3" t="inlineStr">
        <is>
          <t>conflict: S2·p74 19.8 vs S3·p86 20.8; primary per fact agent: S2 p74 - S3 does not restate FY2024: its 2024 cash flow lines on p42 (10.4, 4.8, 4.6) are the same as S2's, S3 shows no labelled D&amp;A total for 2024, and its 20.8 is the fixed-asset schedule column on p86, a different line; S2's labelled total of 19.8 stands.</t>
        </is>
      </c>
      <c r="O376" s="3" t="inlineStr">
        <is>
          <t>https://vanillabonds.com/dossier-data/pdf/katjes/katjes-2024-annual-report.pdf#page=74</t>
        </is>
      </c>
      <c r="P376" s="3" t="inlineStr">
        <is>
          <t>https://vanillabonds.com/dossier.html?c=katjes&amp;viewer=1&amp;item=F375</t>
        </is>
      </c>
      <c r="Q376" s="2" t="inlineStr">
        <is>
          <t>yes</t>
        </is>
      </c>
    </row>
    <row r="377">
      <c r="A377" s="2" t="inlineStr">
        <is>
          <t>F376</t>
        </is>
      </c>
      <c r="B377" s="2" t="inlineStr">
        <is>
          <t>financials</t>
        </is>
      </c>
      <c r="C377" s="2" t="inlineStr">
        <is>
          <t>net_interest</t>
        </is>
      </c>
      <c r="D377" s="2" t="inlineStr">
        <is>
          <t>Net finance cost</t>
        </is>
      </c>
      <c r="E377" s="2" t="inlineStr">
        <is>
          <t>FY2023</t>
        </is>
      </c>
      <c r="F377" s="2" t="n">
        <v>11.4</v>
      </c>
      <c r="G377" s="2" t="inlineStr">
        <is>
          <t>EUR m</t>
        </is>
      </c>
      <c r="H377" s="3" t="inlineStr">
        <is>
          <t>Financial result EUR -11.4m, reported as net finance cost; includes the at-equity result from CPK of -0.7; financial expenses 12.0.</t>
        </is>
      </c>
      <c r="I377" s="2" t="inlineStr">
        <is>
          <t>S2</t>
        </is>
      </c>
      <c r="J377" s="2" t="n">
        <v>40</v>
      </c>
      <c r="K377" s="2" t="inlineStr">
        <is>
          <t>Financial result -11.6 -11.4</t>
        </is>
      </c>
      <c r="L377" s="2" t="inlineStr">
        <is>
          <t>ok</t>
        </is>
      </c>
      <c r="M377" s="2" t="inlineStr">
        <is>
          <t>demo reviewer</t>
        </is>
      </c>
      <c r="N377" s="2" t="n"/>
      <c r="O377" s="3" t="inlineStr">
        <is>
          <t>https://vanillabonds.com/dossier-data/pdf/katjes/katjes-2024-annual-report.pdf#page=40</t>
        </is>
      </c>
      <c r="P377" s="3" t="inlineStr">
        <is>
          <t>https://vanillabonds.com/dossier.html?c=katjes&amp;viewer=1&amp;item=F376</t>
        </is>
      </c>
      <c r="Q377" s="2" t="inlineStr">
        <is>
          <t>yes</t>
        </is>
      </c>
    </row>
    <row r="378">
      <c r="A378" s="2" t="inlineStr">
        <is>
          <t>F377</t>
        </is>
      </c>
      <c r="B378" s="2" t="inlineStr">
        <is>
          <t>financials</t>
        </is>
      </c>
      <c r="C378" s="2" t="inlineStr">
        <is>
          <t>net_interest</t>
        </is>
      </c>
      <c r="D378" s="2" t="inlineStr">
        <is>
          <t>Net finance cost</t>
        </is>
      </c>
      <c r="E378" s="2" t="inlineStr">
        <is>
          <t>FY2024</t>
        </is>
      </c>
      <c r="F378" s="2" t="n">
        <v>11.6</v>
      </c>
      <c r="G378" s="2" t="inlineStr">
        <is>
          <t>EUR m</t>
        </is>
      </c>
      <c r="H378" s="3" t="inlineStr">
        <is>
          <t>Financial result EUR -11.6m, reported as net finance cost; includes the at-equity result from CPK of +1.3; financial expenses 13.2 (bond interest 7.8, bank interest 4.2).</t>
        </is>
      </c>
      <c r="I378" s="2" t="inlineStr">
        <is>
          <t>S2</t>
        </is>
      </c>
      <c r="J378" s="2" t="n">
        <v>40</v>
      </c>
      <c r="K378" s="2" t="inlineStr">
        <is>
          <t>Financial result -11.6 -11.4</t>
        </is>
      </c>
      <c r="L378" s="2" t="inlineStr">
        <is>
          <t>ok</t>
        </is>
      </c>
      <c r="M378" s="2" t="inlineStr">
        <is>
          <t>demo reviewer</t>
        </is>
      </c>
      <c r="N378" s="2" t="n"/>
      <c r="O378" s="3" t="inlineStr">
        <is>
          <t>https://vanillabonds.com/dossier-data/pdf/katjes/katjes-2024-annual-report.pdf#page=40</t>
        </is>
      </c>
      <c r="P378" s="3" t="inlineStr">
        <is>
          <t>https://vanillabonds.com/dossier.html?c=katjes&amp;viewer=1&amp;item=F377</t>
        </is>
      </c>
      <c r="Q378" s="2" t="inlineStr">
        <is>
          <t>no</t>
        </is>
      </c>
    </row>
    <row r="379">
      <c r="A379" s="2" t="inlineStr">
        <is>
          <t>F378</t>
        </is>
      </c>
      <c r="B379" s="2" t="inlineStr">
        <is>
          <t>financials</t>
        </is>
      </c>
      <c r="C379" s="2" t="inlineStr">
        <is>
          <t>cfo</t>
        </is>
      </c>
      <c r="D379" s="2" t="inlineStr">
        <is>
          <t>Cash flow from operating activities</t>
        </is>
      </c>
      <c r="E379" s="2" t="inlineStr">
        <is>
          <t>FY2023</t>
        </is>
      </c>
      <c r="F379" s="2" t="n">
        <v>31.8</v>
      </c>
      <c r="G379" s="2" t="inlineStr">
        <is>
          <t>EUR m</t>
        </is>
      </c>
      <c r="H379" s="3" t="inlineStr">
        <is>
          <t>Cash flow from operating activities 2023.</t>
        </is>
      </c>
      <c r="I379" s="2" t="inlineStr">
        <is>
          <t>S2</t>
        </is>
      </c>
      <c r="J379" s="2" t="n">
        <v>45</v>
      </c>
      <c r="K379" s="3" t="inlineStr">
        <is>
          <t>Cash flow from operating activities 45.6 31.8</t>
        </is>
      </c>
      <c r="L379" s="2" t="inlineStr">
        <is>
          <t>ok</t>
        </is>
      </c>
      <c r="M379" s="2" t="inlineStr">
        <is>
          <t>demo reviewer</t>
        </is>
      </c>
      <c r="N379" s="2" t="n"/>
      <c r="O379" s="3" t="inlineStr">
        <is>
          <t>https://vanillabonds.com/dossier-data/pdf/katjes/katjes-2024-annual-report.pdf#page=45</t>
        </is>
      </c>
      <c r="P379" s="3" t="inlineStr">
        <is>
          <t>https://vanillabonds.com/dossier.html?c=katjes&amp;viewer=1&amp;item=F378</t>
        </is>
      </c>
      <c r="Q379" s="2" t="inlineStr">
        <is>
          <t>yes</t>
        </is>
      </c>
    </row>
    <row r="380">
      <c r="A380" s="2" t="inlineStr">
        <is>
          <t>F379</t>
        </is>
      </c>
      <c r="B380" s="2" t="inlineStr">
        <is>
          <t>financials</t>
        </is>
      </c>
      <c r="C380" s="2" t="inlineStr">
        <is>
          <t>cfo</t>
        </is>
      </c>
      <c r="D380" s="2" t="inlineStr">
        <is>
          <t>Cash flow from operating activities</t>
        </is>
      </c>
      <c r="E380" s="2" t="inlineStr">
        <is>
          <t>FY2024</t>
        </is>
      </c>
      <c r="F380" s="2" t="n">
        <v>45.6</v>
      </c>
      <c r="G380" s="2" t="inlineStr">
        <is>
          <t>EUR m</t>
        </is>
      </c>
      <c r="H380" s="3" t="inlineStr">
        <is>
          <t>Cash flow from operating activities 2024.</t>
        </is>
      </c>
      <c r="I380" s="2" t="inlineStr">
        <is>
          <t>S2</t>
        </is>
      </c>
      <c r="J380" s="2" t="n">
        <v>45</v>
      </c>
      <c r="K380" s="3" t="inlineStr">
        <is>
          <t>Cash flow from operating activities 45.6 31.8</t>
        </is>
      </c>
      <c r="L380" s="2" t="inlineStr">
        <is>
          <t>ok</t>
        </is>
      </c>
      <c r="M380" s="2" t="inlineStr">
        <is>
          <t>demo reviewer</t>
        </is>
      </c>
      <c r="N380" s="2" t="n"/>
      <c r="O380" s="3" t="inlineStr">
        <is>
          <t>https://vanillabonds.com/dossier-data/pdf/katjes/katjes-2024-annual-report.pdf#page=45</t>
        </is>
      </c>
      <c r="P380" s="3" t="inlineStr">
        <is>
          <t>https://vanillabonds.com/dossier.html?c=katjes&amp;viewer=1&amp;item=F379</t>
        </is>
      </c>
      <c r="Q380" s="2" t="inlineStr">
        <is>
          <t>no</t>
        </is>
      </c>
    </row>
    <row r="381">
      <c r="A381" s="2" t="inlineStr">
        <is>
          <t>F380</t>
        </is>
      </c>
      <c r="B381" s="2" t="inlineStr">
        <is>
          <t>financials</t>
        </is>
      </c>
      <c r="C381" s="2" t="inlineStr">
        <is>
          <t>capex</t>
        </is>
      </c>
      <c r="D381" s="2" t="inlineStr">
        <is>
          <t>Capex (PP&amp;E + intangibles)</t>
        </is>
      </c>
      <c r="E381" s="2" t="inlineStr">
        <is>
          <t>FY2023</t>
        </is>
      </c>
      <c r="F381" s="2" t="n">
        <v>14.6</v>
      </c>
      <c r="G381" s="2" t="inlineStr">
        <is>
          <t>EUR m</t>
        </is>
      </c>
      <c r="H381" s="3" t="inlineStr">
        <is>
          <t>Sum of the two cash flow lines: acquisition of PP&amp;E 7.4 plus acquisition of intangible assets 7.2.</t>
        </is>
      </c>
      <c r="I381" s="2" t="inlineStr">
        <is>
          <t>S2</t>
        </is>
      </c>
      <c r="J381" s="2" t="n">
        <v>45</v>
      </c>
      <c r="K381" s="3" t="inlineStr">
        <is>
          <t>Acquisition of property, plant and equipment 6.1 -13.0 -7.4 Acquisition of intangible assets 6.1 -4.9 -7.2</t>
        </is>
      </c>
      <c r="L381" s="2" t="inlineStr">
        <is>
          <t>pend</t>
        </is>
      </c>
      <c r="M381" s="2" t="n"/>
      <c r="N381" s="3" t="inlineStr">
        <is>
          <t>conflict: S1·p88 14.3 vs S2·p45 14.6; primary per fact agent: S2 p45 - S2 is the later audited report; its 2023 cash flow lines (-7.4 and -7.2) are the same lines S1's own cash flow statement shows, and S1's 14.3 is the fixed-asset schedule additions, a different line, not a restatement.</t>
        </is>
      </c>
      <c r="O381" s="3" t="inlineStr">
        <is>
          <t>https://vanillabonds.com/dossier-data/pdf/katjes/katjes-2024-annual-report.pdf#page=45</t>
        </is>
      </c>
      <c r="P381" s="3" t="inlineStr">
        <is>
          <t>https://vanillabonds.com/dossier.html?c=katjes&amp;viewer=1&amp;item=F380</t>
        </is>
      </c>
      <c r="Q381" s="2" t="inlineStr">
        <is>
          <t>yes</t>
        </is>
      </c>
    </row>
    <row r="382">
      <c r="A382" s="2" t="inlineStr">
        <is>
          <t>F381</t>
        </is>
      </c>
      <c r="B382" s="2" t="inlineStr">
        <is>
          <t>financials</t>
        </is>
      </c>
      <c r="C382" s="2" t="inlineStr">
        <is>
          <t>capex</t>
        </is>
      </c>
      <c r="D382" s="2" t="inlineStr">
        <is>
          <t>Capex (PP&amp;E + intangibles)</t>
        </is>
      </c>
      <c r="E382" s="2" t="inlineStr">
        <is>
          <t>FY2024</t>
        </is>
      </c>
      <c r="F382" s="2" t="n">
        <v>17.9</v>
      </c>
      <c r="G382" s="2" t="inlineStr">
        <is>
          <t>EUR m</t>
        </is>
      </c>
      <c r="H382" s="3" t="inlineStr">
        <is>
          <t>Sum of the two cash flow lines: acquisition of PP&amp;E 13.0 plus acquisition of intangible assets 4.9 (the latter includes the Barnängen brand).</t>
        </is>
      </c>
      <c r="I382" s="2" t="inlineStr">
        <is>
          <t>S2</t>
        </is>
      </c>
      <c r="J382" s="2" t="n">
        <v>45</v>
      </c>
      <c r="K382" s="3" t="inlineStr">
        <is>
          <t>Acquisition of property, plant and equipment 6.1 -13.0 -7.4 Acquisition of intangible assets 6.1 -4.9 -7.2</t>
        </is>
      </c>
      <c r="L382" s="2" t="inlineStr">
        <is>
          <t>pend</t>
        </is>
      </c>
      <c r="M382" s="2" t="n"/>
      <c r="N382" s="3" t="inlineStr">
        <is>
          <t>conflict: S2·p45 17.9 vs S3·p86 18.8; primary per fact agent: S3 p42 - S3 is the later audited report; its FY2024 cash flow comparatives (-13.0 and -4.9) are the same lines as S2's, so S2's 17.9 on the cash flow basis stands, and S3's 18.8 is the fixed-asset schedule additions on p86, a different line.</t>
        </is>
      </c>
      <c r="O382" s="3" t="inlineStr">
        <is>
          <t>https://vanillabonds.com/dossier-data/pdf/katjes/katjes-2024-annual-report.pdf#page=45</t>
        </is>
      </c>
      <c r="P382" s="3" t="inlineStr">
        <is>
          <t>https://vanillabonds.com/dossier.html?c=katjes&amp;viewer=1&amp;item=F381</t>
        </is>
      </c>
      <c r="Q382" s="2" t="inlineStr">
        <is>
          <t>no</t>
        </is>
      </c>
    </row>
    <row r="383">
      <c r="A383" s="2" t="inlineStr">
        <is>
          <t>F382</t>
        </is>
      </c>
      <c r="B383" s="2" t="inlineStr">
        <is>
          <t>financials</t>
        </is>
      </c>
      <c r="C383" s="2" t="inlineStr">
        <is>
          <t>cash</t>
        </is>
      </c>
      <c r="D383" s="2" t="inlineStr">
        <is>
          <t>Cash &amp; equivalents</t>
        </is>
      </c>
      <c r="E383" s="2" t="inlineStr">
        <is>
          <t>FY2023</t>
        </is>
      </c>
      <c r="F383" s="2" t="n">
        <v>58.4</v>
      </c>
      <c r="G383" s="2" t="inlineStr">
        <is>
          <t>EUR m</t>
        </is>
      </c>
      <c r="H383" s="3" t="inlineStr">
        <is>
          <t>Cash and cash equivalents at 31 Dec 2023.</t>
        </is>
      </c>
      <c r="I383" s="2" t="inlineStr">
        <is>
          <t>S2</t>
        </is>
      </c>
      <c r="J383" s="2" t="n">
        <v>42</v>
      </c>
      <c r="K383" s="2" t="inlineStr">
        <is>
          <t>Cash and cash equivalents 6.7 54.0 58.4</t>
        </is>
      </c>
      <c r="L383" s="2" t="inlineStr">
        <is>
          <t>ok</t>
        </is>
      </c>
      <c r="M383" s="2" t="inlineStr">
        <is>
          <t>demo reviewer</t>
        </is>
      </c>
      <c r="N383" s="2" t="n"/>
      <c r="O383" s="3" t="inlineStr">
        <is>
          <t>https://vanillabonds.com/dossier-data/pdf/katjes/katjes-2024-annual-report.pdf#page=42</t>
        </is>
      </c>
      <c r="P383" s="3" t="inlineStr">
        <is>
          <t>https://vanillabonds.com/dossier.html?c=katjes&amp;viewer=1&amp;item=F382</t>
        </is>
      </c>
      <c r="Q383" s="2" t="inlineStr">
        <is>
          <t>no</t>
        </is>
      </c>
    </row>
    <row r="384">
      <c r="A384" s="2" t="inlineStr">
        <is>
          <t>F383</t>
        </is>
      </c>
      <c r="B384" s="2" t="inlineStr">
        <is>
          <t>financials</t>
        </is>
      </c>
      <c r="C384" s="2" t="inlineStr">
        <is>
          <t>cash</t>
        </is>
      </c>
      <c r="D384" s="2" t="inlineStr">
        <is>
          <t>Cash &amp; equivalents</t>
        </is>
      </c>
      <c r="E384" s="2" t="inlineStr">
        <is>
          <t>FY2024</t>
        </is>
      </c>
      <c r="F384" s="2" t="n">
        <v>54</v>
      </c>
      <c r="G384" s="2" t="inlineStr">
        <is>
          <t>EUR m</t>
        </is>
      </c>
      <c r="H384" s="3" t="inlineStr">
        <is>
          <t>Cash and cash equivalents at 31 Dec 2024.</t>
        </is>
      </c>
      <c r="I384" s="2" t="inlineStr">
        <is>
          <t>S2</t>
        </is>
      </c>
      <c r="J384" s="2" t="n">
        <v>42</v>
      </c>
      <c r="K384" s="2" t="inlineStr">
        <is>
          <t>Cash and cash equivalents 6.7 54.0 58.4</t>
        </is>
      </c>
      <c r="L384" s="2" t="inlineStr">
        <is>
          <t>ok</t>
        </is>
      </c>
      <c r="M384" s="2" t="inlineStr">
        <is>
          <t>demo reviewer</t>
        </is>
      </c>
      <c r="N384" s="2" t="n"/>
      <c r="O384" s="3" t="inlineStr">
        <is>
          <t>https://vanillabonds.com/dossier-data/pdf/katjes/katjes-2024-annual-report.pdf#page=42</t>
        </is>
      </c>
      <c r="P384" s="3" t="inlineStr">
        <is>
          <t>https://vanillabonds.com/dossier.html?c=katjes&amp;viewer=1&amp;item=F383</t>
        </is>
      </c>
      <c r="Q384" s="2" t="inlineStr">
        <is>
          <t>no</t>
        </is>
      </c>
    </row>
    <row r="385">
      <c r="A385" s="2" t="inlineStr">
        <is>
          <t>F384</t>
        </is>
      </c>
      <c r="B385" s="2" t="inlineStr">
        <is>
          <t>financials</t>
        </is>
      </c>
      <c r="C385" s="2" t="inlineStr">
        <is>
          <t>gross_debt</t>
        </is>
      </c>
      <c r="D385" s="3" t="inlineStr">
        <is>
          <t>Gross financial debt (bonds + loans, excl. leases)</t>
        </is>
      </c>
      <c r="E385" s="2" t="inlineStr">
        <is>
          <t>FY2023</t>
        </is>
      </c>
      <c r="F385" s="2" t="n">
        <v>185.1</v>
      </c>
      <c r="G385" s="2" t="inlineStr">
        <is>
          <t>EUR m</t>
        </is>
      </c>
      <c r="H385" s="3" t="inlineStr">
        <is>
          <t>Financial liabilities per note 6.9 of 191.9 less lease liabilities 6.8: bond 115.0, banks and other 37.7 non-current + 30.2 current, interest liabilities 2.1 (incl. EUR 6.4m purchase-price liability for the Viersen site).</t>
        </is>
      </c>
      <c r="I385" s="2" t="inlineStr">
        <is>
          <t>S2</t>
        </is>
      </c>
      <c r="J385" s="2" t="n">
        <v>68</v>
      </c>
      <c r="K385" s="3" t="inlineStr">
        <is>
          <t>Total current liabilities 37.4 35.2 Total 189.4 191.9</t>
        </is>
      </c>
      <c r="L385" s="2" t="inlineStr">
        <is>
          <t>pend</t>
        </is>
      </c>
      <c r="M385" s="2" t="n"/>
      <c r="N385" s="3" t="inlineStr">
        <is>
          <t>conflict: S1·p72 191.9 vs S2·p68 185.1; primary per fact agent: S2 p68 - No restatement: S2 shows the same FY2023 total of 191.9 as S1 p72; the S1 fact keeps the 6.8 lease liabilities inside, which the field excludes, so the S2 fact of 185.1 applies, a subtraction the reviewer confirms (it includes the 6.4 Viersen site liability).</t>
        </is>
      </c>
      <c r="O385" s="3" t="inlineStr">
        <is>
          <t>https://vanillabonds.com/dossier-data/pdf/katjes/katjes-2024-annual-report.pdf#page=68</t>
        </is>
      </c>
      <c r="P385" s="3" t="inlineStr">
        <is>
          <t>https://vanillabonds.com/dossier.html?c=katjes&amp;viewer=1&amp;item=F384</t>
        </is>
      </c>
      <c r="Q385" s="2" t="inlineStr">
        <is>
          <t>yes</t>
        </is>
      </c>
    </row>
    <row r="386">
      <c r="A386" s="2" t="inlineStr">
        <is>
          <t>F385</t>
        </is>
      </c>
      <c r="B386" s="2" t="inlineStr">
        <is>
          <t>financials</t>
        </is>
      </c>
      <c r="C386" s="2" t="inlineStr">
        <is>
          <t>gross_debt</t>
        </is>
      </c>
      <c r="D386" s="3" t="inlineStr">
        <is>
          <t>Gross financial debt (bonds + loans, excl. leases)</t>
        </is>
      </c>
      <c r="E386" s="2" t="inlineStr">
        <is>
          <t>FY2024</t>
        </is>
      </c>
      <c r="F386" s="2" t="n">
        <v>176.2</v>
      </c>
      <c r="G386" s="2" t="inlineStr">
        <is>
          <t>EUR m</t>
        </is>
      </c>
      <c r="H386" s="3" t="inlineStr">
        <is>
          <t>Financial liabilities per note 6.9 of 189.4 less lease liabilities 13.2: bond 115.0, banks and other financial liabilities 27.5 non-current + 31.2 current, interest liabilities 2.5.</t>
        </is>
      </c>
      <c r="I386" s="2" t="inlineStr">
        <is>
          <t>S2</t>
        </is>
      </c>
      <c r="J386" s="2" t="n">
        <v>68</v>
      </c>
      <c r="K386" s="3" t="inlineStr">
        <is>
          <t>Total current liabilities 37.4 35.2 Total 189.4 191.9</t>
        </is>
      </c>
      <c r="L386" s="2" t="inlineStr">
        <is>
          <t>ok</t>
        </is>
      </c>
      <c r="M386" s="2" t="inlineStr">
        <is>
          <t>demo reviewer</t>
        </is>
      </c>
      <c r="N386" s="2" t="n"/>
      <c r="O386" s="3" t="inlineStr">
        <is>
          <t>https://vanillabonds.com/dossier-data/pdf/katjes/katjes-2024-annual-report.pdf#page=68</t>
        </is>
      </c>
      <c r="P386" s="3" t="inlineStr">
        <is>
          <t>https://vanillabonds.com/dossier.html?c=katjes&amp;viewer=1&amp;item=F385</t>
        </is>
      </c>
      <c r="Q386" s="2" t="inlineStr"/>
    </row>
    <row r="387">
      <c r="A387" s="2" t="inlineStr">
        <is>
          <t>F386</t>
        </is>
      </c>
      <c r="B387" s="2" t="inlineStr">
        <is>
          <t>financials</t>
        </is>
      </c>
      <c r="C387" s="2" t="inlineStr">
        <is>
          <t>lease_liabilities</t>
        </is>
      </c>
      <c r="D387" s="2" t="inlineStr">
        <is>
          <t>Lease liabilities</t>
        </is>
      </c>
      <c r="E387" s="2" t="inlineStr">
        <is>
          <t>FY2023</t>
        </is>
      </c>
      <c r="F387" s="2" t="n">
        <v>6.8</v>
      </c>
      <c r="G387" s="2" t="inlineStr">
        <is>
          <t>EUR m</t>
        </is>
      </c>
      <c r="H387" s="3" t="inlineStr">
        <is>
          <t>IFRS 16 lease liabilities at 31 Dec 2023: 2.9 current, 4.0 non-current.</t>
        </is>
      </c>
      <c r="I387" s="2" t="inlineStr">
        <is>
          <t>S2</t>
        </is>
      </c>
      <c r="J387" s="2" t="n">
        <v>69</v>
      </c>
      <c r="K387" s="3" t="inlineStr">
        <is>
          <t>More than five years 0.4 0.1 Total 13.2 6.8</t>
        </is>
      </c>
      <c r="L387" s="2" t="inlineStr">
        <is>
          <t>ok</t>
        </is>
      </c>
      <c r="M387" s="2" t="inlineStr">
        <is>
          <t>demo reviewer</t>
        </is>
      </c>
      <c r="N387" s="2" t="n"/>
      <c r="O387" s="3" t="inlineStr">
        <is>
          <t>https://vanillabonds.com/dossier-data/pdf/katjes/katjes-2024-annual-report.pdf#page=69</t>
        </is>
      </c>
      <c r="P387" s="3" t="inlineStr">
        <is>
          <t>https://vanillabonds.com/dossier.html?c=katjes&amp;viewer=1&amp;item=F386</t>
        </is>
      </c>
      <c r="Q387" s="2" t="inlineStr">
        <is>
          <t>yes</t>
        </is>
      </c>
    </row>
    <row r="388">
      <c r="A388" s="2" t="inlineStr">
        <is>
          <t>F387</t>
        </is>
      </c>
      <c r="B388" s="2" t="inlineStr">
        <is>
          <t>financials</t>
        </is>
      </c>
      <c r="C388" s="2" t="inlineStr">
        <is>
          <t>lease_liabilities</t>
        </is>
      </c>
      <c r="D388" s="2" t="inlineStr">
        <is>
          <t>Lease liabilities</t>
        </is>
      </c>
      <c r="E388" s="2" t="inlineStr">
        <is>
          <t>FY2024</t>
        </is>
      </c>
      <c r="F388" s="2" t="n">
        <v>13.2</v>
      </c>
      <c r="G388" s="2" t="inlineStr">
        <is>
          <t>EUR m</t>
        </is>
      </c>
      <c r="H388" s="3" t="inlineStr">
        <is>
          <t>IFRS 16 lease liabilities at 31 Dec 2024: 3.7 current, 9.5 non-current.</t>
        </is>
      </c>
      <c r="I388" s="2" t="inlineStr">
        <is>
          <t>S2</t>
        </is>
      </c>
      <c r="J388" s="2" t="n">
        <v>69</v>
      </c>
      <c r="K388" s="3" t="inlineStr">
        <is>
          <t>More than five years 0.4 0.1 Total 13.2 6.8</t>
        </is>
      </c>
      <c r="L388" s="2" t="inlineStr">
        <is>
          <t>ok</t>
        </is>
      </c>
      <c r="M388" s="2" t="inlineStr">
        <is>
          <t>demo reviewer</t>
        </is>
      </c>
      <c r="N388" s="2" t="n"/>
      <c r="O388" s="3" t="inlineStr">
        <is>
          <t>https://vanillabonds.com/dossier-data/pdf/katjes/katjes-2024-annual-report.pdf#page=69</t>
        </is>
      </c>
      <c r="P388" s="3" t="inlineStr">
        <is>
          <t>https://vanillabonds.com/dossier.html?c=katjes&amp;viewer=1&amp;item=F387</t>
        </is>
      </c>
      <c r="Q388" s="2" t="inlineStr">
        <is>
          <t>no</t>
        </is>
      </c>
    </row>
    <row r="389">
      <c r="A389" s="2" t="inlineStr">
        <is>
          <t>F388</t>
        </is>
      </c>
      <c r="B389" s="2" t="inlineStr">
        <is>
          <t>financials</t>
        </is>
      </c>
      <c r="C389" s="2" t="inlineStr">
        <is>
          <t>net_debt</t>
        </is>
      </c>
      <c r="D389" s="2" t="inlineStr">
        <is>
          <t>Net debt (as reported)</t>
        </is>
      </c>
      <c r="E389" s="2" t="inlineStr">
        <is>
          <t>FY2023</t>
        </is>
      </c>
      <c r="F389" s="2" t="n">
        <v>133.5</v>
      </c>
      <c r="G389" s="2" t="inlineStr">
        <is>
          <t>EUR m</t>
        </is>
      </c>
      <c r="H389" s="3" t="inlineStr">
        <is>
          <t>Net debt as reported (financial liabilities 191.9 incl. leases, less cash 58.4); leverage ratio 43%.</t>
        </is>
      </c>
      <c r="I389" s="2" t="inlineStr">
        <is>
          <t>S2</t>
        </is>
      </c>
      <c r="J389" s="2" t="n">
        <v>60</v>
      </c>
      <c r="K389" s="2" t="inlineStr">
        <is>
          <t>Net debt 135.4 133.5</t>
        </is>
      </c>
      <c r="L389" s="2" t="inlineStr">
        <is>
          <t>ok</t>
        </is>
      </c>
      <c r="M389" s="2" t="inlineStr">
        <is>
          <t>demo reviewer</t>
        </is>
      </c>
      <c r="N389" s="2" t="n"/>
      <c r="O389" s="3" t="inlineStr">
        <is>
          <t>https://vanillabonds.com/dossier-data/pdf/katjes/katjes-2024-annual-report.pdf#page=60</t>
        </is>
      </c>
      <c r="P389" s="3" t="inlineStr">
        <is>
          <t>https://vanillabonds.com/dossier.html?c=katjes&amp;viewer=1&amp;item=F388</t>
        </is>
      </c>
      <c r="Q389" s="2" t="inlineStr">
        <is>
          <t>yes</t>
        </is>
      </c>
    </row>
    <row r="390">
      <c r="A390" s="2" t="inlineStr">
        <is>
          <t>F389</t>
        </is>
      </c>
      <c r="B390" s="2" t="inlineStr">
        <is>
          <t>financials</t>
        </is>
      </c>
      <c r="C390" s="2" t="inlineStr">
        <is>
          <t>net_debt</t>
        </is>
      </c>
      <c r="D390" s="2" t="inlineStr">
        <is>
          <t>Net debt (as reported)</t>
        </is>
      </c>
      <c r="E390" s="2" t="inlineStr">
        <is>
          <t>FY2024</t>
        </is>
      </c>
      <c r="F390" s="2" t="n">
        <v>135.4</v>
      </c>
      <c r="G390" s="2" t="inlineStr">
        <is>
          <t>EUR m</t>
        </is>
      </c>
      <c r="H390" s="3" t="inlineStr">
        <is>
          <t>Net debt as reported (total financial liabilities 189.4 incl. leases, less cash 54.0); leverage ratio net debt / total capital 43%.</t>
        </is>
      </c>
      <c r="I390" s="2" t="inlineStr">
        <is>
          <t>S2</t>
        </is>
      </c>
      <c r="J390" s="2" t="n">
        <v>60</v>
      </c>
      <c r="K390" s="2" t="inlineStr">
        <is>
          <t>Net debt 135.4 133.5</t>
        </is>
      </c>
      <c r="L390" s="2" t="inlineStr">
        <is>
          <t>ok</t>
        </is>
      </c>
      <c r="M390" s="2" t="inlineStr">
        <is>
          <t>demo reviewer</t>
        </is>
      </c>
      <c r="N390" s="2" t="n"/>
      <c r="O390" s="3" t="inlineStr">
        <is>
          <t>https://vanillabonds.com/dossier-data/pdf/katjes/katjes-2024-annual-report.pdf#page=60</t>
        </is>
      </c>
      <c r="P390" s="3" t="inlineStr">
        <is>
          <t>https://vanillabonds.com/dossier.html?c=katjes&amp;viewer=1&amp;item=F389</t>
        </is>
      </c>
      <c r="Q390" s="2" t="inlineStr">
        <is>
          <t>no</t>
        </is>
      </c>
    </row>
    <row r="391">
      <c r="A391" s="2" t="inlineStr">
        <is>
          <t>F390</t>
        </is>
      </c>
      <c r="B391" s="2" t="inlineStr">
        <is>
          <t>financials</t>
        </is>
      </c>
      <c r="C391" s="2" t="inlineStr">
        <is>
          <t>equity</t>
        </is>
      </c>
      <c r="D391" s="2" t="inlineStr">
        <is>
          <t>Total equity</t>
        </is>
      </c>
      <c r="E391" s="2" t="inlineStr">
        <is>
          <t>FY2023</t>
        </is>
      </c>
      <c r="F391" s="2" t="n">
        <v>176</v>
      </c>
      <c r="G391" s="2" t="inlineStr">
        <is>
          <t>EUR m</t>
        </is>
      </c>
      <c r="H391" s="3" t="inlineStr">
        <is>
          <t>Total equity at 31 Dec 2023; shareholders' equity 173.0, non-controlling interests 3.0; equity ratio 36.9%.</t>
        </is>
      </c>
      <c r="I391" s="2" t="inlineStr">
        <is>
          <t>S2</t>
        </is>
      </c>
      <c r="J391" s="2" t="n">
        <v>43</v>
      </c>
      <c r="K391" s="2" t="inlineStr">
        <is>
          <t>Total equity 6.8 176.2 176.0</t>
        </is>
      </c>
      <c r="L391" s="2" t="inlineStr">
        <is>
          <t>ok</t>
        </is>
      </c>
      <c r="M391" s="2" t="inlineStr">
        <is>
          <t>demo reviewer</t>
        </is>
      </c>
      <c r="N391" s="2" t="n"/>
      <c r="O391" s="3" t="inlineStr">
        <is>
          <t>https://vanillabonds.com/dossier-data/pdf/katjes/katjes-2024-annual-report.pdf#page=43</t>
        </is>
      </c>
      <c r="P391" s="3" t="inlineStr">
        <is>
          <t>https://vanillabonds.com/dossier.html?c=katjes&amp;viewer=1&amp;item=F390</t>
        </is>
      </c>
      <c r="Q391" s="2" t="inlineStr">
        <is>
          <t>no</t>
        </is>
      </c>
    </row>
    <row r="392">
      <c r="A392" s="2" t="inlineStr">
        <is>
          <t>F391</t>
        </is>
      </c>
      <c r="B392" s="2" t="inlineStr">
        <is>
          <t>financials</t>
        </is>
      </c>
      <c r="C392" s="2" t="inlineStr">
        <is>
          <t>equity</t>
        </is>
      </c>
      <c r="D392" s="2" t="inlineStr">
        <is>
          <t>Total equity</t>
        </is>
      </c>
      <c r="E392" s="2" t="inlineStr">
        <is>
          <t>FY2024</t>
        </is>
      </c>
      <c r="F392" s="2" t="n">
        <v>176.2</v>
      </c>
      <c r="G392" s="2" t="inlineStr">
        <is>
          <t>EUR m</t>
        </is>
      </c>
      <c r="H392" s="3" t="inlineStr">
        <is>
          <t>Total equity at 31 Dec 2024; shareholders' equity 175.0, non-controlling interests 1.2; equity ratio 35.9%.</t>
        </is>
      </c>
      <c r="I392" s="2" t="inlineStr">
        <is>
          <t>S2</t>
        </is>
      </c>
      <c r="J392" s="2" t="n">
        <v>43</v>
      </c>
      <c r="K392" s="2" t="inlineStr">
        <is>
          <t>Total equity 6.8 176.2 176.0</t>
        </is>
      </c>
      <c r="L392" s="2" t="inlineStr">
        <is>
          <t>ok</t>
        </is>
      </c>
      <c r="M392" s="2" t="inlineStr">
        <is>
          <t>demo reviewer</t>
        </is>
      </c>
      <c r="N392" s="2" t="n"/>
      <c r="O392" s="3" t="inlineStr">
        <is>
          <t>https://vanillabonds.com/dossier-data/pdf/katjes/katjes-2024-annual-report.pdf#page=43</t>
        </is>
      </c>
      <c r="P392" s="3" t="inlineStr">
        <is>
          <t>https://vanillabonds.com/dossier.html?c=katjes&amp;viewer=1&amp;item=F391</t>
        </is>
      </c>
      <c r="Q392" s="2" t="inlineStr">
        <is>
          <t>no</t>
        </is>
      </c>
    </row>
    <row r="393">
      <c r="A393" s="2" t="inlineStr">
        <is>
          <t>F392</t>
        </is>
      </c>
      <c r="B393" s="2" t="inlineStr">
        <is>
          <t>financials</t>
        </is>
      </c>
      <c r="C393" s="2" t="inlineStr">
        <is>
          <t>total_assets</t>
        </is>
      </c>
      <c r="D393" s="2" t="inlineStr">
        <is>
          <t>Total assets</t>
        </is>
      </c>
      <c r="E393" s="2" t="inlineStr">
        <is>
          <t>FY2023</t>
        </is>
      </c>
      <c r="F393" s="2" t="n">
        <v>477.6</v>
      </c>
      <c r="G393" s="2" t="inlineStr">
        <is>
          <t>EUR m</t>
        </is>
      </c>
      <c r="H393" s="3" t="inlineStr">
        <is>
          <t>Total assets at 31 Dec 2023; non-current 313.0, current 164.6.</t>
        </is>
      </c>
      <c r="I393" s="2" t="inlineStr">
        <is>
          <t>S2</t>
        </is>
      </c>
      <c r="J393" s="2" t="n">
        <v>42</v>
      </c>
      <c r="K393" s="2" t="inlineStr">
        <is>
          <t>Total assets 491.7 477.6</t>
        </is>
      </c>
      <c r="L393" s="2" t="inlineStr">
        <is>
          <t>ok</t>
        </is>
      </c>
      <c r="M393" s="2" t="inlineStr">
        <is>
          <t>demo reviewer</t>
        </is>
      </c>
      <c r="N393" s="2" t="n"/>
      <c r="O393" s="3" t="inlineStr">
        <is>
          <t>https://vanillabonds.com/dossier-data/pdf/katjes/katjes-2024-annual-report.pdf#page=42</t>
        </is>
      </c>
      <c r="P393" s="3" t="inlineStr">
        <is>
          <t>https://vanillabonds.com/dossier.html?c=katjes&amp;viewer=1&amp;item=F392</t>
        </is>
      </c>
      <c r="Q393" s="2" t="inlineStr">
        <is>
          <t>yes</t>
        </is>
      </c>
    </row>
    <row r="394">
      <c r="A394" s="2" t="inlineStr">
        <is>
          <t>F393</t>
        </is>
      </c>
      <c r="B394" s="2" t="inlineStr">
        <is>
          <t>financials</t>
        </is>
      </c>
      <c r="C394" s="2" t="inlineStr">
        <is>
          <t>total_assets</t>
        </is>
      </c>
      <c r="D394" s="2" t="inlineStr">
        <is>
          <t>Total assets</t>
        </is>
      </c>
      <c r="E394" s="2" t="inlineStr">
        <is>
          <t>FY2024</t>
        </is>
      </c>
      <c r="F394" s="2" t="n">
        <v>491.7</v>
      </c>
      <c r="G394" s="2" t="inlineStr">
        <is>
          <t>EUR m</t>
        </is>
      </c>
      <c r="H394" s="3" t="inlineStr">
        <is>
          <t>Total assets at 31 Dec 2024; non-current 324.8, current 166.9.</t>
        </is>
      </c>
      <c r="I394" s="2" t="inlineStr">
        <is>
          <t>S2</t>
        </is>
      </c>
      <c r="J394" s="2" t="n">
        <v>42</v>
      </c>
      <c r="K394" s="2" t="inlineStr">
        <is>
          <t>Total assets 491.7 477.6</t>
        </is>
      </c>
      <c r="L394" s="2" t="inlineStr">
        <is>
          <t>ok</t>
        </is>
      </c>
      <c r="M394" s="2" t="inlineStr">
        <is>
          <t>demo reviewer</t>
        </is>
      </c>
      <c r="N394" s="2" t="n"/>
      <c r="O394" s="3" t="inlineStr">
        <is>
          <t>https://vanillabonds.com/dossier-data/pdf/katjes/katjes-2024-annual-report.pdf#page=42</t>
        </is>
      </c>
      <c r="P394" s="3" t="inlineStr">
        <is>
          <t>https://vanillabonds.com/dossier.html?c=katjes&amp;viewer=1&amp;item=F393</t>
        </is>
      </c>
      <c r="Q394" s="2" t="inlineStr">
        <is>
          <t>no</t>
        </is>
      </c>
    </row>
    <row r="395">
      <c r="A395" s="2" t="inlineStr">
        <is>
          <t>F394</t>
        </is>
      </c>
      <c r="B395" s="2" t="inlineStr">
        <is>
          <t>debt</t>
        </is>
      </c>
      <c r="C395" s="2" t="inlineStr">
        <is>
          <t>debt_instrument</t>
        </is>
      </c>
      <c r="D395" s="2" t="inlineStr">
        <is>
          <t>Debt instrument</t>
        </is>
      </c>
      <c r="E395" s="2" t="n"/>
      <c r="F395" s="2" t="n">
        <v>6.7</v>
      </c>
      <c r="G395" s="2" t="n"/>
      <c r="H395" s="3" t="inlineStr">
        <is>
          <t>Hire purchase liabilities EUR 6.7m at 31 Dec 2024, of which 5.5 current (2023: 3.0, of which 1.8 current).</t>
        </is>
      </c>
      <c r="I395" s="2" t="inlineStr">
        <is>
          <t>S2</t>
        </is>
      </c>
      <c r="J395" s="2" t="n">
        <v>60</v>
      </c>
      <c r="K395" s="3" t="inlineStr">
        <is>
          <t>liabilities from hire purchase agreements totaling EUR 6.7 million (of which EUR 5.5 million current) are included (2023: EUR 3.0 million</t>
        </is>
      </c>
      <c r="L395" s="2" t="inlineStr">
        <is>
          <t>ok</t>
        </is>
      </c>
      <c r="M395" s="2" t="inlineStr">
        <is>
          <t>demo reviewer</t>
        </is>
      </c>
      <c r="N395" s="2" t="n"/>
      <c r="O395" s="3" t="inlineStr">
        <is>
          <t>https://vanillabonds.com/dossier-data/pdf/katjes/katjes-2024-annual-report.pdf#page=60</t>
        </is>
      </c>
      <c r="P395" s="3" t="inlineStr">
        <is>
          <t>https://vanillabonds.com/dossier.html?c=katjes&amp;viewer=1&amp;item=F394</t>
        </is>
      </c>
      <c r="Q395" s="2" t="inlineStr"/>
    </row>
    <row r="396">
      <c r="A396" s="2" t="inlineStr">
        <is>
          <t>F395</t>
        </is>
      </c>
      <c r="B396" s="2" t="inlineStr">
        <is>
          <t>debt</t>
        </is>
      </c>
      <c r="C396" s="2" t="inlineStr">
        <is>
          <t>debt_instrument</t>
        </is>
      </c>
      <c r="D396" s="2" t="inlineStr">
        <is>
          <t>Debt instrument</t>
        </is>
      </c>
      <c r="E396" s="2" t="n"/>
      <c r="F396" s="2" t="n">
        <v>50.4</v>
      </c>
      <c r="G396" s="2" t="n"/>
      <c r="H396" s="3" t="inlineStr">
        <is>
          <t>Liabilities to financial institutions EUR 50.4m at 31 Dec 2024 (2023: 56.3); accrued bond interest 2.1 (2023: 2.1).</t>
        </is>
      </c>
      <c r="I396" s="2" t="inlineStr">
        <is>
          <t>S2</t>
        </is>
      </c>
      <c r="J396" s="2" t="n">
        <v>60</v>
      </c>
      <c r="K396" s="3" t="inlineStr">
        <is>
          <t>liabilities to financial institutions amounting to EUR 50.4 million (2023: EUR 56.3 million)</t>
        </is>
      </c>
      <c r="L396" s="2" t="inlineStr">
        <is>
          <t>ok</t>
        </is>
      </c>
      <c r="M396" s="2" t="inlineStr">
        <is>
          <t>demo reviewer</t>
        </is>
      </c>
      <c r="N396" s="2" t="n"/>
      <c r="O396" s="3" t="inlineStr">
        <is>
          <t>https://vanillabonds.com/dossier-data/pdf/katjes/katjes-2024-annual-report.pdf#page=60</t>
        </is>
      </c>
      <c r="P396" s="3" t="inlineStr">
        <is>
          <t>https://vanillabonds.com/dossier.html?c=katjes&amp;viewer=1&amp;item=F395</t>
        </is>
      </c>
      <c r="Q396" s="2" t="inlineStr"/>
    </row>
    <row r="397">
      <c r="A397" s="2" t="inlineStr">
        <is>
          <t>F396</t>
        </is>
      </c>
      <c r="B397" s="2" t="inlineStr">
        <is>
          <t>debt</t>
        </is>
      </c>
      <c r="C397" s="2" t="inlineStr">
        <is>
          <t>debt_instrument</t>
        </is>
      </c>
      <c r="D397" s="2" t="inlineStr">
        <is>
          <t>Debt instrument</t>
        </is>
      </c>
      <c r="E397" s="2" t="n"/>
      <c r="F397" s="2" t="n">
        <v>115</v>
      </c>
      <c r="G397" s="2" t="n"/>
      <c r="H397" s="3" t="inlineStr">
        <is>
          <t>Corporate bond 2023/2028, EUR 115.0m outstanding at 31 Dec 2024 and 2023, fixed coupon 6.75%, issued September 2023, no security or ranking stated.</t>
        </is>
      </c>
      <c r="I397" s="2" t="inlineStr">
        <is>
          <t>S2</t>
        </is>
      </c>
      <c r="J397" s="2" t="n">
        <v>65</v>
      </c>
      <c r="K397" s="2" t="inlineStr">
        <is>
          <t>Corporate bond 6.75 115.0 115.0</t>
        </is>
      </c>
      <c r="L397" s="2" t="inlineStr">
        <is>
          <t>ok</t>
        </is>
      </c>
      <c r="M397" s="2" t="inlineStr">
        <is>
          <t>demo reviewer</t>
        </is>
      </c>
      <c r="N397" s="2" t="n"/>
      <c r="O397" s="3" t="inlineStr">
        <is>
          <t>https://vanillabonds.com/dossier-data/pdf/katjes/katjes-2024-annual-report.pdf#page=65</t>
        </is>
      </c>
      <c r="P397" s="3" t="inlineStr">
        <is>
          <t>https://vanillabonds.com/dossier.html?c=katjes&amp;viewer=1&amp;item=F396</t>
        </is>
      </c>
      <c r="Q397" s="2" t="inlineStr"/>
    </row>
    <row r="398">
      <c r="A398" s="2" t="inlineStr">
        <is>
          <t>F397</t>
        </is>
      </c>
      <c r="B398" s="2" t="inlineStr">
        <is>
          <t>debt</t>
        </is>
      </c>
      <c r="C398" s="2" t="inlineStr">
        <is>
          <t>debt_instrument</t>
        </is>
      </c>
      <c r="D398" s="2" t="inlineStr">
        <is>
          <t>Debt instrument</t>
        </is>
      </c>
      <c r="E398" s="2" t="n"/>
      <c r="F398" s="2" t="n">
        <v>20.9</v>
      </c>
      <c r="G398" s="2" t="n"/>
      <c r="H398" s="3" t="inlineStr">
        <is>
          <t>Bank loan with original amount kEUR 24,000, interest 5.6%, EUR 20.9m outstanding at 31 Dec 2024 (2023: 24.0); lender and maturity not named.</t>
        </is>
      </c>
      <c r="I398" s="2" t="inlineStr">
        <is>
          <t>S2</t>
        </is>
      </c>
      <c r="J398" s="2" t="n">
        <v>65</v>
      </c>
      <c r="K398" s="2" t="inlineStr">
        <is>
          <t>Bank loan kEUR 24.000 5.6 20.9 24.0</t>
        </is>
      </c>
      <c r="L398" s="2" t="inlineStr">
        <is>
          <t>ok</t>
        </is>
      </c>
      <c r="M398" s="2" t="inlineStr">
        <is>
          <t>demo reviewer</t>
        </is>
      </c>
      <c r="N398" s="2" t="n"/>
      <c r="O398" s="3" t="inlineStr">
        <is>
          <t>https://vanillabonds.com/dossier-data/pdf/katjes/katjes-2024-annual-report.pdf#page=65</t>
        </is>
      </c>
      <c r="P398" s="3" t="inlineStr">
        <is>
          <t>https://vanillabonds.com/dossier.html?c=katjes&amp;viewer=1&amp;item=F397</t>
        </is>
      </c>
      <c r="Q398" s="2" t="inlineStr"/>
    </row>
    <row r="399">
      <c r="A399" s="2" t="inlineStr">
        <is>
          <t>F398</t>
        </is>
      </c>
      <c r="B399" s="2" t="inlineStr">
        <is>
          <t>debt</t>
        </is>
      </c>
      <c r="C399" s="2" t="inlineStr">
        <is>
          <t>debt_instrument</t>
        </is>
      </c>
      <c r="D399" s="2" t="inlineStr">
        <is>
          <t>Debt instrument</t>
        </is>
      </c>
      <c r="E399" s="2" t="n"/>
      <c r="F399" s="2" t="n">
        <v>3.7</v>
      </c>
      <c r="G399" s="2" t="n"/>
      <c r="H399" s="3" t="inlineStr">
        <is>
          <t>Bank loan with original amount kEUR 11,700, interest 2.9%, EUR 3.7m outstanding at 31 Dec 2024 (2023: 6.0).</t>
        </is>
      </c>
      <c r="I399" s="2" t="inlineStr">
        <is>
          <t>S2</t>
        </is>
      </c>
      <c r="J399" s="2" t="n">
        <v>65</v>
      </c>
      <c r="K399" s="2" t="inlineStr">
        <is>
          <t>Bank loan kEUR 11.700 2.9 3.7 6.0</t>
        </is>
      </c>
      <c r="L399" s="2" t="inlineStr">
        <is>
          <t>ok</t>
        </is>
      </c>
      <c r="M399" s="2" t="inlineStr">
        <is>
          <t>demo reviewer</t>
        </is>
      </c>
      <c r="N399" s="2" t="n"/>
      <c r="O399" s="3" t="inlineStr">
        <is>
          <t>https://vanillabonds.com/dossier-data/pdf/katjes/katjes-2024-annual-report.pdf#page=65</t>
        </is>
      </c>
      <c r="P399" s="3" t="inlineStr">
        <is>
          <t>https://vanillabonds.com/dossier.html?c=katjes&amp;viewer=1&amp;item=F398</t>
        </is>
      </c>
      <c r="Q399" s="2" t="inlineStr"/>
    </row>
    <row r="400">
      <c r="A400" s="2" t="inlineStr">
        <is>
          <t>F399</t>
        </is>
      </c>
      <c r="B400" s="2" t="inlineStr">
        <is>
          <t>debt</t>
        </is>
      </c>
      <c r="C400" s="2" t="inlineStr">
        <is>
          <t>debt_instrument</t>
        </is>
      </c>
      <c r="D400" s="2" t="inlineStr">
        <is>
          <t>Debt instrument</t>
        </is>
      </c>
      <c r="E400" s="2" t="n"/>
      <c r="F400" s="2" t="n">
        <v>5</v>
      </c>
      <c r="G400" s="2" t="n"/>
      <c r="H400" s="3" t="inlineStr">
        <is>
          <t>Bank loan with original amount kEUR 5,000, interest 4.98%, EUR 5.0m outstanding at 31 Dec 2024 (2023: 5.0).</t>
        </is>
      </c>
      <c r="I400" s="2" t="inlineStr">
        <is>
          <t>S2</t>
        </is>
      </c>
      <c r="J400" s="2" t="n">
        <v>65</v>
      </c>
      <c r="K400" s="2" t="inlineStr">
        <is>
          <t>Bank loan kEUR 5.000 4.98 5.0 5.0</t>
        </is>
      </c>
      <c r="L400" s="2" t="inlineStr">
        <is>
          <t>ok</t>
        </is>
      </c>
      <c r="M400" s="2" t="inlineStr">
        <is>
          <t>demo reviewer</t>
        </is>
      </c>
      <c r="N400" s="2" t="n"/>
      <c r="O400" s="3" t="inlineStr">
        <is>
          <t>https://vanillabonds.com/dossier-data/pdf/katjes/katjes-2024-annual-report.pdf#page=65</t>
        </is>
      </c>
      <c r="P400" s="3" t="inlineStr">
        <is>
          <t>https://vanillabonds.com/dossier.html?c=katjes&amp;viewer=1&amp;item=F399</t>
        </is>
      </c>
      <c r="Q400" s="2" t="inlineStr"/>
    </row>
    <row r="401">
      <c r="A401" s="2" t="inlineStr">
        <is>
          <t>F400</t>
        </is>
      </c>
      <c r="B401" s="2" t="inlineStr">
        <is>
          <t>debt</t>
        </is>
      </c>
      <c r="C401" s="2" t="inlineStr">
        <is>
          <t>debt_instrument</t>
        </is>
      </c>
      <c r="D401" s="2" t="inlineStr">
        <is>
          <t>Debt instrument</t>
        </is>
      </c>
      <c r="E401" s="2" t="n"/>
      <c r="F401" s="2" t="n">
        <v>3.1</v>
      </c>
      <c r="G401" s="2" t="n"/>
      <c r="H401" s="3" t="inlineStr">
        <is>
          <t>Bank loan with original amount kEUR 5,000, interest 8.5%, EUR 3.1m outstanding at 31 Dec 2024 (2023: 4.4).</t>
        </is>
      </c>
      <c r="I401" s="2" t="inlineStr">
        <is>
          <t>S2</t>
        </is>
      </c>
      <c r="J401" s="2" t="n">
        <v>65</v>
      </c>
      <c r="K401" s="2" t="inlineStr">
        <is>
          <t>Bank loan kEUR 5.000 8.5 3.1 4.4</t>
        </is>
      </c>
      <c r="L401" s="2" t="inlineStr">
        <is>
          <t>ok</t>
        </is>
      </c>
      <c r="M401" s="2" t="inlineStr">
        <is>
          <t>demo reviewer</t>
        </is>
      </c>
      <c r="N401" s="2" t="n"/>
      <c r="O401" s="3" t="inlineStr">
        <is>
          <t>https://vanillabonds.com/dossier-data/pdf/katjes/katjes-2024-annual-report.pdf#page=65</t>
        </is>
      </c>
      <c r="P401" s="3" t="inlineStr">
        <is>
          <t>https://vanillabonds.com/dossier.html?c=katjes&amp;viewer=1&amp;item=F400</t>
        </is>
      </c>
      <c r="Q401" s="2" t="inlineStr"/>
    </row>
    <row r="402">
      <c r="A402" s="2" t="inlineStr">
        <is>
          <t>F401</t>
        </is>
      </c>
      <c r="B402" s="2" t="inlineStr">
        <is>
          <t>debt</t>
        </is>
      </c>
      <c r="C402" s="2" t="inlineStr">
        <is>
          <t>debt_instrument</t>
        </is>
      </c>
      <c r="D402" s="2" t="inlineStr">
        <is>
          <t>Debt instrument</t>
        </is>
      </c>
      <c r="E402" s="2" t="n"/>
      <c r="F402" s="2" t="n">
        <v>0</v>
      </c>
      <c r="G402" s="2" t="n"/>
      <c r="H402" s="3" t="inlineStr">
        <is>
          <t>Bank loan with original amount kEUR 5,000, interest 0.7%, fully repaid: EUR 0.0m at 31 Dec 2024 (2023: 1.7).</t>
        </is>
      </c>
      <c r="I402" s="2" t="inlineStr">
        <is>
          <t>S2</t>
        </is>
      </c>
      <c r="J402" s="2" t="n">
        <v>65</v>
      </c>
      <c r="K402" s="2" t="inlineStr">
        <is>
          <t>Bank loan kEUR 5.000 0.7 0.0 1.7</t>
        </is>
      </c>
      <c r="L402" s="2" t="inlineStr">
        <is>
          <t>ok</t>
        </is>
      </c>
      <c r="M402" s="2" t="inlineStr">
        <is>
          <t>demo reviewer</t>
        </is>
      </c>
      <c r="N402" s="2" t="n"/>
      <c r="O402" s="3" t="inlineStr">
        <is>
          <t>https://vanillabonds.com/dossier-data/pdf/katjes/katjes-2024-annual-report.pdf#page=65</t>
        </is>
      </c>
      <c r="P402" s="3" t="inlineStr">
        <is>
          <t>https://vanillabonds.com/dossier.html?c=katjes&amp;viewer=1&amp;item=F401</t>
        </is>
      </c>
      <c r="Q402" s="2" t="inlineStr"/>
    </row>
    <row r="403">
      <c r="A403" s="2" t="inlineStr">
        <is>
          <t>F402</t>
        </is>
      </c>
      <c r="B403" s="2" t="inlineStr">
        <is>
          <t>debt</t>
        </is>
      </c>
      <c r="C403" s="2" t="inlineStr">
        <is>
          <t>debt_instrument</t>
        </is>
      </c>
      <c r="D403" s="2" t="inlineStr">
        <is>
          <t>Debt instrument</t>
        </is>
      </c>
      <c r="E403" s="2" t="n"/>
      <c r="F403" s="2" t="n">
        <v>0.4</v>
      </c>
      <c r="G403" s="2" t="n"/>
      <c r="H403" s="3" t="inlineStr">
        <is>
          <t>Bank loan with original amount kEUR 3,000, interest 2.0%, EUR 0.4m outstanding at 31 Dec 2024 (2023: 1.1).</t>
        </is>
      </c>
      <c r="I403" s="2" t="inlineStr">
        <is>
          <t>S2</t>
        </is>
      </c>
      <c r="J403" s="2" t="n">
        <v>65</v>
      </c>
      <c r="K403" s="2" t="inlineStr">
        <is>
          <t>Bank loan kEUR 3.000 2.0 0.4 1.1</t>
        </is>
      </c>
      <c r="L403" s="2" t="inlineStr">
        <is>
          <t>ok</t>
        </is>
      </c>
      <c r="M403" s="2" t="inlineStr">
        <is>
          <t>demo reviewer</t>
        </is>
      </c>
      <c r="N403" s="2" t="n"/>
      <c r="O403" s="3" t="inlineStr">
        <is>
          <t>https://vanillabonds.com/dossier-data/pdf/katjes/katjes-2024-annual-report.pdf#page=65</t>
        </is>
      </c>
      <c r="P403" s="3" t="inlineStr">
        <is>
          <t>https://vanillabonds.com/dossier.html?c=katjes&amp;viewer=1&amp;item=F402</t>
        </is>
      </c>
      <c r="Q403" s="2" t="inlineStr"/>
    </row>
    <row r="404">
      <c r="A404" s="2" t="inlineStr">
        <is>
          <t>F403</t>
        </is>
      </c>
      <c r="B404" s="2" t="inlineStr">
        <is>
          <t>debt</t>
        </is>
      </c>
      <c r="C404" s="2" t="inlineStr">
        <is>
          <t>debt_instrument</t>
        </is>
      </c>
      <c r="D404" s="2" t="inlineStr">
        <is>
          <t>Debt instrument</t>
        </is>
      </c>
      <c r="E404" s="2" t="n"/>
      <c r="F404" s="2" t="n">
        <v>0</v>
      </c>
      <c r="G404" s="2" t="n"/>
      <c r="H404" s="3" t="inlineStr">
        <is>
          <t>Bank loan with original amount kEUR 3,000, interest 1.8%, fully repaid: EUR 0.0m at 31 Dec 2024 (2023: 0.3).</t>
        </is>
      </c>
      <c r="I404" s="2" t="inlineStr">
        <is>
          <t>S2</t>
        </is>
      </c>
      <c r="J404" s="2" t="n">
        <v>65</v>
      </c>
      <c r="K404" s="2" t="inlineStr">
        <is>
          <t>Bank loan kEUR 3.000 1.8 0.0 0.3</t>
        </is>
      </c>
      <c r="L404" s="2" t="inlineStr">
        <is>
          <t>ok</t>
        </is>
      </c>
      <c r="M404" s="2" t="inlineStr">
        <is>
          <t>demo reviewer</t>
        </is>
      </c>
      <c r="N404" s="2" t="n"/>
      <c r="O404" s="3" t="inlineStr">
        <is>
          <t>https://vanillabonds.com/dossier-data/pdf/katjes/katjes-2024-annual-report.pdf#page=65</t>
        </is>
      </c>
      <c r="P404" s="3" t="inlineStr">
        <is>
          <t>https://vanillabonds.com/dossier.html?c=katjes&amp;viewer=1&amp;item=F403</t>
        </is>
      </c>
      <c r="Q404" s="2" t="inlineStr"/>
    </row>
    <row r="405">
      <c r="A405" s="2" t="inlineStr">
        <is>
          <t>F404</t>
        </is>
      </c>
      <c r="B405" s="2" t="inlineStr">
        <is>
          <t>debt</t>
        </is>
      </c>
      <c r="C405" s="2" t="inlineStr">
        <is>
          <t>debt_instrument</t>
        </is>
      </c>
      <c r="D405" s="2" t="inlineStr">
        <is>
          <t>Debt instrument</t>
        </is>
      </c>
      <c r="E405" s="2" t="n"/>
      <c r="F405" s="2" t="n">
        <v>24</v>
      </c>
      <c r="G405" s="2" t="n"/>
      <c r="H405" s="3" t="inlineStr">
        <is>
          <t>Other loans, variable and fixed rates, EUR 24.0m at 31 Dec 2024 (2023: 16.9).</t>
        </is>
      </c>
      <c r="I405" s="2" t="inlineStr">
        <is>
          <t>S2</t>
        </is>
      </c>
      <c r="J405" s="2" t="n">
        <v>65</v>
      </c>
      <c r="K405" s="2" t="inlineStr">
        <is>
          <t>Other loans Variable and fixed 24.0 16.9</t>
        </is>
      </c>
      <c r="L405" s="2" t="inlineStr">
        <is>
          <t>ok</t>
        </is>
      </c>
      <c r="M405" s="2" t="inlineStr">
        <is>
          <t>demo reviewer</t>
        </is>
      </c>
      <c r="N405" s="2" t="n"/>
      <c r="O405" s="3" t="inlineStr">
        <is>
          <t>https://vanillabonds.com/dossier-data/pdf/katjes/katjes-2024-annual-report.pdf#page=65</t>
        </is>
      </c>
      <c r="P405" s="3" t="inlineStr">
        <is>
          <t>https://vanillabonds.com/dossier.html?c=katjes&amp;viewer=1&amp;item=F404</t>
        </is>
      </c>
      <c r="Q405" s="2" t="inlineStr"/>
    </row>
    <row r="406">
      <c r="A406" s="2" t="inlineStr">
        <is>
          <t>F405</t>
        </is>
      </c>
      <c r="B406" s="2" t="inlineStr">
        <is>
          <t>debt</t>
        </is>
      </c>
      <c r="C406" s="2" t="inlineStr">
        <is>
          <t>debt_instrument</t>
        </is>
      </c>
      <c r="D406" s="2" t="inlineStr">
        <is>
          <t>Debt instrument</t>
        </is>
      </c>
      <c r="E406" s="2" t="n"/>
      <c r="F406" s="2" t="n">
        <v>14.7</v>
      </c>
      <c r="G406" s="2" t="n"/>
      <c r="H406" s="3" t="inlineStr">
        <is>
          <t>Other financial interest-bearing liabilities, variable and fixed rates, EUR 14.7m at 31 Dec 2024 (2023: 15.3).</t>
        </is>
      </c>
      <c r="I406" s="2" t="inlineStr">
        <is>
          <t>S2</t>
        </is>
      </c>
      <c r="J406" s="2" t="n">
        <v>65</v>
      </c>
      <c r="K406" s="3" t="inlineStr">
        <is>
          <t>Other financial interest-bearing liabilities Variable and fixed 14.7 15.3</t>
        </is>
      </c>
      <c r="L406" s="2" t="inlineStr">
        <is>
          <t>ok</t>
        </is>
      </c>
      <c r="M406" s="2" t="inlineStr">
        <is>
          <t>demo reviewer</t>
        </is>
      </c>
      <c r="N406" s="2" t="n"/>
      <c r="O406" s="3" t="inlineStr">
        <is>
          <t>https://vanillabonds.com/dossier-data/pdf/katjes/katjes-2024-annual-report.pdf#page=65</t>
        </is>
      </c>
      <c r="P406" s="3" t="inlineStr">
        <is>
          <t>https://vanillabonds.com/dossier.html?c=katjes&amp;viewer=1&amp;item=F405</t>
        </is>
      </c>
      <c r="Q406" s="2" t="inlineStr"/>
    </row>
    <row r="407">
      <c r="A407" s="2" t="inlineStr">
        <is>
          <t>F406</t>
        </is>
      </c>
      <c r="B407" s="2" t="inlineStr">
        <is>
          <t>debt</t>
        </is>
      </c>
      <c r="C407" s="2" t="inlineStr">
        <is>
          <t>debt_instrument</t>
        </is>
      </c>
      <c r="D407" s="2" t="inlineStr">
        <is>
          <t>Debt instrument</t>
        </is>
      </c>
      <c r="E407" s="2" t="n"/>
      <c r="F407" s="2" t="n">
        <v>3</v>
      </c>
      <c r="G407" s="2" t="n"/>
      <c r="H407" s="3" t="inlineStr">
        <is>
          <t>Supplier financing arrangement with a bank: EUR 3.0m recognised as liability to banks at 31 Dec 2024, of which 2.7 already paid out to suppliers; average payment term about 60 to 75 days.</t>
        </is>
      </c>
      <c r="I407" s="2" t="inlineStr">
        <is>
          <t>S2</t>
        </is>
      </c>
      <c r="J407" s="2" t="n">
        <v>69</v>
      </c>
      <c r="K407" s="3" t="inlineStr">
        <is>
          <t>As of 31 December 2024, an amount of EUR 3.0 million is recognized under financial liabilities as a liability to banks, of which EUR 2.7 million had already been paid out to the original suppliers.</t>
        </is>
      </c>
      <c r="L407" s="2" t="inlineStr">
        <is>
          <t>ok</t>
        </is>
      </c>
      <c r="M407" s="2" t="inlineStr">
        <is>
          <t>demo reviewer</t>
        </is>
      </c>
      <c r="N407" s="2" t="n"/>
      <c r="O407" s="3" t="inlineStr">
        <is>
          <t>https://vanillabonds.com/dossier-data/pdf/katjes/katjes-2024-annual-report.pdf#page=69</t>
        </is>
      </c>
      <c r="P407" s="3" t="inlineStr">
        <is>
          <t>https://vanillabonds.com/dossier.html?c=katjes&amp;viewer=1&amp;item=F406</t>
        </is>
      </c>
      <c r="Q407" s="2" t="inlineStr"/>
    </row>
    <row r="408">
      <c r="A408" s="2" t="inlineStr">
        <is>
          <t>F407</t>
        </is>
      </c>
      <c r="B408" s="2" t="inlineStr">
        <is>
          <t>risk</t>
        </is>
      </c>
      <c r="C408" s="2" t="inlineStr">
        <is>
          <t>risk_fact</t>
        </is>
      </c>
      <c r="D408" s="2" t="inlineStr">
        <is>
          <t>Risk fact</t>
        </is>
      </c>
      <c r="E408" s="2" t="n"/>
      <c r="F408" s="2" t="n"/>
      <c r="G408" s="2" t="n"/>
      <c r="H408" s="3" t="inlineStr">
        <is>
          <t>Seasonality: the confectionery business is subject to seasonal fluctuations (seasonal products 13.9% of 2024 revenue).</t>
        </is>
      </c>
      <c r="I408" s="2" t="inlineStr">
        <is>
          <t>S2</t>
        </is>
      </c>
      <c r="J408" s="2" t="n">
        <v>35</v>
      </c>
      <c r="K408" s="3" t="inlineStr">
        <is>
          <t>The confectionery business is subject to seasonal fluctuati- ons.</t>
        </is>
      </c>
      <c r="L408" s="2" t="inlineStr">
        <is>
          <t>ok</t>
        </is>
      </c>
      <c r="M408" s="2" t="inlineStr">
        <is>
          <t>demo reviewer</t>
        </is>
      </c>
      <c r="N408" s="2" t="n"/>
      <c r="O408" s="3" t="inlineStr">
        <is>
          <t>https://vanillabonds.com/dossier-data/pdf/katjes/katjes-2024-annual-report.pdf#page=35</t>
        </is>
      </c>
      <c r="P408" s="3" t="inlineStr">
        <is>
          <t>https://vanillabonds.com/dossier.html?c=katjes&amp;viewer=1&amp;item=F407</t>
        </is>
      </c>
      <c r="Q408" s="2" t="inlineStr"/>
    </row>
    <row r="409">
      <c r="A409" s="2" t="inlineStr">
        <is>
          <t>F408</t>
        </is>
      </c>
      <c r="B409" s="2" t="inlineStr">
        <is>
          <t>risk</t>
        </is>
      </c>
      <c r="C409" s="2" t="inlineStr">
        <is>
          <t>risk_fact</t>
        </is>
      </c>
      <c r="D409" s="2" t="inlineStr">
        <is>
          <t>Risk fact</t>
        </is>
      </c>
      <c r="E409" s="2" t="n"/>
      <c r="F409" s="2" t="n"/>
      <c r="G409" s="2" t="n"/>
      <c r="H409" s="3" t="inlineStr">
        <is>
          <t>Input costs: sugar, cocoa, nuts, glucose, panthenol and packaging materials are subject to significant price fluctuations that may not be fully passed on to customers.</t>
        </is>
      </c>
      <c r="I409" s="2" t="inlineStr">
        <is>
          <t>S2</t>
        </is>
      </c>
      <c r="J409" s="2" t="n">
        <v>35</v>
      </c>
      <c r="K409" s="3" t="inlineStr">
        <is>
          <t>Procurement costs for essential raw and auxiliary materials such as sugar, cocoa, nuts, glucose, panthenol, and packa</t>
        </is>
      </c>
      <c r="L409" s="2" t="inlineStr">
        <is>
          <t>ok</t>
        </is>
      </c>
      <c r="M409" s="2" t="inlineStr">
        <is>
          <t>demo reviewer</t>
        </is>
      </c>
      <c r="N409" s="2" t="n"/>
      <c r="O409" s="3" t="inlineStr">
        <is>
          <t>https://vanillabonds.com/dossier-data/pdf/katjes/katjes-2024-annual-report.pdf#page=35</t>
        </is>
      </c>
      <c r="P409" s="3" t="inlineStr">
        <is>
          <t>https://vanillabonds.com/dossier.html?c=katjes&amp;viewer=1&amp;item=F408</t>
        </is>
      </c>
      <c r="Q409" s="2" t="inlineStr"/>
    </row>
    <row r="410">
      <c r="A410" s="2" t="inlineStr">
        <is>
          <t>F409</t>
        </is>
      </c>
      <c r="B410" s="2" t="inlineStr">
        <is>
          <t>risk</t>
        </is>
      </c>
      <c r="C410" s="2" t="inlineStr">
        <is>
          <t>risk_fact</t>
        </is>
      </c>
      <c r="D410" s="2" t="inlineStr">
        <is>
          <t>Risk fact</t>
        </is>
      </c>
      <c r="E410" s="2" t="n"/>
      <c r="F410" s="2" t="n"/>
      <c r="G410" s="2" t="n"/>
      <c r="H410" s="3" t="inlineStr">
        <is>
          <t>Concentration: structural change and consolidation in retail and wholesale; concentration risks from large key accounts, especially in food retail.</t>
        </is>
      </c>
      <c r="I410" s="2" t="inlineStr">
        <is>
          <t>S2</t>
        </is>
      </c>
      <c r="J410" s="2" t="n">
        <v>35</v>
      </c>
      <c r="K410" s="3" t="inlineStr">
        <is>
          <t>Concentration risks may ari- se from large key accounts, especially in food retail.</t>
        </is>
      </c>
      <c r="L410" s="2" t="inlineStr">
        <is>
          <t>ok</t>
        </is>
      </c>
      <c r="M410" s="2" t="inlineStr">
        <is>
          <t>demo reviewer</t>
        </is>
      </c>
      <c r="N410" s="2" t="n"/>
      <c r="O410" s="3" t="inlineStr">
        <is>
          <t>https://vanillabonds.com/dossier-data/pdf/katjes/katjes-2024-annual-report.pdf#page=35</t>
        </is>
      </c>
      <c r="P410" s="3" t="inlineStr">
        <is>
          <t>https://vanillabonds.com/dossier.html?c=katjes&amp;viewer=1&amp;item=F409</t>
        </is>
      </c>
      <c r="Q410" s="2" t="inlineStr"/>
    </row>
    <row r="411">
      <c r="A411" s="2" t="inlineStr">
        <is>
          <t>F410</t>
        </is>
      </c>
      <c r="B411" s="2" t="inlineStr">
        <is>
          <t>risk</t>
        </is>
      </c>
      <c r="C411" s="2" t="inlineStr">
        <is>
          <t>risk_fact</t>
        </is>
      </c>
      <c r="D411" s="2" t="inlineStr">
        <is>
          <t>Risk fact</t>
        </is>
      </c>
      <c r="E411" s="2" t="n"/>
      <c r="F411" s="2" t="n"/>
      <c r="G411" s="2" t="n"/>
      <c r="H411" s="3" t="inlineStr">
        <is>
          <t>Supply: reliance on certain suppliers; supply failures or delays may interrupt production.</t>
        </is>
      </c>
      <c r="I411" s="2" t="inlineStr">
        <is>
          <t>S2</t>
        </is>
      </c>
      <c r="J411" s="2" t="n">
        <v>35</v>
      </c>
      <c r="K411" s="3" t="inlineStr">
        <is>
          <t>Katjes International relies on certain suppliers. Supply failures or delivery delays may cause production interruptions.</t>
        </is>
      </c>
      <c r="L411" s="2" t="inlineStr">
        <is>
          <t>ok</t>
        </is>
      </c>
      <c r="M411" s="2" t="inlineStr">
        <is>
          <t>demo reviewer</t>
        </is>
      </c>
      <c r="N411" s="2" t="n"/>
      <c r="O411" s="3" t="inlineStr">
        <is>
          <t>https://vanillabonds.com/dossier-data/pdf/katjes/katjes-2024-annual-report.pdf#page=35</t>
        </is>
      </c>
      <c r="P411" s="3" t="inlineStr">
        <is>
          <t>https://vanillabonds.com/dossier.html?c=katjes&amp;viewer=1&amp;item=F410</t>
        </is>
      </c>
      <c r="Q411" s="2" t="inlineStr"/>
    </row>
    <row r="412">
      <c r="A412" s="2" t="inlineStr">
        <is>
          <t>F411</t>
        </is>
      </c>
      <c r="B412" s="2" t="inlineStr">
        <is>
          <t>risk</t>
        </is>
      </c>
      <c r="C412" s="2" t="inlineStr">
        <is>
          <t>risk_fact</t>
        </is>
      </c>
      <c r="D412" s="2" t="inlineStr">
        <is>
          <t>Risk fact</t>
        </is>
      </c>
      <c r="E412" s="2" t="n"/>
      <c r="F412" s="2" t="n"/>
      <c r="G412" s="2" t="n"/>
      <c r="H412" s="3" t="inlineStr">
        <is>
          <t>Geopolitics: the war in Ukraine continues to cause volatility in procurement markets; the Middle East conflict is named as a relevant development.</t>
        </is>
      </c>
      <c r="I412" s="2" t="inlineStr">
        <is>
          <t>S2</t>
        </is>
      </c>
      <c r="J412" s="2" t="n">
        <v>35</v>
      </c>
      <c r="K412" s="3" t="inlineStr">
        <is>
          <t>The ongoing war in Ukraine continues to cause i. a. volatility in procurement markets.</t>
        </is>
      </c>
      <c r="L412" s="2" t="inlineStr">
        <is>
          <t>ok</t>
        </is>
      </c>
      <c r="M412" s="2" t="inlineStr">
        <is>
          <t>demo reviewer</t>
        </is>
      </c>
      <c r="N412" s="2" t="n"/>
      <c r="O412" s="3" t="inlineStr">
        <is>
          <t>https://vanillabonds.com/dossier-data/pdf/katjes/katjes-2024-annual-report.pdf#page=35</t>
        </is>
      </c>
      <c r="P412" s="3" t="inlineStr">
        <is>
          <t>https://vanillabonds.com/dossier.html?c=katjes&amp;viewer=1&amp;item=F411</t>
        </is>
      </c>
      <c r="Q412" s="2" t="inlineStr"/>
    </row>
    <row r="413">
      <c r="A413" s="2" t="inlineStr">
        <is>
          <t>F412</t>
        </is>
      </c>
      <c r="B413" s="2" t="inlineStr">
        <is>
          <t>risk</t>
        </is>
      </c>
      <c r="C413" s="2" t="inlineStr">
        <is>
          <t>risk_fact</t>
        </is>
      </c>
      <c r="D413" s="2" t="inlineStr">
        <is>
          <t>Risk fact</t>
        </is>
      </c>
      <c r="E413" s="2" t="n"/>
      <c r="F413" s="2" t="n"/>
      <c r="G413" s="2" t="n"/>
      <c r="H413" s="3" t="inlineStr">
        <is>
          <t>Subsidies: group companies may be required to repay subsidies or other government grants.</t>
        </is>
      </c>
      <c r="I413" s="2" t="inlineStr">
        <is>
          <t>S2</t>
        </is>
      </c>
      <c r="J413" s="2" t="n">
        <v>35</v>
      </c>
      <c r="K413" s="3" t="inlineStr">
        <is>
          <t>Group companies may be required to repay subsidies or other government grants.</t>
        </is>
      </c>
      <c r="L413" s="2" t="inlineStr">
        <is>
          <t>ok</t>
        </is>
      </c>
      <c r="M413" s="2" t="inlineStr">
        <is>
          <t>demo reviewer</t>
        </is>
      </c>
      <c r="N413" s="2" t="n"/>
      <c r="O413" s="3" t="inlineStr">
        <is>
          <t>https://vanillabonds.com/dossier-data/pdf/katjes/katjes-2024-annual-report.pdf#page=35</t>
        </is>
      </c>
      <c r="P413" s="3" t="inlineStr">
        <is>
          <t>https://vanillabonds.com/dossier.html?c=katjes&amp;viewer=1&amp;item=F412</t>
        </is>
      </c>
      <c r="Q413" s="2" t="inlineStr"/>
    </row>
    <row r="414">
      <c r="A414" s="2" t="inlineStr">
        <is>
          <t>F413</t>
        </is>
      </c>
      <c r="B414" s="2" t="inlineStr">
        <is>
          <t>risk</t>
        </is>
      </c>
      <c r="C414" s="2" t="inlineStr">
        <is>
          <t>risk_fact</t>
        </is>
      </c>
      <c r="D414" s="2" t="inlineStr">
        <is>
          <t>Risk fact</t>
        </is>
      </c>
      <c r="E414" s="2" t="n"/>
      <c r="F414" s="2" t="n"/>
      <c r="G414" s="2" t="n"/>
      <c r="H414" s="3" t="inlineStr">
        <is>
          <t>Management assesses the overall market and regulatory risk as 'relatively low' and company-specific risks as 'relatively low' due to the risk management system; the profile is described as unchanged versus the prior year.</t>
        </is>
      </c>
      <c r="I414" s="2" t="inlineStr">
        <is>
          <t>S2</t>
        </is>
      </c>
      <c r="J414" s="2" t="n">
        <v>35</v>
      </c>
      <c r="K414" s="3" t="inlineStr">
        <is>
          <t>Katjes International considers the overall risk arising from the aforementioned market and regulatory risks to be relatively low, due to the risk mitigation measures described in section 6.</t>
        </is>
      </c>
      <c r="L414" s="2" t="inlineStr">
        <is>
          <t>ok</t>
        </is>
      </c>
      <c r="M414" s="2" t="inlineStr">
        <is>
          <t>demo reviewer</t>
        </is>
      </c>
      <c r="N414" s="2" t="n"/>
      <c r="O414" s="3" t="inlineStr">
        <is>
          <t>https://vanillabonds.com/dossier-data/pdf/katjes/katjes-2024-annual-report.pdf#page=35</t>
        </is>
      </c>
      <c r="P414" s="3" t="inlineStr">
        <is>
          <t>https://vanillabonds.com/dossier.html?c=katjes&amp;viewer=1&amp;item=F413</t>
        </is>
      </c>
      <c r="Q414" s="2" t="inlineStr"/>
    </row>
    <row r="415">
      <c r="A415" s="2" t="inlineStr">
        <is>
          <t>F414</t>
        </is>
      </c>
      <c r="B415" s="2" t="inlineStr">
        <is>
          <t>risk</t>
        </is>
      </c>
      <c r="C415" s="2" t="inlineStr">
        <is>
          <t>risk_fact</t>
        </is>
      </c>
      <c r="D415" s="2" t="inlineStr">
        <is>
          <t>Risk fact</t>
        </is>
      </c>
      <c r="E415" s="2" t="n"/>
      <c r="F415" s="2" t="n"/>
      <c r="G415" s="2" t="n"/>
      <c r="H415" s="3" t="inlineStr">
        <is>
          <t>Structural: as a strategic holding company Katjes International earns service income and its earnings largely depend on the performance of subsidiaries and investments (bond issued at holding level).</t>
        </is>
      </c>
      <c r="I415" s="2" t="inlineStr">
        <is>
          <t>S2</t>
        </is>
      </c>
      <c r="J415" s="2" t="n">
        <v>36</v>
      </c>
      <c r="K415" s="3" t="inlineStr">
        <is>
          <t>As a strategic holding company, Katjes International operates on a service basis for its subsidiaries and investments.</t>
        </is>
      </c>
      <c r="L415" s="2" t="inlineStr">
        <is>
          <t>ok</t>
        </is>
      </c>
      <c r="M415" s="2" t="inlineStr">
        <is>
          <t>demo reviewer</t>
        </is>
      </c>
      <c r="N415" s="2" t="n"/>
      <c r="O415" s="3" t="inlineStr">
        <is>
          <t>https://vanillabonds.com/dossier-data/pdf/katjes/katjes-2024-annual-report.pdf#page=36</t>
        </is>
      </c>
      <c r="P415" s="3" t="inlineStr">
        <is>
          <t>https://vanillabonds.com/dossier.html?c=katjes&amp;viewer=1&amp;item=F414</t>
        </is>
      </c>
      <c r="Q415" s="2" t="inlineStr"/>
    </row>
    <row r="416">
      <c r="A416" s="2" t="inlineStr">
        <is>
          <t>F415</t>
        </is>
      </c>
      <c r="B416" s="2" t="inlineStr">
        <is>
          <t>risk</t>
        </is>
      </c>
      <c r="C416" s="2" t="inlineStr">
        <is>
          <t>risk_fact</t>
        </is>
      </c>
      <c r="D416" s="2" t="inlineStr">
        <is>
          <t>Risk fact</t>
        </is>
      </c>
      <c r="E416" s="2" t="n"/>
      <c r="F416" s="2" t="n"/>
      <c r="G416" s="2" t="n"/>
      <c r="H416" s="3" t="inlineStr">
        <is>
          <t>Cyber: the threat of cyberattacks (hacking, phishing) is growing; a single attack could cause operational disruption or data loss.</t>
        </is>
      </c>
      <c r="I416" s="2" t="inlineStr">
        <is>
          <t>S2</t>
        </is>
      </c>
      <c r="J416" s="2" t="n">
        <v>36</v>
      </c>
      <c r="K416" s="3" t="inlineStr">
        <is>
          <t>The threat of cyberattacks (e.g., hacking, phishing) is growing.</t>
        </is>
      </c>
      <c r="L416" s="2" t="inlineStr">
        <is>
          <t>ok</t>
        </is>
      </c>
      <c r="M416" s="2" t="inlineStr">
        <is>
          <t>demo reviewer</t>
        </is>
      </c>
      <c r="N416" s="2" t="n"/>
      <c r="O416" s="3" t="inlineStr">
        <is>
          <t>https://vanillabonds.com/dossier-data/pdf/katjes/katjes-2024-annual-report.pdf#page=36</t>
        </is>
      </c>
      <c r="P416" s="3" t="inlineStr">
        <is>
          <t>https://vanillabonds.com/dossier.html?c=katjes&amp;viewer=1&amp;item=F415</t>
        </is>
      </c>
      <c r="Q416" s="2" t="inlineStr"/>
    </row>
    <row r="417">
      <c r="A417" s="2" t="inlineStr">
        <is>
          <t>F416</t>
        </is>
      </c>
      <c r="B417" s="2" t="inlineStr">
        <is>
          <t>risk</t>
        </is>
      </c>
      <c r="C417" s="2" t="inlineStr">
        <is>
          <t>risk_fact</t>
        </is>
      </c>
      <c r="D417" s="2" t="inlineStr">
        <is>
          <t>Risk fact</t>
        </is>
      </c>
      <c r="E417" s="2" t="n"/>
      <c r="F417" s="2" t="n">
        <v>0.4</v>
      </c>
      <c r="G417" s="2" t="n"/>
      <c r="H417" s="3" t="inlineStr">
        <is>
          <t>A 1% move in the 2- and 3-month EURIBOR would change post-tax profit 2024 by EUR 0.4m (2023: EUR 0.8m), per the factoring interest sensitivity.</t>
        </is>
      </c>
      <c r="I417" s="2" t="inlineStr">
        <is>
          <t>S2</t>
        </is>
      </c>
      <c r="J417" s="2" t="n">
        <v>57</v>
      </c>
      <c r="K417" s="3" t="inlineStr">
        <is>
          <t>EUR 0.4 million lower or EUR 0.4 million higher, respectively (2023: EUR 0.8 million lower / EUR 0.8 million higher).</t>
        </is>
      </c>
      <c r="L417" s="2" t="inlineStr">
        <is>
          <t>ok</t>
        </is>
      </c>
      <c r="M417" s="2" t="inlineStr">
        <is>
          <t>demo reviewer</t>
        </is>
      </c>
      <c r="N417" s="2" t="n"/>
      <c r="O417" s="3" t="inlineStr">
        <is>
          <t>https://vanillabonds.com/dossier-data/pdf/katjes/katjes-2024-annual-report.pdf#page=57</t>
        </is>
      </c>
      <c r="P417" s="3" t="inlineStr">
        <is>
          <t>https://vanillabonds.com/dossier.html?c=katjes&amp;viewer=1&amp;item=F416</t>
        </is>
      </c>
      <c r="Q417" s="2" t="inlineStr"/>
    </row>
    <row r="418">
      <c r="A418" s="2" t="inlineStr">
        <is>
          <t>F417</t>
        </is>
      </c>
      <c r="B418" s="2" t="inlineStr">
        <is>
          <t>risk</t>
        </is>
      </c>
      <c r="C418" s="2" t="inlineStr">
        <is>
          <t>risk_fact</t>
        </is>
      </c>
      <c r="D418" s="2" t="inlineStr">
        <is>
          <t>Risk fact</t>
        </is>
      </c>
      <c r="E418" s="2" t="n"/>
      <c r="F418" s="2" t="n"/>
      <c r="G418" s="2" t="n"/>
      <c r="H418" s="3" t="inlineStr">
        <is>
          <t>FX: the Group operates mainly in the EU with the vast majority of transactions in euro; no hedging instruments for FX risk at 31 Dec 2024; Candy Kittens and Longaim report in GBP (closing rate 1.21, average 1.18).</t>
        </is>
      </c>
      <c r="I418" s="2" t="inlineStr">
        <is>
          <t>S2</t>
        </is>
      </c>
      <c r="J418" s="2" t="n">
        <v>57</v>
      </c>
      <c r="K418" s="3" t="inlineStr">
        <is>
          <t>As at 31 December 2024, no hedging instruments were in place to mitigate foreign currency risk.</t>
        </is>
      </c>
      <c r="L418" s="2" t="inlineStr">
        <is>
          <t>ok</t>
        </is>
      </c>
      <c r="M418" s="2" t="inlineStr">
        <is>
          <t>demo reviewer</t>
        </is>
      </c>
      <c r="N418" s="2" t="n"/>
      <c r="O418" s="3" t="inlineStr">
        <is>
          <t>https://vanillabonds.com/dossier-data/pdf/katjes/katjes-2024-annual-report.pdf#page=57</t>
        </is>
      </c>
      <c r="P418" s="3" t="inlineStr">
        <is>
          <t>https://vanillabonds.com/dossier.html?c=katjes&amp;viewer=1&amp;item=F417</t>
        </is>
      </c>
      <c r="Q418" s="2" t="inlineStr"/>
    </row>
    <row r="419">
      <c r="A419" s="2" t="inlineStr">
        <is>
          <t>F418</t>
        </is>
      </c>
      <c r="B419" s="2" t="inlineStr">
        <is>
          <t>risk</t>
        </is>
      </c>
      <c r="C419" s="2" t="inlineStr">
        <is>
          <t>risk_fact</t>
        </is>
      </c>
      <c r="D419" s="2" t="inlineStr">
        <is>
          <t>Risk fact</t>
        </is>
      </c>
      <c r="E419" s="2" t="n"/>
      <c r="F419" s="2" t="n">
        <v>59.2</v>
      </c>
      <c r="G419" s="2" t="n"/>
      <c r="H419" s="3" t="inlineStr">
        <is>
          <t>Credit: maximum credit exposure equals the carrying amount of trade and other receivables EUR 59.2m (2023: 57.3); no material concentrations of credit risk identified; no collateral received.</t>
        </is>
      </c>
      <c r="I419" s="2" t="inlineStr">
        <is>
          <t>S2</t>
        </is>
      </c>
      <c r="J419" s="2" t="n">
        <v>57</v>
      </c>
      <c r="K419" s="3" t="inlineStr">
        <is>
          <t>The maximum exposure to credit risk is limited to the carrying amount (EUR 59.2 million; 2023: EUR 57.3 million).</t>
        </is>
      </c>
      <c r="L419" s="2" t="inlineStr">
        <is>
          <t>ok</t>
        </is>
      </c>
      <c r="M419" s="2" t="inlineStr">
        <is>
          <t>demo reviewer</t>
        </is>
      </c>
      <c r="N419" s="2" t="n"/>
      <c r="O419" s="3" t="inlineStr">
        <is>
          <t>https://vanillabonds.com/dossier-data/pdf/katjes/katjes-2024-annual-report.pdf#page=57</t>
        </is>
      </c>
      <c r="P419" s="3" t="inlineStr">
        <is>
          <t>https://vanillabonds.com/dossier.html?c=katjes&amp;viewer=1&amp;item=F418</t>
        </is>
      </c>
      <c r="Q419" s="2" t="inlineStr"/>
    </row>
    <row r="420">
      <c r="A420" s="2" t="inlineStr">
        <is>
          <t>F419</t>
        </is>
      </c>
      <c r="B420" s="2" t="inlineStr">
        <is>
          <t>risk</t>
        </is>
      </c>
      <c r="C420" s="2" t="inlineStr">
        <is>
          <t>risk_fact</t>
        </is>
      </c>
      <c r="D420" s="2" t="inlineStr">
        <is>
          <t>Risk fact</t>
        </is>
      </c>
      <c r="E420" s="2" t="n"/>
      <c r="F420" s="2" t="n"/>
      <c r="G420" s="2" t="n"/>
      <c r="H420" s="3" t="inlineStr">
        <is>
          <t>Refinancing: EUR 136.0m of financial liabilities (incl. the EUR 115m bond 2023/2028) fall due in two to five years from 31 Dec 2024; cash 54.0 at year end.</t>
        </is>
      </c>
      <c r="I420" s="2" t="inlineStr">
        <is>
          <t>S2</t>
        </is>
      </c>
      <c r="J420" s="2" t="n">
        <v>59</v>
      </c>
      <c r="K420" s="3" t="inlineStr">
        <is>
          <t>Maturity groups financial liabilities (duration as of balance sheet date)</t>
        </is>
      </c>
      <c r="L420" s="2" t="inlineStr">
        <is>
          <t>ok</t>
        </is>
      </c>
      <c r="M420" s="2" t="inlineStr">
        <is>
          <t>demo reviewer</t>
        </is>
      </c>
      <c r="N420" s="2" t="n"/>
      <c r="O420" s="3" t="inlineStr">
        <is>
          <t>https://vanillabonds.com/dossier-data/pdf/katjes/katjes-2024-annual-report.pdf#page=59</t>
        </is>
      </c>
      <c r="P420" s="3" t="inlineStr">
        <is>
          <t>https://vanillabonds.com/dossier.html?c=katjes&amp;viewer=1&amp;item=F419</t>
        </is>
      </c>
      <c r="Q420" s="2" t="inlineStr"/>
    </row>
    <row r="421">
      <c r="A421" s="2" t="inlineStr">
        <is>
          <t>F420</t>
        </is>
      </c>
      <c r="B421" s="2" t="inlineStr">
        <is>
          <t>risk</t>
        </is>
      </c>
      <c r="C421" s="2" t="inlineStr">
        <is>
          <t>risk_fact</t>
        </is>
      </c>
      <c r="D421" s="2" t="inlineStr">
        <is>
          <t>Risk fact</t>
        </is>
      </c>
      <c r="E421" s="2" t="n"/>
      <c r="F421" s="2" t="n">
        <v>0.5</v>
      </c>
      <c r="G421" s="2" t="n"/>
      <c r="H421" s="3" t="inlineStr">
        <is>
          <t>Receivables: EUR 0.5m of trade receivables more than six months overdue at 31 Dec 2024, fully impaired; impairment allowance 0.7 (2023: 0.4); gross trade receivables 39.0 (2023: 42.4).</t>
        </is>
      </c>
      <c r="I421" s="2" t="inlineStr">
        <is>
          <t>S2</t>
        </is>
      </c>
      <c r="J421" s="2" t="n">
        <v>66</v>
      </c>
      <c r="K421" s="3" t="inlineStr">
        <is>
          <t>As at the reporting date, trade receivables of EUR 0.5 million were more than six months overdue and were fully impaired in the amount of EUR 0.5 million.</t>
        </is>
      </c>
      <c r="L421" s="2" t="inlineStr">
        <is>
          <t>ok</t>
        </is>
      </c>
      <c r="M421" s="2" t="inlineStr">
        <is>
          <t>demo reviewer</t>
        </is>
      </c>
      <c r="N421" s="2" t="n"/>
      <c r="O421" s="3" t="inlineStr">
        <is>
          <t>https://vanillabonds.com/dossier-data/pdf/katjes/katjes-2024-annual-report.pdf#page=66</t>
        </is>
      </c>
      <c r="P421" s="3" t="inlineStr">
        <is>
          <t>https://vanillabonds.com/dossier.html?c=katjes&amp;viewer=1&amp;item=F420</t>
        </is>
      </c>
      <c r="Q421" s="2" t="inlineStr"/>
    </row>
    <row r="422">
      <c r="A422" s="2" t="inlineStr">
        <is>
          <t>F421</t>
        </is>
      </c>
      <c r="B422" s="2" t="inlineStr">
        <is>
          <t>risk</t>
        </is>
      </c>
      <c r="C422" s="2" t="inlineStr">
        <is>
          <t>risk_fact</t>
        </is>
      </c>
      <c r="D422" s="2" t="inlineStr">
        <is>
          <t>Risk fact</t>
        </is>
      </c>
      <c r="E422" s="2" t="n"/>
      <c r="F422" s="2" t="n">
        <v>1.5</v>
      </c>
      <c r="G422" s="2" t="n"/>
      <c r="H422" s="3" t="inlineStr">
        <is>
          <t>Inventories EUR 51.3m at 31 Dec 2024 (2023: 46.4); inventory write-downs of EUR 1.5m in 2024 (2023: 0.9).</t>
        </is>
      </c>
      <c r="I422" s="2" t="inlineStr">
        <is>
          <t>S2</t>
        </is>
      </c>
      <c r="J422" s="2" t="n">
        <v>66</v>
      </c>
      <c r="K422" s="3" t="inlineStr">
        <is>
          <t>Inventory write-downs were recognized in the amount of EUR 1.5 million (2023: EUR 0.9 million).</t>
        </is>
      </c>
      <c r="L422" s="2" t="inlineStr">
        <is>
          <t>ok</t>
        </is>
      </c>
      <c r="M422" s="2" t="inlineStr">
        <is>
          <t>demo reviewer</t>
        </is>
      </c>
      <c r="N422" s="2" t="n"/>
      <c r="O422" s="3" t="inlineStr">
        <is>
          <t>https://vanillabonds.com/dossier-data/pdf/katjes/katjes-2024-annual-report.pdf#page=66</t>
        </is>
      </c>
      <c r="P422" s="3" t="inlineStr">
        <is>
          <t>https://vanillabonds.com/dossier.html?c=katjes&amp;viewer=1&amp;item=F421</t>
        </is>
      </c>
      <c r="Q422" s="2" t="inlineStr"/>
    </row>
    <row r="423">
      <c r="A423" s="2" t="inlineStr">
        <is>
          <t>F422</t>
        </is>
      </c>
      <c r="B423" s="2" t="inlineStr">
        <is>
          <t>management</t>
        </is>
      </c>
      <c r="C423" s="2" t="inlineStr">
        <is>
          <t>mgmt_person</t>
        </is>
      </c>
      <c r="D423" s="3" t="inlineStr">
        <is>
          <t>Executive: name, role, since, prior roles (register / report)</t>
        </is>
      </c>
      <c r="E423" s="2" t="n"/>
      <c r="F423" s="2" t="n"/>
      <c r="G423" s="2" t="n"/>
      <c r="H423" s="3" t="inlineStr">
        <is>
          <t>Stephan Milde, CFO and Managing Director since 2012; previously several years in investment banking at Deutsche Bank and Citigroup in London.</t>
        </is>
      </c>
      <c r="I423" s="2" t="inlineStr">
        <is>
          <t>S2</t>
        </is>
      </c>
      <c r="J423" s="2" t="n">
        <v>6</v>
      </c>
      <c r="K423" s="3" t="inlineStr">
        <is>
          <t>Since 2012 – CFO Katjes International Before several years in Investment Banking at Deutsche Bank and Citigroup in London</t>
        </is>
      </c>
      <c r="L423" s="2" t="inlineStr">
        <is>
          <t>ok</t>
        </is>
      </c>
      <c r="M423" s="2" t="inlineStr">
        <is>
          <t>demo reviewer</t>
        </is>
      </c>
      <c r="N423" s="2" t="n"/>
      <c r="O423" s="3" t="inlineStr">
        <is>
          <t>https://vanillabonds.com/dossier-data/pdf/katjes/katjes-2024-annual-report.pdf#page=6</t>
        </is>
      </c>
      <c r="P423" s="3" t="inlineStr">
        <is>
          <t>https://vanillabonds.com/dossier.html?c=katjes&amp;viewer=1&amp;item=F422</t>
        </is>
      </c>
      <c r="Q423" s="2" t="inlineStr"/>
    </row>
    <row r="424">
      <c r="A424" s="2" t="inlineStr">
        <is>
          <t>F423</t>
        </is>
      </c>
      <c r="B424" s="2" t="inlineStr">
        <is>
          <t>management</t>
        </is>
      </c>
      <c r="C424" s="2" t="inlineStr">
        <is>
          <t>mgmt_person</t>
        </is>
      </c>
      <c r="D424" s="3" t="inlineStr">
        <is>
          <t>Executive: name, role, since, prior roles (register / report)</t>
        </is>
      </c>
      <c r="E424" s="2" t="n"/>
      <c r="F424" s="2" t="n"/>
      <c r="G424" s="2" t="n"/>
      <c r="H424" s="3" t="inlineStr">
        <is>
          <t>Bastian Fassin, Managing Shareholder since 2004; until 2003 Marketing and Sales at Kraft Foods, until 2000 Roland Berger Strategy Consultants.</t>
        </is>
      </c>
      <c r="I424" s="2" t="inlineStr">
        <is>
          <t>S2</t>
        </is>
      </c>
      <c r="J424" s="2" t="n">
        <v>6</v>
      </c>
      <c r="K424" s="3" t="inlineStr">
        <is>
          <t>until 2003 – Marketing and Sales, Kraft Foods until 2000 – Roland Berger Strategy Consultants</t>
        </is>
      </c>
      <c r="L424" s="2" t="inlineStr">
        <is>
          <t>ok</t>
        </is>
      </c>
      <c r="M424" s="2" t="inlineStr">
        <is>
          <t>demo reviewer</t>
        </is>
      </c>
      <c r="N424" s="2" t="n"/>
      <c r="O424" s="3" t="inlineStr">
        <is>
          <t>https://vanillabonds.com/dossier-data/pdf/katjes/katjes-2024-annual-report.pdf#page=6</t>
        </is>
      </c>
      <c r="P424" s="3" t="inlineStr">
        <is>
          <t>https://vanillabonds.com/dossier.html?c=katjes&amp;viewer=1&amp;item=F423</t>
        </is>
      </c>
      <c r="Q424" s="2" t="inlineStr"/>
    </row>
    <row r="425">
      <c r="A425" s="2" t="inlineStr">
        <is>
          <t>F424</t>
        </is>
      </c>
      <c r="B425" s="2" t="inlineStr">
        <is>
          <t>management</t>
        </is>
      </c>
      <c r="C425" s="2" t="inlineStr">
        <is>
          <t>mgmt_person</t>
        </is>
      </c>
      <c r="D425" s="3" t="inlineStr">
        <is>
          <t>Executive: name, role, since, prior roles (register / report)</t>
        </is>
      </c>
      <c r="E425" s="2" t="n"/>
      <c r="F425" s="2" t="n"/>
      <c r="G425" s="2" t="n"/>
      <c r="H425" s="3" t="inlineStr">
        <is>
          <t>Tobias Bachmüller, Managing Shareholder since 1996; until 1995 General Manager Kraft Foods (Milka), until 1992 Principal at The Boston Consulting Group.</t>
        </is>
      </c>
      <c r="I425" s="2" t="inlineStr">
        <is>
          <t>S2</t>
        </is>
      </c>
      <c r="J425" s="2" t="n">
        <v>6</v>
      </c>
      <c r="K425" s="3" t="inlineStr">
        <is>
          <t>until 1995 – General Manager, Kraft Foods (Milka) until 1992 – Principal, The Boston Consulting Group</t>
        </is>
      </c>
      <c r="L425" s="2" t="inlineStr">
        <is>
          <t>ok</t>
        </is>
      </c>
      <c r="M425" s="2" t="inlineStr">
        <is>
          <t>demo reviewer</t>
        </is>
      </c>
      <c r="N425" s="2" t="n"/>
      <c r="O425" s="3" t="inlineStr">
        <is>
          <t>https://vanillabonds.com/dossier-data/pdf/katjes/katjes-2024-annual-report.pdf#page=6</t>
        </is>
      </c>
      <c r="P425" s="3" t="inlineStr">
        <is>
          <t>https://vanillabonds.com/dossier.html?c=katjes&amp;viewer=1&amp;item=F424</t>
        </is>
      </c>
      <c r="Q425" s="2" t="inlineStr"/>
    </row>
    <row r="426">
      <c r="A426" s="2" t="inlineStr">
        <is>
          <t>F425</t>
        </is>
      </c>
      <c r="B426" s="2" t="inlineStr">
        <is>
          <t>management</t>
        </is>
      </c>
      <c r="C426" s="2" t="inlineStr">
        <is>
          <t>revenue_budget</t>
        </is>
      </c>
      <c r="D426" s="3" t="inlineStr">
        <is>
          <t>Revenue as budgeted for that year (management plan at the time)</t>
        </is>
      </c>
      <c r="E426" s="2" t="inlineStr">
        <is>
          <t>FY2024</t>
        </is>
      </c>
      <c r="F426" s="2" t="n"/>
      <c r="G426" s="2" t="inlineStr">
        <is>
          <t>EUR m</t>
        </is>
      </c>
      <c r="H426" s="3" t="inlineStr">
        <is>
          <t>Guidance issued for 2024: consolidated revenues between EUR 390m and EUR 420m; actual 392.6.</t>
        </is>
      </c>
      <c r="I426" s="2" t="inlineStr">
        <is>
          <t>S2</t>
        </is>
      </c>
      <c r="J426" s="2" t="n">
        <v>38</v>
      </c>
      <c r="K426" s="3" t="inlineStr">
        <is>
          <t>In its financial reporting, the Company had issued guidance for consolidated revenues between EUR 390 million and EUR 420 million for the financial year 2024.</t>
        </is>
      </c>
      <c r="L426" s="2" t="inlineStr">
        <is>
          <t>ok</t>
        </is>
      </c>
      <c r="M426" s="2" t="inlineStr">
        <is>
          <t>demo reviewer</t>
        </is>
      </c>
      <c r="N426" s="2" t="n"/>
      <c r="O426" s="3" t="inlineStr">
        <is>
          <t>https://vanillabonds.com/dossier-data/pdf/katjes/katjes-2024-annual-report.pdf#page=38</t>
        </is>
      </c>
      <c r="P426" s="3" t="inlineStr">
        <is>
          <t>https://vanillabonds.com/dossier.html?c=katjes&amp;viewer=1&amp;item=F425</t>
        </is>
      </c>
      <c r="Q426" s="2" t="inlineStr"/>
    </row>
    <row r="427">
      <c r="A427" s="2" t="inlineStr">
        <is>
          <t>F426</t>
        </is>
      </c>
      <c r="B427" s="2" t="inlineStr">
        <is>
          <t>management</t>
        </is>
      </c>
      <c r="C427" s="2" t="inlineStr">
        <is>
          <t>ebitda_budget</t>
        </is>
      </c>
      <c r="D427" s="3" t="inlineStr">
        <is>
          <t>EBITDA as budgeted for that year (management plan at the time)</t>
        </is>
      </c>
      <c r="E427" s="2" t="inlineStr">
        <is>
          <t>FY2024</t>
        </is>
      </c>
      <c r="F427" s="2" t="n"/>
      <c r="G427" s="2" t="inlineStr">
        <is>
          <t>EUR m</t>
        </is>
      </c>
      <c r="H427" s="3" t="inlineStr">
        <is>
          <t>Guidance for 2024: EBITDA margin forecast at 10% (upper end of the range, half-year 2024 report); actual margin 11.4%.</t>
        </is>
      </c>
      <c r="I427" s="2" t="inlineStr">
        <is>
          <t>S2</t>
        </is>
      </c>
      <c r="J427" s="2" t="n">
        <v>4</v>
      </c>
      <c r="K427" s="3" t="inlineStr">
        <is>
          <t>even exceeded the EBITDA guidance, which was specified at the upper end of the previously indicated range during the course of the year.</t>
        </is>
      </c>
      <c r="L427" s="2" t="inlineStr">
        <is>
          <t>ok</t>
        </is>
      </c>
      <c r="M427" s="2" t="inlineStr">
        <is>
          <t>demo reviewer</t>
        </is>
      </c>
      <c r="N427" s="2" t="n"/>
      <c r="O427" s="3" t="inlineStr">
        <is>
          <t>https://vanillabonds.com/dossier-data/pdf/katjes/katjes-2024-annual-report.pdf#page=4</t>
        </is>
      </c>
      <c r="P427" s="3" t="inlineStr">
        <is>
          <t>https://vanillabonds.com/dossier.html?c=katjes&amp;viewer=1&amp;item=F426</t>
        </is>
      </c>
      <c r="Q427" s="2" t="inlineStr"/>
    </row>
    <row r="428">
      <c r="A428" s="2" t="inlineStr">
        <is>
          <t>F427</t>
        </is>
      </c>
      <c r="B428" s="2" t="inlineStr">
        <is>
          <t>management</t>
        </is>
      </c>
      <c r="C428" s="2" t="inlineStr">
        <is>
          <t>acquisition</t>
        </is>
      </c>
      <c r="D428" s="3" t="inlineStr">
        <is>
          <t>Acquisition / disposal: target, year, price, funding, outcome vs case</t>
        </is>
      </c>
      <c r="E428" s="2" t="n"/>
      <c r="F428" s="2" t="n"/>
      <c r="G428" s="2" t="n"/>
      <c r="H428" s="3" t="inlineStr">
        <is>
          <t>Paluani: Sperlari acquired the operational business of Paluani S.p.A., Verona, on 1 August 2022.</t>
        </is>
      </c>
      <c r="I428" s="2" t="inlineStr">
        <is>
          <t>S2</t>
        </is>
      </c>
      <c r="J428" s="2" t="n">
        <v>14</v>
      </c>
      <c r="K428" s="3" t="inlineStr">
        <is>
          <t>On August 1, 2022, Sperlari laid the foundation to further strengthen its leadership in the seasonal confectionery market: the company acquired the operational business of Paluani S.p.A.</t>
        </is>
      </c>
      <c r="L428" s="2" t="inlineStr">
        <is>
          <t>ok</t>
        </is>
      </c>
      <c r="M428" s="2" t="inlineStr">
        <is>
          <t>demo reviewer</t>
        </is>
      </c>
      <c r="N428" s="2" t="n"/>
      <c r="O428" s="3" t="inlineStr">
        <is>
          <t>https://vanillabonds.com/dossier-data/pdf/katjes/katjes-2024-annual-report.pdf#page=14</t>
        </is>
      </c>
      <c r="P428" s="3" t="inlineStr">
        <is>
          <t>https://vanillabonds.com/dossier.html?c=katjes&amp;viewer=1&amp;item=F427</t>
        </is>
      </c>
      <c r="Q428" s="2" t="inlineStr"/>
    </row>
    <row r="429">
      <c r="A429" s="2" t="inlineStr">
        <is>
          <t>F428</t>
        </is>
      </c>
      <c r="B429" s="2" t="inlineStr">
        <is>
          <t>management</t>
        </is>
      </c>
      <c r="C429" s="2" t="inlineStr">
        <is>
          <t>acquisition</t>
        </is>
      </c>
      <c r="D429" s="3" t="inlineStr">
        <is>
          <t>Acquisition / disposal: target, year, price, funding, outcome vs case</t>
        </is>
      </c>
      <c r="E429" s="2" t="n"/>
      <c r="F429" s="2" t="n"/>
      <c r="G429" s="2" t="n"/>
      <c r="H429" s="3" t="inlineStr">
        <is>
          <t>Oral care production site in Viersen with around 50 employees acquired in January 2024; purchase price (EUR 6.4m liability at end-2023) paid in 2024.</t>
        </is>
      </c>
      <c r="I429" s="2" t="inlineStr">
        <is>
          <t>S2</t>
        </is>
      </c>
      <c r="J429" s="2" t="n">
        <v>18</v>
      </c>
      <c r="K429" s="3" t="inlineStr">
        <is>
          <t>In January 2024, the entire production site in Viersen, including around 50 employees, was acquired.</t>
        </is>
      </c>
      <c r="L429" s="2" t="inlineStr">
        <is>
          <t>ok</t>
        </is>
      </c>
      <c r="M429" s="2" t="inlineStr">
        <is>
          <t>demo reviewer</t>
        </is>
      </c>
      <c r="N429" s="2" t="n"/>
      <c r="O429" s="3" t="inlineStr">
        <is>
          <t>https://vanillabonds.com/dossier-data/pdf/katjes/katjes-2024-annual-report.pdf#page=18</t>
        </is>
      </c>
      <c r="P429" s="3" t="inlineStr">
        <is>
          <t>https://vanillabonds.com/dossier.html?c=katjes&amp;viewer=1&amp;item=F428</t>
        </is>
      </c>
      <c r="Q429" s="2" t="inlineStr"/>
    </row>
    <row r="430">
      <c r="A430" s="2" t="inlineStr">
        <is>
          <t>F429</t>
        </is>
      </c>
      <c r="B430" s="2" t="inlineStr">
        <is>
          <t>management</t>
        </is>
      </c>
      <c r="C430" s="2" t="inlineStr">
        <is>
          <t>acquisition</t>
        </is>
      </c>
      <c r="D430" s="3" t="inlineStr">
        <is>
          <t>Acquisition / disposal: target, year, price, funding, outcome vs case</t>
        </is>
      </c>
      <c r="E430" s="2" t="n"/>
      <c r="F430" s="2" t="n"/>
      <c r="G430" s="2" t="n"/>
      <c r="H430" s="3" t="inlineStr">
        <is>
          <t>Contribution: at end-2018 Katjes International contributed its French subsidiary Lutti and Continental Sweets Belgium to CPK in exchange for approx. 23% of CPK.</t>
        </is>
      </c>
      <c r="I430" s="2" t="inlineStr">
        <is>
          <t>S2</t>
        </is>
      </c>
      <c r="J430" s="2" t="n">
        <v>21</v>
      </c>
      <c r="K430" s="3" t="inlineStr">
        <is>
          <t>A major milestone was reached at the end of 2018, when Katjes International contributed its French subsidiary Lutti</t>
        </is>
      </c>
      <c r="L430" s="2" t="inlineStr">
        <is>
          <t>ok</t>
        </is>
      </c>
      <c r="M430" s="2" t="inlineStr">
        <is>
          <t>demo reviewer</t>
        </is>
      </c>
      <c r="N430" s="2" t="n"/>
      <c r="O430" s="3" t="inlineStr">
        <is>
          <t>https://vanillabonds.com/dossier-data/pdf/katjes/katjes-2024-annual-report.pdf#page=21</t>
        </is>
      </c>
      <c r="P430" s="3" t="inlineStr">
        <is>
          <t>https://vanillabonds.com/dossier.html?c=katjes&amp;viewer=1&amp;item=F429</t>
        </is>
      </c>
      <c r="Q430" s="2" t="inlineStr"/>
    </row>
    <row r="431">
      <c r="A431" s="2" t="inlineStr">
        <is>
          <t>F430</t>
        </is>
      </c>
      <c r="B431" s="2" t="inlineStr">
        <is>
          <t>management</t>
        </is>
      </c>
      <c r="C431" s="2" t="inlineStr">
        <is>
          <t>acquisition</t>
        </is>
      </c>
      <c r="D431" s="3" t="inlineStr">
        <is>
          <t>Acquisition / disposal: target, year, price, funding, outcome vs case</t>
        </is>
      </c>
      <c r="E431" s="2" t="n"/>
      <c r="F431" s="2" t="n"/>
      <c r="G431" s="2" t="n"/>
      <c r="H431" s="3" t="inlineStr">
        <is>
          <t>Bübchen: acquired from Nestlé/Galderma, part of the Group since May 2020.</t>
        </is>
      </c>
      <c r="I431" s="2" t="inlineStr">
        <is>
          <t>S2</t>
        </is>
      </c>
      <c r="J431" s="2" t="n">
        <v>24</v>
      </c>
      <c r="K431" s="3" t="inlineStr">
        <is>
          <t>Since May 2020 Bübchen, the market leader in the baby &amp; kids</t>
        </is>
      </c>
      <c r="L431" s="2" t="inlineStr">
        <is>
          <t>ok</t>
        </is>
      </c>
      <c r="M431" s="2" t="inlineStr">
        <is>
          <t>demo reviewer</t>
        </is>
      </c>
      <c r="N431" s="2" t="n"/>
      <c r="O431" s="3" t="inlineStr">
        <is>
          <t>https://vanillabonds.com/dossier-data/pdf/katjes/katjes-2024-annual-report.pdf#page=24</t>
        </is>
      </c>
      <c r="P431" s="3" t="inlineStr">
        <is>
          <t>https://vanillabonds.com/dossier.html?c=katjes&amp;viewer=1&amp;item=F430</t>
        </is>
      </c>
      <c r="Q431" s="2" t="inlineStr"/>
    </row>
    <row r="432">
      <c r="A432" s="2" t="inlineStr">
        <is>
          <t>F431</t>
        </is>
      </c>
      <c r="B432" s="2" t="inlineStr">
        <is>
          <t>management</t>
        </is>
      </c>
      <c r="C432" s="2" t="inlineStr">
        <is>
          <t>acquisition</t>
        </is>
      </c>
      <c r="D432" s="3" t="inlineStr">
        <is>
          <t>Acquisition / disposal: target, year, price, funding, outcome vs case</t>
        </is>
      </c>
      <c r="E432" s="2" t="n"/>
      <c r="F432" s="2" t="n"/>
      <c r="G432" s="2" t="n"/>
      <c r="H432" s="3" t="inlineStr">
        <is>
          <t>Oral care business (Theramed, Vademecum, Licor del Polo, Antica Erboristeria, Denivit) acquired from Henkel AG &amp; Co. KGaA, part of the Group since December 2022.</t>
        </is>
      </c>
      <c r="I432" s="2" t="inlineStr">
        <is>
          <t>S2</t>
        </is>
      </c>
      <c r="J432" s="2" t="n">
        <v>24</v>
      </c>
      <c r="K432" s="3" t="inlineStr">
        <is>
          <t>the brand rights for Theramed, Vademecum, Licor del Polo, Antica Erboristeria and Denivit, has been part of Katjes Inter</t>
        </is>
      </c>
      <c r="L432" s="2" t="inlineStr">
        <is>
          <t>ok</t>
        </is>
      </c>
      <c r="M432" s="2" t="inlineStr">
        <is>
          <t>demo reviewer</t>
        </is>
      </c>
      <c r="N432" s="2" t="n"/>
      <c r="O432" s="3" t="inlineStr">
        <is>
          <t>https://vanillabonds.com/dossier-data/pdf/katjes/katjes-2024-annual-report.pdf#page=24</t>
        </is>
      </c>
      <c r="P432" s="3" t="inlineStr">
        <is>
          <t>https://vanillabonds.com/dossier.html?c=katjes&amp;viewer=1&amp;item=F431</t>
        </is>
      </c>
      <c r="Q432" s="2" t="inlineStr"/>
    </row>
    <row r="433">
      <c r="A433" s="2" t="inlineStr">
        <is>
          <t>F432</t>
        </is>
      </c>
      <c r="B433" s="2" t="inlineStr">
        <is>
          <t>management</t>
        </is>
      </c>
      <c r="C433" s="2" t="inlineStr">
        <is>
          <t>acquisition</t>
        </is>
      </c>
      <c r="D433" s="3" t="inlineStr">
        <is>
          <t>Acquisition / disposal: target, year, price, funding, outcome vs case</t>
        </is>
      </c>
      <c r="E433" s="2" t="n"/>
      <c r="F433" s="2" t="n"/>
      <c r="G433" s="2" t="n"/>
      <c r="H433" s="3" t="inlineStr">
        <is>
          <t>N.A.E. (Naturale Antica Erboristeria), certified organic body care, acquired November 2023; brand recognised at cost.</t>
        </is>
      </c>
      <c r="I433" s="2" t="inlineStr">
        <is>
          <t>S2</t>
        </is>
      </c>
      <c r="J433" s="2" t="n">
        <v>24</v>
      </c>
      <c r="K433" s="3" t="inlineStr">
        <is>
          <t>In November 2023, Naturale Antica Erboristeria (N.A.E) beca- me part of Katjes International, another brand from the body care sector.</t>
        </is>
      </c>
      <c r="L433" s="2" t="inlineStr">
        <is>
          <t>ok</t>
        </is>
      </c>
      <c r="M433" s="2" t="inlineStr">
        <is>
          <t>demo reviewer</t>
        </is>
      </c>
      <c r="N433" s="2" t="n"/>
      <c r="O433" s="3" t="inlineStr">
        <is>
          <t>https://vanillabonds.com/dossier-data/pdf/katjes/katjes-2024-annual-report.pdf#page=24</t>
        </is>
      </c>
      <c r="P433" s="3" t="inlineStr">
        <is>
          <t>https://vanillabonds.com/dossier.html?c=katjes&amp;viewer=1&amp;item=F432</t>
        </is>
      </c>
      <c r="Q433" s="2" t="inlineStr"/>
    </row>
    <row r="434">
      <c r="A434" s="2" t="inlineStr">
        <is>
          <t>F433</t>
        </is>
      </c>
      <c r="B434" s="2" t="inlineStr">
        <is>
          <t>management</t>
        </is>
      </c>
      <c r="C434" s="2" t="inlineStr">
        <is>
          <t>acquisition</t>
        </is>
      </c>
      <c r="D434" s="3" t="inlineStr">
        <is>
          <t>Acquisition / disposal: target, year, price, funding, outcome vs case</t>
        </is>
      </c>
      <c r="E434" s="2" t="n"/>
      <c r="F434" s="2" t="n"/>
      <c r="G434" s="2" t="n"/>
      <c r="H434" s="3" t="inlineStr">
        <is>
          <t>Dulcioliva (Cuneesi pralines, Piedmont): 75% acquired 30 June 2021 with an option on the remaining 25%.</t>
        </is>
      </c>
      <c r="I434" s="2" t="inlineStr">
        <is>
          <t>S2</t>
        </is>
      </c>
      <c r="J434" s="2" t="n">
        <v>24</v>
      </c>
      <c r="K434" s="3" t="inlineStr">
        <is>
          <t>Dulcioliva, new to Katjes International since 30 June 2021, is one of the leading producer of ‘Cuneesi’ pralines</t>
        </is>
      </c>
      <c r="L434" s="2" t="inlineStr">
        <is>
          <t>ok</t>
        </is>
      </c>
      <c r="M434" s="2" t="inlineStr">
        <is>
          <t>demo reviewer</t>
        </is>
      </c>
      <c r="N434" s="2" t="n"/>
      <c r="O434" s="3" t="inlineStr">
        <is>
          <t>https://vanillabonds.com/dossier-data/pdf/katjes/katjes-2024-annual-report.pdf#page=24</t>
        </is>
      </c>
      <c r="P434" s="3" t="inlineStr">
        <is>
          <t>https://vanillabonds.com/dossier.html?c=katjes&amp;viewer=1&amp;item=F433</t>
        </is>
      </c>
      <c r="Q434" s="2" t="inlineStr"/>
    </row>
    <row r="435">
      <c r="A435" s="2" t="inlineStr">
        <is>
          <t>F434</t>
        </is>
      </c>
      <c r="B435" s="2" t="inlineStr">
        <is>
          <t>management</t>
        </is>
      </c>
      <c r="C435" s="2" t="inlineStr">
        <is>
          <t>acquisition</t>
        </is>
      </c>
      <c r="D435" s="3" t="inlineStr">
        <is>
          <t>Acquisition / disposal: target, year, price, funding, outcome vs case</t>
        </is>
      </c>
      <c r="E435" s="2" t="n"/>
      <c r="F435" s="2" t="n"/>
      <c r="G435" s="2" t="n"/>
      <c r="H435" s="3" t="inlineStr">
        <is>
          <t>Sperlari (Cremona, Italy) part of the Group since 2017.</t>
        </is>
      </c>
      <c r="I435" s="2" t="inlineStr">
        <is>
          <t>S2</t>
        </is>
      </c>
      <c r="J435" s="2" t="n">
        <v>24</v>
      </c>
      <c r="K435" s="3" t="inlineStr">
        <is>
          <t>In Italy, Sperlari has been part of Katjes International since 2017.</t>
        </is>
      </c>
      <c r="L435" s="2" t="inlineStr">
        <is>
          <t>ok</t>
        </is>
      </c>
      <c r="M435" s="2" t="inlineStr">
        <is>
          <t>demo reviewer</t>
        </is>
      </c>
      <c r="N435" s="2" t="n"/>
      <c r="O435" s="3" t="inlineStr">
        <is>
          <t>https://vanillabonds.com/dossier-data/pdf/katjes/katjes-2024-annual-report.pdf#page=24</t>
        </is>
      </c>
      <c r="P435" s="3" t="inlineStr">
        <is>
          <t>https://vanillabonds.com/dossier.html?c=katjes&amp;viewer=1&amp;item=F434</t>
        </is>
      </c>
      <c r="Q435" s="2" t="inlineStr"/>
    </row>
    <row r="436">
      <c r="A436" s="2" t="inlineStr">
        <is>
          <t>F435</t>
        </is>
      </c>
      <c r="B436" s="2" t="inlineStr">
        <is>
          <t>management</t>
        </is>
      </c>
      <c r="C436" s="2" t="inlineStr">
        <is>
          <t>acquisition</t>
        </is>
      </c>
      <c r="D436" s="3" t="inlineStr">
        <is>
          <t>Acquisition / disposal: target, year, price, funding, outcome vs case</t>
        </is>
      </c>
      <c r="E436" s="2" t="n"/>
      <c r="F436" s="2" t="n"/>
      <c r="G436" s="2" t="n"/>
      <c r="H436" s="3" t="inlineStr">
        <is>
          <t>Harlekĳntjes (Nĳkerk, NL): all shares held since 2016.</t>
        </is>
      </c>
      <c r="I436" s="2" t="inlineStr">
        <is>
          <t>S2</t>
        </is>
      </c>
      <c r="J436" s="2" t="n">
        <v>24</v>
      </c>
      <c r="K436" s="3" t="inlineStr">
        <is>
          <t>Since 2016, Katjes International has held all shares in the Dutch company Harlekĳntjes</t>
        </is>
      </c>
      <c r="L436" s="2" t="inlineStr">
        <is>
          <t>ok</t>
        </is>
      </c>
      <c r="M436" s="2" t="inlineStr">
        <is>
          <t>demo reviewer</t>
        </is>
      </c>
      <c r="N436" s="2" t="n"/>
      <c r="O436" s="3" t="inlineStr">
        <is>
          <t>https://vanillabonds.com/dossier-data/pdf/katjes/katjes-2024-annual-report.pdf#page=24</t>
        </is>
      </c>
      <c r="P436" s="3" t="inlineStr">
        <is>
          <t>https://vanillabonds.com/dossier.html?c=katjes&amp;viewer=1&amp;item=F435</t>
        </is>
      </c>
      <c r="Q436" s="2" t="inlineStr"/>
    </row>
    <row r="437">
      <c r="A437" s="2" t="inlineStr">
        <is>
          <t>F436</t>
        </is>
      </c>
      <c r="B437" s="2" t="inlineStr">
        <is>
          <t>management</t>
        </is>
      </c>
      <c r="C437" s="2" t="inlineStr">
        <is>
          <t>acquisition</t>
        </is>
      </c>
      <c r="D437" s="3" t="inlineStr">
        <is>
          <t>Acquisition / disposal: target, year, price, funding, outcome vs case</t>
        </is>
      </c>
      <c r="E437" s="2" t="n"/>
      <c r="F437" s="2" t="n"/>
      <c r="G437" s="2" t="n"/>
      <c r="H437" s="3" t="inlineStr">
        <is>
          <t>Piasten (Forchheim) part of the portfolio since 2014; Dallmann’s Pharma Candy since 2012.</t>
        </is>
      </c>
      <c r="I437" s="2" t="inlineStr">
        <is>
          <t>S2</t>
        </is>
      </c>
      <c r="J437" s="2" t="n">
        <v>24</v>
      </c>
      <c r="K437" s="3" t="inlineStr">
        <is>
          <t>In Germany, Piasten has been part of Katjes International’s portfolio of holdings since 2014.</t>
        </is>
      </c>
      <c r="L437" s="2" t="inlineStr">
        <is>
          <t>ok</t>
        </is>
      </c>
      <c r="M437" s="2" t="inlineStr">
        <is>
          <t>demo reviewer</t>
        </is>
      </c>
      <c r="N437" s="2" t="n"/>
      <c r="O437" s="3" t="inlineStr">
        <is>
          <t>https://vanillabonds.com/dossier-data/pdf/katjes/katjes-2024-annual-report.pdf#page=24</t>
        </is>
      </c>
      <c r="P437" s="3" t="inlineStr">
        <is>
          <t>https://vanillabonds.com/dossier.html?c=katjes&amp;viewer=1&amp;item=F436</t>
        </is>
      </c>
      <c r="Q437" s="2" t="inlineStr"/>
    </row>
    <row r="438">
      <c r="A438" s="2" t="inlineStr">
        <is>
          <t>F437</t>
        </is>
      </c>
      <c r="B438" s="2" t="inlineStr">
        <is>
          <t>management</t>
        </is>
      </c>
      <c r="C438" s="2" t="inlineStr">
        <is>
          <t>acquisition</t>
        </is>
      </c>
      <c r="D438" s="3" t="inlineStr">
        <is>
          <t>Acquisition / disposal: target, year, price, funding, outcome vs case</t>
        </is>
      </c>
      <c r="E438" s="2" t="n"/>
      <c r="F438" s="2" t="n">
        <v>6.8</v>
      </c>
      <c r="G438" s="2" t="n"/>
      <c r="H438" s="3" t="inlineStr">
        <is>
          <t>Candy Kittens: a further 31.5% of the shares bought from minority shareholders in 2024 for EUR 6.8m (cash, equity transaction under IFRS 10), stake up to about 88%.</t>
        </is>
      </c>
      <c r="I438" s="2" t="inlineStr">
        <is>
          <t>S2</t>
        </is>
      </c>
      <c r="J438" s="2" t="n">
        <v>55</v>
      </c>
      <c r="K438" s="3" t="inlineStr">
        <is>
          <t>The transactions were completed for a total consideration of EUR 6.8 million and accounted for as equity transactions</t>
        </is>
      </c>
      <c r="L438" s="2" t="inlineStr">
        <is>
          <t>ok</t>
        </is>
      </c>
      <c r="M438" s="2" t="inlineStr">
        <is>
          <t>demo reviewer</t>
        </is>
      </c>
      <c r="N438" s="2" t="n"/>
      <c r="O438" s="3" t="inlineStr">
        <is>
          <t>https://vanillabonds.com/dossier-data/pdf/katjes/katjes-2024-annual-report.pdf#page=55</t>
        </is>
      </c>
      <c r="P438" s="3" t="inlineStr">
        <is>
          <t>https://vanillabonds.com/dossier.html?c=katjes&amp;viewer=1&amp;item=F437</t>
        </is>
      </c>
      <c r="Q438" s="2" t="inlineStr"/>
    </row>
    <row r="439">
      <c r="A439" s="2" t="inlineStr">
        <is>
          <t>F438</t>
        </is>
      </c>
      <c r="B439" s="2" t="inlineStr">
        <is>
          <t>management</t>
        </is>
      </c>
      <c r="C439" s="2" t="inlineStr">
        <is>
          <t>acquisition</t>
        </is>
      </c>
      <c r="D439" s="3" t="inlineStr">
        <is>
          <t>Acquisition / disposal: target, year, price, funding, outcome vs case</t>
        </is>
      </c>
      <c r="E439" s="2" t="n"/>
      <c r="F439" s="2" t="n"/>
      <c r="G439" s="2" t="n"/>
      <c r="H439" s="3" t="inlineStr">
        <is>
          <t>Barnängen: trademark rights for DE, AT, CZ, CH and HU bought from Henkel in April 2024 via Bübchen Bodycare; price not disclosed; brand recognised at cost.</t>
        </is>
      </c>
      <c r="I439" s="2" t="inlineStr">
        <is>
          <t>S2</t>
        </is>
      </c>
      <c r="J439" s="2" t="n">
        <v>55</v>
      </c>
      <c r="K439" s="3" t="inlineStr">
        <is>
          <t>in April 2024, the trademark rights to the Swedish heritage brand “Barnängen” were acquired from Henkel via the Group’s subsidiary Bübchen Bodycare</t>
        </is>
      </c>
      <c r="L439" s="2" t="inlineStr">
        <is>
          <t>ok</t>
        </is>
      </c>
      <c r="M439" s="2" t="inlineStr">
        <is>
          <t>demo reviewer</t>
        </is>
      </c>
      <c r="N439" s="2" t="n"/>
      <c r="O439" s="3" t="inlineStr">
        <is>
          <t>https://vanillabonds.com/dossier-data/pdf/katjes/katjes-2024-annual-report.pdf#page=55</t>
        </is>
      </c>
      <c r="P439" s="3" t="inlineStr">
        <is>
          <t>https://vanillabonds.com/dossier.html?c=katjes&amp;viewer=1&amp;item=F438</t>
        </is>
      </c>
      <c r="Q439" s="2" t="inlineStr"/>
    </row>
    <row r="440">
      <c r="A440" s="2" t="inlineStr">
        <is>
          <t>F439</t>
        </is>
      </c>
      <c r="B440" s="2" t="inlineStr">
        <is>
          <t>management</t>
        </is>
      </c>
      <c r="C440" s="2" t="inlineStr">
        <is>
          <t>succession</t>
        </is>
      </c>
      <c r="D440" s="3" t="inlineStr">
        <is>
          <t>Succession: plan, last change of CEO / CFO, who decides</t>
        </is>
      </c>
      <c r="E440" s="2" t="n"/>
      <c r="F440" s="2" t="n"/>
      <c r="G440" s="2" t="n"/>
      <c r="H440" s="3" t="inlineStr">
        <is>
          <t>CFO Stephan Milde in role since 2012; managing shareholders in role since 1996 and 2004; the report names no succession plan.</t>
        </is>
      </c>
      <c r="I440" s="2" t="inlineStr">
        <is>
          <t>S2</t>
        </is>
      </c>
      <c r="J440" s="2" t="n">
        <v>6</v>
      </c>
      <c r="K440" s="2" t="inlineStr">
        <is>
          <t>Since 2012 – CFO Katjes International</t>
        </is>
      </c>
      <c r="L440" s="2" t="inlineStr">
        <is>
          <t>ok</t>
        </is>
      </c>
      <c r="M440" s="2" t="inlineStr">
        <is>
          <t>demo reviewer</t>
        </is>
      </c>
      <c r="N440" s="2" t="n"/>
      <c r="O440" s="3" t="inlineStr">
        <is>
          <t>https://vanillabonds.com/dossier-data/pdf/katjes/katjes-2024-annual-report.pdf#page=6</t>
        </is>
      </c>
      <c r="P440" s="3" t="inlineStr">
        <is>
          <t>https://vanillabonds.com/dossier.html?c=katjes&amp;viewer=1&amp;item=F439</t>
        </is>
      </c>
      <c r="Q440" s="2" t="inlineStr"/>
    </row>
    <row r="441">
      <c r="A441" s="2" t="inlineStr">
        <is>
          <t>F440</t>
        </is>
      </c>
      <c r="B441" s="2" t="inlineStr">
        <is>
          <t>management</t>
        </is>
      </c>
      <c r="C441" s="2" t="inlineStr">
        <is>
          <t>governance</t>
        </is>
      </c>
      <c r="D441" s="3" t="inlineStr">
        <is>
          <t>Board, independent members, group structure, related-party flows, dividends</t>
        </is>
      </c>
      <c r="E441" s="2" t="n"/>
      <c r="F441" s="2" t="n"/>
      <c r="G441" s="2" t="n"/>
      <c r="H441" s="3" t="inlineStr">
        <is>
          <t>A voluntary external advisory board of experienced specialists advises and oversees management under the articles of association and meets several times a year; members are not named.</t>
        </is>
      </c>
      <c r="I441" s="2" t="inlineStr">
        <is>
          <t>S2</t>
        </is>
      </c>
      <c r="J441" s="2" t="n">
        <v>37</v>
      </c>
      <c r="K441" s="3" t="inlineStr">
        <is>
          <t>In addition, Katjes International has established a voluntary ex- ternal advisory board composed of experienced specialists.</t>
        </is>
      </c>
      <c r="L441" s="2" t="inlineStr">
        <is>
          <t>ok</t>
        </is>
      </c>
      <c r="M441" s="2" t="inlineStr">
        <is>
          <t>demo reviewer</t>
        </is>
      </c>
      <c r="N441" s="2" t="n"/>
      <c r="O441" s="3" t="inlineStr">
        <is>
          <t>https://vanillabonds.com/dossier-data/pdf/katjes/katjes-2024-annual-report.pdf#page=37</t>
        </is>
      </c>
      <c r="P441" s="3" t="inlineStr">
        <is>
          <t>https://vanillabonds.com/dossier.html?c=katjes&amp;viewer=1&amp;item=F440</t>
        </is>
      </c>
      <c r="Q441" s="2" t="inlineStr"/>
    </row>
    <row r="442">
      <c r="A442" s="2" t="inlineStr">
        <is>
          <t>F441</t>
        </is>
      </c>
      <c r="B442" s="2" t="inlineStr">
        <is>
          <t>management</t>
        </is>
      </c>
      <c r="C442" s="2" t="inlineStr">
        <is>
          <t>governance</t>
        </is>
      </c>
      <c r="D442" s="3" t="inlineStr">
        <is>
          <t>Board, independent members, group structure, related-party flows, dividends</t>
        </is>
      </c>
      <c r="E442" s="2" t="n"/>
      <c r="F442" s="2" t="n">
        <v>4.6</v>
      </c>
      <c r="G442" s="2" t="n"/>
      <c r="H442" s="3" t="inlineStr">
        <is>
          <t>Capital increases of EUR 4.6m in 2024 (subscribed capital +0.4 to 1.0, retained earnings +4.2) following the exercise of the corporate income tax option; no dividend or distribution line is shown in the statement of changes in equity.</t>
        </is>
      </c>
      <c r="I442" s="2" t="inlineStr">
        <is>
          <t>S2</t>
        </is>
      </c>
      <c r="J442" s="2" t="n">
        <v>44</v>
      </c>
      <c r="K442" s="3" t="inlineStr">
        <is>
          <t>Capital increases 0.4 0.0 4.2 0.0 0.0 0.0 0.0 0.0 4.6 0.0 4.6</t>
        </is>
      </c>
      <c r="L442" s="2" t="inlineStr">
        <is>
          <t>ok</t>
        </is>
      </c>
      <c r="M442" s="2" t="inlineStr">
        <is>
          <t>demo reviewer</t>
        </is>
      </c>
      <c r="N442" s="2" t="n"/>
      <c r="O442" s="3" t="inlineStr">
        <is>
          <t>https://vanillabonds.com/dossier-data/pdf/katjes/katjes-2024-annual-report.pdf#page=44</t>
        </is>
      </c>
      <c r="P442" s="3" t="inlineStr">
        <is>
          <t>https://vanillabonds.com/dossier.html?c=katjes&amp;viewer=1&amp;item=F441</t>
        </is>
      </c>
      <c r="Q442" s="2" t="inlineStr"/>
    </row>
    <row r="443">
      <c r="A443" s="2" t="inlineStr">
        <is>
          <t>F442</t>
        </is>
      </c>
      <c r="B443" s="2" t="inlineStr">
        <is>
          <t>management</t>
        </is>
      </c>
      <c r="C443" s="2" t="inlineStr">
        <is>
          <t>governance</t>
        </is>
      </c>
      <c r="D443" s="3" t="inlineStr">
        <is>
          <t>Board, independent members, group structure, related-party flows, dividends</t>
        </is>
      </c>
      <c r="E443" s="2" t="n"/>
      <c r="F443" s="2" t="n"/>
      <c r="G443" s="2" t="n"/>
      <c r="H443" s="3" t="inlineStr">
        <is>
          <t>Stephan Milde is appointed managing director of the general partner alongside the two shareholders; the general partner GmbH holds no capital interest in the KG.</t>
        </is>
      </c>
      <c r="I443" s="2" t="inlineStr">
        <is>
          <t>S2</t>
        </is>
      </c>
      <c r="J443" s="2" t="n">
        <v>47</v>
      </c>
      <c r="K443" s="3" t="inlineStr">
        <is>
          <t>In addition to the two shareholders, Stephan Milde is also appointed as managing director. The GmbH does not hold any capital interest in Katjes International GmbH &amp; Co. KG.</t>
        </is>
      </c>
      <c r="L443" s="2" t="inlineStr">
        <is>
          <t>ok</t>
        </is>
      </c>
      <c r="M443" s="2" t="inlineStr">
        <is>
          <t>demo reviewer</t>
        </is>
      </c>
      <c r="N443" s="2" t="n"/>
      <c r="O443" s="3" t="inlineStr">
        <is>
          <t>https://vanillabonds.com/dossier-data/pdf/katjes/katjes-2024-annual-report.pdf#page=47</t>
        </is>
      </c>
      <c r="P443" s="3" t="inlineStr">
        <is>
          <t>https://vanillabonds.com/dossier.html?c=katjes&amp;viewer=1&amp;item=F442</t>
        </is>
      </c>
      <c r="Q443" s="2" t="inlineStr"/>
    </row>
    <row r="444">
      <c r="A444" s="2" t="inlineStr">
        <is>
          <t>F443</t>
        </is>
      </c>
      <c r="B444" s="2" t="inlineStr">
        <is>
          <t>management</t>
        </is>
      </c>
      <c r="C444" s="2" t="inlineStr">
        <is>
          <t>governance</t>
        </is>
      </c>
      <c r="D444" s="3" t="inlineStr">
        <is>
          <t>Board, independent members, group structure, related-party flows, dividends</t>
        </is>
      </c>
      <c r="E444" s="2" t="n"/>
      <c r="F444" s="2" t="n"/>
      <c r="G444" s="2" t="n"/>
      <c r="H444" s="3" t="inlineStr">
        <is>
          <t>Non-controlling interests (EUR 1.2m at 31 Dec 2024, 2023: 3.0) relate to minority holders in Candy Kittens, its subsidiary Longaim, and Tuckshop.</t>
        </is>
      </c>
      <c r="I444" s="2" t="inlineStr">
        <is>
          <t>S2</t>
        </is>
      </c>
      <c r="J444" s="2" t="n">
        <v>67</v>
      </c>
      <c r="K444" s="3" t="inlineStr">
        <is>
          <t>The line item “non-controlling interests” reflects the minority in- terests in Candy Kittens and its subsidiary Longaim, as well as in Tuckshop.</t>
        </is>
      </c>
      <c r="L444" s="2" t="inlineStr">
        <is>
          <t>ok</t>
        </is>
      </c>
      <c r="M444" s="2" t="inlineStr">
        <is>
          <t>demo reviewer</t>
        </is>
      </c>
      <c r="N444" s="2" t="n"/>
      <c r="O444" s="3" t="inlineStr">
        <is>
          <t>https://vanillabonds.com/dossier-data/pdf/katjes/katjes-2024-annual-report.pdf#page=67</t>
        </is>
      </c>
      <c r="P444" s="3" t="inlineStr">
        <is>
          <t>https://vanillabonds.com/dossier.html?c=katjes&amp;viewer=1&amp;item=F443</t>
        </is>
      </c>
      <c r="Q444" s="2" t="inlineStr"/>
    </row>
    <row r="445">
      <c r="A445" s="2" t="inlineStr">
        <is>
          <t>F444</t>
        </is>
      </c>
      <c r="B445" s="2" t="inlineStr">
        <is>
          <t>management</t>
        </is>
      </c>
      <c r="C445" s="2" t="inlineStr">
        <is>
          <t>governance</t>
        </is>
      </c>
      <c r="D445" s="3" t="inlineStr">
        <is>
          <t>Board, independent members, group structure, related-party flows, dividends</t>
        </is>
      </c>
      <c r="E445" s="2" t="n"/>
      <c r="F445" s="2" t="n"/>
      <c r="G445" s="2" t="n"/>
      <c r="H445" s="3" t="inlineStr">
        <is>
          <t>The general partner acts as chief operating decision maker, allocating resources and assessing performance at Group level.</t>
        </is>
      </c>
      <c r="I445" s="2" t="inlineStr">
        <is>
          <t>S2</t>
        </is>
      </c>
      <c r="J445" s="2" t="n">
        <v>77</v>
      </c>
      <c r="K445" s="3" t="inlineStr">
        <is>
          <t>The general partner of Katjes International GmbH &amp; Co. KG acts as the chief operating decision maker across the Group</t>
        </is>
      </c>
      <c r="L445" s="2" t="inlineStr">
        <is>
          <t>ok</t>
        </is>
      </c>
      <c r="M445" s="2" t="inlineStr">
        <is>
          <t>demo reviewer</t>
        </is>
      </c>
      <c r="N445" s="2" t="n"/>
      <c r="O445" s="3" t="inlineStr">
        <is>
          <t>https://vanillabonds.com/dossier-data/pdf/katjes/katjes-2024-annual-report.pdf#page=77</t>
        </is>
      </c>
      <c r="P445" s="3" t="inlineStr">
        <is>
          <t>https://vanillabonds.com/dossier.html?c=katjes&amp;viewer=1&amp;item=F444</t>
        </is>
      </c>
      <c r="Q445" s="2" t="inlineStr"/>
    </row>
    <row r="446">
      <c r="A446" s="2" t="inlineStr">
        <is>
          <t>F445</t>
        </is>
      </c>
      <c r="B446" s="2" t="inlineStr">
        <is>
          <t>management</t>
        </is>
      </c>
      <c r="C446" s="2" t="inlineStr">
        <is>
          <t>governance</t>
        </is>
      </c>
      <c r="D446" s="3" t="inlineStr">
        <is>
          <t>Board, independent members, group structure, related-party flows, dividends</t>
        </is>
      </c>
      <c r="E446" s="2" t="n"/>
      <c r="F446" s="2" t="n"/>
      <c r="G446" s="2" t="n"/>
      <c r="H446" s="3" t="inlineStr">
        <is>
          <t>The general partner is Xaver Fassin International GmbH, whose shareholders Bastian Fassin and Tobias Bachmüller are also the limited partners of Katjes International; the GmbH holds no capital interest.</t>
        </is>
      </c>
      <c r="I446" s="2" t="inlineStr">
        <is>
          <t>S2</t>
        </is>
      </c>
      <c r="J446" s="2" t="n">
        <v>80</v>
      </c>
      <c r="K446" s="3" t="inlineStr">
        <is>
          <t>The parent company is managed by the general partner Xaver Fassin International GmbH, whose shareholders are Mr Bastian Fassin and Mr Tobias Bachmüller. These individuals are also the limited partners</t>
        </is>
      </c>
      <c r="L446" s="2" t="inlineStr">
        <is>
          <t>ok</t>
        </is>
      </c>
      <c r="M446" s="2" t="inlineStr">
        <is>
          <t>demo reviewer</t>
        </is>
      </c>
      <c r="N446" s="2" t="n"/>
      <c r="O446" s="3" t="inlineStr">
        <is>
          <t>https://vanillabonds.com/dossier-data/pdf/katjes/katjes-2024-annual-report.pdf#page=80</t>
        </is>
      </c>
      <c r="P446" s="3" t="inlineStr">
        <is>
          <t>https://vanillabonds.com/dossier.html?c=katjes&amp;viewer=1&amp;item=F445</t>
        </is>
      </c>
      <c r="Q446" s="2" t="inlineStr"/>
    </row>
    <row r="447">
      <c r="A447" s="2" t="inlineStr">
        <is>
          <t>F446</t>
        </is>
      </c>
      <c r="B447" s="2" t="inlineStr">
        <is>
          <t>management</t>
        </is>
      </c>
      <c r="C447" s="2" t="inlineStr">
        <is>
          <t>governance</t>
        </is>
      </c>
      <c r="D447" s="3" t="inlineStr">
        <is>
          <t>Board, independent members, group structure, related-party flows, dividends</t>
        </is>
      </c>
      <c r="E447" s="2" t="n"/>
      <c r="F447" s="2" t="n"/>
      <c r="G447" s="2" t="n"/>
      <c r="H447" s="3" t="inlineStr">
        <is>
          <t>All related-party business relationships are stated to be at arm’s length and not collateralised.</t>
        </is>
      </c>
      <c r="I447" s="2" t="inlineStr">
        <is>
          <t>S2</t>
        </is>
      </c>
      <c r="J447" s="2" t="n">
        <v>80</v>
      </c>
      <c r="K447" s="3" t="inlineStr">
        <is>
          <t>All business relationships are conducted at arm’s length and are not collateralised.</t>
        </is>
      </c>
      <c r="L447" s="2" t="inlineStr">
        <is>
          <t>ok</t>
        </is>
      </c>
      <c r="M447" s="2" t="inlineStr">
        <is>
          <t>demo reviewer</t>
        </is>
      </c>
      <c r="N447" s="2" t="n"/>
      <c r="O447" s="3" t="inlineStr">
        <is>
          <t>https://vanillabonds.com/dossier-data/pdf/katjes/katjes-2024-annual-report.pdf#page=80</t>
        </is>
      </c>
      <c r="P447" s="3" t="inlineStr">
        <is>
          <t>https://vanillabonds.com/dossier.html?c=katjes&amp;viewer=1&amp;item=F446</t>
        </is>
      </c>
      <c r="Q447" s="2" t="inlineStr"/>
    </row>
    <row r="448">
      <c r="A448" s="2" t="inlineStr">
        <is>
          <t>F447</t>
        </is>
      </c>
      <c r="B448" s="2" t="inlineStr">
        <is>
          <t>management</t>
        </is>
      </c>
      <c r="C448" s="2" t="inlineStr">
        <is>
          <t>governance</t>
        </is>
      </c>
      <c r="D448" s="3" t="inlineStr">
        <is>
          <t>Board, independent members, group structure, related-party flows, dividends</t>
        </is>
      </c>
      <c r="E448" s="2" t="n"/>
      <c r="F448" s="2" t="n"/>
      <c r="G448" s="2" t="n"/>
      <c r="H448" s="3" t="inlineStr">
        <is>
          <t>Five German subsidiaries (Piasten GmbH, Dallmann’s Pharma Candy GmbH, Katjes 24 GmbH, Bübchen Skincare GmbH, Bübchen-Werk Ewald Hermes) use the section 264 (3) HGB exemption from separate audit and publication.</t>
        </is>
      </c>
      <c r="I448" s="2" t="inlineStr">
        <is>
          <t>S2</t>
        </is>
      </c>
      <c r="J448" s="2" t="n">
        <v>81</v>
      </c>
      <c r="K448" s="3" t="inlineStr">
        <is>
          <t>make use of the exemption from certain regulations on the preparation, auditing and publication of the annual financial statements/management report pursuant to section 264 (3) HGB</t>
        </is>
      </c>
      <c r="L448" s="2" t="inlineStr">
        <is>
          <t>ok</t>
        </is>
      </c>
      <c r="M448" s="2" t="inlineStr">
        <is>
          <t>demo reviewer</t>
        </is>
      </c>
      <c r="N448" s="2" t="n"/>
      <c r="O448" s="3" t="inlineStr">
        <is>
          <t>https://vanillabonds.com/dossier-data/pdf/katjes/katjes-2024-annual-report.pdf#page=81</t>
        </is>
      </c>
      <c r="P448" s="3" t="inlineStr">
        <is>
          <t>https://vanillabonds.com/dossier.html?c=katjes&amp;viewer=1&amp;item=F447</t>
        </is>
      </c>
      <c r="Q448" s="2" t="inlineStr"/>
    </row>
    <row r="449">
      <c r="A449" s="2" t="inlineStr">
        <is>
          <t>F448</t>
        </is>
      </c>
      <c r="B449" s="2" t="inlineStr">
        <is>
          <t>management</t>
        </is>
      </c>
      <c r="C449" s="2" t="inlineStr">
        <is>
          <t>reporting_practice</t>
        </is>
      </c>
      <c r="D449" s="3" t="inlineStr">
        <is>
          <t>Monitoring: KPI reporting, frequency, budget process, controlling</t>
        </is>
      </c>
      <c r="E449" s="2" t="n"/>
      <c r="F449" s="2" t="n"/>
      <c r="G449" s="2" t="n"/>
      <c r="H449" s="3" t="inlineStr">
        <is>
          <t>Key performance indicators are financial: revenue (growth) and EBITDA (profitability), inside an internal management and control system combining strategic planning with value-oriented business development.</t>
        </is>
      </c>
      <c r="I449" s="2" t="inlineStr">
        <is>
          <t>S2</t>
        </is>
      </c>
      <c r="J449" s="2" t="n">
        <v>25</v>
      </c>
      <c r="K449" s="3" t="inlineStr">
        <is>
          <t>The key performance indicators are financial in nature and in- clude revenue as an indicator of business growth and EBITDA</t>
        </is>
      </c>
      <c r="L449" s="2" t="inlineStr">
        <is>
          <t>ok</t>
        </is>
      </c>
      <c r="M449" s="2" t="inlineStr">
        <is>
          <t>demo reviewer</t>
        </is>
      </c>
      <c r="N449" s="2" t="n"/>
      <c r="O449" s="3" t="inlineStr">
        <is>
          <t>https://vanillabonds.com/dossier-data/pdf/katjes/katjes-2024-annual-report.pdf#page=25</t>
        </is>
      </c>
      <c r="P449" s="3" t="inlineStr">
        <is>
          <t>https://vanillabonds.com/dossier.html?c=katjes&amp;viewer=1&amp;item=F448</t>
        </is>
      </c>
      <c r="Q449" s="2" t="inlineStr"/>
    </row>
    <row r="450">
      <c r="A450" s="2" t="inlineStr">
        <is>
          <t>F449</t>
        </is>
      </c>
      <c r="B450" s="2" t="inlineStr">
        <is>
          <t>management</t>
        </is>
      </c>
      <c r="C450" s="2" t="inlineStr">
        <is>
          <t>reporting_practice</t>
        </is>
      </c>
      <c r="D450" s="3" t="inlineStr">
        <is>
          <t>Monitoring: KPI reporting, frequency, budget process, controlling</t>
        </is>
      </c>
      <c r="E450" s="2" t="n"/>
      <c r="F450" s="2" t="n"/>
      <c r="G450" s="2" t="n"/>
      <c r="H450" s="3" t="inlineStr">
        <is>
          <t>Risk management: coordinated risk management and control systems with an internal reporting system and regular management meetings; the advisory board also meets several times a year.</t>
        </is>
      </c>
      <c r="I450" s="2" t="inlineStr">
        <is>
          <t>S2</t>
        </is>
      </c>
      <c r="J450" s="2" t="n">
        <v>37</v>
      </c>
      <c r="K450" s="3" t="inlineStr">
        <is>
          <t>To address the aforementioned risks, Katjes International has established a set of coordinated risk management and control systems.</t>
        </is>
      </c>
      <c r="L450" s="2" t="inlineStr">
        <is>
          <t>ok</t>
        </is>
      </c>
      <c r="M450" s="2" t="inlineStr">
        <is>
          <t>demo reviewer</t>
        </is>
      </c>
      <c r="N450" s="2" t="n"/>
      <c r="O450" s="3" t="inlineStr">
        <is>
          <t>https://vanillabonds.com/dossier-data/pdf/katjes/katjes-2024-annual-report.pdf#page=37</t>
        </is>
      </c>
      <c r="P450" s="3" t="inlineStr">
        <is>
          <t>https://vanillabonds.com/dossier.html?c=katjes&amp;viewer=1&amp;item=F449</t>
        </is>
      </c>
      <c r="Q450" s="2" t="inlineStr"/>
    </row>
    <row r="451">
      <c r="A451" s="2" t="inlineStr">
        <is>
          <t>F450</t>
        </is>
      </c>
      <c r="B451" s="2" t="inlineStr">
        <is>
          <t>management</t>
        </is>
      </c>
      <c r="C451" s="2" t="inlineStr">
        <is>
          <t>reporting_practice</t>
        </is>
      </c>
      <c r="D451" s="3" t="inlineStr">
        <is>
          <t>Monitoring: KPI reporting, frequency, budget process, controlling</t>
        </is>
      </c>
      <c r="E451" s="2" t="n"/>
      <c r="F451" s="2" t="n"/>
      <c r="G451" s="2" t="n"/>
      <c r="H451" s="3" t="inlineStr">
        <is>
          <t>A half-year 2024 financial report was published in which the EBITDA margin guidance was set at 10%; annual statements authorised for issue by management on 9 April 2025.</t>
        </is>
      </c>
      <c r="I451" s="2" t="inlineStr">
        <is>
          <t>S2</t>
        </is>
      </c>
      <c r="J451" s="2" t="n">
        <v>38</v>
      </c>
      <c r="K451" s="3" t="inlineStr">
        <is>
          <t>The EBITDA margin, which had been forecast at 10% i.e. at the upper end of the margin in the half-year 2024 financial report, exceeded expectations with an actual margin of 11.4%.</t>
        </is>
      </c>
      <c r="L451" s="2" t="inlineStr">
        <is>
          <t>ok</t>
        </is>
      </c>
      <c r="M451" s="2" t="inlineStr">
        <is>
          <t>demo reviewer</t>
        </is>
      </c>
      <c r="N451" s="2" t="n"/>
      <c r="O451" s="3" t="inlineStr">
        <is>
          <t>https://vanillabonds.com/dossier-data/pdf/katjes/katjes-2024-annual-report.pdf#page=38</t>
        </is>
      </c>
      <c r="P451" s="3" t="inlineStr">
        <is>
          <t>https://vanillabonds.com/dossier.html?c=katjes&amp;viewer=1&amp;item=F450</t>
        </is>
      </c>
      <c r="Q451" s="2" t="inlineStr"/>
    </row>
    <row r="452">
      <c r="A452" s="2" t="inlineStr">
        <is>
          <t>F451</t>
        </is>
      </c>
      <c r="B452" s="2" t="inlineStr">
        <is>
          <t>management</t>
        </is>
      </c>
      <c r="C452" s="2" t="inlineStr">
        <is>
          <t>reporting_practice</t>
        </is>
      </c>
      <c r="D452" s="3" t="inlineStr">
        <is>
          <t>Monitoring: KPI reporting, frequency, budget process, controlling</t>
        </is>
      </c>
      <c r="E452" s="2" t="n"/>
      <c r="F452" s="2" t="n"/>
      <c r="G452" s="2" t="n"/>
      <c r="H452" s="3" t="inlineStr">
        <is>
          <t>Liquidity: cash planning is monitored and updated regularly, matching long-term assets with long-term financing and keeping credit lines for short-term needs.</t>
        </is>
      </c>
      <c r="I452" s="2" t="inlineStr">
        <is>
          <t>S2</t>
        </is>
      </c>
      <c r="J452" s="2" t="n">
        <v>58</v>
      </c>
      <c r="K452" s="3" t="inlineStr">
        <is>
          <t>The Group regularly monitors and updates its cash planning.</t>
        </is>
      </c>
      <c r="L452" s="2" t="inlineStr">
        <is>
          <t>ok</t>
        </is>
      </c>
      <c r="M452" s="2" t="inlineStr">
        <is>
          <t>demo reviewer</t>
        </is>
      </c>
      <c r="N452" s="2" t="n"/>
      <c r="O452" s="3" t="inlineStr">
        <is>
          <t>https://vanillabonds.com/dossier-data/pdf/katjes/katjes-2024-annual-report.pdf#page=58</t>
        </is>
      </c>
      <c r="P452" s="3" t="inlineStr">
        <is>
          <t>https://vanillabonds.com/dossier.html?c=katjes&amp;viewer=1&amp;item=F451</t>
        </is>
      </c>
      <c r="Q452" s="2" t="inlineStr"/>
    </row>
    <row r="453">
      <c r="A453" s="2" t="inlineStr">
        <is>
          <t>F452</t>
        </is>
      </c>
      <c r="B453" s="2" t="inlineStr">
        <is>
          <t>market</t>
        </is>
      </c>
      <c r="C453" s="2" t="inlineStr">
        <is>
          <t>market_fact</t>
        </is>
      </c>
      <c r="D453" s="3" t="inlineStr">
        <is>
          <t>Market: size, growth, share, competitor capacity, regulation (source named)</t>
        </is>
      </c>
      <c r="E453" s="2" t="n"/>
      <c r="F453" s="2" t="n"/>
      <c r="G453" s="2" t="n"/>
      <c r="H453" s="3" t="inlineStr">
        <is>
          <t>company statement: Sperlari is the second largest provider in the Italian sugar confectionery market and market leader in sugar-free candies, seasonal products and sweeteners.</t>
        </is>
      </c>
      <c r="I453" s="2" t="inlineStr">
        <is>
          <t>S2</t>
        </is>
      </c>
      <c r="J453" s="2" t="n">
        <v>24</v>
      </c>
      <c r="K453" s="3" t="inlineStr">
        <is>
          <t>Sperlari is the second largest provider in the Italian su- gar confectionery market, and the market leader in the seg- ment for sugar-free candies, seasonal products and sweete- ners.</t>
        </is>
      </c>
      <c r="L453" s="2" t="inlineStr">
        <is>
          <t>ok</t>
        </is>
      </c>
      <c r="M453" s="2" t="inlineStr">
        <is>
          <t>demo reviewer</t>
        </is>
      </c>
      <c r="N453" s="2" t="n"/>
      <c r="O453" s="3" t="inlineStr">
        <is>
          <t>https://vanillabonds.com/dossier-data/pdf/katjes/katjes-2024-annual-report.pdf#page=24</t>
        </is>
      </c>
      <c r="P453" s="3" t="inlineStr">
        <is>
          <t>https://vanillabonds.com/dossier.html?c=katjes&amp;viewer=1&amp;item=F452</t>
        </is>
      </c>
      <c r="Q453" s="2" t="inlineStr"/>
    </row>
    <row r="454">
      <c r="A454" s="2" t="inlineStr">
        <is>
          <t>F453</t>
        </is>
      </c>
      <c r="B454" s="2" t="inlineStr">
        <is>
          <t>market</t>
        </is>
      </c>
      <c r="C454" s="2" t="inlineStr">
        <is>
          <t>market_fact</t>
        </is>
      </c>
      <c r="D454" s="3" t="inlineStr">
        <is>
          <t>Market: size, growth, share, competitor capacity, regulation (source named)</t>
        </is>
      </c>
      <c r="E454" s="2" t="n"/>
      <c r="F454" s="2" t="n"/>
      <c r="G454" s="2" t="n"/>
      <c r="H454" s="3" t="inlineStr">
        <is>
          <t>company statement: Dallmann’s sage cough drops lead German pharmacies by number of bags sold.</t>
        </is>
      </c>
      <c r="I454" s="2" t="inlineStr">
        <is>
          <t>S2</t>
        </is>
      </c>
      <c r="J454" s="2" t="n">
        <v>24</v>
      </c>
      <c r="K454" s="3" t="inlineStr">
        <is>
          <t>With its Dallmann’s sage cough drops, the Germany-based company Dallmann’s Pharma Candy (part of Katjes Internati</t>
        </is>
      </c>
      <c r="L454" s="2" t="inlineStr">
        <is>
          <t>ok</t>
        </is>
      </c>
      <c r="M454" s="2" t="inlineStr">
        <is>
          <t>demo reviewer</t>
        </is>
      </c>
      <c r="N454" s="2" t="n"/>
      <c r="O454" s="3" t="inlineStr">
        <is>
          <t>https://vanillabonds.com/dossier-data/pdf/katjes/katjes-2024-annual-report.pdf#page=24</t>
        </is>
      </c>
      <c r="P454" s="3" t="inlineStr">
        <is>
          <t>https://vanillabonds.com/dossier.html?c=katjes&amp;viewer=1&amp;item=F453</t>
        </is>
      </c>
      <c r="Q454" s="2" t="inlineStr"/>
    </row>
    <row r="455">
      <c r="A455" s="2" t="inlineStr">
        <is>
          <t>F454</t>
        </is>
      </c>
      <c r="B455" s="2" t="inlineStr">
        <is>
          <t>market</t>
        </is>
      </c>
      <c r="C455" s="2" t="inlineStr">
        <is>
          <t>market_fact</t>
        </is>
      </c>
      <c r="D455" s="3" t="inlineStr">
        <is>
          <t>Market: size, growth, share, competitor capacity, regulation (source named)</t>
        </is>
      </c>
      <c r="E455" s="2" t="n"/>
      <c r="F455" s="2" t="n"/>
      <c r="G455" s="2" t="n"/>
      <c r="H455" s="3" t="inlineStr">
        <is>
          <t>company statement: Bübchen is the market leader in the baby &amp; kids body care segment in Germany; Harlekĳntjes makes the Netherlands’ best-selling liquorice product.</t>
        </is>
      </c>
      <c r="I455" s="2" t="inlineStr">
        <is>
          <t>S2</t>
        </is>
      </c>
      <c r="J455" s="2" t="n">
        <v>24</v>
      </c>
      <c r="K455" s="3" t="inlineStr">
        <is>
          <t>Since May 2020 Bübchen, the market leader in the baby &amp; kids body care segment in Germany, is part of the Katjes Internati</t>
        </is>
      </c>
      <c r="L455" s="2" t="inlineStr">
        <is>
          <t>ok</t>
        </is>
      </c>
      <c r="M455" s="2" t="inlineStr">
        <is>
          <t>demo reviewer</t>
        </is>
      </c>
      <c r="N455" s="2" t="n"/>
      <c r="O455" s="3" t="inlineStr">
        <is>
          <t>https://vanillabonds.com/dossier-data/pdf/katjes/katjes-2024-annual-report.pdf#page=24</t>
        </is>
      </c>
      <c r="P455" s="3" t="inlineStr">
        <is>
          <t>https://vanillabonds.com/dossier.html?c=katjes&amp;viewer=1&amp;item=F454</t>
        </is>
      </c>
      <c r="Q455" s="2" t="inlineStr"/>
    </row>
    <row r="456">
      <c r="A456" s="2" t="inlineStr">
        <is>
          <t>F455</t>
        </is>
      </c>
      <c r="B456" s="2" t="inlineStr">
        <is>
          <t>market</t>
        </is>
      </c>
      <c r="C456" s="2" t="inlineStr">
        <is>
          <t>market_fact</t>
        </is>
      </c>
      <c r="D456" s="3" t="inlineStr">
        <is>
          <t>Market: size, growth, share, competitor capacity, regulation (source named)</t>
        </is>
      </c>
      <c r="E456" s="2" t="n"/>
      <c r="F456" s="2" t="n"/>
      <c r="G456" s="2" t="n"/>
      <c r="H456" s="3" t="inlineStr">
        <is>
          <t>company statement: Vademecum is by volume the leading organic toothpaste in France; Piasten is one of the largest German producers of chocolate dragees.</t>
        </is>
      </c>
      <c r="I456" s="2" t="inlineStr">
        <is>
          <t>S2</t>
        </is>
      </c>
      <c r="J456" s="2" t="n">
        <v>24</v>
      </c>
      <c r="K456" s="3" t="inlineStr">
        <is>
          <t>For instance, Vademecum is based on volume the leading or- ganic toothpaste in France.</t>
        </is>
      </c>
      <c r="L456" s="2" t="inlineStr">
        <is>
          <t>ok</t>
        </is>
      </c>
      <c r="M456" s="2" t="inlineStr">
        <is>
          <t>demo reviewer</t>
        </is>
      </c>
      <c r="N456" s="2" t="n"/>
      <c r="O456" s="3" t="inlineStr">
        <is>
          <t>https://vanillabonds.com/dossier-data/pdf/katjes/katjes-2024-annual-report.pdf#page=24</t>
        </is>
      </c>
      <c r="P456" s="3" t="inlineStr">
        <is>
          <t>https://vanillabonds.com/dossier.html?c=katjes&amp;viewer=1&amp;item=F455</t>
        </is>
      </c>
      <c r="Q456" s="2" t="inlineStr"/>
    </row>
    <row r="457">
      <c r="A457" s="2" t="inlineStr">
        <is>
          <t>F456</t>
        </is>
      </c>
      <c r="B457" s="2" t="inlineStr">
        <is>
          <t>market</t>
        </is>
      </c>
      <c r="C457" s="2" t="inlineStr">
        <is>
          <t>market_fact</t>
        </is>
      </c>
      <c r="D457" s="3" t="inlineStr">
        <is>
          <t>Market: size, growth, share, competitor capacity, regulation (source named)</t>
        </is>
      </c>
      <c r="E457" s="2" t="n"/>
      <c r="F457" s="2" t="n"/>
      <c r="G457" s="2" t="n"/>
      <c r="H457" s="3" t="inlineStr">
        <is>
          <t>cites Euromonitor International (expert forecasts): the European confectionery market (sugar and chocolate) is expected to reach nearly EUR 100 billion by 2029.</t>
        </is>
      </c>
      <c r="I457" s="2" t="inlineStr">
        <is>
          <t>S2</t>
        </is>
      </c>
      <c r="J457" s="2" t="n">
        <v>26</v>
      </c>
      <c r="K457" s="3" t="inlineStr">
        <is>
          <t>According to expert forecasts (i. a. Euromonitor International), the European confectionery market (sugar and chocolate pro- ducts) is expected to grow to nearly EUR 100 billion by 2029.</t>
        </is>
      </c>
      <c r="L457" s="2" t="inlineStr">
        <is>
          <t>ok</t>
        </is>
      </c>
      <c r="M457" s="2" t="inlineStr">
        <is>
          <t>demo reviewer</t>
        </is>
      </c>
      <c r="N457" s="2" t="n"/>
      <c r="O457" s="3" t="inlineStr">
        <is>
          <t>https://vanillabonds.com/dossier-data/pdf/katjes/katjes-2024-annual-report.pdf#page=26</t>
        </is>
      </c>
      <c r="P457" s="3" t="inlineStr">
        <is>
          <t>https://vanillabonds.com/dossier.html?c=katjes&amp;viewer=1&amp;item=F456</t>
        </is>
      </c>
      <c r="Q457" s="2" t="inlineStr"/>
    </row>
    <row r="458">
      <c r="A458" s="2" t="inlineStr">
        <is>
          <t>F457</t>
        </is>
      </c>
      <c r="B458" s="2" t="inlineStr">
        <is>
          <t>market</t>
        </is>
      </c>
      <c r="C458" s="2" t="inlineStr">
        <is>
          <t>market_fact</t>
        </is>
      </c>
      <c r="D458" s="3" t="inlineStr">
        <is>
          <t>Market: size, growth, share, competitor capacity, regulation (source named)</t>
        </is>
      </c>
      <c r="E458" s="2" t="n"/>
      <c r="F458" s="2" t="n"/>
      <c r="G458" s="2" t="n"/>
      <c r="H458" s="3" t="inlineStr">
        <is>
          <t>company statement: FMCG sales markets show low cyclicality and high economic resilience, confirmed by 2024 figures.</t>
        </is>
      </c>
      <c r="I458" s="2" t="inlineStr">
        <is>
          <t>S2</t>
        </is>
      </c>
      <c r="J458" s="2" t="n">
        <v>26</v>
      </c>
      <c r="K458" s="3" t="inlineStr">
        <is>
          <t>The Group’s key sales markets for fast-moving consumer goods (FMCG) are generally characterized by low cyclicality and high economic resilience</t>
        </is>
      </c>
      <c r="L458" s="2" t="inlineStr">
        <is>
          <t>ok</t>
        </is>
      </c>
      <c r="M458" s="2" t="inlineStr">
        <is>
          <t>demo reviewer</t>
        </is>
      </c>
      <c r="N458" s="2" t="n"/>
      <c r="O458" s="3" t="inlineStr">
        <is>
          <t>https://vanillabonds.com/dossier-data/pdf/katjes/katjes-2024-annual-report.pdf#page=26</t>
        </is>
      </c>
      <c r="P458" s="3" t="inlineStr">
        <is>
          <t>https://vanillabonds.com/dossier.html?c=katjes&amp;viewer=1&amp;item=F457</t>
        </is>
      </c>
      <c r="Q458" s="2" t="inlineStr"/>
    </row>
    <row r="459">
      <c r="A459" s="2" t="inlineStr">
        <is>
          <t>F458</t>
        </is>
      </c>
      <c r="B459" s="2" t="inlineStr">
        <is>
          <t>market</t>
        </is>
      </c>
      <c r="C459" s="2" t="inlineStr">
        <is>
          <t>market_fact</t>
        </is>
      </c>
      <c r="D459" s="3" t="inlineStr">
        <is>
          <t>Market: size, growth, share, competitor capacity, regulation (source named)</t>
        </is>
      </c>
      <c r="E459" s="2" t="n"/>
      <c r="F459" s="2" t="n"/>
      <c r="G459" s="2" t="n"/>
      <c r="H459" s="3" t="inlineStr">
        <is>
          <t>company statement: sugar prices stabilised over 2024 while cocoa prices rose significantly; raw material prices remained volatile.</t>
        </is>
      </c>
      <c r="I459" s="2" t="inlineStr">
        <is>
          <t>S2</t>
        </is>
      </c>
      <c r="J459" s="2" t="n">
        <v>26</v>
      </c>
      <c r="K459" s="3" t="inlineStr">
        <is>
          <t>Volatile raw material prices continued to pose challenges in 2024. Although sugar prices stabilized over the course of the year, cocoa prices rose significantly.</t>
        </is>
      </c>
      <c r="L459" s="2" t="inlineStr">
        <is>
          <t>ok</t>
        </is>
      </c>
      <c r="M459" s="2" t="inlineStr">
        <is>
          <t>demo reviewer</t>
        </is>
      </c>
      <c r="N459" s="2" t="n"/>
      <c r="O459" s="3" t="inlineStr">
        <is>
          <t>https://vanillabonds.com/dossier-data/pdf/katjes/katjes-2024-annual-report.pdf#page=26</t>
        </is>
      </c>
      <c r="P459" s="3" t="inlineStr">
        <is>
          <t>https://vanillabonds.com/dossier.html?c=katjes&amp;viewer=1&amp;item=F458</t>
        </is>
      </c>
      <c r="Q459" s="2" t="inlineStr"/>
    </row>
    <row r="460">
      <c r="A460" s="2" t="inlineStr">
        <is>
          <t>F459</t>
        </is>
      </c>
      <c r="B460" s="2" t="inlineStr">
        <is>
          <t>market</t>
        </is>
      </c>
      <c r="C460" s="2" t="inlineStr">
        <is>
          <t>market_fact</t>
        </is>
      </c>
      <c r="D460" s="3" t="inlineStr">
        <is>
          <t>Market: size, growth, share, competitor capacity, regulation (source named)</t>
        </is>
      </c>
      <c r="E460" s="2" t="n"/>
      <c r="F460" s="2" t="n"/>
      <c r="G460" s="2" t="n"/>
      <c r="H460" s="3" t="inlineStr">
        <is>
          <t>company statement: CPK (approx. 23% held) is the number two in the French sugar confectionery market; its revenues are not consolidated.</t>
        </is>
      </c>
      <c r="I460" s="2" t="inlineStr">
        <is>
          <t>S2</t>
        </is>
      </c>
      <c r="J460" s="2" t="n">
        <v>29</v>
      </c>
      <c r="K460" s="3" t="inlineStr">
        <is>
          <t>The approximately 23% stake in CPK, the number two in the French sugar confectionery market, is accounted for using the equity method.</t>
        </is>
      </c>
      <c r="L460" s="2" t="inlineStr">
        <is>
          <t>ok</t>
        </is>
      </c>
      <c r="M460" s="2" t="inlineStr">
        <is>
          <t>demo reviewer</t>
        </is>
      </c>
      <c r="N460" s="2" t="n"/>
      <c r="O460" s="3" t="inlineStr">
        <is>
          <t>https://vanillabonds.com/dossier-data/pdf/katjes/katjes-2024-annual-report.pdf#page=29</t>
        </is>
      </c>
      <c r="P460" s="3" t="inlineStr">
        <is>
          <t>https://vanillabonds.com/dossier.html?c=katjes&amp;viewer=1&amp;item=F459</t>
        </is>
      </c>
      <c r="Q460" s="2" t="inlineStr"/>
    </row>
    <row r="461">
      <c r="A461" s="2" t="inlineStr">
        <is>
          <t>F460</t>
        </is>
      </c>
      <c r="B461" s="2" t="inlineStr">
        <is>
          <t>market</t>
        </is>
      </c>
      <c r="C461" s="2" t="inlineStr">
        <is>
          <t>concentration</t>
        </is>
      </c>
      <c r="D461" s="3" t="inlineStr">
        <is>
          <t>Concentration: top customers / suppliers share, key contracts, sites</t>
        </is>
      </c>
      <c r="E461" s="2" t="n"/>
      <c r="F461" s="2" t="n"/>
      <c r="G461" s="2" t="n"/>
      <c r="H461" s="3" t="inlineStr">
        <is>
          <t>Sites: Sperlari headquarters and production in Cremona plus three other production sites in Italy; Paluani in Verona.</t>
        </is>
      </c>
      <c r="I461" s="2" t="inlineStr">
        <is>
          <t>S2</t>
        </is>
      </c>
      <c r="J461" s="2" t="n">
        <v>13</v>
      </c>
      <c r="K461" s="3" t="inlineStr">
        <is>
          <t>Cremona, Italy, and three other production sites in Italy</t>
        </is>
      </c>
      <c r="L461" s="2" t="inlineStr">
        <is>
          <t>ok</t>
        </is>
      </c>
      <c r="M461" s="2" t="inlineStr">
        <is>
          <t>demo reviewer</t>
        </is>
      </c>
      <c r="N461" s="2" t="n"/>
      <c r="O461" s="3" t="inlineStr">
        <is>
          <t>https://vanillabonds.com/dossier-data/pdf/katjes/katjes-2024-annual-report.pdf#page=13</t>
        </is>
      </c>
      <c r="P461" s="3" t="inlineStr">
        <is>
          <t>https://vanillabonds.com/dossier.html?c=katjes&amp;viewer=1&amp;item=F460</t>
        </is>
      </c>
      <c r="Q461" s="2" t="inlineStr"/>
    </row>
    <row r="462">
      <c r="A462" s="2" t="inlineStr">
        <is>
          <t>F461</t>
        </is>
      </c>
      <c r="B462" s="2" t="inlineStr">
        <is>
          <t>market</t>
        </is>
      </c>
      <c r="C462" s="2" t="inlineStr">
        <is>
          <t>concentration</t>
        </is>
      </c>
      <c r="D462" s="3" t="inlineStr">
        <is>
          <t>Concentration: top customers / suppliers share, key contracts, sites</t>
        </is>
      </c>
      <c r="E462" s="2" t="n"/>
      <c r="F462" s="2" t="n"/>
      <c r="G462" s="2" t="n"/>
      <c r="H462" s="3" t="inlineStr">
        <is>
          <t>Sites: Piasten in Forchheim (Bavaria); Dallmann’s in Hofheim am Taunus; Bübchen body care in Soest; oral care in Dusseldorf / Viersen; Harlekĳntjes in Nĳkerk; Candy Kittens in London.</t>
        </is>
      </c>
      <c r="I462" s="2" t="inlineStr">
        <is>
          <t>S2</t>
        </is>
      </c>
      <c r="J462" s="2" t="n">
        <v>18</v>
      </c>
      <c r="K462" s="2" t="inlineStr">
        <is>
          <t>Dusseldorf / Viersen, Germany</t>
        </is>
      </c>
      <c r="L462" s="2" t="inlineStr">
        <is>
          <t>ok</t>
        </is>
      </c>
      <c r="M462" s="2" t="inlineStr">
        <is>
          <t>demo reviewer</t>
        </is>
      </c>
      <c r="N462" s="2" t="n"/>
      <c r="O462" s="3" t="inlineStr">
        <is>
          <t>https://vanillabonds.com/dossier-data/pdf/katjes/katjes-2024-annual-report.pdf#page=18</t>
        </is>
      </c>
      <c r="P462" s="3" t="inlineStr">
        <is>
          <t>https://vanillabonds.com/dossier.html?c=katjes&amp;viewer=1&amp;item=F461</t>
        </is>
      </c>
      <c r="Q462" s="2" t="inlineStr"/>
    </row>
    <row r="463">
      <c r="A463" s="2" t="inlineStr">
        <is>
          <t>F462</t>
        </is>
      </c>
      <c r="B463" s="2" t="inlineStr">
        <is>
          <t>market</t>
        </is>
      </c>
      <c r="C463" s="2" t="inlineStr">
        <is>
          <t>concentration</t>
        </is>
      </c>
      <c r="D463" s="3" t="inlineStr">
        <is>
          <t>Concentration: top customers / suppliers share, key contracts, sites</t>
        </is>
      </c>
      <c r="E463" s="2" t="n"/>
      <c r="F463" s="2" t="n"/>
      <c r="G463" s="2" t="n"/>
      <c r="H463" s="3" t="inlineStr">
        <is>
          <t>Revenue by country 2024: Italy 31.3%, Germany 27.2%, UK 4.8%, Netherlands 4.1%, other EU and Switzerland 27.4%, outside the EU 5.3% (2023: 30.6 / 27.7 / 4.0 / 4.4 / 28.6 / 4.8).</t>
        </is>
      </c>
      <c r="I463" s="2" t="inlineStr">
        <is>
          <t>S2</t>
        </is>
      </c>
      <c r="J463" s="2" t="n">
        <v>29</v>
      </c>
      <c r="K463" s="3" t="inlineStr">
        <is>
          <t>Katjes International generated 31.3% (previous year: 30.6%) of its revenues in Italy and 27.2% (previous year: 27.7%) in Ger</t>
        </is>
      </c>
      <c r="L463" s="2" t="inlineStr">
        <is>
          <t>ok</t>
        </is>
      </c>
      <c r="M463" s="2" t="inlineStr">
        <is>
          <t>demo reviewer</t>
        </is>
      </c>
      <c r="N463" s="2" t="n"/>
      <c r="O463" s="3" t="inlineStr">
        <is>
          <t>https://vanillabonds.com/dossier-data/pdf/katjes/katjes-2024-annual-report.pdf#page=29</t>
        </is>
      </c>
      <c r="P463" s="3" t="inlineStr">
        <is>
          <t>https://vanillabonds.com/dossier.html?c=katjes&amp;viewer=1&amp;item=F462</t>
        </is>
      </c>
      <c r="Q463" s="2" t="inlineStr"/>
    </row>
    <row r="464">
      <c r="A464" s="2" t="inlineStr">
        <is>
          <t>F463</t>
        </is>
      </c>
      <c r="B464" s="2" t="inlineStr">
        <is>
          <t>market</t>
        </is>
      </c>
      <c r="C464" s="2" t="inlineStr">
        <is>
          <t>concentration</t>
        </is>
      </c>
      <c r="D464" s="3" t="inlineStr">
        <is>
          <t>Concentration: top customers / suppliers share, key contracts, sites</t>
        </is>
      </c>
      <c r="E464" s="2" t="n"/>
      <c r="F464" s="2" t="n"/>
      <c r="G464" s="2" t="n"/>
      <c r="H464" s="3" t="inlineStr">
        <is>
          <t>Product groups 2024: sugar confectionery 40.8%, body care 23.0%, chocolate 14.7%, seasonal products 13.9% of revenue.</t>
        </is>
      </c>
      <c r="I464" s="2" t="inlineStr">
        <is>
          <t>S2</t>
        </is>
      </c>
      <c r="J464" s="2" t="n">
        <v>29</v>
      </c>
      <c r="K464" s="3" t="inlineStr">
        <is>
          <t>pany generated 40.8% (previous year: 41.4%) of its revenues from sugar confectionery, followed by body care products with 23.0% (previous year: 23.1%).</t>
        </is>
      </c>
      <c r="L464" s="2" t="inlineStr">
        <is>
          <t>ok</t>
        </is>
      </c>
      <c r="M464" s="2" t="inlineStr">
        <is>
          <t>demo reviewer</t>
        </is>
      </c>
      <c r="N464" s="2" t="n"/>
      <c r="O464" s="3" t="inlineStr">
        <is>
          <t>https://vanillabonds.com/dossier-data/pdf/katjes/katjes-2024-annual-report.pdf#page=29</t>
        </is>
      </c>
      <c r="P464" s="3" t="inlineStr">
        <is>
          <t>https://vanillabonds.com/dossier.html?c=katjes&amp;viewer=1&amp;item=F463</t>
        </is>
      </c>
      <c r="Q464" s="2" t="inlineStr"/>
    </row>
    <row r="465">
      <c r="A465" s="2" t="inlineStr">
        <is>
          <t>F464</t>
        </is>
      </c>
      <c r="B465" s="2" t="inlineStr">
        <is>
          <t>market</t>
        </is>
      </c>
      <c r="C465" s="2" t="inlineStr">
        <is>
          <t>concentration</t>
        </is>
      </c>
      <c r="D465" s="3" t="inlineStr">
        <is>
          <t>Concentration: top customers / suppliers share, key contracts, sites</t>
        </is>
      </c>
      <c r="E465" s="2" t="n"/>
      <c r="F465" s="2" t="n"/>
      <c r="G465" s="2" t="n"/>
      <c r="H465" s="3" t="inlineStr">
        <is>
          <t>Workforce 2024: about 63% in Germany, 34% in Italy, 2% in the UK, 1% in the Netherlands (average 1,097).</t>
        </is>
      </c>
      <c r="I465" s="2" t="inlineStr">
        <is>
          <t>S2</t>
        </is>
      </c>
      <c r="J465" s="2" t="n">
        <v>32</v>
      </c>
      <c r="K465" s="3" t="inlineStr">
        <is>
          <t>these, approximately 63% were employed in Germany, followed by around 34% in Italy and roughly 2% in the United Kingdom.</t>
        </is>
      </c>
      <c r="L465" s="2" t="inlineStr">
        <is>
          <t>ok</t>
        </is>
      </c>
      <c r="M465" s="2" t="inlineStr">
        <is>
          <t>demo reviewer</t>
        </is>
      </c>
      <c r="N465" s="2" t="n"/>
      <c r="O465" s="3" t="inlineStr">
        <is>
          <t>https://vanillabonds.com/dossier-data/pdf/katjes/katjes-2024-annual-report.pdf#page=32</t>
        </is>
      </c>
      <c r="P465" s="3" t="inlineStr">
        <is>
          <t>https://vanillabonds.com/dossier.html?c=katjes&amp;viewer=1&amp;item=F464</t>
        </is>
      </c>
      <c r="Q465" s="2" t="inlineStr"/>
    </row>
    <row r="466">
      <c r="A466" s="2" t="inlineStr">
        <is>
          <t>F465</t>
        </is>
      </c>
      <c r="B466" s="2" t="inlineStr">
        <is>
          <t>market</t>
        </is>
      </c>
      <c r="C466" s="2" t="inlineStr">
        <is>
          <t>concentration</t>
        </is>
      </c>
      <c r="D466" s="3" t="inlineStr">
        <is>
          <t>Concentration: top customers / suppliers share, key contracts, sites</t>
        </is>
      </c>
      <c r="E466" s="2" t="n"/>
      <c r="F466" s="2" t="n"/>
      <c r="G466" s="2" t="n"/>
      <c r="H466" s="3" t="inlineStr">
        <is>
          <t>Sales channels: primarily food retailers and drugstores; company flags concentration risk from large key accounts in food retail.</t>
        </is>
      </c>
      <c r="I466" s="2" t="inlineStr">
        <is>
          <t>S2</t>
        </is>
      </c>
      <c r="J466" s="2" t="n">
        <v>77</v>
      </c>
      <c r="K466" s="3" t="inlineStr">
        <is>
          <t>Sales are primarily generated through food retailers and drugstores.</t>
        </is>
      </c>
      <c r="L466" s="2" t="inlineStr">
        <is>
          <t>ok</t>
        </is>
      </c>
      <c r="M466" s="2" t="inlineStr">
        <is>
          <t>demo reviewer</t>
        </is>
      </c>
      <c r="N466" s="2" t="n"/>
      <c r="O466" s="3" t="inlineStr">
        <is>
          <t>https://vanillabonds.com/dossier-data/pdf/katjes/katjes-2024-annual-report.pdf#page=77</t>
        </is>
      </c>
      <c r="P466" s="3" t="inlineStr">
        <is>
          <t>https://vanillabonds.com/dossier.html?c=katjes&amp;viewer=1&amp;item=F465</t>
        </is>
      </c>
      <c r="Q466" s="2" t="inlineStr"/>
    </row>
    <row r="467">
      <c r="A467" s="2" t="inlineStr">
        <is>
          <t>F466</t>
        </is>
      </c>
      <c r="B467" s="2" t="inlineStr">
        <is>
          <t>plan</t>
        </is>
      </c>
      <c r="C467" s="2" t="inlineStr">
        <is>
          <t>plan_item</t>
        </is>
      </c>
      <c r="D467" s="3" t="inlineStr">
        <is>
          <t>Investment plan item: what, amount, timing, contracted / ordered / planned</t>
        </is>
      </c>
      <c r="E467" s="2" t="n"/>
      <c r="F467" s="2" t="n"/>
      <c r="G467" s="2" t="n"/>
      <c r="H467" s="3" t="inlineStr">
        <is>
          <t>Barnängen DACH online campaign produced December 2024, live February 2025, aiming at more than 16 million people; Barnängen production moved to the Bübchen plant in Soest end-2024.</t>
        </is>
      </c>
      <c r="I467" s="2" t="inlineStr">
        <is>
          <t>S2</t>
        </is>
      </c>
      <c r="J467" s="2" t="n">
        <v>17</v>
      </c>
      <c r="K467" s="3" t="inlineStr">
        <is>
          <t>Set to go live in February 2025, the campaign aims to reach over 16 million people and further boost brand awareness.</t>
        </is>
      </c>
      <c r="L467" s="2" t="inlineStr">
        <is>
          <t>ok</t>
        </is>
      </c>
      <c r="M467" s="2" t="inlineStr">
        <is>
          <t>demo reviewer</t>
        </is>
      </c>
      <c r="N467" s="2" t="n"/>
      <c r="O467" s="3" t="inlineStr">
        <is>
          <t>https://vanillabonds.com/dossier-data/pdf/katjes/katjes-2024-annual-report.pdf#page=17</t>
        </is>
      </c>
      <c r="P467" s="3" t="inlineStr">
        <is>
          <t>https://vanillabonds.com/dossier.html?c=katjes&amp;viewer=1&amp;item=F466</t>
        </is>
      </c>
      <c r="Q467" s="2" t="inlineStr"/>
    </row>
    <row r="468">
      <c r="A468" s="2" t="inlineStr">
        <is>
          <t>F467</t>
        </is>
      </c>
      <c r="B468" s="2" t="inlineStr">
        <is>
          <t>plan</t>
        </is>
      </c>
      <c r="C468" s="2" t="inlineStr">
        <is>
          <t>plan_item</t>
        </is>
      </c>
      <c r="D468" s="3" t="inlineStr">
        <is>
          <t>Investment plan item: what, amount, timing, contracted / ordered / planned</t>
        </is>
      </c>
      <c r="E468" s="2" t="n"/>
      <c r="F468" s="2" t="n"/>
      <c r="G468" s="2" t="n"/>
      <c r="H468" s="3" t="inlineStr">
        <is>
          <t>Exercise of the option on the remaining 25% of Dulcioliva continues to be expected as of 31 Dec 2024 (liability EUR 1.3m recognised).</t>
        </is>
      </c>
      <c r="I468" s="2" t="inlineStr">
        <is>
          <t>S2</t>
        </is>
      </c>
      <c r="J468" s="2" t="n">
        <v>24</v>
      </c>
      <c r="K468" s="3" t="inlineStr">
        <is>
          <t>and 75% of the Italian company Dulcioliva, with the option to acquire the remaining 25%. As of December 31, 2024, the exer</t>
        </is>
      </c>
      <c r="L468" s="2" t="inlineStr">
        <is>
          <t>ok</t>
        </is>
      </c>
      <c r="M468" s="2" t="inlineStr">
        <is>
          <t>demo reviewer</t>
        </is>
      </c>
      <c r="N468" s="2" t="n"/>
      <c r="O468" s="3" t="inlineStr">
        <is>
          <t>https://vanillabonds.com/dossier-data/pdf/katjes/katjes-2024-annual-report.pdf#page=24</t>
        </is>
      </c>
      <c r="P468" s="3" t="inlineStr">
        <is>
          <t>https://vanillabonds.com/dossier.html?c=katjes&amp;viewer=1&amp;item=F467</t>
        </is>
      </c>
      <c r="Q468" s="2" t="inlineStr"/>
    </row>
    <row r="469">
      <c r="A469" s="2" t="inlineStr">
        <is>
          <t>F468</t>
        </is>
      </c>
      <c r="B469" s="2" t="inlineStr">
        <is>
          <t>plan</t>
        </is>
      </c>
      <c r="C469" s="2" t="inlineStr">
        <is>
          <t>plan_item</t>
        </is>
      </c>
      <c r="D469" s="3" t="inlineStr">
        <is>
          <t>Investment plan item: what, amount, timing, contracted / ordered / planned</t>
        </is>
      </c>
      <c r="E469" s="2" t="n"/>
      <c r="F469" s="2" t="n"/>
      <c r="G469" s="2" t="n"/>
      <c r="H469" s="3" t="inlineStr">
        <is>
          <t>Launch of the jointly developed Shirin David body care line, scheduled for Q2 2025.</t>
        </is>
      </c>
      <c r="I469" s="2" t="inlineStr">
        <is>
          <t>S2</t>
        </is>
      </c>
      <c r="J469" s="2" t="n">
        <v>55</v>
      </c>
      <c r="K469" s="3" t="inlineStr">
        <is>
          <t>The jointly developed body care line is scheduled to launch in the second quarter of 2025.</t>
        </is>
      </c>
      <c r="L469" s="2" t="inlineStr">
        <is>
          <t>ok</t>
        </is>
      </c>
      <c r="M469" s="2" t="inlineStr">
        <is>
          <t>demo reviewer</t>
        </is>
      </c>
      <c r="N469" s="2" t="n"/>
      <c r="O469" s="3" t="inlineStr">
        <is>
          <t>https://vanillabonds.com/dossier-data/pdf/katjes/katjes-2024-annual-report.pdf#page=55</t>
        </is>
      </c>
      <c r="P469" s="3" t="inlineStr">
        <is>
          <t>https://vanillabonds.com/dossier.html?c=katjes&amp;viewer=1&amp;item=F468</t>
        </is>
      </c>
      <c r="Q469" s="2" t="inlineStr"/>
    </row>
    <row r="470">
      <c r="A470" s="2" t="inlineStr">
        <is>
          <t>F469</t>
        </is>
      </c>
      <c r="B470" s="2" t="inlineStr">
        <is>
          <t>plan</t>
        </is>
      </c>
      <c r="C470" s="2" t="inlineStr">
        <is>
          <t>plan_item</t>
        </is>
      </c>
      <c r="D470" s="3" t="inlineStr">
        <is>
          <t>Investment plan item: what, amount, timing, contracted / ordered / planned</t>
        </is>
      </c>
      <c r="E470" s="2" t="n"/>
      <c r="F470" s="2" t="n">
        <v>9.699999999999999</v>
      </c>
      <c r="G470" s="2" t="n"/>
      <c r="H470" s="3" t="inlineStr">
        <is>
          <t>Prepayments and assets under construction (PP&amp;E) of EUR 9.7m at 31 Dec 2024 (2023: 2.7) after additions of 7.5 in the year.</t>
        </is>
      </c>
      <c r="I470" s="2" t="inlineStr">
        <is>
          <t>S2</t>
        </is>
      </c>
      <c r="J470" s="2" t="n">
        <v>84</v>
      </c>
      <c r="K470" s="3" t="inlineStr">
        <is>
          <t>6. Prepayments and assets under construction 2.7 7.5 -0.5 0.0 9.7</t>
        </is>
      </c>
      <c r="L470" s="2" t="inlineStr">
        <is>
          <t>ok</t>
        </is>
      </c>
      <c r="M470" s="2" t="inlineStr">
        <is>
          <t>demo reviewer</t>
        </is>
      </c>
      <c r="N470" s="2" t="n"/>
      <c r="O470" s="3" t="inlineStr">
        <is>
          <t>https://vanillabonds.com/dossier-data/pdf/katjes/katjes-2024-annual-report.pdf#page=84</t>
        </is>
      </c>
      <c r="P470" s="3" t="inlineStr">
        <is>
          <t>https://vanillabonds.com/dossier.html?c=katjes&amp;viewer=1&amp;item=F469</t>
        </is>
      </c>
      <c r="Q470" s="2" t="inlineStr"/>
    </row>
    <row r="471">
      <c r="A471" s="2" t="inlineStr">
        <is>
          <t>F470</t>
        </is>
      </c>
      <c r="B471" s="2" t="inlineStr">
        <is>
          <t>plan</t>
        </is>
      </c>
      <c r="C471" s="2" t="inlineStr">
        <is>
          <t>debt_maturing</t>
        </is>
      </c>
      <c r="D471" s="2" t="inlineStr">
        <is>
          <t>Debt principal falling due in the period</t>
        </is>
      </c>
      <c r="E471" s="2" t="inlineStr">
        <is>
          <t>FY2024</t>
        </is>
      </c>
      <c r="F471" s="2" t="n">
        <v>35.2</v>
      </c>
      <c r="G471" s="2" t="inlineStr">
        <is>
          <t>EUR m</t>
        </is>
      </c>
      <c r="H471" s="3" t="inlineStr">
        <is>
          <t>Current financial liabilities (incl. 2.9 lease liabilities) due within one year as at 31 Dec 2023, undiscounted contractual cash flows.</t>
        </is>
      </c>
      <c r="I471" s="2" t="inlineStr">
        <is>
          <t>S2</t>
        </is>
      </c>
      <c r="J471" s="2" t="n">
        <v>59</v>
      </c>
      <c r="K471" s="3" t="inlineStr">
        <is>
          <t>Current financial liabilities (incl. liabilities from leases) 35.2 0.0 0.0 0.0 35.2 35.2</t>
        </is>
      </c>
      <c r="L471" s="2" t="inlineStr">
        <is>
          <t>ok</t>
        </is>
      </c>
      <c r="M471" s="2" t="inlineStr">
        <is>
          <t>demo reviewer</t>
        </is>
      </c>
      <c r="N471" s="2" t="n"/>
      <c r="O471" s="3" t="inlineStr">
        <is>
          <t>https://vanillabonds.com/dossier-data/pdf/katjes/katjes-2024-annual-report.pdf#page=59</t>
        </is>
      </c>
      <c r="P471" s="3" t="inlineStr">
        <is>
          <t>https://vanillabonds.com/dossier.html?c=katjes&amp;viewer=1&amp;item=F470</t>
        </is>
      </c>
      <c r="Q471" s="2" t="inlineStr"/>
    </row>
    <row r="472">
      <c r="A472" s="2" t="inlineStr">
        <is>
          <t>F471</t>
        </is>
      </c>
      <c r="B472" s="2" t="inlineStr">
        <is>
          <t>plan</t>
        </is>
      </c>
      <c r="C472" s="2" t="inlineStr">
        <is>
          <t>debt_maturing</t>
        </is>
      </c>
      <c r="D472" s="2" t="inlineStr">
        <is>
          <t>Debt principal falling due in the period</t>
        </is>
      </c>
      <c r="E472" s="2" t="inlineStr">
        <is>
          <t>FY2025E</t>
        </is>
      </c>
      <c r="F472" s="2" t="n">
        <v>37.4</v>
      </c>
      <c r="G472" s="2" t="inlineStr">
        <is>
          <t>EUR m</t>
        </is>
      </c>
      <c r="H472" s="3" t="inlineStr">
        <is>
          <t>Financial liabilities due within one year as at 31 Dec 2024, incl. 3.7 lease liabilities (undiscounted contractual maturities).</t>
        </is>
      </c>
      <c r="I472" s="2" t="inlineStr">
        <is>
          <t>S2</t>
        </is>
      </c>
      <c r="J472" s="2" t="n">
        <v>59</v>
      </c>
      <c r="K472" s="3" t="inlineStr">
        <is>
          <t>Current financial liabilities (incl. liabilities from leases) 37.4 0.0 0.0 0.0 37.4 37.4</t>
        </is>
      </c>
      <c r="L472" s="2" t="inlineStr">
        <is>
          <t>pend</t>
        </is>
      </c>
      <c r="M472" s="2" t="n"/>
      <c r="N472" s="3" t="inlineStr">
        <is>
          <t>conflict: S1·p63 15.1 vs S2·p59 37.4; primary per fact agent: S2 p59 - S2's maturity table at 31 Dec 2024 is the later audited measurement of amounts due in 2025; S1's 15.1 is the one-to-two-year band at 31 Dec 2023.</t>
        </is>
      </c>
      <c r="O472" s="3" t="inlineStr">
        <is>
          <t>https://vanillabonds.com/dossier-data/pdf/katjes/katjes-2024-annual-report.pdf#page=59</t>
        </is>
      </c>
      <c r="P472" s="3" t="inlineStr">
        <is>
          <t>https://vanillabonds.com/dossier.html?c=katjes&amp;viewer=1&amp;item=F471</t>
        </is>
      </c>
      <c r="Q472" s="2" t="inlineStr">
        <is>
          <t>yes</t>
        </is>
      </c>
    </row>
    <row r="473">
      <c r="A473" s="2" t="inlineStr">
        <is>
          <t>F472</t>
        </is>
      </c>
      <c r="B473" s="2" t="inlineStr">
        <is>
          <t>plan</t>
        </is>
      </c>
      <c r="C473" s="2" t="inlineStr">
        <is>
          <t>debt_maturing</t>
        </is>
      </c>
      <c r="D473" s="2" t="inlineStr">
        <is>
          <t>Debt principal falling due in the period</t>
        </is>
      </c>
      <c r="E473" s="2" t="inlineStr">
        <is>
          <t>FY2026E</t>
        </is>
      </c>
      <c r="F473" s="2" t="n">
        <v>12.3</v>
      </c>
      <c r="G473" s="2" t="inlineStr">
        <is>
          <t>EUR m</t>
        </is>
      </c>
      <c r="H473" s="3" t="inlineStr">
        <is>
          <t>Non-current financial liabilities due in one to two years as at 31 Dec 2024, incl. 3.6 lease liabilities.</t>
        </is>
      </c>
      <c r="I473" s="2" t="inlineStr">
        <is>
          <t>S2</t>
        </is>
      </c>
      <c r="J473" s="2" t="n">
        <v>59</v>
      </c>
      <c r="K473" s="3" t="inlineStr">
        <is>
          <t>As of 31 Dec 2024 Non-current financial liabilities (incl. liabilities from leases) 0.0 12.3 136.0 3.7 152.0 152.0</t>
        </is>
      </c>
      <c r="L473" s="2" t="inlineStr">
        <is>
          <t>pend</t>
        </is>
      </c>
      <c r="M473" s="2" t="n"/>
      <c r="N473" s="3" t="inlineStr">
        <is>
          <t>conflict: S2·p59 12.3 vs S3·p57 74.3; primary per fact agent: S3 p57 - S3's maturity table at 31 Dec 2025 is the later audited measurement of amounts due in 2026; S2's 12.3 is the one-to-two-year band at 31 Dec 2024.</t>
        </is>
      </c>
      <c r="O473" s="3" t="inlineStr">
        <is>
          <t>https://vanillabonds.com/dossier-data/pdf/katjes/katjes-2024-annual-report.pdf#page=59</t>
        </is>
      </c>
      <c r="P473" s="3" t="inlineStr">
        <is>
          <t>https://vanillabonds.com/dossier.html?c=katjes&amp;viewer=1&amp;item=F472</t>
        </is>
      </c>
      <c r="Q473" s="2" t="inlineStr">
        <is>
          <t>no</t>
        </is>
      </c>
    </row>
    <row r="474">
      <c r="A474" s="2" t="inlineStr">
        <is>
          <t>F473</t>
        </is>
      </c>
      <c r="B474" s="2" t="inlineStr">
        <is>
          <t>plan</t>
        </is>
      </c>
      <c r="C474" s="2" t="inlineStr">
        <is>
          <t>debt_maturing</t>
        </is>
      </c>
      <c r="D474" s="2" t="inlineStr">
        <is>
          <t>Debt principal falling due in the period</t>
        </is>
      </c>
      <c r="E474" s="2" t="inlineStr">
        <is>
          <t>FY2027E-FY2029E</t>
        </is>
      </c>
      <c r="F474" s="2" t="n">
        <v>136</v>
      </c>
      <c r="G474" s="2" t="inlineStr">
        <is>
          <t>EUR m</t>
        </is>
      </c>
      <c r="H474" s="3" t="inlineStr">
        <is>
          <t>Non-current financial liabilities due in two to five years as at 31 Dec 2024 (band, incl. 5.5 lease liabilities and the EUR 115m bond 2023/2028); a further 3.7 falls due after more than five years.</t>
        </is>
      </c>
      <c r="I474" s="2" t="inlineStr">
        <is>
          <t>S2</t>
        </is>
      </c>
      <c r="J474" s="2" t="n">
        <v>59</v>
      </c>
      <c r="K474" s="3" t="inlineStr">
        <is>
          <t>As of 31 Dec 2024 Non-current financial liabilities (incl. liabilities from leases) 0.0 12.3 136.0 3.7 152.0 152.0</t>
        </is>
      </c>
      <c r="L474" s="2" t="inlineStr">
        <is>
          <t>ok</t>
        </is>
      </c>
      <c r="M474" s="2" t="inlineStr">
        <is>
          <t>demo reviewer</t>
        </is>
      </c>
      <c r="N474" s="2" t="n"/>
      <c r="O474" s="3" t="inlineStr">
        <is>
          <t>https://vanillabonds.com/dossier-data/pdf/katjes/katjes-2024-annual-report.pdf#page=59</t>
        </is>
      </c>
      <c r="P474" s="3" t="inlineStr">
        <is>
          <t>https://vanillabonds.com/dossier.html?c=katjes&amp;viewer=1&amp;item=F473</t>
        </is>
      </c>
      <c r="Q474" s="2" t="inlineStr"/>
    </row>
    <row r="475">
      <c r="A475" s="2" t="inlineStr">
        <is>
          <t>F474</t>
        </is>
      </c>
      <c r="B475" s="2" t="inlineStr">
        <is>
          <t>plan</t>
        </is>
      </c>
      <c r="C475" s="2" t="inlineStr">
        <is>
          <t>issue_cost</t>
        </is>
      </c>
      <c r="D475" s="3" t="inlineStr">
        <is>
          <t>Issue cost item: item (notary, trustee, listing, legal, VAT); amount; source</t>
        </is>
      </c>
      <c r="E475" s="2" t="inlineStr">
        <is>
          <t>FY2023</t>
        </is>
      </c>
      <c r="F475" s="2" t="n">
        <v>2.8</v>
      </c>
      <c r="G475" s="2" t="n"/>
      <c r="H475" s="3" t="inlineStr">
        <is>
          <t>item: incidental costs of the 2023/2028 bond; amount: 2.8; source: cash flow statement 2023</t>
        </is>
      </c>
      <c r="I475" s="2" t="inlineStr">
        <is>
          <t>S2</t>
        </is>
      </c>
      <c r="J475" s="2" t="n">
        <v>45</v>
      </c>
      <c r="K475" s="2" t="inlineStr">
        <is>
          <t>Incidental costs of the bond 0.0 -2.8</t>
        </is>
      </c>
      <c r="L475" s="2" t="inlineStr">
        <is>
          <t>ok</t>
        </is>
      </c>
      <c r="M475" s="2" t="inlineStr">
        <is>
          <t>demo reviewer</t>
        </is>
      </c>
      <c r="N475" s="2" t="n"/>
      <c r="O475" s="3" t="inlineStr">
        <is>
          <t>https://vanillabonds.com/dossier-data/pdf/katjes/katjes-2024-annual-report.pdf#page=45</t>
        </is>
      </c>
      <c r="P475" s="3" t="inlineStr">
        <is>
          <t>https://vanillabonds.com/dossier.html?c=katjes&amp;viewer=1&amp;item=F474</t>
        </is>
      </c>
      <c r="Q475" s="2" t="inlineStr"/>
    </row>
    <row r="476">
      <c r="A476" s="2" t="inlineStr">
        <is>
          <t>F475</t>
        </is>
      </c>
      <c r="B476" s="2" t="inlineStr">
        <is>
          <t>governance</t>
        </is>
      </c>
      <c r="C476" s="2" t="inlineStr">
        <is>
          <t>group_entity</t>
        </is>
      </c>
      <c r="D476" s="3" t="inlineStr">
        <is>
          <t>Group entity: entity; jurisdiction; revenue; ebitda; assets; debt; guarantor (yes / no)</t>
        </is>
      </c>
      <c r="E476" s="2" t="n"/>
      <c r="F476" s="2" t="n"/>
      <c r="G476" s="2" t="n"/>
      <c r="H476" s="3" t="inlineStr">
        <is>
          <t>entity: CPK S.A.S., Paris (approx. 23%, associate at equity, carrying amount 65.0); jurisdiction: FR; revenue: 1.2 (2023: 1.4); assets: 268.3 non-current + 9.2 current; debt: 5.1 current liabilities, 0.0 non-current</t>
        </is>
      </c>
      <c r="I476" s="2" t="inlineStr">
        <is>
          <t>S2</t>
        </is>
      </c>
      <c r="J476" s="2" t="n">
        <v>56</v>
      </c>
      <c r="K476" s="3" t="inlineStr">
        <is>
          <t>Current assets 9.2 4.5 Non-current assets 268.3 268.5 Current liabilities 5.1 6.1 Non-current liabilities 0.0 0.0</t>
        </is>
      </c>
      <c r="L476" s="2" t="inlineStr">
        <is>
          <t>ok</t>
        </is>
      </c>
      <c r="M476" s="2" t="inlineStr">
        <is>
          <t>demo reviewer</t>
        </is>
      </c>
      <c r="N476" s="2" t="n"/>
      <c r="O476" s="3" t="inlineStr">
        <is>
          <t>https://vanillabonds.com/dossier-data/pdf/katjes/katjes-2024-annual-report.pdf#page=56</t>
        </is>
      </c>
      <c r="P476" s="3" t="inlineStr">
        <is>
          <t>https://vanillabonds.com/dossier.html?c=katjes&amp;viewer=1&amp;item=F475</t>
        </is>
      </c>
      <c r="Q476" s="2" t="inlineStr"/>
    </row>
    <row r="477">
      <c r="A477" s="2" t="inlineStr">
        <is>
          <t>F476</t>
        </is>
      </c>
      <c r="B477" s="2" t="inlineStr">
        <is>
          <t>governance</t>
        </is>
      </c>
      <c r="C477" s="2" t="inlineStr">
        <is>
          <t>group_entity</t>
        </is>
      </c>
      <c r="D477" s="3" t="inlineStr">
        <is>
          <t>Group entity: entity; jurisdiction; revenue; ebitda; assets; debt; guarantor (yes / no)</t>
        </is>
      </c>
      <c r="E477" s="2" t="n"/>
      <c r="F477" s="2" t="n"/>
      <c r="G477" s="2" t="n"/>
      <c r="H477" s="3" t="inlineStr">
        <is>
          <t>entity: Piasten GmbH, Forchheim (100%, fully consolidated); jurisdiction: DE</t>
        </is>
      </c>
      <c r="I477" s="2" t="inlineStr">
        <is>
          <t>S2</t>
        </is>
      </c>
      <c r="J477" s="2" t="n">
        <v>83</v>
      </c>
      <c r="K477" s="2" t="inlineStr">
        <is>
          <t>Piasten GmbH, Forchheim 100 A 100 A</t>
        </is>
      </c>
      <c r="L477" s="2" t="inlineStr">
        <is>
          <t>ok</t>
        </is>
      </c>
      <c r="M477" s="2" t="inlineStr">
        <is>
          <t>demo reviewer</t>
        </is>
      </c>
      <c r="N477" s="2" t="n"/>
      <c r="O477" s="3" t="inlineStr">
        <is>
          <t>https://vanillabonds.com/dossier-data/pdf/katjes/katjes-2024-annual-report.pdf#page=83</t>
        </is>
      </c>
      <c r="P477" s="3" t="inlineStr">
        <is>
          <t>https://vanillabonds.com/dossier.html?c=katjes&amp;viewer=1&amp;item=F476</t>
        </is>
      </c>
      <c r="Q477" s="2" t="inlineStr"/>
    </row>
    <row r="478">
      <c r="A478" s="2" t="inlineStr">
        <is>
          <t>F477</t>
        </is>
      </c>
      <c r="B478" s="2" t="inlineStr">
        <is>
          <t>governance</t>
        </is>
      </c>
      <c r="C478" s="2" t="inlineStr">
        <is>
          <t>group_entity</t>
        </is>
      </c>
      <c r="D478" s="3" t="inlineStr">
        <is>
          <t>Group entity: entity; jurisdiction; revenue; ebitda; assets; debt; guarantor (yes / no)</t>
        </is>
      </c>
      <c r="E478" s="2" t="n"/>
      <c r="F478" s="2" t="n"/>
      <c r="G478" s="2" t="n"/>
      <c r="H478" s="3" t="inlineStr">
        <is>
          <t>entity: Dallmann’s Pharma Candy GmbH, Hofheim am Taunus (100%, fully consolidated); jurisdiction: DE</t>
        </is>
      </c>
      <c r="I478" s="2" t="inlineStr">
        <is>
          <t>S2</t>
        </is>
      </c>
      <c r="J478" s="2" t="n">
        <v>83</v>
      </c>
      <c r="K478" s="3" t="inlineStr">
        <is>
          <t>Dallmann’s Pharma Candy GmbH, Hofheim am Taunus 100 A 100 A</t>
        </is>
      </c>
      <c r="L478" s="2" t="inlineStr">
        <is>
          <t>ok</t>
        </is>
      </c>
      <c r="M478" s="2" t="inlineStr">
        <is>
          <t>demo reviewer</t>
        </is>
      </c>
      <c r="N478" s="2" t="n"/>
      <c r="O478" s="3" t="inlineStr">
        <is>
          <t>https://vanillabonds.com/dossier-data/pdf/katjes/katjes-2024-annual-report.pdf#page=83</t>
        </is>
      </c>
      <c r="P478" s="3" t="inlineStr">
        <is>
          <t>https://vanillabonds.com/dossier.html?c=katjes&amp;viewer=1&amp;item=F477</t>
        </is>
      </c>
      <c r="Q478" s="2" t="inlineStr"/>
    </row>
    <row r="479">
      <c r="A479" s="2" t="inlineStr">
        <is>
          <t>F478</t>
        </is>
      </c>
      <c r="B479" s="2" t="inlineStr">
        <is>
          <t>governance</t>
        </is>
      </c>
      <c r="C479" s="2" t="inlineStr">
        <is>
          <t>group_entity</t>
        </is>
      </c>
      <c r="D479" s="3" t="inlineStr">
        <is>
          <t>Group entity: entity; jurisdiction; revenue; ebitda; assets; debt; guarantor (yes / no)</t>
        </is>
      </c>
      <c r="E479" s="2" t="n"/>
      <c r="F479" s="2" t="n"/>
      <c r="G479" s="2" t="n"/>
      <c r="H479" s="3" t="inlineStr">
        <is>
          <t>entity: Bübchen-Werk Ewald Hermes Pharmazeutische Fabrik GmbH, Soest (100%, fully consolidated); jurisdiction: DE</t>
        </is>
      </c>
      <c r="I479" s="2" t="inlineStr">
        <is>
          <t>S2</t>
        </is>
      </c>
      <c r="J479" s="2" t="n">
        <v>83</v>
      </c>
      <c r="K479" s="3" t="inlineStr">
        <is>
          <t>Bübchen-Werk Ewald Hermes Pharmazeutische Fabrik GmbH, Soest 100 A 100 A</t>
        </is>
      </c>
      <c r="L479" s="2" t="inlineStr">
        <is>
          <t>ok</t>
        </is>
      </c>
      <c r="M479" s="2" t="inlineStr">
        <is>
          <t>demo reviewer</t>
        </is>
      </c>
      <c r="N479" s="2" t="n"/>
      <c r="O479" s="3" t="inlineStr">
        <is>
          <t>https://vanillabonds.com/dossier-data/pdf/katjes/katjes-2024-annual-report.pdf#page=83</t>
        </is>
      </c>
      <c r="P479" s="3" t="inlineStr">
        <is>
          <t>https://vanillabonds.com/dossier.html?c=katjes&amp;viewer=1&amp;item=F478</t>
        </is>
      </c>
      <c r="Q479" s="2" t="inlineStr"/>
    </row>
    <row r="480">
      <c r="A480" s="2" t="inlineStr">
        <is>
          <t>F479</t>
        </is>
      </c>
      <c r="B480" s="2" t="inlineStr">
        <is>
          <t>governance</t>
        </is>
      </c>
      <c r="C480" s="2" t="inlineStr">
        <is>
          <t>group_entity</t>
        </is>
      </c>
      <c r="D480" s="3" t="inlineStr">
        <is>
          <t>Group entity: entity; jurisdiction; revenue; ebitda; assets; debt; guarantor (yes / no)</t>
        </is>
      </c>
      <c r="E480" s="2" t="n"/>
      <c r="F480" s="2" t="n"/>
      <c r="G480" s="2" t="n"/>
      <c r="H480" s="3" t="inlineStr">
        <is>
          <t>entity: Bübchen Bodycare GmbH, Dusseldorf (100%, fully consolidated; oral care brands, Viersen site); jurisdiction: DE</t>
        </is>
      </c>
      <c r="I480" s="2" t="inlineStr">
        <is>
          <t>S2</t>
        </is>
      </c>
      <c r="J480" s="2" t="n">
        <v>83</v>
      </c>
      <c r="K480" s="3" t="inlineStr">
        <is>
          <t>Bübchen Bodycare GmbH, Dusseldorf 100 A 100 A</t>
        </is>
      </c>
      <c r="L480" s="2" t="inlineStr">
        <is>
          <t>ok</t>
        </is>
      </c>
      <c r="M480" s="2" t="inlineStr">
        <is>
          <t>demo reviewer</t>
        </is>
      </c>
      <c r="N480" s="2" t="n"/>
      <c r="O480" s="3" t="inlineStr">
        <is>
          <t>https://vanillabonds.com/dossier-data/pdf/katjes/katjes-2024-annual-report.pdf#page=83</t>
        </is>
      </c>
      <c r="P480" s="3" t="inlineStr">
        <is>
          <t>https://vanillabonds.com/dossier.html?c=katjes&amp;viewer=1&amp;item=F479</t>
        </is>
      </c>
      <c r="Q480" s="2" t="inlineStr"/>
    </row>
    <row r="481">
      <c r="A481" s="2" t="inlineStr">
        <is>
          <t>F480</t>
        </is>
      </c>
      <c r="B481" s="2" t="inlineStr">
        <is>
          <t>governance</t>
        </is>
      </c>
      <c r="C481" s="2" t="inlineStr">
        <is>
          <t>group_entity</t>
        </is>
      </c>
      <c r="D481" s="3" t="inlineStr">
        <is>
          <t>Group entity: entity; jurisdiction; revenue; ebitda; assets; debt; guarantor (yes / no)</t>
        </is>
      </c>
      <c r="E481" s="2" t="n"/>
      <c r="F481" s="2" t="n"/>
      <c r="G481" s="2" t="n"/>
      <c r="H481" s="3" t="inlineStr">
        <is>
          <t>entity: Katjes 24 GmbH, Emmerich (100%, intermediate holding, fully consolidated); jurisdiction: DE</t>
        </is>
      </c>
      <c r="I481" s="2" t="inlineStr">
        <is>
          <t>S2</t>
        </is>
      </c>
      <c r="J481" s="2" t="n">
        <v>83</v>
      </c>
      <c r="K481" s="2" t="inlineStr">
        <is>
          <t>Katjes 24 GmbH, Emmerich 100 A 100 A</t>
        </is>
      </c>
      <c r="L481" s="2" t="inlineStr">
        <is>
          <t>ok</t>
        </is>
      </c>
      <c r="M481" s="2" t="inlineStr">
        <is>
          <t>demo reviewer</t>
        </is>
      </c>
      <c r="N481" s="2" t="n"/>
      <c r="O481" s="3" t="inlineStr">
        <is>
          <t>https://vanillabonds.com/dossier-data/pdf/katjes/katjes-2024-annual-report.pdf#page=83</t>
        </is>
      </c>
      <c r="P481" s="3" t="inlineStr">
        <is>
          <t>https://vanillabonds.com/dossier.html?c=katjes&amp;viewer=1&amp;item=F480</t>
        </is>
      </c>
      <c r="Q481" s="2" t="inlineStr"/>
    </row>
    <row r="482">
      <c r="A482" s="2" t="inlineStr">
        <is>
          <t>F481</t>
        </is>
      </c>
      <c r="B482" s="2" t="inlineStr">
        <is>
          <t>governance</t>
        </is>
      </c>
      <c r="C482" s="2" t="inlineStr">
        <is>
          <t>group_entity</t>
        </is>
      </c>
      <c r="D482" s="3" t="inlineStr">
        <is>
          <t>Group entity: entity; jurisdiction; revenue; ebitda; assets; debt; guarantor (yes / no)</t>
        </is>
      </c>
      <c r="E482" s="2" t="n"/>
      <c r="F482" s="2" t="n"/>
      <c r="G482" s="2" t="n"/>
      <c r="H482" s="3" t="inlineStr">
        <is>
          <t>entity: Pharma Candy GmbH &amp; Co. KG, Emmerich (99.9%, fully consolidated); jurisdiction: DE</t>
        </is>
      </c>
      <c r="I482" s="2" t="inlineStr">
        <is>
          <t>S2</t>
        </is>
      </c>
      <c r="J482" s="2" t="n">
        <v>83</v>
      </c>
      <c r="K482" s="3" t="inlineStr">
        <is>
          <t>Pharma Candy GmbH &amp; Co. KG, Emmerich 99.9 A 99.9 A</t>
        </is>
      </c>
      <c r="L482" s="2" t="inlineStr">
        <is>
          <t>ok</t>
        </is>
      </c>
      <c r="M482" s="2" t="inlineStr">
        <is>
          <t>demo reviewer</t>
        </is>
      </c>
      <c r="N482" s="2" t="n"/>
      <c r="O482" s="3" t="inlineStr">
        <is>
          <t>https://vanillabonds.com/dossier-data/pdf/katjes/katjes-2024-annual-report.pdf#page=83</t>
        </is>
      </c>
      <c r="P482" s="3" t="inlineStr">
        <is>
          <t>https://vanillabonds.com/dossier.html?c=katjes&amp;viewer=1&amp;item=F481</t>
        </is>
      </c>
      <c r="Q482" s="2" t="inlineStr"/>
    </row>
    <row r="483">
      <c r="A483" s="2" t="inlineStr">
        <is>
          <t>F482</t>
        </is>
      </c>
      <c r="B483" s="2" t="inlineStr">
        <is>
          <t>governance</t>
        </is>
      </c>
      <c r="C483" s="2" t="inlineStr">
        <is>
          <t>group_entity</t>
        </is>
      </c>
      <c r="D483" s="3" t="inlineStr">
        <is>
          <t>Group entity: entity; jurisdiction; revenue; ebitda; assets; debt; guarantor (yes / no)</t>
        </is>
      </c>
      <c r="E483" s="2" t="n"/>
      <c r="F483" s="2" t="n"/>
      <c r="G483" s="2" t="n"/>
      <c r="H483" s="3" t="inlineStr">
        <is>
          <t>entity: Shirin Beauty GmbH, Dusseldorf (50%, joint venture at equity, new in 2024); jurisdiction: DE</t>
        </is>
      </c>
      <c r="I483" s="2" t="inlineStr">
        <is>
          <t>S2</t>
        </is>
      </c>
      <c r="J483" s="2" t="n">
        <v>83</v>
      </c>
      <c r="K483" s="2" t="inlineStr">
        <is>
          <t>Shirin Beauty GmbH, Dusseldorf 50 B — —</t>
        </is>
      </c>
      <c r="L483" s="2" t="inlineStr">
        <is>
          <t>ok</t>
        </is>
      </c>
      <c r="M483" s="2" t="inlineStr">
        <is>
          <t>demo reviewer</t>
        </is>
      </c>
      <c r="N483" s="2" t="n"/>
      <c r="O483" s="3" t="inlineStr">
        <is>
          <t>https://vanillabonds.com/dossier-data/pdf/katjes/katjes-2024-annual-report.pdf#page=83</t>
        </is>
      </c>
      <c r="P483" s="3" t="inlineStr">
        <is>
          <t>https://vanillabonds.com/dossier.html?c=katjes&amp;viewer=1&amp;item=F482</t>
        </is>
      </c>
      <c r="Q483" s="2" t="inlineStr"/>
    </row>
    <row r="484">
      <c r="A484" s="2" t="inlineStr">
        <is>
          <t>F483</t>
        </is>
      </c>
      <c r="B484" s="2" t="inlineStr">
        <is>
          <t>governance</t>
        </is>
      </c>
      <c r="C484" s="2" t="inlineStr">
        <is>
          <t>group_entity</t>
        </is>
      </c>
      <c r="D484" s="3" t="inlineStr">
        <is>
          <t>Group entity: entity; jurisdiction; revenue; ebitda; assets; debt; guarantor (yes / no)</t>
        </is>
      </c>
      <c r="E484" s="2" t="n"/>
      <c r="F484" s="2" t="n"/>
      <c r="G484" s="2" t="n"/>
      <c r="H484" s="3" t="inlineStr">
        <is>
          <t>entity: Blaue Helden GmbH i.L., Bad Homburg (11.1%, in liquidation, not consolidated); jurisdiction: DE</t>
        </is>
      </c>
      <c r="I484" s="2" t="inlineStr">
        <is>
          <t>S2</t>
        </is>
      </c>
      <c r="J484" s="2" t="n">
        <v>83</v>
      </c>
      <c r="K484" s="3" t="inlineStr">
        <is>
          <t>Blaue Helden GmbH i.L., Bad Homburg 11.1 — 11.1 —</t>
        </is>
      </c>
      <c r="L484" s="2" t="inlineStr">
        <is>
          <t>ok</t>
        </is>
      </c>
      <c r="M484" s="2" t="inlineStr">
        <is>
          <t>demo reviewer</t>
        </is>
      </c>
      <c r="N484" s="2" t="n"/>
      <c r="O484" s="3" t="inlineStr">
        <is>
          <t>https://vanillabonds.com/dossier-data/pdf/katjes/katjes-2024-annual-report.pdf#page=83</t>
        </is>
      </c>
      <c r="P484" s="3" t="inlineStr">
        <is>
          <t>https://vanillabonds.com/dossier.html?c=katjes&amp;viewer=1&amp;item=F483</t>
        </is>
      </c>
      <c r="Q484" s="2" t="inlineStr"/>
    </row>
    <row r="485">
      <c r="A485" s="2" t="inlineStr">
        <is>
          <t>F484</t>
        </is>
      </c>
      <c r="B485" s="2" t="inlineStr">
        <is>
          <t>governance</t>
        </is>
      </c>
      <c r="C485" s="2" t="inlineStr">
        <is>
          <t>group_entity</t>
        </is>
      </c>
      <c r="D485" s="3" t="inlineStr">
        <is>
          <t>Group entity: entity; jurisdiction; revenue; ebitda; assets; debt; guarantor (yes / no)</t>
        </is>
      </c>
      <c r="E485" s="2" t="n"/>
      <c r="F485" s="2" t="n"/>
      <c r="G485" s="2" t="n"/>
      <c r="H485" s="3" t="inlineStr">
        <is>
          <t>entity: Harlekĳntjes B.V., Nĳkerk (100%, fully consolidated); jurisdiction: NL</t>
        </is>
      </c>
      <c r="I485" s="2" t="inlineStr">
        <is>
          <t>S2</t>
        </is>
      </c>
      <c r="J485" s="2" t="n">
        <v>83</v>
      </c>
      <c r="K485" s="3" t="inlineStr">
        <is>
          <t>Harlekĳntjes B.V., Nĳkerk,Netherlands 100 A 100 A</t>
        </is>
      </c>
      <c r="L485" s="2" t="inlineStr">
        <is>
          <t>ok</t>
        </is>
      </c>
      <c r="M485" s="2" t="inlineStr">
        <is>
          <t>demo reviewer</t>
        </is>
      </c>
      <c r="N485" s="2" t="n"/>
      <c r="O485" s="3" t="inlineStr">
        <is>
          <t>https://vanillabonds.com/dossier-data/pdf/katjes/katjes-2024-annual-report.pdf#page=83</t>
        </is>
      </c>
      <c r="P485" s="3" t="inlineStr">
        <is>
          <t>https://vanillabonds.com/dossier.html?c=katjes&amp;viewer=1&amp;item=F484</t>
        </is>
      </c>
      <c r="Q485" s="2" t="inlineStr"/>
    </row>
    <row r="486">
      <c r="A486" s="2" t="inlineStr">
        <is>
          <t>F485</t>
        </is>
      </c>
      <c r="B486" s="2" t="inlineStr">
        <is>
          <t>governance</t>
        </is>
      </c>
      <c r="C486" s="2" t="inlineStr">
        <is>
          <t>group_entity</t>
        </is>
      </c>
      <c r="D486" s="3" t="inlineStr">
        <is>
          <t>Group entity: entity; jurisdiction; revenue; ebitda; assets; debt; guarantor (yes / no)</t>
        </is>
      </c>
      <c r="E486" s="2" t="n"/>
      <c r="F486" s="2" t="n"/>
      <c r="G486" s="2" t="n"/>
      <c r="H486" s="3" t="inlineStr">
        <is>
          <t>entity: Heel Veel Snoepjes B.V., Nĳkerk (100%, fully consolidated); jurisdiction: NL</t>
        </is>
      </c>
      <c r="I486" s="2" t="inlineStr">
        <is>
          <t>S2</t>
        </is>
      </c>
      <c r="J486" s="2" t="n">
        <v>83</v>
      </c>
      <c r="K486" s="3" t="inlineStr">
        <is>
          <t>Heel Veel Snoepjes B.V., Nĳkerk,Netherlands 100 A 100 A</t>
        </is>
      </c>
      <c r="L486" s="2" t="inlineStr">
        <is>
          <t>ok</t>
        </is>
      </c>
      <c r="M486" s="2" t="inlineStr">
        <is>
          <t>demo reviewer</t>
        </is>
      </c>
      <c r="N486" s="2" t="n"/>
      <c r="O486" s="3" t="inlineStr">
        <is>
          <t>https://vanillabonds.com/dossier-data/pdf/katjes/katjes-2024-annual-report.pdf#page=83</t>
        </is>
      </c>
      <c r="P486" s="3" t="inlineStr">
        <is>
          <t>https://vanillabonds.com/dossier.html?c=katjes&amp;viewer=1&amp;item=F485</t>
        </is>
      </c>
      <c r="Q486" s="2" t="inlineStr"/>
    </row>
    <row r="487">
      <c r="A487" s="2" t="inlineStr">
        <is>
          <t>F486</t>
        </is>
      </c>
      <c r="B487" s="2" t="inlineStr">
        <is>
          <t>governance</t>
        </is>
      </c>
      <c r="C487" s="2" t="inlineStr">
        <is>
          <t>group_entity</t>
        </is>
      </c>
      <c r="D487" s="3" t="inlineStr">
        <is>
          <t>Group entity: entity; jurisdiction; revenue; ebitda; assets; debt; guarantor (yes / no)</t>
        </is>
      </c>
      <c r="E487" s="2" t="n"/>
      <c r="F487" s="2" t="n"/>
      <c r="G487" s="2" t="n"/>
      <c r="H487" s="3" t="inlineStr">
        <is>
          <t>entity: ÖZW Österreichische Zuckerwaren GmbH, Vienna (100%, fully consolidated); jurisdiction: AT</t>
        </is>
      </c>
      <c r="I487" s="2" t="inlineStr">
        <is>
          <t>S2</t>
        </is>
      </c>
      <c r="J487" s="2" t="n">
        <v>83</v>
      </c>
      <c r="K487" s="3" t="inlineStr">
        <is>
          <t>ÖZW Österreichische Zuckerwaren GmbH, Vienna, Austria 100 A 100 A</t>
        </is>
      </c>
      <c r="L487" s="2" t="inlineStr">
        <is>
          <t>ok</t>
        </is>
      </c>
      <c r="M487" s="2" t="inlineStr">
        <is>
          <t>demo reviewer</t>
        </is>
      </c>
      <c r="N487" s="2" t="n"/>
      <c r="O487" s="3" t="inlineStr">
        <is>
          <t>https://vanillabonds.com/dossier-data/pdf/katjes/katjes-2024-annual-report.pdf#page=83</t>
        </is>
      </c>
      <c r="P487" s="3" t="inlineStr">
        <is>
          <t>https://vanillabonds.com/dossier.html?c=katjes&amp;viewer=1&amp;item=F486</t>
        </is>
      </c>
      <c r="Q487" s="2" t="inlineStr"/>
    </row>
    <row r="488">
      <c r="A488" s="2" t="inlineStr">
        <is>
          <t>F487</t>
        </is>
      </c>
      <c r="B488" s="2" t="inlineStr">
        <is>
          <t>governance</t>
        </is>
      </c>
      <c r="C488" s="2" t="inlineStr">
        <is>
          <t>group_entity</t>
        </is>
      </c>
      <c r="D488" s="3" t="inlineStr">
        <is>
          <t>Group entity: entity; jurisdiction; revenue; ebitda; assets; debt; guarantor (yes / no)</t>
        </is>
      </c>
      <c r="E488" s="2" t="n"/>
      <c r="F488" s="2" t="n"/>
      <c r="G488" s="2" t="n"/>
      <c r="H488" s="3" t="inlineStr">
        <is>
          <t>entity: Sperlari S.r.l., Cremona (100%, fully consolidated); jurisdiction: IT</t>
        </is>
      </c>
      <c r="I488" s="2" t="inlineStr">
        <is>
          <t>S2</t>
        </is>
      </c>
      <c r="J488" s="2" t="n">
        <v>83</v>
      </c>
      <c r="K488" s="3" t="inlineStr">
        <is>
          <t>Sperlari S.r.l., Cremona, Italy 100 A 100 A</t>
        </is>
      </c>
      <c r="L488" s="2" t="inlineStr">
        <is>
          <t>ok</t>
        </is>
      </c>
      <c r="M488" s="2" t="inlineStr">
        <is>
          <t>demo reviewer</t>
        </is>
      </c>
      <c r="N488" s="2" t="n"/>
      <c r="O488" s="3" t="inlineStr">
        <is>
          <t>https://vanillabonds.com/dossier-data/pdf/katjes/katjes-2024-annual-report.pdf#page=83</t>
        </is>
      </c>
      <c r="P488" s="3" t="inlineStr">
        <is>
          <t>https://vanillabonds.com/dossier.html?c=katjes&amp;viewer=1&amp;item=F487</t>
        </is>
      </c>
      <c r="Q488" s="2" t="inlineStr"/>
    </row>
    <row r="489">
      <c r="A489" s="2" t="inlineStr">
        <is>
          <t>F488</t>
        </is>
      </c>
      <c r="B489" s="2" t="inlineStr">
        <is>
          <t>governance</t>
        </is>
      </c>
      <c r="C489" s="2" t="inlineStr">
        <is>
          <t>group_entity</t>
        </is>
      </c>
      <c r="D489" s="3" t="inlineStr">
        <is>
          <t>Group entity: entity; jurisdiction; revenue; ebitda; assets; debt; guarantor (yes / no)</t>
        </is>
      </c>
      <c r="E489" s="2" t="n"/>
      <c r="F489" s="2" t="n"/>
      <c r="G489" s="2" t="n"/>
      <c r="H489" s="3" t="inlineStr">
        <is>
          <t>entity: Dulcioliva S.r.l., Borgo San Dalmazzo (75%, fully consolidated, option on remaining 25%); jurisdiction: IT</t>
        </is>
      </c>
      <c r="I489" s="2" t="inlineStr">
        <is>
          <t>S2</t>
        </is>
      </c>
      <c r="J489" s="2" t="n">
        <v>83</v>
      </c>
      <c r="K489" s="3" t="inlineStr">
        <is>
          <t>Dulcioliva S.r.l., Borgo San Dalmazzo, Italy 75 A 75 A</t>
        </is>
      </c>
      <c r="L489" s="2" t="inlineStr">
        <is>
          <t>ok</t>
        </is>
      </c>
      <c r="M489" s="2" t="inlineStr">
        <is>
          <t>demo reviewer</t>
        </is>
      </c>
      <c r="N489" s="2" t="n"/>
      <c r="O489" s="3" t="inlineStr">
        <is>
          <t>https://vanillabonds.com/dossier-data/pdf/katjes/katjes-2024-annual-report.pdf#page=83</t>
        </is>
      </c>
      <c r="P489" s="3" t="inlineStr">
        <is>
          <t>https://vanillabonds.com/dossier.html?c=katjes&amp;viewer=1&amp;item=F488</t>
        </is>
      </c>
      <c r="Q489" s="2" t="inlineStr"/>
    </row>
    <row r="490">
      <c r="A490" s="2" t="inlineStr">
        <is>
          <t>F489</t>
        </is>
      </c>
      <c r="B490" s="2" t="inlineStr">
        <is>
          <t>governance</t>
        </is>
      </c>
      <c r="C490" s="2" t="inlineStr">
        <is>
          <t>group_entity</t>
        </is>
      </c>
      <c r="D490" s="3" t="inlineStr">
        <is>
          <t>Group entity: entity; jurisdiction; revenue; ebitda; assets; debt; guarantor (yes / no)</t>
        </is>
      </c>
      <c r="E490" s="2" t="n"/>
      <c r="F490" s="2" t="n"/>
      <c r="G490" s="2" t="n"/>
      <c r="H490" s="3" t="inlineStr">
        <is>
          <t>entity: Paluani 1921 S.r.l., Verona (100%, fully consolidated); jurisdiction: IT</t>
        </is>
      </c>
      <c r="I490" s="2" t="inlineStr">
        <is>
          <t>S2</t>
        </is>
      </c>
      <c r="J490" s="2" t="n">
        <v>83</v>
      </c>
      <c r="K490" s="3" t="inlineStr">
        <is>
          <t>Paluani 1921 S.r.l., Verona, Italy 100 A 100 A</t>
        </is>
      </c>
      <c r="L490" s="2" t="inlineStr">
        <is>
          <t>ok</t>
        </is>
      </c>
      <c r="M490" s="2" t="inlineStr">
        <is>
          <t>demo reviewer</t>
        </is>
      </c>
      <c r="N490" s="2" t="n"/>
      <c r="O490" s="3" t="inlineStr">
        <is>
          <t>https://vanillabonds.com/dossier-data/pdf/katjes/katjes-2024-annual-report.pdf#page=83</t>
        </is>
      </c>
      <c r="P490" s="3" t="inlineStr">
        <is>
          <t>https://vanillabonds.com/dossier.html?c=katjes&amp;viewer=1&amp;item=F489</t>
        </is>
      </c>
      <c r="Q490" s="2" t="inlineStr"/>
    </row>
    <row r="491">
      <c r="A491" s="2" t="inlineStr">
        <is>
          <t>F490</t>
        </is>
      </c>
      <c r="B491" s="2" t="inlineStr">
        <is>
          <t>governance</t>
        </is>
      </c>
      <c r="C491" s="2" t="inlineStr">
        <is>
          <t>group_entity</t>
        </is>
      </c>
      <c r="D491" s="3" t="inlineStr">
        <is>
          <t>Group entity: entity; jurisdiction; revenue; ebitda; assets; debt; guarantor (yes / no)</t>
        </is>
      </c>
      <c r="E491" s="2" t="n"/>
      <c r="F491" s="2" t="n"/>
      <c r="G491" s="2" t="n"/>
      <c r="H491" s="3" t="inlineStr">
        <is>
          <t>entity: Candy Kittens Ltd., London (88% at 31 Dec 2024, 56.5% in 2023, fully consolidated); jurisdiction: GB</t>
        </is>
      </c>
      <c r="I491" s="2" t="inlineStr">
        <is>
          <t>S2</t>
        </is>
      </c>
      <c r="J491" s="2" t="n">
        <v>83</v>
      </c>
      <c r="K491" s="3" t="inlineStr">
        <is>
          <t>Candy Kittens Ltd., London, UK 88 A 56.5 A</t>
        </is>
      </c>
      <c r="L491" s="2" t="inlineStr">
        <is>
          <t>ok</t>
        </is>
      </c>
      <c r="M491" s="2" t="inlineStr">
        <is>
          <t>demo reviewer</t>
        </is>
      </c>
      <c r="N491" s="2" t="n"/>
      <c r="O491" s="3" t="inlineStr">
        <is>
          <t>https://vanillabonds.com/dossier-data/pdf/katjes/katjes-2024-annual-report.pdf#page=83</t>
        </is>
      </c>
      <c r="P491" s="3" t="inlineStr">
        <is>
          <t>https://vanillabonds.com/dossier.html?c=katjes&amp;viewer=1&amp;item=F490</t>
        </is>
      </c>
      <c r="Q491" s="2" t="inlineStr"/>
    </row>
    <row r="492">
      <c r="A492" s="2" t="inlineStr">
        <is>
          <t>F491</t>
        </is>
      </c>
      <c r="B492" s="2" t="inlineStr">
        <is>
          <t>governance</t>
        </is>
      </c>
      <c r="C492" s="2" t="inlineStr">
        <is>
          <t>group_entity</t>
        </is>
      </c>
      <c r="D492" s="3" t="inlineStr">
        <is>
          <t>Group entity: entity; jurisdiction; revenue; ebitda; assets; debt; guarantor (yes / no)</t>
        </is>
      </c>
      <c r="E492" s="2" t="n"/>
      <c r="F492" s="2" t="n"/>
      <c r="G492" s="2" t="n"/>
      <c r="H492" s="3" t="inlineStr">
        <is>
          <t>entity: Longaim Ltd, London (88%, 2023: 56.5%, subsidiary of Candy Kittens, fully consolidated); jurisdiction: GB</t>
        </is>
      </c>
      <c r="I492" s="2" t="inlineStr">
        <is>
          <t>S2</t>
        </is>
      </c>
      <c r="J492" s="2" t="n">
        <v>83</v>
      </c>
      <c r="K492" s="2" t="inlineStr">
        <is>
          <t>Longaim Ltd, London, UK 88 A 56.5 A</t>
        </is>
      </c>
      <c r="L492" s="2" t="inlineStr">
        <is>
          <t>ok</t>
        </is>
      </c>
      <c r="M492" s="2" t="inlineStr">
        <is>
          <t>demo reviewer</t>
        </is>
      </c>
      <c r="N492" s="2" t="n"/>
      <c r="O492" s="3" t="inlineStr">
        <is>
          <t>https://vanillabonds.com/dossier-data/pdf/katjes/katjes-2024-annual-report.pdf#page=83</t>
        </is>
      </c>
      <c r="P492" s="3" t="inlineStr">
        <is>
          <t>https://vanillabonds.com/dossier.html?c=katjes&amp;viewer=1&amp;item=F491</t>
        </is>
      </c>
      <c r="Q492" s="2" t="inlineStr"/>
    </row>
    <row r="493">
      <c r="A493" s="2" t="inlineStr">
        <is>
          <t>F492</t>
        </is>
      </c>
      <c r="B493" s="2" t="inlineStr">
        <is>
          <t>governance</t>
        </is>
      </c>
      <c r="C493" s="2" t="inlineStr">
        <is>
          <t>group_entity</t>
        </is>
      </c>
      <c r="D493" s="3" t="inlineStr">
        <is>
          <t>Group entity: entity; jurisdiction; revenue; ebitda; assets; debt; guarantor (yes / no)</t>
        </is>
      </c>
      <c r="E493" s="2" t="n"/>
      <c r="F493" s="2" t="n"/>
      <c r="G493" s="2" t="n"/>
      <c r="H493" s="3" t="inlineStr">
        <is>
          <t>entity: Tuckshop Ltd, London (75%, fully consolidated); jurisdiction: GB</t>
        </is>
      </c>
      <c r="I493" s="2" t="inlineStr">
        <is>
          <t>S2</t>
        </is>
      </c>
      <c r="J493" s="2" t="n">
        <v>83</v>
      </c>
      <c r="K493" s="2" t="inlineStr">
        <is>
          <t>Tuckshop Ltd, London, UK 75 A 75 A</t>
        </is>
      </c>
      <c r="L493" s="2" t="inlineStr">
        <is>
          <t>ok</t>
        </is>
      </c>
      <c r="M493" s="2" t="inlineStr">
        <is>
          <t>demo reviewer</t>
        </is>
      </c>
      <c r="N493" s="2" t="n"/>
      <c r="O493" s="3" t="inlineStr">
        <is>
          <t>https://vanillabonds.com/dossier-data/pdf/katjes/katjes-2024-annual-report.pdf#page=83</t>
        </is>
      </c>
      <c r="P493" s="3" t="inlineStr">
        <is>
          <t>https://vanillabonds.com/dossier.html?c=katjes&amp;viewer=1&amp;item=F492</t>
        </is>
      </c>
      <c r="Q493" s="2" t="inlineStr"/>
    </row>
    <row r="494">
      <c r="A494" s="2" t="inlineStr">
        <is>
          <t>F493</t>
        </is>
      </c>
      <c r="B494" s="2" t="inlineStr">
        <is>
          <t>governance</t>
        </is>
      </c>
      <c r="C494" s="2" t="inlineStr">
        <is>
          <t>group_entity</t>
        </is>
      </c>
      <c r="D494" s="3" t="inlineStr">
        <is>
          <t>Group entity: entity; jurisdiction; revenue; ebitda; assets; debt; guarantor (yes / no)</t>
        </is>
      </c>
      <c r="E494" s="2" t="n"/>
      <c r="F494" s="2" t="n"/>
      <c r="G494" s="2" t="n"/>
      <c r="H494" s="3" t="inlineStr">
        <is>
          <t>entity: Nuud Snacks Ltd, London (8%, 2023: 10%, not consolidated); jurisdiction: GB</t>
        </is>
      </c>
      <c r="I494" s="2" t="inlineStr">
        <is>
          <t>S2</t>
        </is>
      </c>
      <c r="J494" s="2" t="n">
        <v>83</v>
      </c>
      <c r="K494" s="2" t="inlineStr">
        <is>
          <t>Nuud Snacks Ltd, London ,UK 8 —</t>
        </is>
      </c>
      <c r="L494" s="2" t="inlineStr">
        <is>
          <t>ok</t>
        </is>
      </c>
      <c r="M494" s="2" t="inlineStr">
        <is>
          <t>demo reviewer</t>
        </is>
      </c>
      <c r="N494" s="2" t="n"/>
      <c r="O494" s="3" t="inlineStr">
        <is>
          <t>https://vanillabonds.com/dossier-data/pdf/katjes/katjes-2024-annual-report.pdf#page=83</t>
        </is>
      </c>
      <c r="P494" s="3" t="inlineStr">
        <is>
          <t>https://vanillabonds.com/dossier.html?c=katjes&amp;viewer=1&amp;item=F493</t>
        </is>
      </c>
      <c r="Q494" s="2" t="inlineStr"/>
    </row>
    <row r="495">
      <c r="A495" s="2" t="inlineStr">
        <is>
          <t>F494</t>
        </is>
      </c>
      <c r="B495" s="2" t="inlineStr">
        <is>
          <t>governance</t>
        </is>
      </c>
      <c r="C495" s="2" t="inlineStr">
        <is>
          <t>board_member</t>
        </is>
      </c>
      <c r="D495" s="3" t="inlineStr">
        <is>
          <t>Board member: name; body (management / supervisory); role; since; independent (yes / no); committees</t>
        </is>
      </c>
      <c r="E495" s="2" t="n"/>
      <c r="F495" s="2" t="n"/>
      <c r="G495" s="2" t="n"/>
      <c r="H495" s="3" t="inlineStr">
        <is>
          <t>name: Bastian Fassin; body: management; role: Managing Shareholder; since: 2004; independent: no</t>
        </is>
      </c>
      <c r="I495" s="2" t="inlineStr">
        <is>
          <t>S2</t>
        </is>
      </c>
      <c r="J495" s="2" t="n">
        <v>6</v>
      </c>
      <c r="K495" s="3" t="inlineStr">
        <is>
          <t>BASTIAN FASSIN Managing Shareholder of Katjes International Career Since 2004 – Managing Shareholder of Katjes International</t>
        </is>
      </c>
      <c r="L495" s="2" t="inlineStr">
        <is>
          <t>ok</t>
        </is>
      </c>
      <c r="M495" s="2" t="inlineStr">
        <is>
          <t>demo reviewer</t>
        </is>
      </c>
      <c r="N495" s="2" t="n"/>
      <c r="O495" s="3" t="inlineStr">
        <is>
          <t>https://vanillabonds.com/dossier-data/pdf/katjes/katjes-2024-annual-report.pdf#page=6</t>
        </is>
      </c>
      <c r="P495" s="3" t="inlineStr">
        <is>
          <t>https://vanillabonds.com/dossier.html?c=katjes&amp;viewer=1&amp;item=F494</t>
        </is>
      </c>
      <c r="Q495" s="2" t="inlineStr"/>
    </row>
    <row r="496">
      <c r="A496" s="2" t="inlineStr">
        <is>
          <t>F495</t>
        </is>
      </c>
      <c r="B496" s="2" t="inlineStr">
        <is>
          <t>governance</t>
        </is>
      </c>
      <c r="C496" s="2" t="inlineStr">
        <is>
          <t>board_member</t>
        </is>
      </c>
      <c r="D496" s="3" t="inlineStr">
        <is>
          <t>Board member: name; body (management / supervisory); role; since; independent (yes / no); committees</t>
        </is>
      </c>
      <c r="E496" s="2" t="n"/>
      <c r="F496" s="2" t="n"/>
      <c r="G496" s="2" t="n"/>
      <c r="H496" s="3" t="inlineStr">
        <is>
          <t>name: Tobias Bachmüller; body: management; role: Managing Shareholder; since: 1996; independent: no</t>
        </is>
      </c>
      <c r="I496" s="2" t="inlineStr">
        <is>
          <t>S2</t>
        </is>
      </c>
      <c r="J496" s="2" t="n">
        <v>6</v>
      </c>
      <c r="K496" s="3" t="inlineStr">
        <is>
          <t>TOBIAS BACHMÜLLER Managing Shareholder of Katjes International Career since 1996 – Managing Shareholder of Katjes International</t>
        </is>
      </c>
      <c r="L496" s="2" t="inlineStr">
        <is>
          <t>ok</t>
        </is>
      </c>
      <c r="M496" s="2" t="inlineStr">
        <is>
          <t>demo reviewer</t>
        </is>
      </c>
      <c r="N496" s="2" t="n"/>
      <c r="O496" s="3" t="inlineStr">
        <is>
          <t>https://vanillabonds.com/dossier-data/pdf/katjes/katjes-2024-annual-report.pdf#page=6</t>
        </is>
      </c>
      <c r="P496" s="3" t="inlineStr">
        <is>
          <t>https://vanillabonds.com/dossier.html?c=katjes&amp;viewer=1&amp;item=F495</t>
        </is>
      </c>
      <c r="Q496" s="2" t="inlineStr"/>
    </row>
    <row r="497">
      <c r="A497" s="2" t="inlineStr">
        <is>
          <t>F496</t>
        </is>
      </c>
      <c r="B497" s="2" t="inlineStr">
        <is>
          <t>governance</t>
        </is>
      </c>
      <c r="C497" s="2" t="inlineStr">
        <is>
          <t>board_member</t>
        </is>
      </c>
      <c r="D497" s="3" t="inlineStr">
        <is>
          <t>Board member: name; body (management / supervisory); role; since; independent (yes / no); committees</t>
        </is>
      </c>
      <c r="E497" s="2" t="n"/>
      <c r="F497" s="2" t="n"/>
      <c r="G497" s="2" t="n"/>
      <c r="H497" s="3" t="inlineStr">
        <is>
          <t>name: Stephan Milde; body: management; role: Managing Director (CFO); since: 2012</t>
        </is>
      </c>
      <c r="I497" s="2" t="inlineStr">
        <is>
          <t>S2</t>
        </is>
      </c>
      <c r="J497" s="2" t="n">
        <v>6</v>
      </c>
      <c r="K497" s="3" t="inlineStr">
        <is>
          <t>STEPHAN MILDE Managing Director (CFO) of Katjes International Career Since 2012 – CFO Katjes International</t>
        </is>
      </c>
      <c r="L497" s="2" t="inlineStr">
        <is>
          <t>ok</t>
        </is>
      </c>
      <c r="M497" s="2" t="inlineStr">
        <is>
          <t>demo reviewer</t>
        </is>
      </c>
      <c r="N497" s="2" t="n"/>
      <c r="O497" s="3" t="inlineStr">
        <is>
          <t>https://vanillabonds.com/dossier-data/pdf/katjes/katjes-2024-annual-report.pdf#page=6</t>
        </is>
      </c>
      <c r="P497" s="3" t="inlineStr">
        <is>
          <t>https://vanillabonds.com/dossier.html?c=katjes&amp;viewer=1&amp;item=F496</t>
        </is>
      </c>
      <c r="Q497" s="2" t="inlineStr"/>
    </row>
    <row r="498">
      <c r="A498" s="2" t="inlineStr">
        <is>
          <t>F497</t>
        </is>
      </c>
      <c r="B498" s="2" t="inlineStr">
        <is>
          <t>governance</t>
        </is>
      </c>
      <c r="C498" s="2" t="inlineStr">
        <is>
          <t>related_party_flow</t>
        </is>
      </c>
      <c r="D498" s="3" t="inlineStr">
        <is>
          <t>Related-party flow: counterparty; kind (fee, rent, dividend, buyback, loan); amount; year; terms</t>
        </is>
      </c>
      <c r="E498" s="2" t="n"/>
      <c r="F498" s="2" t="n">
        <v>13.1</v>
      </c>
      <c r="G498" s="2" t="n"/>
      <c r="H498" s="3" t="inlineStr">
        <is>
          <t>counterparty: Katjes Germany (Katjes Fassin GmbH + Co. KG, sister company); kind: purchase of goods and services; amount: 13.1; year: 2024 (2023: 14.7); terms: arm’s length, not collateralised</t>
        </is>
      </c>
      <c r="I498" s="2" t="inlineStr">
        <is>
          <t>S2</t>
        </is>
      </c>
      <c r="J498" s="2" t="n">
        <v>80</v>
      </c>
      <c r="K498" s="3" t="inlineStr">
        <is>
          <t>Purchase of goods and services from Katjes Germany 13.1 14.7</t>
        </is>
      </c>
      <c r="L498" s="2" t="inlineStr">
        <is>
          <t>ok</t>
        </is>
      </c>
      <c r="M498" s="2" t="inlineStr">
        <is>
          <t>demo reviewer</t>
        </is>
      </c>
      <c r="N498" s="2" t="n"/>
      <c r="O498" s="3" t="inlineStr">
        <is>
          <t>https://vanillabonds.com/dossier-data/pdf/katjes/katjes-2024-annual-report.pdf#page=80</t>
        </is>
      </c>
      <c r="P498" s="3" t="inlineStr">
        <is>
          <t>https://vanillabonds.com/dossier.html?c=katjes&amp;viewer=1&amp;item=F497</t>
        </is>
      </c>
      <c r="Q498" s="2" t="inlineStr"/>
    </row>
    <row r="499">
      <c r="A499" s="2" t="inlineStr">
        <is>
          <t>F498</t>
        </is>
      </c>
      <c r="B499" s="2" t="inlineStr">
        <is>
          <t>governance</t>
        </is>
      </c>
      <c r="C499" s="2" t="inlineStr">
        <is>
          <t>related_party_flow</t>
        </is>
      </c>
      <c r="D499" s="3" t="inlineStr">
        <is>
          <t>Related-party flow: counterparty; kind (fee, rent, dividend, buyback, loan); amount; year; terms</t>
        </is>
      </c>
      <c r="E499" s="2" t="n"/>
      <c r="F499" s="2" t="n">
        <v>2.7</v>
      </c>
      <c r="G499" s="2" t="n"/>
      <c r="H499" s="3" t="inlineStr">
        <is>
          <t>counterparty: Katjes Germany; kind: trade payable for goods and services at year end; amount: 2.7; year: 2024 (2023: 2.0)</t>
        </is>
      </c>
      <c r="I499" s="2" t="inlineStr">
        <is>
          <t>S2</t>
        </is>
      </c>
      <c r="J499" s="2" t="n">
        <v>80</v>
      </c>
      <c r="K499" s="3" t="inlineStr">
        <is>
          <t>Trade payable for goods and services to Katjes Germany 2.7 2.0</t>
        </is>
      </c>
      <c r="L499" s="2" t="inlineStr">
        <is>
          <t>ok</t>
        </is>
      </c>
      <c r="M499" s="2" t="inlineStr">
        <is>
          <t>demo reviewer</t>
        </is>
      </c>
      <c r="N499" s="2" t="n"/>
      <c r="O499" s="3" t="inlineStr">
        <is>
          <t>https://vanillabonds.com/dossier-data/pdf/katjes/katjes-2024-annual-report.pdf#page=80</t>
        </is>
      </c>
      <c r="P499" s="3" t="inlineStr">
        <is>
          <t>https://vanillabonds.com/dossier.html?c=katjes&amp;viewer=1&amp;item=F498</t>
        </is>
      </c>
      <c r="Q499" s="2" t="inlineStr"/>
    </row>
    <row r="500">
      <c r="A500" s="2" t="inlineStr">
        <is>
          <t>F499</t>
        </is>
      </c>
      <c r="B500" s="2" t="inlineStr">
        <is>
          <t>governance</t>
        </is>
      </c>
      <c r="C500" s="2" t="inlineStr">
        <is>
          <t>related_party_flow</t>
        </is>
      </c>
      <c r="D500" s="3" t="inlineStr">
        <is>
          <t>Related-party flow: counterparty; kind (fee, rent, dividend, buyback, loan); amount; year; terms</t>
        </is>
      </c>
      <c r="E500" s="2" t="n"/>
      <c r="F500" s="2" t="n">
        <v>0</v>
      </c>
      <c r="G500" s="2" t="n"/>
      <c r="H500" s="3" t="inlineStr">
        <is>
          <t>counterparty: Katjes Germany; kind: sale of goods; amount: 0.0; year: 2024 (2023: 0.3)</t>
        </is>
      </c>
      <c r="I500" s="2" t="inlineStr">
        <is>
          <t>S2</t>
        </is>
      </c>
      <c r="J500" s="2" t="n">
        <v>80</v>
      </c>
      <c r="K500" s="2" t="inlineStr">
        <is>
          <t>Sale of goods to Katjes Germany 0.0 0.3</t>
        </is>
      </c>
      <c r="L500" s="2" t="inlineStr">
        <is>
          <t>ok</t>
        </is>
      </c>
      <c r="M500" s="2" t="inlineStr">
        <is>
          <t>demo reviewer</t>
        </is>
      </c>
      <c r="N500" s="2" t="n"/>
      <c r="O500" s="3" t="inlineStr">
        <is>
          <t>https://vanillabonds.com/dossier-data/pdf/katjes/katjes-2024-annual-report.pdf#page=80</t>
        </is>
      </c>
      <c r="P500" s="3" t="inlineStr">
        <is>
          <t>https://vanillabonds.com/dossier.html?c=katjes&amp;viewer=1&amp;item=F499</t>
        </is>
      </c>
      <c r="Q500" s="2" t="inlineStr"/>
    </row>
    <row r="501">
      <c r="A501" s="2" t="inlineStr">
        <is>
          <t>F500</t>
        </is>
      </c>
      <c r="B501" s="2" t="inlineStr">
        <is>
          <t>governance</t>
        </is>
      </c>
      <c r="C501" s="2" t="inlineStr">
        <is>
          <t>related_party_flow</t>
        </is>
      </c>
      <c r="D501" s="3" t="inlineStr">
        <is>
          <t>Related-party flow: counterparty; kind (fee, rent, dividend, buyback, loan); amount; year; terms</t>
        </is>
      </c>
      <c r="E501" s="2" t="n"/>
      <c r="F501" s="2" t="n">
        <v>4.2</v>
      </c>
      <c r="G501" s="2" t="n"/>
      <c r="H501" s="3" t="inlineStr">
        <is>
          <t>counterparty: related companies; kind: loan (granted by the Group); amount: 4.2; year: 2024 (2023: 1.8); terms: interest income 0.1 (2023: 0.1), arm’s length, not collateralised</t>
        </is>
      </c>
      <c r="I501" s="2" t="inlineStr">
        <is>
          <t>S2</t>
        </is>
      </c>
      <c r="J501" s="2" t="n">
        <v>80</v>
      </c>
      <c r="K501" s="2" t="inlineStr">
        <is>
          <t>Loans to related companies 4.2 1.8</t>
        </is>
      </c>
      <c r="L501" s="2" t="inlineStr">
        <is>
          <t>ok</t>
        </is>
      </c>
      <c r="M501" s="2" t="inlineStr">
        <is>
          <t>demo reviewer</t>
        </is>
      </c>
      <c r="N501" s="2" t="n"/>
      <c r="O501" s="3" t="inlineStr">
        <is>
          <t>https://vanillabonds.com/dossier-data/pdf/katjes/katjes-2024-annual-report.pdf#page=80</t>
        </is>
      </c>
      <c r="P501" s="3" t="inlineStr">
        <is>
          <t>https://vanillabonds.com/dossier.html?c=katjes&amp;viewer=1&amp;item=F500</t>
        </is>
      </c>
      <c r="Q501" s="2" t="inlineStr"/>
    </row>
    <row r="502">
      <c r="A502" s="2" t="inlineStr">
        <is>
          <t>F501</t>
        </is>
      </c>
      <c r="B502" s="2" t="inlineStr">
        <is>
          <t>governance</t>
        </is>
      </c>
      <c r="C502" s="2" t="inlineStr">
        <is>
          <t>related_party_flow</t>
        </is>
      </c>
      <c r="D502" s="3" t="inlineStr">
        <is>
          <t>Related-party flow: counterparty; kind (fee, rent, dividend, buyback, loan); amount; year; terms</t>
        </is>
      </c>
      <c r="E502" s="2" t="n"/>
      <c r="F502" s="2" t="n">
        <v>7.7</v>
      </c>
      <c r="G502" s="2" t="n"/>
      <c r="H502" s="3" t="inlineStr">
        <is>
          <t>counterparty: related parties; kind: other income; amount: 7.7; year: 2023 (2024: 0.0)</t>
        </is>
      </c>
      <c r="I502" s="2" t="inlineStr">
        <is>
          <t>S2</t>
        </is>
      </c>
      <c r="J502" s="2" t="n">
        <v>80</v>
      </c>
      <c r="K502" s="2" t="inlineStr">
        <is>
          <t>Other income 0.0 7.7</t>
        </is>
      </c>
      <c r="L502" s="2" t="inlineStr">
        <is>
          <t>ok</t>
        </is>
      </c>
      <c r="M502" s="2" t="inlineStr">
        <is>
          <t>demo reviewer</t>
        </is>
      </c>
      <c r="N502" s="2" t="n"/>
      <c r="O502" s="3" t="inlineStr">
        <is>
          <t>https://vanillabonds.com/dossier-data/pdf/katjes/katjes-2024-annual-report.pdf#page=80</t>
        </is>
      </c>
      <c r="P502" s="3" t="inlineStr">
        <is>
          <t>https://vanillabonds.com/dossier.html?c=katjes&amp;viewer=1&amp;item=F501</t>
        </is>
      </c>
      <c r="Q502" s="2" t="inlineStr"/>
    </row>
    <row r="503">
      <c r="A503" s="2" t="inlineStr">
        <is>
          <t>F502</t>
        </is>
      </c>
      <c r="B503" s="2" t="inlineStr">
        <is>
          <t>governance</t>
        </is>
      </c>
      <c r="C503" s="2" t="inlineStr">
        <is>
          <t>shareholder_loan</t>
        </is>
      </c>
      <c r="D503" s="3" t="inlineStr">
        <is>
          <t>Shareholder loan: lender; amount; rate; maturity; subordinated (yes / no)</t>
        </is>
      </c>
      <c r="E503" s="2" t="n"/>
      <c r="F503" s="2" t="n">
        <v>0</v>
      </c>
      <c r="G503" s="2" t="n"/>
      <c r="H503" s="3" t="inlineStr">
        <is>
          <t>lender: limited partners (interest-bearing clearing accounts); amount: 0.0 at 31 Dec 2024 (2023: 0.5); rate: 5.0% (2023: 5.0%)</t>
        </is>
      </c>
      <c r="I503" s="2" t="inlineStr">
        <is>
          <t>S2</t>
        </is>
      </c>
      <c r="J503" s="2" t="n">
        <v>80</v>
      </c>
      <c r="K503" s="3" t="inlineStr">
        <is>
          <t>The interest-bearing clearing accounts of the limited partners bear interest at a rate of 5.0% (2023: 5.0%).</t>
        </is>
      </c>
      <c r="L503" s="2" t="inlineStr">
        <is>
          <t>ok</t>
        </is>
      </c>
      <c r="M503" s="2" t="inlineStr">
        <is>
          <t>demo reviewer</t>
        </is>
      </c>
      <c r="N503" s="2" t="n"/>
      <c r="O503" s="3" t="inlineStr">
        <is>
          <t>https://vanillabonds.com/dossier-data/pdf/katjes/katjes-2024-annual-report.pdf#page=80</t>
        </is>
      </c>
      <c r="P503" s="3" t="inlineStr">
        <is>
          <t>https://vanillabonds.com/dossier.html?c=katjes&amp;viewer=1&amp;item=F502</t>
        </is>
      </c>
      <c r="Q503" s="2" t="inlineStr"/>
    </row>
    <row r="504">
      <c r="A504" s="2" t="inlineStr">
        <is>
          <t>F503</t>
        </is>
      </c>
      <c r="B504" s="2" t="inlineStr">
        <is>
          <t>governance</t>
        </is>
      </c>
      <c r="C504" s="2" t="inlineStr">
        <is>
          <t>owner_stake</t>
        </is>
      </c>
      <c r="D504" s="3" t="inlineStr">
        <is>
          <t>Owner's stake as stated: personal guarantee, pledged shares, family charter</t>
        </is>
      </c>
      <c r="E504" s="2" t="n"/>
      <c r="F504" s="2" t="n">
        <v>1</v>
      </c>
      <c r="G504" s="2" t="n"/>
      <c r="H504" s="3" t="inlineStr">
        <is>
          <t>Limited partnership capital EUR 1.0m: fixed capital shares Bastian Fassin 0.9 (2023: 0.5) and Tobias Bachmüller 0.1 (0.1); no personal guarantee, share pledge or family charter is mentioned.</t>
        </is>
      </c>
      <c r="I504" s="2" t="inlineStr">
        <is>
          <t>S2</t>
        </is>
      </c>
      <c r="J504" s="2" t="n">
        <v>67</v>
      </c>
      <c r="K504" s="3" t="inlineStr">
        <is>
          <t>Limited partner Bastian Fassin 0.9 0.5 Limited partner Tobias Bachmüller 0.1 0.1</t>
        </is>
      </c>
      <c r="L504" s="2" t="inlineStr">
        <is>
          <t>ok</t>
        </is>
      </c>
      <c r="M504" s="2" t="inlineStr">
        <is>
          <t>demo reviewer</t>
        </is>
      </c>
      <c r="N504" s="2" t="n"/>
      <c r="O504" s="3" t="inlineStr">
        <is>
          <t>https://vanillabonds.com/dossier-data/pdf/katjes/katjes-2024-annual-report.pdf#page=67</t>
        </is>
      </c>
      <c r="P504" s="3" t="inlineStr">
        <is>
          <t>https://vanillabonds.com/dossier.html?c=katjes&amp;viewer=1&amp;item=F503</t>
        </is>
      </c>
      <c r="Q504" s="2" t="inlineStr"/>
    </row>
    <row r="505">
      <c r="A505" s="2" t="inlineStr">
        <is>
          <t>F504</t>
        </is>
      </c>
      <c r="B505" s="2" t="inlineStr">
        <is>
          <t>market</t>
        </is>
      </c>
      <c r="C505" s="2" t="inlineStr">
        <is>
          <t>market_series</t>
        </is>
      </c>
      <c r="D505" s="3" t="inlineStr">
        <is>
          <t>Market variable: variable; year; value; unit; source (a distribution adds n; median; spread; p10; p25; p75; p90)</t>
        </is>
      </c>
      <c r="E505" s="2" t="n"/>
      <c r="F505" s="2" t="n">
        <v>7.8</v>
      </c>
      <c r="G505" s="2" t="n"/>
      <c r="H505" s="3" t="inlineStr">
        <is>
          <t>variable: confectionery market growth Western Europe; year: 2024; value: 7.8; unit: % y/y; source: management report (Euromonitor International cited for the market table)</t>
        </is>
      </c>
      <c r="I505" s="2" t="inlineStr">
        <is>
          <t>S2</t>
        </is>
      </c>
      <c r="J505" s="2" t="n">
        <v>26</v>
      </c>
      <c r="K505" s="3" t="inlineStr">
        <is>
          <t>Western Europe recorded an increase of 7.8% compared to the previous year, while Eastern Europe saw a growth rate of 5.8%.</t>
        </is>
      </c>
      <c r="L505" s="2" t="inlineStr">
        <is>
          <t>ok</t>
        </is>
      </c>
      <c r="M505" s="2" t="inlineStr">
        <is>
          <t>demo reviewer</t>
        </is>
      </c>
      <c r="N505" s="2" t="n"/>
      <c r="O505" s="3" t="inlineStr">
        <is>
          <t>https://vanillabonds.com/dossier-data/pdf/katjes/katjes-2024-annual-report.pdf#page=26</t>
        </is>
      </c>
      <c r="P505" s="3" t="inlineStr">
        <is>
          <t>https://vanillabonds.com/dossier.html?c=katjes&amp;viewer=1&amp;item=F504</t>
        </is>
      </c>
      <c r="Q505" s="2" t="inlineStr"/>
    </row>
    <row r="506">
      <c r="A506" s="2" t="inlineStr">
        <is>
          <t>F505</t>
        </is>
      </c>
      <c r="B506" s="2" t="inlineStr">
        <is>
          <t>market</t>
        </is>
      </c>
      <c r="C506" s="2" t="inlineStr">
        <is>
          <t>market_series</t>
        </is>
      </c>
      <c r="D506" s="3" t="inlineStr">
        <is>
          <t>Market variable: variable; year; value; unit; source (a distribution adds n; median; spread; p10; p25; p75; p90)</t>
        </is>
      </c>
      <c r="E506" s="2" t="n"/>
      <c r="F506" s="2" t="n">
        <v>5.8</v>
      </c>
      <c r="G506" s="2" t="n"/>
      <c r="H506" s="3" t="inlineStr">
        <is>
          <t>variable: confectionery market growth Eastern Europe; year: 2024; value: 5.8; unit: % y/y; source: management report</t>
        </is>
      </c>
      <c r="I506" s="2" t="inlineStr">
        <is>
          <t>S2</t>
        </is>
      </c>
      <c r="J506" s="2" t="n">
        <v>26</v>
      </c>
      <c r="K506" s="3" t="inlineStr">
        <is>
          <t>Western Europe recorded an increase of 7.8% compared to the previous year, while Eastern Europe saw a growth rate of 5.8%.</t>
        </is>
      </c>
      <c r="L506" s="2" t="inlineStr">
        <is>
          <t>ok</t>
        </is>
      </c>
      <c r="M506" s="2" t="inlineStr">
        <is>
          <t>demo reviewer</t>
        </is>
      </c>
      <c r="N506" s="2" t="n"/>
      <c r="O506" s="3" t="inlineStr">
        <is>
          <t>https://vanillabonds.com/dossier-data/pdf/katjes/katjes-2024-annual-report.pdf#page=26</t>
        </is>
      </c>
      <c r="P506" s="3" t="inlineStr">
        <is>
          <t>https://vanillabonds.com/dossier.html?c=katjes&amp;viewer=1&amp;item=F505</t>
        </is>
      </c>
      <c r="Q506" s="2" t="inlineStr"/>
    </row>
    <row r="507">
      <c r="A507" s="2" t="inlineStr">
        <is>
          <t>F506</t>
        </is>
      </c>
      <c r="B507" s="2" t="inlineStr">
        <is>
          <t>market</t>
        </is>
      </c>
      <c r="C507" s="2" t="inlineStr">
        <is>
          <t>market_series</t>
        </is>
      </c>
      <c r="D507" s="3" t="inlineStr">
        <is>
          <t>Market variable: variable; year; value; unit; source (a distribution adds n; median; spread; p10; p25; p75; p90)</t>
        </is>
      </c>
      <c r="E507" s="2" t="n"/>
      <c r="F507" s="2" t="n">
        <v>0.7</v>
      </c>
      <c r="G507" s="2" t="n"/>
      <c r="H507" s="3" t="inlineStr">
        <is>
          <t>variable: euro area GDP growth; year: 2024; value: 0.7; unit: % (2023: 0.5); source: OECD Economic Outlook Dec 2024 / Mar 2025</t>
        </is>
      </c>
      <c r="I507" s="2" t="inlineStr">
        <is>
          <t>S2</t>
        </is>
      </c>
      <c r="J507" s="2" t="n">
        <v>26</v>
      </c>
      <c r="K507" s="3" t="inlineStr">
        <is>
          <t>In 2024, the gross domestic product (GDP) grew by only 0.7% (2023: 0.5%)</t>
        </is>
      </c>
      <c r="L507" s="2" t="inlineStr">
        <is>
          <t>ok</t>
        </is>
      </c>
      <c r="M507" s="2" t="inlineStr">
        <is>
          <t>demo reviewer</t>
        </is>
      </c>
      <c r="N507" s="2" t="n"/>
      <c r="O507" s="3" t="inlineStr">
        <is>
          <t>https://vanillabonds.com/dossier-data/pdf/katjes/katjes-2024-annual-report.pdf#page=26</t>
        </is>
      </c>
      <c r="P507" s="3" t="inlineStr">
        <is>
          <t>https://vanillabonds.com/dossier.html?c=katjes&amp;viewer=1&amp;item=F506</t>
        </is>
      </c>
      <c r="Q507" s="2" t="inlineStr"/>
    </row>
    <row r="508">
      <c r="A508" s="2" t="inlineStr">
        <is>
          <t>F507</t>
        </is>
      </c>
      <c r="B508" s="2" t="inlineStr">
        <is>
          <t>market</t>
        </is>
      </c>
      <c r="C508" s="2" t="inlineStr">
        <is>
          <t>market_series</t>
        </is>
      </c>
      <c r="D508" s="3" t="inlineStr">
        <is>
          <t>Market variable: variable; year; value; unit; source (a distribution adds n; median; spread; p10; p25; p75; p90)</t>
        </is>
      </c>
      <c r="E508" s="2" t="n"/>
      <c r="F508" s="2" t="n">
        <v>13.3</v>
      </c>
      <c r="G508" s="2" t="n"/>
      <c r="H508" s="3" t="inlineStr">
        <is>
          <t>variable: confectionery market volume Germany; year: 2024; value: 13.3; unit: EUR bn; source: Euromonitor International</t>
        </is>
      </c>
      <c r="I508" s="2" t="inlineStr">
        <is>
          <t>S2</t>
        </is>
      </c>
      <c r="J508" s="2" t="n">
        <v>27</v>
      </c>
      <c r="K508" s="2" t="inlineStr">
        <is>
          <t>Germany 12.7 13.3</t>
        </is>
      </c>
      <c r="L508" s="2" t="inlineStr">
        <is>
          <t>ok</t>
        </is>
      </c>
      <c r="M508" s="2" t="inlineStr">
        <is>
          <t>demo reviewer</t>
        </is>
      </c>
      <c r="N508" s="2" t="n"/>
      <c r="O508" s="3" t="inlineStr">
        <is>
          <t>https://vanillabonds.com/dossier-data/pdf/katjes/katjes-2024-annual-report.pdf#page=27</t>
        </is>
      </c>
      <c r="P508" s="3" t="inlineStr">
        <is>
          <t>https://vanillabonds.com/dossier.html?c=katjes&amp;viewer=1&amp;item=F507</t>
        </is>
      </c>
      <c r="Q508" s="2" t="inlineStr"/>
    </row>
    <row r="509">
      <c r="A509" s="2" t="inlineStr">
        <is>
          <t>F508</t>
        </is>
      </c>
      <c r="B509" s="2" t="inlineStr">
        <is>
          <t>market</t>
        </is>
      </c>
      <c r="C509" s="2" t="inlineStr">
        <is>
          <t>market_series</t>
        </is>
      </c>
      <c r="D509" s="3" t="inlineStr">
        <is>
          <t>Market variable: variable; year; value; unit; source (a distribution adds n; median; spread; p10; p25; p75; p90)</t>
        </is>
      </c>
      <c r="E509" s="2" t="n"/>
      <c r="F509" s="2" t="n">
        <v>12.7</v>
      </c>
      <c r="G509" s="2" t="n"/>
      <c r="H509" s="3" t="inlineStr">
        <is>
          <t>variable: confectionery market volume Germany; year: 2023; value: 12.7; unit: EUR bn; source: Euromonitor International</t>
        </is>
      </c>
      <c r="I509" s="2" t="inlineStr">
        <is>
          <t>S2</t>
        </is>
      </c>
      <c r="J509" s="2" t="n">
        <v>27</v>
      </c>
      <c r="K509" s="2" t="inlineStr">
        <is>
          <t>Germany 12.7 13.3</t>
        </is>
      </c>
      <c r="L509" s="2" t="inlineStr">
        <is>
          <t>ok</t>
        </is>
      </c>
      <c r="M509" s="2" t="inlineStr">
        <is>
          <t>demo reviewer</t>
        </is>
      </c>
      <c r="N509" s="2" t="n"/>
      <c r="O509" s="3" t="inlineStr">
        <is>
          <t>https://vanillabonds.com/dossier-data/pdf/katjes/katjes-2024-annual-report.pdf#page=27</t>
        </is>
      </c>
      <c r="P509" s="3" t="inlineStr">
        <is>
          <t>https://vanillabonds.com/dossier.html?c=katjes&amp;viewer=1&amp;item=F508</t>
        </is>
      </c>
      <c r="Q509" s="2" t="inlineStr"/>
    </row>
    <row r="510">
      <c r="A510" s="2" t="inlineStr">
        <is>
          <t>F509</t>
        </is>
      </c>
      <c r="B510" s="2" t="inlineStr">
        <is>
          <t>market</t>
        </is>
      </c>
      <c r="C510" s="2" t="inlineStr">
        <is>
          <t>market_series</t>
        </is>
      </c>
      <c r="D510" s="3" t="inlineStr">
        <is>
          <t>Market variable: variable; year; value; unit; source (a distribution adds n; median; spread; p10; p25; p75; p90)</t>
        </is>
      </c>
      <c r="E510" s="2" t="n"/>
      <c r="F510" s="2" t="n">
        <v>10.5</v>
      </c>
      <c r="G510" s="2" t="n"/>
      <c r="H510" s="3" t="inlineStr">
        <is>
          <t>variable: confectionery market volume United Kingdom; year: 2024; value: 10.5; unit: EUR bn; source: Euromonitor International</t>
        </is>
      </c>
      <c r="I510" s="2" t="inlineStr">
        <is>
          <t>S2</t>
        </is>
      </c>
      <c r="J510" s="2" t="n">
        <v>27</v>
      </c>
      <c r="K510" s="2" t="inlineStr">
        <is>
          <t>United Kingdom 9.7 10.5</t>
        </is>
      </c>
      <c r="L510" s="2" t="inlineStr">
        <is>
          <t>ok</t>
        </is>
      </c>
      <c r="M510" s="2" t="inlineStr">
        <is>
          <t>demo reviewer</t>
        </is>
      </c>
      <c r="N510" s="2" t="n"/>
      <c r="O510" s="3" t="inlineStr">
        <is>
          <t>https://vanillabonds.com/dossier-data/pdf/katjes/katjes-2024-annual-report.pdf#page=27</t>
        </is>
      </c>
      <c r="P510" s="3" t="inlineStr">
        <is>
          <t>https://vanillabonds.com/dossier.html?c=katjes&amp;viewer=1&amp;item=F509</t>
        </is>
      </c>
      <c r="Q510" s="2" t="inlineStr"/>
    </row>
    <row r="511">
      <c r="A511" s="2" t="inlineStr">
        <is>
          <t>F510</t>
        </is>
      </c>
      <c r="B511" s="2" t="inlineStr">
        <is>
          <t>market</t>
        </is>
      </c>
      <c r="C511" s="2" t="inlineStr">
        <is>
          <t>market_series</t>
        </is>
      </c>
      <c r="D511" s="3" t="inlineStr">
        <is>
          <t>Market variable: variable; year; value; unit; source (a distribution adds n; median; spread; p10; p25; p75; p90)</t>
        </is>
      </c>
      <c r="E511" s="2" t="n"/>
      <c r="F511" s="2" t="n">
        <v>9.699999999999999</v>
      </c>
      <c r="G511" s="2" t="n"/>
      <c r="H511" s="3" t="inlineStr">
        <is>
          <t>variable: confectionery market volume United Kingdom; year: 2023; value: 9.7; unit: EUR bn; source: Euromonitor International</t>
        </is>
      </c>
      <c r="I511" s="2" t="inlineStr">
        <is>
          <t>S2</t>
        </is>
      </c>
      <c r="J511" s="2" t="n">
        <v>27</v>
      </c>
      <c r="K511" s="2" t="inlineStr">
        <is>
          <t>United Kingdom 9.7 10.5</t>
        </is>
      </c>
      <c r="L511" s="2" t="inlineStr">
        <is>
          <t>ok</t>
        </is>
      </c>
      <c r="M511" s="2" t="inlineStr">
        <is>
          <t>demo reviewer</t>
        </is>
      </c>
      <c r="N511" s="2" t="n"/>
      <c r="O511" s="3" t="inlineStr">
        <is>
          <t>https://vanillabonds.com/dossier-data/pdf/katjes/katjes-2024-annual-report.pdf#page=27</t>
        </is>
      </c>
      <c r="P511" s="3" t="inlineStr">
        <is>
          <t>https://vanillabonds.com/dossier.html?c=katjes&amp;viewer=1&amp;item=F510</t>
        </is>
      </c>
      <c r="Q511" s="2" t="inlineStr"/>
    </row>
    <row r="512">
      <c r="A512" s="2" t="inlineStr">
        <is>
          <t>F511</t>
        </is>
      </c>
      <c r="B512" s="2" t="inlineStr">
        <is>
          <t>market</t>
        </is>
      </c>
      <c r="C512" s="2" t="inlineStr">
        <is>
          <t>market_series</t>
        </is>
      </c>
      <c r="D512" s="3" t="inlineStr">
        <is>
          <t>Market variable: variable; year; value; unit; source (a distribution adds n; median; spread; p10; p25; p75; p90)</t>
        </is>
      </c>
      <c r="E512" s="2" t="n"/>
      <c r="F512" s="2" t="n">
        <v>7.8</v>
      </c>
      <c r="G512" s="2" t="n"/>
      <c r="H512" s="3" t="inlineStr">
        <is>
          <t>variable: confectionery market volume France; year: 2024; value: 7.8; unit: EUR bn; source: Euromonitor International</t>
        </is>
      </c>
      <c r="I512" s="2" t="inlineStr">
        <is>
          <t>S2</t>
        </is>
      </c>
      <c r="J512" s="2" t="n">
        <v>27</v>
      </c>
      <c r="K512" s="2" t="inlineStr">
        <is>
          <t>France 7.2 7.8</t>
        </is>
      </c>
      <c r="L512" s="2" t="inlineStr">
        <is>
          <t>ok</t>
        </is>
      </c>
      <c r="M512" s="2" t="inlineStr">
        <is>
          <t>demo reviewer</t>
        </is>
      </c>
      <c r="N512" s="2" t="n"/>
      <c r="O512" s="3" t="inlineStr">
        <is>
          <t>https://vanillabonds.com/dossier-data/pdf/katjes/katjes-2024-annual-report.pdf#page=27</t>
        </is>
      </c>
      <c r="P512" s="3" t="inlineStr">
        <is>
          <t>https://vanillabonds.com/dossier.html?c=katjes&amp;viewer=1&amp;item=F511</t>
        </is>
      </c>
      <c r="Q512" s="2" t="inlineStr"/>
    </row>
    <row r="513">
      <c r="A513" s="2" t="inlineStr">
        <is>
          <t>F512</t>
        </is>
      </c>
      <c r="B513" s="2" t="inlineStr">
        <is>
          <t>market</t>
        </is>
      </c>
      <c r="C513" s="2" t="inlineStr">
        <is>
          <t>market_series</t>
        </is>
      </c>
      <c r="D513" s="3" t="inlineStr">
        <is>
          <t>Market variable: variable; year; value; unit; source (a distribution adds n; median; spread; p10; p25; p75; p90)</t>
        </is>
      </c>
      <c r="E513" s="2" t="n"/>
      <c r="F513" s="2" t="n">
        <v>7.2</v>
      </c>
      <c r="G513" s="2" t="n"/>
      <c r="H513" s="3" t="inlineStr">
        <is>
          <t>variable: confectionery market volume France; year: 2023; value: 7.2; unit: EUR bn; source: Euromonitor International</t>
        </is>
      </c>
      <c r="I513" s="2" t="inlineStr">
        <is>
          <t>S2</t>
        </is>
      </c>
      <c r="J513" s="2" t="n">
        <v>27</v>
      </c>
      <c r="K513" s="2" t="inlineStr">
        <is>
          <t>France 7.2 7.8</t>
        </is>
      </c>
      <c r="L513" s="2" t="inlineStr">
        <is>
          <t>ok</t>
        </is>
      </c>
      <c r="M513" s="2" t="inlineStr">
        <is>
          <t>demo reviewer</t>
        </is>
      </c>
      <c r="N513" s="2" t="n"/>
      <c r="O513" s="3" t="inlineStr">
        <is>
          <t>https://vanillabonds.com/dossier-data/pdf/katjes/katjes-2024-annual-report.pdf#page=27</t>
        </is>
      </c>
      <c r="P513" s="3" t="inlineStr">
        <is>
          <t>https://vanillabonds.com/dossier.html?c=katjes&amp;viewer=1&amp;item=F512</t>
        </is>
      </c>
      <c r="Q513" s="2" t="inlineStr"/>
    </row>
    <row r="514">
      <c r="A514" s="2" t="inlineStr">
        <is>
          <t>F513</t>
        </is>
      </c>
      <c r="B514" s="2" t="inlineStr">
        <is>
          <t>market</t>
        </is>
      </c>
      <c r="C514" s="2" t="inlineStr">
        <is>
          <t>market_series</t>
        </is>
      </c>
      <c r="D514" s="3" t="inlineStr">
        <is>
          <t>Market variable: variable; year; value; unit; source (a distribution adds n; median; spread; p10; p25; p75; p90)</t>
        </is>
      </c>
      <c r="E514" s="2" t="n"/>
      <c r="F514" s="2" t="n">
        <v>3.8</v>
      </c>
      <c r="G514" s="2" t="n"/>
      <c r="H514" s="3" t="inlineStr">
        <is>
          <t>variable: confectionery market volume Italy; year: 2024; value: 3.8; unit: EUR bn; source: Euromonitor International</t>
        </is>
      </c>
      <c r="I514" s="2" t="inlineStr">
        <is>
          <t>S2</t>
        </is>
      </c>
      <c r="J514" s="2" t="n">
        <v>27</v>
      </c>
      <c r="K514" s="2" t="inlineStr">
        <is>
          <t>Italy 3.6 3.8</t>
        </is>
      </c>
      <c r="L514" s="2" t="inlineStr">
        <is>
          <t>ok</t>
        </is>
      </c>
      <c r="M514" s="2" t="inlineStr">
        <is>
          <t>demo reviewer</t>
        </is>
      </c>
      <c r="N514" s="2" t="n"/>
      <c r="O514" s="3" t="inlineStr">
        <is>
          <t>https://vanillabonds.com/dossier-data/pdf/katjes/katjes-2024-annual-report.pdf#page=27</t>
        </is>
      </c>
      <c r="P514" s="3" t="inlineStr">
        <is>
          <t>https://vanillabonds.com/dossier.html?c=katjes&amp;viewer=1&amp;item=F513</t>
        </is>
      </c>
      <c r="Q514" s="2" t="inlineStr"/>
    </row>
    <row r="515">
      <c r="A515" s="2" t="inlineStr">
        <is>
          <t>F514</t>
        </is>
      </c>
      <c r="B515" s="2" t="inlineStr">
        <is>
          <t>market</t>
        </is>
      </c>
      <c r="C515" s="2" t="inlineStr">
        <is>
          <t>market_series</t>
        </is>
      </c>
      <c r="D515" s="3" t="inlineStr">
        <is>
          <t>Market variable: variable; year; value; unit; source (a distribution adds n; median; spread; p10; p25; p75; p90)</t>
        </is>
      </c>
      <c r="E515" s="2" t="n"/>
      <c r="F515" s="2" t="n">
        <v>3.6</v>
      </c>
      <c r="G515" s="2" t="n"/>
      <c r="H515" s="3" t="inlineStr">
        <is>
          <t>variable: confectionery market volume Italy; year: 2023; value: 3.6; unit: EUR bn; source: Euromonitor International</t>
        </is>
      </c>
      <c r="I515" s="2" t="inlineStr">
        <is>
          <t>S2</t>
        </is>
      </c>
      <c r="J515" s="2" t="n">
        <v>27</v>
      </c>
      <c r="K515" s="2" t="inlineStr">
        <is>
          <t>Italy 3.6 3.8</t>
        </is>
      </c>
      <c r="L515" s="2" t="inlineStr">
        <is>
          <t>ok</t>
        </is>
      </c>
      <c r="M515" s="2" t="inlineStr">
        <is>
          <t>demo reviewer</t>
        </is>
      </c>
      <c r="N515" s="2" t="n"/>
      <c r="O515" s="3" t="inlineStr">
        <is>
          <t>https://vanillabonds.com/dossier-data/pdf/katjes/katjes-2024-annual-report.pdf#page=27</t>
        </is>
      </c>
      <c r="P515" s="3" t="inlineStr">
        <is>
          <t>https://vanillabonds.com/dossier.html?c=katjes&amp;viewer=1&amp;item=F514</t>
        </is>
      </c>
      <c r="Q515" s="2" t="inlineStr"/>
    </row>
    <row r="516">
      <c r="A516" s="2" t="inlineStr">
        <is>
          <t>F515</t>
        </is>
      </c>
      <c r="B516" s="2" t="inlineStr">
        <is>
          <t>market</t>
        </is>
      </c>
      <c r="C516" s="2" t="inlineStr">
        <is>
          <t>market_series</t>
        </is>
      </c>
      <c r="D516" s="3" t="inlineStr">
        <is>
          <t>Market variable: variable; year; value; unit; source (a distribution adds n; median; spread; p10; p25; p75; p90)</t>
        </is>
      </c>
      <c r="E516" s="2" t="n"/>
      <c r="F516" s="2" t="n">
        <v>2.1</v>
      </c>
      <c r="G516" s="2" t="n"/>
      <c r="H516" s="3" t="inlineStr">
        <is>
          <t>variable: confectionery market volume Netherlands; year: 2024; value: 2.1; unit: EUR bn; source: Euromonitor International</t>
        </is>
      </c>
      <c r="I516" s="2" t="inlineStr">
        <is>
          <t>S2</t>
        </is>
      </c>
      <c r="J516" s="2" t="n">
        <v>27</v>
      </c>
      <c r="K516" s="2" t="inlineStr">
        <is>
          <t>Netherlands 2.0 2.1</t>
        </is>
      </c>
      <c r="L516" s="2" t="inlineStr">
        <is>
          <t>ok</t>
        </is>
      </c>
      <c r="M516" s="2" t="inlineStr">
        <is>
          <t>demo reviewer</t>
        </is>
      </c>
      <c r="N516" s="2" t="n"/>
      <c r="O516" s="3" t="inlineStr">
        <is>
          <t>https://vanillabonds.com/dossier-data/pdf/katjes/katjes-2024-annual-report.pdf#page=27</t>
        </is>
      </c>
      <c r="P516" s="3" t="inlineStr">
        <is>
          <t>https://vanillabonds.com/dossier.html?c=katjes&amp;viewer=1&amp;item=F515</t>
        </is>
      </c>
      <c r="Q516" s="2" t="inlineStr"/>
    </row>
    <row r="517">
      <c r="A517" s="2" t="inlineStr">
        <is>
          <t>F516</t>
        </is>
      </c>
      <c r="B517" s="2" t="inlineStr">
        <is>
          <t>market</t>
        </is>
      </c>
      <c r="C517" s="2" t="inlineStr">
        <is>
          <t>market_series</t>
        </is>
      </c>
      <c r="D517" s="3" t="inlineStr">
        <is>
          <t>Market variable: variable; year; value; unit; source (a distribution adds n; median; spread; p10; p25; p75; p90)</t>
        </is>
      </c>
      <c r="E517" s="2" t="n"/>
      <c r="F517" s="2" t="n">
        <v>2</v>
      </c>
      <c r="G517" s="2" t="n"/>
      <c r="H517" s="3" t="inlineStr">
        <is>
          <t>variable: confectionery market volume Netherlands; year: 2023; value: 2.0; unit: EUR bn; source: Euromonitor International</t>
        </is>
      </c>
      <c r="I517" s="2" t="inlineStr">
        <is>
          <t>S2</t>
        </is>
      </c>
      <c r="J517" s="2" t="n">
        <v>27</v>
      </c>
      <c r="K517" s="2" t="inlineStr">
        <is>
          <t>Netherlands 2.0 2.1</t>
        </is>
      </c>
      <c r="L517" s="2" t="inlineStr">
        <is>
          <t>ok</t>
        </is>
      </c>
      <c r="M517" s="2" t="inlineStr">
        <is>
          <t>demo reviewer</t>
        </is>
      </c>
      <c r="N517" s="2" t="n"/>
      <c r="O517" s="3" t="inlineStr">
        <is>
          <t>https://vanillabonds.com/dossier-data/pdf/katjes/katjes-2024-annual-report.pdf#page=27</t>
        </is>
      </c>
      <c r="P517" s="3" t="inlineStr">
        <is>
          <t>https://vanillabonds.com/dossier.html?c=katjes&amp;viewer=1&amp;item=F516</t>
        </is>
      </c>
      <c r="Q517" s="2" t="inlineStr"/>
    </row>
    <row r="518">
      <c r="A518" s="2" t="inlineStr">
        <is>
          <t>F517</t>
        </is>
      </c>
      <c r="B518" s="2" t="inlineStr">
        <is>
          <t>market</t>
        </is>
      </c>
      <c r="C518" s="2" t="inlineStr">
        <is>
          <t>market_series</t>
        </is>
      </c>
      <c r="D518" s="3" t="inlineStr">
        <is>
          <t>Market variable: variable; year; value; unit; source (a distribution adds n; median; spread; p10; p25; p75; p90)</t>
        </is>
      </c>
      <c r="E518" s="2" t="n"/>
      <c r="F518" s="2" t="n">
        <v>561</v>
      </c>
      <c r="G518" s="2" t="n"/>
      <c r="H518" s="3" t="inlineStr">
        <is>
          <t>variable: baby and child care market volume Germany; year: 2024; value: 561; unit: EUR m (+1.3% value, +1.6% volume); source: Nielsen</t>
        </is>
      </c>
      <c r="I518" s="2" t="inlineStr">
        <is>
          <t>S2</t>
        </is>
      </c>
      <c r="J518" s="2" t="n">
        <v>27</v>
      </c>
      <c r="K518" s="3" t="inlineStr">
        <is>
          <t>According to Nielsen data, the market volume in Germany reached EUR 561 million in 2024, representing an increase of 1.3%.</t>
        </is>
      </c>
      <c r="L518" s="2" t="inlineStr">
        <is>
          <t>ok</t>
        </is>
      </c>
      <c r="M518" s="2" t="inlineStr">
        <is>
          <t>demo reviewer</t>
        </is>
      </c>
      <c r="N518" s="2" t="n"/>
      <c r="O518" s="3" t="inlineStr">
        <is>
          <t>https://vanillabonds.com/dossier-data/pdf/katjes/katjes-2024-annual-report.pdf#page=27</t>
        </is>
      </c>
      <c r="P518" s="3" t="inlineStr">
        <is>
          <t>https://vanillabonds.com/dossier.html?c=katjes&amp;viewer=1&amp;item=F517</t>
        </is>
      </c>
      <c r="Q518" s="2" t="inlineStr"/>
    </row>
    <row r="519">
      <c r="A519" s="2" t="inlineStr">
        <is>
          <t>F518</t>
        </is>
      </c>
      <c r="B519" s="2" t="inlineStr">
        <is>
          <t>market</t>
        </is>
      </c>
      <c r="C519" s="2" t="inlineStr">
        <is>
          <t>market_series</t>
        </is>
      </c>
      <c r="D519" s="3" t="inlineStr">
        <is>
          <t>Market variable: variable; year; value; unit; source (a distribution adds n; median; spread; p10; p25; p75; p90)</t>
        </is>
      </c>
      <c r="E519" s="2" t="n"/>
      <c r="F519" s="2" t="n">
        <v>1980</v>
      </c>
      <c r="G519" s="2" t="n"/>
      <c r="H519" s="3" t="inlineStr">
        <is>
          <t>variable: oral care category sales Germany; year: 2024; value: 1980; unit: EUR m (+10.0% y/y); source: Statista</t>
        </is>
      </c>
      <c r="I519" s="2" t="inlineStr">
        <is>
          <t>S2</t>
        </is>
      </c>
      <c r="J519" s="2" t="n">
        <v>27</v>
      </c>
      <c r="K519" s="3" t="inlineStr">
        <is>
          <t>In 2024, sales in this category amounted to approximately EUR 1.98 billion, represen- ting a year-on-year increase of 10.0%, according to data from Statista.</t>
        </is>
      </c>
      <c r="L519" s="2" t="inlineStr">
        <is>
          <t>ok</t>
        </is>
      </c>
      <c r="M519" s="2" t="inlineStr">
        <is>
          <t>demo reviewer</t>
        </is>
      </c>
      <c r="N519" s="2" t="n"/>
      <c r="O519" s="3" t="inlineStr">
        <is>
          <t>https://vanillabonds.com/dossier-data/pdf/katjes/katjes-2024-annual-report.pdf#page=27</t>
        </is>
      </c>
      <c r="P519" s="3" t="inlineStr">
        <is>
          <t>https://vanillabonds.com/dossier.html?c=katjes&amp;viewer=1&amp;item=F518</t>
        </is>
      </c>
      <c r="Q519" s="2" t="inlineStr"/>
    </row>
    <row r="520">
      <c r="A520" s="2" t="inlineStr">
        <is>
          <t>F519</t>
        </is>
      </c>
      <c r="B520" s="2" t="inlineStr">
        <is>
          <t>market</t>
        </is>
      </c>
      <c r="C520" s="2" t="inlineStr">
        <is>
          <t>market_series</t>
        </is>
      </c>
      <c r="D520" s="3" t="inlineStr">
        <is>
          <t>Market variable: variable; year; value; unit; source (a distribution adds n; median; spread; p10; p25; p75; p90)</t>
        </is>
      </c>
      <c r="E520" s="2" t="n"/>
      <c r="F520" s="2" t="n">
        <v>7.2</v>
      </c>
      <c r="G520" s="2" t="n"/>
      <c r="H520" s="3" t="inlineStr">
        <is>
          <t>variable: confectionery market growth Western Europe (forecast); year: 2025; value: 7.2; unit: % y/y; source: management report forecast section (Eastern Europe 5.9%)</t>
        </is>
      </c>
      <c r="I520" s="2" t="inlineStr">
        <is>
          <t>S2</t>
        </is>
      </c>
      <c r="J520" s="2" t="n">
        <v>38</v>
      </c>
      <c r="K520" s="3" t="inlineStr">
        <is>
          <t>In the confectionery sector, the market volume in Western Europe is projected to grow by approximately 7.2% in 2025, and by 5.9% in Eastern Europe</t>
        </is>
      </c>
      <c r="L520" s="2" t="inlineStr">
        <is>
          <t>ok</t>
        </is>
      </c>
      <c r="M520" s="2" t="inlineStr">
        <is>
          <t>demo reviewer</t>
        </is>
      </c>
      <c r="N520" s="2" t="n"/>
      <c r="O520" s="3" t="inlineStr">
        <is>
          <t>https://vanillabonds.com/dossier-data/pdf/katjes/katjes-2024-annual-report.pdf#page=38</t>
        </is>
      </c>
      <c r="P520" s="3" t="inlineStr">
        <is>
          <t>https://vanillabonds.com/dossier.html?c=katjes&amp;viewer=1&amp;item=F519</t>
        </is>
      </c>
      <c r="Q520" s="2" t="inlineStr"/>
    </row>
    <row r="521">
      <c r="A521" s="2" t="inlineStr">
        <is>
          <t>F520</t>
        </is>
      </c>
      <c r="B521" s="2" t="inlineStr">
        <is>
          <t>market</t>
        </is>
      </c>
      <c r="C521" s="2" t="inlineStr">
        <is>
          <t>market_series</t>
        </is>
      </c>
      <c r="D521" s="3" t="inlineStr">
        <is>
          <t>Market variable: variable; year; value; unit; source (a distribution adds n; median; spread; p10; p25; p75; p90)</t>
        </is>
      </c>
      <c r="E521" s="2" t="n"/>
      <c r="F521" s="2" t="n">
        <v>1</v>
      </c>
      <c r="G521" s="2" t="n"/>
      <c r="H521" s="3" t="inlineStr">
        <is>
          <t>variable: euro area GDP growth (forecast); year: 2025; value: 1.0; unit: % (Germany 0.4, Netherlands 1.6, Italy 0.7, France 0.8, UK 1.7); source: OECD Dec 2024 updated Mar 2025</t>
        </is>
      </c>
      <c r="I521" s="2" t="inlineStr">
        <is>
          <t>S2</t>
        </is>
      </c>
      <c r="J521" s="2" t="n">
        <v>38</v>
      </c>
      <c r="K521" s="3" t="inlineStr">
        <is>
          <t>The OECD expects GDP in the euro area to increase by 1.0% in 2025. For the Federal Republic of Germany, growth of 0.4% is forecasted</t>
        </is>
      </c>
      <c r="L521" s="2" t="inlineStr">
        <is>
          <t>ok</t>
        </is>
      </c>
      <c r="M521" s="2" t="inlineStr">
        <is>
          <t>demo reviewer</t>
        </is>
      </c>
      <c r="N521" s="2" t="n"/>
      <c r="O521" s="3" t="inlineStr">
        <is>
          <t>https://vanillabonds.com/dossier-data/pdf/katjes/katjes-2024-annual-report.pdf#page=38</t>
        </is>
      </c>
      <c r="P521" s="3" t="inlineStr">
        <is>
          <t>https://vanillabonds.com/dossier.html?c=katjes&amp;viewer=1&amp;item=F520</t>
        </is>
      </c>
      <c r="Q521" s="2" t="inlineStr"/>
    </row>
    <row r="522">
      <c r="A522" s="2" t="inlineStr">
        <is>
          <t>F521</t>
        </is>
      </c>
      <c r="B522" s="2" t="inlineStr">
        <is>
          <t>market</t>
        </is>
      </c>
      <c r="C522" s="2" t="inlineStr">
        <is>
          <t>regulation_item</t>
        </is>
      </c>
      <c r="D522" s="3" t="inlineStr">
        <is>
          <t>Regulation: measure; effective; effect on the company as stated; source</t>
        </is>
      </c>
      <c r="E522" s="2" t="n"/>
      <c r="F522" s="2" t="n"/>
      <c r="G522" s="2" t="n"/>
      <c r="H522" s="3" t="inlineStr">
        <is>
          <t>measure: IFRS 18 and IFRS 19; effective: financial years from 1 January 2027; effect on the company as stated: presentation changes only, no material impact; source: note 2.2</t>
        </is>
      </c>
      <c r="I522" s="2" t="inlineStr">
        <is>
          <t>S2</t>
        </is>
      </c>
      <c r="J522" s="2" t="n">
        <v>49</v>
      </c>
      <c r="K522" s="3" t="inlineStr">
        <is>
          <t>IFRS 18 and IFRS 19, which are applicable to financial years beginning on or after 1 January 2027.</t>
        </is>
      </c>
      <c r="L522" s="2" t="inlineStr">
        <is>
          <t>ok</t>
        </is>
      </c>
      <c r="M522" s="2" t="inlineStr">
        <is>
          <t>demo reviewer</t>
        </is>
      </c>
      <c r="N522" s="2" t="n"/>
      <c r="O522" s="3" t="inlineStr">
        <is>
          <t>https://vanillabonds.com/dossier-data/pdf/katjes/katjes-2024-annual-report.pdf#page=49</t>
        </is>
      </c>
      <c r="P522" s="3" t="inlineStr">
        <is>
          <t>https://vanillabonds.com/dossier.html?c=katjes&amp;viewer=1&amp;item=F521</t>
        </is>
      </c>
      <c r="Q522" s="2" t="inlineStr"/>
    </row>
    <row r="523">
      <c r="A523" s="2" t="inlineStr">
        <is>
          <t>F522</t>
        </is>
      </c>
      <c r="B523" s="2" t="inlineStr">
        <is>
          <t>market</t>
        </is>
      </c>
      <c r="C523" s="2" t="inlineStr">
        <is>
          <t>regulation_item</t>
        </is>
      </c>
      <c r="D523" s="3" t="inlineStr">
        <is>
          <t>Regulation: measure; effective; effect on the company as stated; source</t>
        </is>
      </c>
      <c r="E523" s="2" t="n"/>
      <c r="F523" s="2" t="n"/>
      <c r="G523" s="2" t="n"/>
      <c r="H523" s="3" t="inlineStr">
        <is>
          <t>measure: IAS 1 amendments on classification of liabilities with covenants (from 1 Jan 2024); effective: 2024; effect on the company as stated: no material changes; source: note 2.2</t>
        </is>
      </c>
      <c r="I523" s="2" t="inlineStr">
        <is>
          <t>S2</t>
        </is>
      </c>
      <c r="J523" s="2" t="n">
        <v>49</v>
      </c>
      <c r="K523" s="3" t="inlineStr">
        <is>
          <t>cerning the classification of current and non-current financial li- abilities, as well as non-current liabilities with covenants, did not result in any material changes.</t>
        </is>
      </c>
      <c r="L523" s="2" t="inlineStr">
        <is>
          <t>ok</t>
        </is>
      </c>
      <c r="M523" s="2" t="inlineStr">
        <is>
          <t>demo reviewer</t>
        </is>
      </c>
      <c r="N523" s="2" t="n"/>
      <c r="O523" s="3" t="inlineStr">
        <is>
          <t>https://vanillabonds.com/dossier-data/pdf/katjes/katjes-2024-annual-report.pdf#page=49</t>
        </is>
      </c>
      <c r="P523" s="3" t="inlineStr">
        <is>
          <t>https://vanillabonds.com/dossier.html?c=katjes&amp;viewer=1&amp;item=F522</t>
        </is>
      </c>
      <c r="Q523" s="2" t="inlineStr"/>
    </row>
    <row r="524">
      <c r="A524" s="2" t="inlineStr">
        <is>
          <t>F523</t>
        </is>
      </c>
      <c r="B524" s="2" t="inlineStr">
        <is>
          <t>market</t>
        </is>
      </c>
      <c r="C524" s="2" t="inlineStr">
        <is>
          <t>regulation_item</t>
        </is>
      </c>
      <c r="D524" s="3" t="inlineStr">
        <is>
          <t>Regulation: measure; effective; effect on the company as stated; source</t>
        </is>
      </c>
      <c r="E524" s="2" t="n"/>
      <c r="F524" s="2" t="n">
        <v>2.4</v>
      </c>
      <c r="G524" s="2" t="n"/>
      <c r="H524" s="3" t="inlineStr">
        <is>
          <t>measure: Electricity Price Reduction Act (Strompreisbremsegesetz, StromPBG); effective: 2023; effect on the company as stated: relief payments of about EUR 2.4m reduced cost of sales in 2023, none material in 2024; source: note 2.3</t>
        </is>
      </c>
      <c r="I524" s="2" t="inlineStr">
        <is>
          <t>S2</t>
        </is>
      </c>
      <c r="J524" s="2" t="n">
        <v>51</v>
      </c>
      <c r="K524" s="3" t="inlineStr">
        <is>
          <t>proximately EUR 2.4 million were recognized as a reduction in cost of sales in connection with the Electricity Price Reduction Act (Strompreisbremsegesetz – StromPBG).</t>
        </is>
      </c>
      <c r="L524" s="2" t="inlineStr">
        <is>
          <t>ok</t>
        </is>
      </c>
      <c r="M524" s="2" t="inlineStr">
        <is>
          <t>demo reviewer</t>
        </is>
      </c>
      <c r="N524" s="2" t="n"/>
      <c r="O524" s="3" t="inlineStr">
        <is>
          <t>https://vanillabonds.com/dossier-data/pdf/katjes/katjes-2024-annual-report.pdf#page=51</t>
        </is>
      </c>
      <c r="P524" s="3" t="inlineStr">
        <is>
          <t>https://vanillabonds.com/dossier.html?c=katjes&amp;viewer=1&amp;item=F523</t>
        </is>
      </c>
      <c r="Q524" s="2" t="inlineStr"/>
    </row>
    <row r="525">
      <c r="A525" s="2" t="inlineStr">
        <is>
          <t>F524</t>
        </is>
      </c>
      <c r="B525" s="2" t="inlineStr">
        <is>
          <t>market</t>
        </is>
      </c>
      <c r="C525" s="2" t="inlineStr">
        <is>
          <t>contract_term</t>
        </is>
      </c>
      <c r="D525" s="3" t="inlineStr">
        <is>
          <t>Key contract: counterparty; share (of revenue or purchases, 0-1); duration; termination; indexation</t>
        </is>
      </c>
      <c r="E525" s="2" t="n"/>
      <c r="F525" s="2" t="n"/>
      <c r="G525" s="2" t="n"/>
      <c r="H525" s="3" t="inlineStr">
        <is>
          <t>counterparty: WICK (brand owner, distribution of WICK cough drops by Dallmann’s in Germany); share, duration, termination and indexation not disclosed</t>
        </is>
      </c>
      <c r="I525" s="2" t="inlineStr">
        <is>
          <t>S2</t>
        </is>
      </c>
      <c r="J525" s="2" t="n">
        <v>15</v>
      </c>
      <c r="K525" s="3" t="inlineStr">
        <is>
          <t>Throat and cough drops / distribution of ‘WICK’ cough drops</t>
        </is>
      </c>
      <c r="L525" s="2" t="inlineStr">
        <is>
          <t>ok</t>
        </is>
      </c>
      <c r="M525" s="2" t="inlineStr">
        <is>
          <t>demo reviewer</t>
        </is>
      </c>
      <c r="N525" s="2" t="n"/>
      <c r="O525" s="3" t="inlineStr">
        <is>
          <t>https://vanillabonds.com/dossier-data/pdf/katjes/katjes-2024-annual-report.pdf#page=15</t>
        </is>
      </c>
      <c r="P525" s="3" t="inlineStr">
        <is>
          <t>https://vanillabonds.com/dossier.html?c=katjes&amp;viewer=1&amp;item=F524</t>
        </is>
      </c>
      <c r="Q525" s="2" t="inlineStr"/>
    </row>
    <row r="526">
      <c r="A526" s="2" t="inlineStr">
        <is>
          <t>F525</t>
        </is>
      </c>
      <c r="B526" s="2" t="inlineStr">
        <is>
          <t>market</t>
        </is>
      </c>
      <c r="C526" s="2" t="inlineStr">
        <is>
          <t>price_cost_series</t>
        </is>
      </c>
      <c r="D526" s="3" t="inlineStr">
        <is>
          <t>Price or input-cost series: variable; year; value; unit; source</t>
        </is>
      </c>
      <c r="E526" s="2" t="n"/>
      <c r="F526" s="2" t="n">
        <v>192.3</v>
      </c>
      <c r="G526" s="2" t="n"/>
      <c r="H526" s="3" t="inlineStr">
        <is>
          <t>variable: cost of raw materials, consumables, supplies and purchased merchandise; year: 2024; value: 192.3; unit: EUR m; source: note 7.2 (2023: 204.4)</t>
        </is>
      </c>
      <c r="I526" s="2" t="inlineStr">
        <is>
          <t>S2</t>
        </is>
      </c>
      <c r="J526" s="2" t="n">
        <v>74</v>
      </c>
      <c r="K526" s="3" t="inlineStr">
        <is>
          <t>Cost of raw materials, consumables and supplies, and purchased mer- chandise 192.3 204.4</t>
        </is>
      </c>
      <c r="L526" s="2" t="inlineStr">
        <is>
          <t>ok</t>
        </is>
      </c>
      <c r="M526" s="2" t="inlineStr">
        <is>
          <t>demo reviewer</t>
        </is>
      </c>
      <c r="N526" s="2" t="n"/>
      <c r="O526" s="3" t="inlineStr">
        <is>
          <t>https://vanillabonds.com/dossier-data/pdf/katjes/katjes-2024-annual-report.pdf#page=74</t>
        </is>
      </c>
      <c r="P526" s="3" t="inlineStr">
        <is>
          <t>https://vanillabonds.com/dossier.html?c=katjes&amp;viewer=1&amp;item=F525</t>
        </is>
      </c>
      <c r="Q526" s="2" t="inlineStr"/>
    </row>
    <row r="527">
      <c r="A527" s="2" t="inlineStr">
        <is>
          <t>F526</t>
        </is>
      </c>
      <c r="B527" s="2" t="inlineStr">
        <is>
          <t>market</t>
        </is>
      </c>
      <c r="C527" s="2" t="inlineStr">
        <is>
          <t>price_cost_series</t>
        </is>
      </c>
      <c r="D527" s="3" t="inlineStr">
        <is>
          <t>Price or input-cost series: variable; year; value; unit; source</t>
        </is>
      </c>
      <c r="E527" s="2" t="n"/>
      <c r="F527" s="2" t="n">
        <v>13.3</v>
      </c>
      <c r="G527" s="2" t="n"/>
      <c r="H527" s="3" t="inlineStr">
        <is>
          <t>variable: energy cost; year: 2024; value: 13.3; unit: EUR m; source: note 7.2 (2023: 12.6)</t>
        </is>
      </c>
      <c r="I527" s="2" t="inlineStr">
        <is>
          <t>S2</t>
        </is>
      </c>
      <c r="J527" s="2" t="n">
        <v>74</v>
      </c>
      <c r="K527" s="2" t="inlineStr">
        <is>
          <t>Energy 13.3 12.6</t>
        </is>
      </c>
      <c r="L527" s="2" t="inlineStr">
        <is>
          <t>ok</t>
        </is>
      </c>
      <c r="M527" s="2" t="inlineStr">
        <is>
          <t>demo reviewer</t>
        </is>
      </c>
      <c r="N527" s="2" t="n"/>
      <c r="O527" s="3" t="inlineStr">
        <is>
          <t>https://vanillabonds.com/dossier-data/pdf/katjes/katjes-2024-annual-report.pdf#page=74</t>
        </is>
      </c>
      <c r="P527" s="3" t="inlineStr">
        <is>
          <t>https://vanillabonds.com/dossier.html?c=katjes&amp;viewer=1&amp;item=F526</t>
        </is>
      </c>
      <c r="Q527" s="2" t="inlineStr"/>
    </row>
    <row r="528">
      <c r="A528" s="2" t="inlineStr">
        <is>
          <t>F527</t>
        </is>
      </c>
      <c r="B528" s="2" t="inlineStr">
        <is>
          <t>market</t>
        </is>
      </c>
      <c r="C528" s="2" t="inlineStr">
        <is>
          <t>price_cost_series</t>
        </is>
      </c>
      <c r="D528" s="3" t="inlineStr">
        <is>
          <t>Price or input-cost series: variable; year; value; unit; source</t>
        </is>
      </c>
      <c r="E528" s="2" t="n"/>
      <c r="F528" s="2" t="n">
        <v>16</v>
      </c>
      <c r="G528" s="2" t="n"/>
      <c r="H528" s="3" t="inlineStr">
        <is>
          <t>variable: advertising costs; year: 2024; value: 16.0; unit: EUR m; source: note 7.2 (2023: 12.2)</t>
        </is>
      </c>
      <c r="I528" s="2" t="inlineStr">
        <is>
          <t>S2</t>
        </is>
      </c>
      <c r="J528" s="2" t="n">
        <v>74</v>
      </c>
      <c r="K528" s="2" t="inlineStr">
        <is>
          <t>Advertising costs 16.0 12.2</t>
        </is>
      </c>
      <c r="L528" s="2" t="inlineStr">
        <is>
          <t>ok</t>
        </is>
      </c>
      <c r="M528" s="2" t="inlineStr">
        <is>
          <t>demo reviewer</t>
        </is>
      </c>
      <c r="N528" s="2" t="n"/>
      <c r="O528" s="3" t="inlineStr">
        <is>
          <t>https://vanillabonds.com/dossier-data/pdf/katjes/katjes-2024-annual-report.pdf#page=74</t>
        </is>
      </c>
      <c r="P528" s="3" t="inlineStr">
        <is>
          <t>https://vanillabonds.com/dossier.html?c=katjes&amp;viewer=1&amp;item=F527</t>
        </is>
      </c>
      <c r="Q528" s="2" t="inlineStr"/>
    </row>
    <row r="529">
      <c r="A529" s="2" t="inlineStr">
        <is>
          <t>F528</t>
        </is>
      </c>
      <c r="B529" s="2" t="inlineStr">
        <is>
          <t>market</t>
        </is>
      </c>
      <c r="C529" s="2" t="inlineStr">
        <is>
          <t>permit</t>
        </is>
      </c>
      <c r="D529" s="3" t="inlineStr">
        <is>
          <t>Certification, licence, permit or patent: item; issuer; expiry; register</t>
        </is>
      </c>
      <c r="E529" s="2" t="n"/>
      <c r="F529" s="2" t="n"/>
      <c r="G529" s="2" t="n"/>
      <c r="H529" s="3" t="inlineStr">
        <is>
          <t>item: B Corp certification (Candy Kittens, implied by 'fellow B Corp brands'); issuer: B Lab</t>
        </is>
      </c>
      <c r="I529" s="2" t="inlineStr">
        <is>
          <t>S2</t>
        </is>
      </c>
      <c r="J529" s="2" t="n">
        <v>20</v>
      </c>
      <c r="K529" s="3" t="inlineStr">
        <is>
          <t>with fellow B Corp brands to ensure design and sustainability remained integral.</t>
        </is>
      </c>
      <c r="L529" s="2" t="inlineStr">
        <is>
          <t>ok</t>
        </is>
      </c>
      <c r="M529" s="2" t="inlineStr">
        <is>
          <t>demo reviewer</t>
        </is>
      </c>
      <c r="N529" s="2" t="n"/>
      <c r="O529" s="3" t="inlineStr">
        <is>
          <t>https://vanillabonds.com/dossier-data/pdf/katjes/katjes-2024-annual-report.pdf#page=20</t>
        </is>
      </c>
      <c r="P529" s="3" t="inlineStr">
        <is>
          <t>https://vanillabonds.com/dossier.html?c=katjes&amp;viewer=1&amp;item=F528</t>
        </is>
      </c>
      <c r="Q529" s="2" t="inlineStr"/>
    </row>
    <row r="530">
      <c r="A530" s="2" t="inlineStr">
        <is>
          <t>F529</t>
        </is>
      </c>
      <c r="B530" s="2" t="inlineStr">
        <is>
          <t>market</t>
        </is>
      </c>
      <c r="C530" s="2" t="inlineStr">
        <is>
          <t>permit</t>
        </is>
      </c>
      <c r="D530" s="3" t="inlineStr">
        <is>
          <t>Certification, licence, permit or patent: item; issuer; expiry; register</t>
        </is>
      </c>
      <c r="E530" s="2" t="n"/>
      <c r="F530" s="2" t="n"/>
      <c r="G530" s="2" t="n"/>
      <c r="H530" s="3" t="inlineStr">
        <is>
          <t>item: certified organic body care products (N.A.E.); issuer: not named</t>
        </is>
      </c>
      <c r="I530" s="2" t="inlineStr">
        <is>
          <t>S2</t>
        </is>
      </c>
      <c r="J530" s="2" t="n">
        <v>24</v>
      </c>
      <c r="K530" s="3" t="inlineStr">
        <is>
          <t>N.A.E specialises in certified organic body care products, particularly in the French market.</t>
        </is>
      </c>
      <c r="L530" s="2" t="inlineStr">
        <is>
          <t>ok</t>
        </is>
      </c>
      <c r="M530" s="2" t="inlineStr">
        <is>
          <t>demo reviewer</t>
        </is>
      </c>
      <c r="N530" s="2" t="n"/>
      <c r="O530" s="3" t="inlineStr">
        <is>
          <t>https://vanillabonds.com/dossier-data/pdf/katjes/katjes-2024-annual-report.pdf#page=24</t>
        </is>
      </c>
      <c r="P530" s="3" t="inlineStr">
        <is>
          <t>https://vanillabonds.com/dossier.html?c=katjes&amp;viewer=1&amp;item=F529</t>
        </is>
      </c>
      <c r="Q530" s="2" t="inlineStr"/>
    </row>
    <row r="531">
      <c r="A531" s="2" t="inlineStr">
        <is>
          <t>F530</t>
        </is>
      </c>
      <c r="B531" s="2" t="inlineStr">
        <is>
          <t>market</t>
        </is>
      </c>
      <c r="C531" s="2" t="inlineStr">
        <is>
          <t>permit</t>
        </is>
      </c>
      <c r="D531" s="3" t="inlineStr">
        <is>
          <t>Certification, licence, permit or patent: item; issuer; expiry; register</t>
        </is>
      </c>
      <c r="E531" s="2" t="n"/>
      <c r="F531" s="2" t="n"/>
      <c r="G531" s="2" t="n"/>
      <c r="H531" s="3" t="inlineStr">
        <is>
          <t>item: IFS (International Featured Standards) food-safety certification of key portfolio companies; issuer: IFS; expiry: not stated</t>
        </is>
      </c>
      <c r="I531" s="2" t="inlineStr">
        <is>
          <t>S2</t>
        </is>
      </c>
      <c r="J531" s="2" t="n">
        <v>32</v>
      </c>
      <c r="K531" s="3" t="inlineStr">
        <is>
          <t>are certified, among others, in accordance with the International Featured Standards (IFS) or the British Retail Consortium (BRC) standards for food production.</t>
        </is>
      </c>
      <c r="L531" s="2" t="inlineStr">
        <is>
          <t>ok</t>
        </is>
      </c>
      <c r="M531" s="2" t="inlineStr">
        <is>
          <t>demo reviewer</t>
        </is>
      </c>
      <c r="N531" s="2" t="n"/>
      <c r="O531" s="3" t="inlineStr">
        <is>
          <t>https://vanillabonds.com/dossier-data/pdf/katjes/katjes-2024-annual-report.pdf#page=32</t>
        </is>
      </c>
      <c r="P531" s="3" t="inlineStr">
        <is>
          <t>https://vanillabonds.com/dossier.html?c=katjes&amp;viewer=1&amp;item=F530</t>
        </is>
      </c>
      <c r="Q531" s="2" t="inlineStr"/>
    </row>
    <row r="532">
      <c r="A532" s="2" t="inlineStr">
        <is>
          <t>F531</t>
        </is>
      </c>
      <c r="B532" s="2" t="inlineStr">
        <is>
          <t>market</t>
        </is>
      </c>
      <c r="C532" s="2" t="inlineStr">
        <is>
          <t>permit</t>
        </is>
      </c>
      <c r="D532" s="3" t="inlineStr">
        <is>
          <t>Certification, licence, permit or patent: item; issuer; expiry; register</t>
        </is>
      </c>
      <c r="E532" s="2" t="n"/>
      <c r="F532" s="2" t="n"/>
      <c r="G532" s="2" t="n"/>
      <c r="H532" s="3" t="inlineStr">
        <is>
          <t>item: BRC (British Retail Consortium) food-production standard certification; issuer: BRC; expiry: not stated</t>
        </is>
      </c>
      <c r="I532" s="2" t="inlineStr">
        <is>
          <t>S2</t>
        </is>
      </c>
      <c r="J532" s="2" t="n">
        <v>32</v>
      </c>
      <c r="K532" s="3" t="inlineStr">
        <is>
          <t>are certified, among others, in accordance with the International Featured Standards (IFS) or the British Retail Consortium (BRC) standards for food production.</t>
        </is>
      </c>
      <c r="L532" s="2" t="inlineStr">
        <is>
          <t>ok</t>
        </is>
      </c>
      <c r="M532" s="2" t="inlineStr">
        <is>
          <t>demo reviewer</t>
        </is>
      </c>
      <c r="N532" s="2" t="n"/>
      <c r="O532" s="3" t="inlineStr">
        <is>
          <t>https://vanillabonds.com/dossier-data/pdf/katjes/katjes-2024-annual-report.pdf#page=32</t>
        </is>
      </c>
      <c r="P532" s="3" t="inlineStr">
        <is>
          <t>https://vanillabonds.com/dossier.html?c=katjes&amp;viewer=1&amp;item=F531</t>
        </is>
      </c>
      <c r="Q532" s="2" t="inlineStr"/>
    </row>
    <row r="533">
      <c r="A533" s="2" t="inlineStr">
        <is>
          <t>F532</t>
        </is>
      </c>
      <c r="B533" s="2" t="inlineStr">
        <is>
          <t>financials</t>
        </is>
      </c>
      <c r="C533" s="2" t="inlineStr">
        <is>
          <t>one_off</t>
        </is>
      </c>
      <c r="D533" s="3" t="inlineStr">
        <is>
          <t>One-off item: item; amount; recurrence (years in which it recurred)</t>
        </is>
      </c>
      <c r="E533" s="2" t="inlineStr">
        <is>
          <t>FY2023</t>
        </is>
      </c>
      <c r="F533" s="2" t="n">
        <v>2.4</v>
      </c>
      <c r="G533" s="2" t="n"/>
      <c r="H533" s="3" t="inlineStr">
        <is>
          <t>item: government relief payments under the Electricity Price Reduction Act (StromPBG) recognised as reduction of cost of sales; amount: 2.4; recurrence: none in 2024</t>
        </is>
      </c>
      <c r="I533" s="2" t="inlineStr">
        <is>
          <t>S2</t>
        </is>
      </c>
      <c r="J533" s="2" t="n">
        <v>51</v>
      </c>
      <c r="K533" s="3" t="inlineStr">
        <is>
          <t>cost of sales in connection with the Electricity Price Reduction Act (Strompreisbremsegesetz – StromPBG).</t>
        </is>
      </c>
      <c r="L533" s="2" t="inlineStr">
        <is>
          <t>ok</t>
        </is>
      </c>
      <c r="M533" s="2" t="inlineStr">
        <is>
          <t>demo reviewer</t>
        </is>
      </c>
      <c r="N533" s="2" t="n"/>
      <c r="O533" s="3" t="inlineStr">
        <is>
          <t>https://vanillabonds.com/dossier-data/pdf/katjes/katjes-2024-annual-report.pdf#page=51</t>
        </is>
      </c>
      <c r="P533" s="3" t="inlineStr">
        <is>
          <t>https://vanillabonds.com/dossier.html?c=katjes&amp;viewer=1&amp;item=F532</t>
        </is>
      </c>
      <c r="Q533" s="2" t="inlineStr"/>
    </row>
    <row r="534">
      <c r="A534" s="2" t="inlineStr">
        <is>
          <t>F533</t>
        </is>
      </c>
      <c r="B534" s="2" t="inlineStr">
        <is>
          <t>financials</t>
        </is>
      </c>
      <c r="C534" s="2" t="inlineStr">
        <is>
          <t>one_off</t>
        </is>
      </c>
      <c r="D534" s="3" t="inlineStr">
        <is>
          <t>One-off item: item; amount; recurrence (years in which it recurred)</t>
        </is>
      </c>
      <c r="E534" s="2" t="inlineStr">
        <is>
          <t>FY2023</t>
        </is>
      </c>
      <c r="F534" s="2" t="n">
        <v>7.7</v>
      </c>
      <c r="G534" s="2" t="n"/>
      <c r="H534" s="3" t="inlineStr">
        <is>
          <t>item: other income from related parties; amount: 7.7; recurrence: none in 2024 (0.0)</t>
        </is>
      </c>
      <c r="I534" s="2" t="inlineStr">
        <is>
          <t>S2</t>
        </is>
      </c>
      <c r="J534" s="2" t="n">
        <v>80</v>
      </c>
      <c r="K534" s="2" t="inlineStr">
        <is>
          <t>Other income 0.0 7.7</t>
        </is>
      </c>
      <c r="L534" s="2" t="inlineStr">
        <is>
          <t>ok</t>
        </is>
      </c>
      <c r="M534" s="2" t="inlineStr">
        <is>
          <t>demo reviewer</t>
        </is>
      </c>
      <c r="N534" s="2" t="n"/>
      <c r="O534" s="3" t="inlineStr">
        <is>
          <t>https://vanillabonds.com/dossier-data/pdf/katjes/katjes-2024-annual-report.pdf#page=80</t>
        </is>
      </c>
      <c r="P534" s="3" t="inlineStr">
        <is>
          <t>https://vanillabonds.com/dossier.html?c=katjes&amp;viewer=1&amp;item=F533</t>
        </is>
      </c>
      <c r="Q534" s="2" t="inlineStr"/>
    </row>
    <row r="535">
      <c r="A535" s="2" t="inlineStr">
        <is>
          <t>F534</t>
        </is>
      </c>
      <c r="B535" s="2" t="inlineStr">
        <is>
          <t>financials</t>
        </is>
      </c>
      <c r="C535" s="2" t="inlineStr">
        <is>
          <t>one_off</t>
        </is>
      </c>
      <c r="D535" s="3" t="inlineStr">
        <is>
          <t>One-off item: item; amount; recurrence (years in which it recurred)</t>
        </is>
      </c>
      <c r="E535" s="2" t="inlineStr">
        <is>
          <t>FY2024</t>
        </is>
      </c>
      <c r="F535" s="2" t="n">
        <v>-6.9</v>
      </c>
      <c r="G535" s="2" t="n"/>
      <c r="H535" s="3" t="inlineStr">
        <is>
          <t>item: non-recurring deferred tax expense from the corporate income tax option; amount: -6.9; recurrence: none (2023: 0.0)</t>
        </is>
      </c>
      <c r="I535" s="2" t="inlineStr">
        <is>
          <t>S2</t>
        </is>
      </c>
      <c r="J535" s="2" t="n">
        <v>40</v>
      </c>
      <c r="K535" s="3" t="inlineStr">
        <is>
          <t>Thereof non-recurring due to the exercise of the corporate income tax option: EUR -6.9 million (previous year: EUR 0.0 million)</t>
        </is>
      </c>
      <c r="L535" s="2" t="inlineStr">
        <is>
          <t>ok</t>
        </is>
      </c>
      <c r="M535" s="2" t="inlineStr">
        <is>
          <t>demo reviewer</t>
        </is>
      </c>
      <c r="N535" s="2" t="n"/>
      <c r="O535" s="3" t="inlineStr">
        <is>
          <t>https://vanillabonds.com/dossier-data/pdf/katjes/katjes-2024-annual-report.pdf#page=40</t>
        </is>
      </c>
      <c r="P535" s="3" t="inlineStr">
        <is>
          <t>https://vanillabonds.com/dossier.html?c=katjes&amp;viewer=1&amp;item=F534</t>
        </is>
      </c>
      <c r="Q535" s="2" t="inlineStr"/>
    </row>
    <row r="536">
      <c r="A536" s="2" t="inlineStr">
        <is>
          <t>F535</t>
        </is>
      </c>
      <c r="B536" s="2" t="inlineStr">
        <is>
          <t>financials</t>
        </is>
      </c>
      <c r="C536" s="2" t="inlineStr">
        <is>
          <t>one_off</t>
        </is>
      </c>
      <c r="D536" s="3" t="inlineStr">
        <is>
          <t>One-off item: item; amount; recurrence (years in which it recurred)</t>
        </is>
      </c>
      <c r="E536" s="2" t="inlineStr">
        <is>
          <t>FY2024</t>
        </is>
      </c>
      <c r="F536" s="2" t="n"/>
      <c r="G536" s="2" t="n"/>
      <c r="H536" s="3" t="inlineStr">
        <is>
          <t>item: income from a legal case decided in the Group’s favour, within other operating income (total other operating result 6.7, 2023: 8.0); amount: not stated separately; recurrence: none stated</t>
        </is>
      </c>
      <c r="I536" s="2" t="inlineStr">
        <is>
          <t>S2</t>
        </is>
      </c>
      <c r="J536" s="2" t="n">
        <v>75</v>
      </c>
      <c r="K536" s="3" t="inlineStr">
        <is>
          <t>it also includes income from a legal case that was decided in the Group’s favor.</t>
        </is>
      </c>
      <c r="L536" s="2" t="inlineStr">
        <is>
          <t>ok</t>
        </is>
      </c>
      <c r="M536" s="2" t="inlineStr">
        <is>
          <t>demo reviewer</t>
        </is>
      </c>
      <c r="N536" s="2" t="n"/>
      <c r="O536" s="3" t="inlineStr">
        <is>
          <t>https://vanillabonds.com/dossier-data/pdf/katjes/katjes-2024-annual-report.pdf#page=75</t>
        </is>
      </c>
      <c r="P536" s="3" t="inlineStr">
        <is>
          <t>https://vanillabonds.com/dossier.html?c=katjes&amp;viewer=1&amp;item=F535</t>
        </is>
      </c>
      <c r="Q536" s="2" t="inlineStr"/>
    </row>
    <row r="537">
      <c r="A537" s="2" t="inlineStr">
        <is>
          <t>F536</t>
        </is>
      </c>
      <c r="B537" s="2" t="inlineStr">
        <is>
          <t>financials</t>
        </is>
      </c>
      <c r="C537" s="2" t="inlineStr">
        <is>
          <t>one_off</t>
        </is>
      </c>
      <c r="D537" s="3" t="inlineStr">
        <is>
          <t>One-off item: item; amount; recurrence (years in which it recurred)</t>
        </is>
      </c>
      <c r="E537" s="2" t="inlineStr">
        <is>
          <t>FY2024</t>
        </is>
      </c>
      <c r="F537" s="2" t="n">
        <v>1.6</v>
      </c>
      <c r="G537" s="2" t="n"/>
      <c r="H537" s="3" t="inlineStr">
        <is>
          <t>item: income from the reversal of provisions; amount: 1.6; recurrence: 2023 (0.5)</t>
        </is>
      </c>
      <c r="I537" s="2" t="inlineStr">
        <is>
          <t>S2</t>
        </is>
      </c>
      <c r="J537" s="2" t="n">
        <v>75</v>
      </c>
      <c r="K537" s="3" t="inlineStr">
        <is>
          <t>Income from the reversal of provisi- ons 1.6 0.5</t>
        </is>
      </c>
      <c r="L537" s="2" t="inlineStr">
        <is>
          <t>ok</t>
        </is>
      </c>
      <c r="M537" s="2" t="inlineStr">
        <is>
          <t>demo reviewer</t>
        </is>
      </c>
      <c r="N537" s="2" t="n"/>
      <c r="O537" s="3" t="inlineStr">
        <is>
          <t>https://vanillabonds.com/dossier-data/pdf/katjes/katjes-2024-annual-report.pdf#page=75</t>
        </is>
      </c>
      <c r="P537" s="3" t="inlineStr">
        <is>
          <t>https://vanillabonds.com/dossier.html?c=katjes&amp;viewer=1&amp;item=F536</t>
        </is>
      </c>
      <c r="Q537" s="2" t="inlineStr"/>
    </row>
    <row r="538">
      <c r="A538" s="2" t="inlineStr">
        <is>
          <t>F537</t>
        </is>
      </c>
      <c r="B538" s="2" t="inlineStr">
        <is>
          <t>financials</t>
        </is>
      </c>
      <c r="C538" s="2" t="inlineStr">
        <is>
          <t>one_off</t>
        </is>
      </c>
      <c r="D538" s="3" t="inlineStr">
        <is>
          <t>One-off item: item; amount; recurrence (years in which it recurred)</t>
        </is>
      </c>
      <c r="E538" s="2" t="inlineStr">
        <is>
          <t>FY2024</t>
        </is>
      </c>
      <c r="F538" s="2" t="n">
        <v>0.8</v>
      </c>
      <c r="G538" s="2" t="n"/>
      <c r="H538" s="3" t="inlineStr">
        <is>
          <t>item: severance payments; amount: 0.8; recurrence: 2023 (0.2)</t>
        </is>
      </c>
      <c r="I538" s="2" t="inlineStr">
        <is>
          <t>S2</t>
        </is>
      </c>
      <c r="J538" s="2" t="n">
        <v>75</v>
      </c>
      <c r="K538" s="3" t="inlineStr">
        <is>
          <t>In the financial year 2024, total expenses for severance pay- ments amounted to EUR 0.8 million (2023: EUR 0.2 million).</t>
        </is>
      </c>
      <c r="L538" s="2" t="inlineStr">
        <is>
          <t>ok</t>
        </is>
      </c>
      <c r="M538" s="2" t="inlineStr">
        <is>
          <t>demo reviewer</t>
        </is>
      </c>
      <c r="N538" s="2" t="n"/>
      <c r="O538" s="3" t="inlineStr">
        <is>
          <t>https://vanillabonds.com/dossier-data/pdf/katjes/katjes-2024-annual-report.pdf#page=75</t>
        </is>
      </c>
      <c r="P538" s="3" t="inlineStr">
        <is>
          <t>https://vanillabonds.com/dossier.html?c=katjes&amp;viewer=1&amp;item=F537</t>
        </is>
      </c>
      <c r="Q538" s="2" t="inlineStr"/>
    </row>
    <row r="539">
      <c r="A539" s="2" t="inlineStr">
        <is>
          <t>F538</t>
        </is>
      </c>
      <c r="B539" s="2" t="inlineStr">
        <is>
          <t>financials</t>
        </is>
      </c>
      <c r="C539" s="2" t="inlineStr">
        <is>
          <t>offbalance_item</t>
        </is>
      </c>
      <c r="D539" s="3" t="inlineStr">
        <is>
          <t>Off-balance item: kind (lease, factoring, guarantee given, pension deficit, earn-out, litigation provision); amount; counterparty</t>
        </is>
      </c>
      <c r="E539" s="2" t="inlineStr">
        <is>
          <t>FY2023</t>
        </is>
      </c>
      <c r="F539" s="2" t="n">
        <v>9.6</v>
      </c>
      <c r="G539" s="2" t="n"/>
      <c r="H539" s="3" t="inlineStr">
        <is>
          <t>kind: pension deficit (provisions for pensions and similar obligations); amount: 9.6; counterparty: employees</t>
        </is>
      </c>
      <c r="I539" s="2" t="inlineStr">
        <is>
          <t>S2</t>
        </is>
      </c>
      <c r="J539" s="2" t="n">
        <v>43</v>
      </c>
      <c r="K539" s="3" t="inlineStr">
        <is>
          <t>Provisions for pensions and similar obligations 6.12 8.9 9.6</t>
        </is>
      </c>
      <c r="L539" s="2" t="inlineStr">
        <is>
          <t>ok</t>
        </is>
      </c>
      <c r="M539" s="2" t="inlineStr">
        <is>
          <t>demo reviewer</t>
        </is>
      </c>
      <c r="N539" s="2" t="n"/>
      <c r="O539" s="3" t="inlineStr">
        <is>
          <t>https://vanillabonds.com/dossier-data/pdf/katjes/katjes-2024-annual-report.pdf#page=43</t>
        </is>
      </c>
      <c r="P539" s="3" t="inlineStr">
        <is>
          <t>https://vanillabonds.com/dossier.html?c=katjes&amp;viewer=1&amp;item=F538</t>
        </is>
      </c>
      <c r="Q539" s="2" t="inlineStr"/>
    </row>
    <row r="540">
      <c r="A540" s="2" t="inlineStr">
        <is>
          <t>F539</t>
        </is>
      </c>
      <c r="B540" s="2" t="inlineStr">
        <is>
          <t>financials</t>
        </is>
      </c>
      <c r="C540" s="2" t="inlineStr">
        <is>
          <t>offbalance_item</t>
        </is>
      </c>
      <c r="D540" s="3" t="inlineStr">
        <is>
          <t>Off-balance item: kind (lease, factoring, guarantee given, pension deficit, earn-out, litigation provision); amount; counterparty</t>
        </is>
      </c>
      <c r="E540" s="2" t="inlineStr">
        <is>
          <t>FY2024</t>
        </is>
      </c>
      <c r="F540" s="2" t="n">
        <v>8.9</v>
      </c>
      <c r="G540" s="2" t="n"/>
      <c r="H540" s="3" t="inlineStr">
        <is>
          <t>kind: pension deficit (provisions for pensions and similar obligations, defined benefit plans in Germany and Italy); amount: 8.9; counterparty: employees (DBO funded 7.1 less plan assets 6.4 = 0.7, unfunded provision 8.2)</t>
        </is>
      </c>
      <c r="I540" s="2" t="inlineStr">
        <is>
          <t>S2</t>
        </is>
      </c>
      <c r="J540" s="2" t="n">
        <v>43</v>
      </c>
      <c r="K540" s="3" t="inlineStr">
        <is>
          <t>Provisions for pensions and similar obligations 6.12 8.9 9.6</t>
        </is>
      </c>
      <c r="L540" s="2" t="inlineStr">
        <is>
          <t>ok</t>
        </is>
      </c>
      <c r="M540" s="2" t="inlineStr">
        <is>
          <t>demo reviewer</t>
        </is>
      </c>
      <c r="N540" s="2" t="n"/>
      <c r="O540" s="3" t="inlineStr">
        <is>
          <t>https://vanillabonds.com/dossier-data/pdf/katjes/katjes-2024-annual-report.pdf#page=43</t>
        </is>
      </c>
      <c r="P540" s="3" t="inlineStr">
        <is>
          <t>https://vanillabonds.com/dossier.html?c=katjes&amp;viewer=1&amp;item=F539</t>
        </is>
      </c>
      <c r="Q540" s="2" t="inlineStr"/>
    </row>
    <row r="541">
      <c r="A541" s="2" t="inlineStr">
        <is>
          <t>F540</t>
        </is>
      </c>
      <c r="B541" s="2" t="inlineStr">
        <is>
          <t>financials</t>
        </is>
      </c>
      <c r="C541" s="2" t="inlineStr">
        <is>
          <t>offbalance_item</t>
        </is>
      </c>
      <c r="D541" s="3" t="inlineStr">
        <is>
          <t>Off-balance item: kind (lease, factoring, guarantee given, pension deficit, earn-out, litigation provision); amount; counterparty</t>
        </is>
      </c>
      <c r="E541" s="2" t="inlineStr">
        <is>
          <t>FY2024</t>
        </is>
      </c>
      <c r="F541" s="2" t="n"/>
      <c r="G541" s="2" t="n"/>
      <c r="H541" s="3" t="inlineStr">
        <is>
          <t>kind: factoring; amount: not stated in EUR (96% of Piasten’s and about 43% of Sperlari’s trade receivables sold and derecognised under IFRS 9.3.2.3); counterparty: factoring companies</t>
        </is>
      </c>
      <c r="I541" s="2" t="inlineStr">
        <is>
          <t>S2</t>
        </is>
      </c>
      <c r="J541" s="2" t="n">
        <v>66</v>
      </c>
      <c r="K541" s="3" t="inlineStr">
        <is>
          <t>In the reporting year, 96% of Piasten’s trade receivables and ap- proximately 43% of Sperlari’s trade receivables were sold to factoring companies.</t>
        </is>
      </c>
      <c r="L541" s="2" t="inlineStr">
        <is>
          <t>ok</t>
        </is>
      </c>
      <c r="M541" s="2" t="inlineStr">
        <is>
          <t>demo reviewer</t>
        </is>
      </c>
      <c r="N541" s="2" t="n"/>
      <c r="O541" s="3" t="inlineStr">
        <is>
          <t>https://vanillabonds.com/dossier-data/pdf/katjes/katjes-2024-annual-report.pdf#page=66</t>
        </is>
      </c>
      <c r="P541" s="3" t="inlineStr">
        <is>
          <t>https://vanillabonds.com/dossier.html?c=katjes&amp;viewer=1&amp;item=F540</t>
        </is>
      </c>
      <c r="Q541" s="2" t="inlineStr"/>
    </row>
    <row r="542">
      <c r="A542" s="2" t="inlineStr">
        <is>
          <t>F541</t>
        </is>
      </c>
      <c r="B542" s="2" t="inlineStr">
        <is>
          <t>financials</t>
        </is>
      </c>
      <c r="C542" s="2" t="inlineStr">
        <is>
          <t>audit_adjustment</t>
        </is>
      </c>
      <c r="D542" s="3" t="inlineStr">
        <is>
          <t>Audit facts: adjustments (number); management_letter_points (number); restatements; key_audit_matters</t>
        </is>
      </c>
      <c r="E542" s="2" t="inlineStr">
        <is>
          <t>FY2023</t>
        </is>
      </c>
      <c r="F542" s="2" t="n"/>
      <c r="G542" s="2" t="n"/>
      <c r="H542" s="3" t="inlineStr">
        <is>
          <t>restatements: prior-year figures (1 Jan 2023 / 31 Dec 2022) in the 2023 fixed-asset schedule adjusted retrospectively for the purchase price allocation finalised in 2023 (equity effect +0.3); key_audit_matters: none presented in the auditor's report</t>
        </is>
      </c>
      <c r="I542" s="2" t="inlineStr">
        <is>
          <t>S2</t>
        </is>
      </c>
      <c r="J542" s="2" t="n">
        <v>85</v>
      </c>
      <c r="K542" s="3" t="inlineStr">
        <is>
          <t>(1) The previous year's figures have been adjusted due to the retrospective effects of the purchase price allocation finalised in the reporting year.</t>
        </is>
      </c>
      <c r="L542" s="2" t="inlineStr">
        <is>
          <t>ok</t>
        </is>
      </c>
      <c r="M542" s="2" t="inlineStr">
        <is>
          <t>demo reviewer</t>
        </is>
      </c>
      <c r="N542" s="2" t="n"/>
      <c r="O542" s="3" t="inlineStr">
        <is>
          <t>https://vanillabonds.com/dossier-data/pdf/katjes/katjes-2024-annual-report.pdf#page=85</t>
        </is>
      </c>
      <c r="P542" s="3" t="inlineStr">
        <is>
          <t>https://vanillabonds.com/dossier.html?c=katjes&amp;viewer=1&amp;item=F541</t>
        </is>
      </c>
      <c r="Q542" s="2" t="inlineStr">
        <is>
          <t>yes</t>
        </is>
      </c>
    </row>
    <row r="543">
      <c r="A543" s="2" t="inlineStr">
        <is>
          <t>F542</t>
        </is>
      </c>
      <c r="B543" s="2" t="inlineStr">
        <is>
          <t>financials</t>
        </is>
      </c>
      <c r="C543" s="2" t="inlineStr">
        <is>
          <t>filing_days</t>
        </is>
      </c>
      <c r="D543" s="3" t="inlineStr">
        <is>
          <t>Days from year end to filing of the accounts</t>
        </is>
      </c>
      <c r="E543" s="2" t="inlineStr">
        <is>
          <t>FY2024</t>
        </is>
      </c>
      <c r="F543" s="2" t="n">
        <v>99</v>
      </c>
      <c r="G543" s="2" t="n"/>
      <c r="H543" s="3" t="inlineStr">
        <is>
          <t>Auditor's report dated 9 April 2025, 99 days after the 31 Dec 2024 year end; management authorised the statements for issue on the same day.</t>
        </is>
      </c>
      <c r="I543" s="2" t="inlineStr">
        <is>
          <t>S2</t>
        </is>
      </c>
      <c r="J543" s="2" t="n">
        <v>90</v>
      </c>
      <c r="K543" s="2" t="inlineStr">
        <is>
          <t>Dusseldorf, 9th April 2025</t>
        </is>
      </c>
      <c r="L543" s="2" t="inlineStr">
        <is>
          <t>ok</t>
        </is>
      </c>
      <c r="M543" s="2" t="inlineStr">
        <is>
          <t>demo reviewer</t>
        </is>
      </c>
      <c r="N543" s="2" t="n"/>
      <c r="O543" s="3" t="inlineStr">
        <is>
          <t>https://vanillabonds.com/dossier-data/pdf/katjes/katjes-2024-annual-report.pdf#page=90</t>
        </is>
      </c>
      <c r="P543" s="3" t="inlineStr">
        <is>
          <t>https://vanillabonds.com/dossier.html?c=katjes&amp;viewer=1&amp;item=F542</t>
        </is>
      </c>
      <c r="Q543" s="2" t="inlineStr"/>
    </row>
    <row r="544">
      <c r="A544" s="2" t="inlineStr">
        <is>
          <t>F543</t>
        </is>
      </c>
      <c r="B544" s="2" t="inlineStr">
        <is>
          <t>financials</t>
        </is>
      </c>
      <c r="C544" s="2" t="inlineStr">
        <is>
          <t>tax_item</t>
        </is>
      </c>
      <c r="D544" s="3" t="inlineStr">
        <is>
          <t>Tax item: position, open assessment, dispute, ruling, payment-behaviour statement</t>
        </is>
      </c>
      <c r="E544" s="2" t="n"/>
      <c r="F544" s="2" t="n">
        <v>-6.9</v>
      </c>
      <c r="G544" s="2" t="n"/>
      <c r="H544" s="3" t="inlineStr">
        <is>
          <t>Exercise of the corporate income tax option effective 2025 caused a one-time deferred tax expense of EUR -6.9m in 2024 from remeasuring deferred taxes at the future corporate tax rate (IAS 12.47).</t>
        </is>
      </c>
      <c r="I544" s="2" t="inlineStr">
        <is>
          <t>S2</t>
        </is>
      </c>
      <c r="J544" s="2" t="n">
        <v>40</v>
      </c>
      <c r="K544" s="3" t="inlineStr">
        <is>
          <t>Thereof non-recurring due to the exercise of the corporate income tax option: EUR -6.9 million (previous year: EUR 0.0 million)</t>
        </is>
      </c>
      <c r="L544" s="2" t="inlineStr">
        <is>
          <t>ok</t>
        </is>
      </c>
      <c r="M544" s="2" t="inlineStr">
        <is>
          <t>demo reviewer</t>
        </is>
      </c>
      <c r="N544" s="2" t="n"/>
      <c r="O544" s="3" t="inlineStr">
        <is>
          <t>https://vanillabonds.com/dossier-data/pdf/katjes/katjes-2024-annual-report.pdf#page=40</t>
        </is>
      </c>
      <c r="P544" s="3" t="inlineStr">
        <is>
          <t>https://vanillabonds.com/dossier.html?c=katjes&amp;viewer=1&amp;item=F543</t>
        </is>
      </c>
      <c r="Q544" s="2" t="inlineStr"/>
    </row>
    <row r="545">
      <c r="A545" s="2" t="inlineStr">
        <is>
          <t>F544</t>
        </is>
      </c>
      <c r="B545" s="2" t="inlineStr">
        <is>
          <t>financials</t>
        </is>
      </c>
      <c r="C545" s="2" t="inlineStr">
        <is>
          <t>tax_item</t>
        </is>
      </c>
      <c r="D545" s="3" t="inlineStr">
        <is>
          <t>Tax item: position, open assessment, dispute, ruling, payment-behaviour statement</t>
        </is>
      </c>
      <c r="E545" s="2" t="n"/>
      <c r="F545" s="2" t="n">
        <v>31.1</v>
      </c>
      <c r="G545" s="2" t="n"/>
      <c r="H545" s="3" t="inlineStr">
        <is>
          <t>Deferred tax liabilities EUR 31.1m at 31 Dec 2024 (2023: 24.0), deferred tax assets 3.5 (3.6); net deferred tax position -27.5 (2023: -20.4).</t>
        </is>
      </c>
      <c r="I545" s="2" t="inlineStr">
        <is>
          <t>S2</t>
        </is>
      </c>
      <c r="J545" s="2" t="n">
        <v>43</v>
      </c>
      <c r="K545" s="2" t="inlineStr">
        <is>
          <t>Deferred tax liabilities 6.11 31.1 24.0</t>
        </is>
      </c>
      <c r="L545" s="2" t="inlineStr">
        <is>
          <t>ok</t>
        </is>
      </c>
      <c r="M545" s="2" t="inlineStr">
        <is>
          <t>demo reviewer</t>
        </is>
      </c>
      <c r="N545" s="2" t="n"/>
      <c r="O545" s="3" t="inlineStr">
        <is>
          <t>https://vanillabonds.com/dossier-data/pdf/katjes/katjes-2024-annual-report.pdf#page=43</t>
        </is>
      </c>
      <c r="P545" s="3" t="inlineStr">
        <is>
          <t>https://vanillabonds.com/dossier.html?c=katjes&amp;viewer=1&amp;item=F544</t>
        </is>
      </c>
      <c r="Q545" s="2" t="inlineStr"/>
    </row>
    <row r="546">
      <c r="A546" s="2" t="inlineStr">
        <is>
          <t>F545</t>
        </is>
      </c>
      <c r="B546" s="2" t="inlineStr">
        <is>
          <t>financials</t>
        </is>
      </c>
      <c r="C546" s="2" t="inlineStr">
        <is>
          <t>tax_item</t>
        </is>
      </c>
      <c r="D546" s="3" t="inlineStr">
        <is>
          <t>Tax item: position, open assessment, dispute, ruling, payment-behaviour statement</t>
        </is>
      </c>
      <c r="E546" s="2" t="n"/>
      <c r="F546" s="2" t="n"/>
      <c r="G546" s="2" t="n"/>
      <c r="H546" s="3" t="inlineStr">
        <is>
          <t>OECD Pillar II global minimum tax rules did not apply in 2024 because revenue thresholds were not exceeded.</t>
        </is>
      </c>
      <c r="I546" s="2" t="inlineStr">
        <is>
          <t>S2</t>
        </is>
      </c>
      <c r="J546" s="2" t="n">
        <v>53</v>
      </c>
      <c r="K546" s="3" t="inlineStr">
        <is>
          <t>The provisions regarding global minimum taxation pursuant to the OECD BEPS Pillar II (GloBE Rules) did not apply</t>
        </is>
      </c>
      <c r="L546" s="2" t="inlineStr">
        <is>
          <t>ok</t>
        </is>
      </c>
      <c r="M546" s="2" t="inlineStr">
        <is>
          <t>demo reviewer</t>
        </is>
      </c>
      <c r="N546" s="2" t="n"/>
      <c r="O546" s="3" t="inlineStr">
        <is>
          <t>https://vanillabonds.com/dossier-data/pdf/katjes/katjes-2024-annual-report.pdf#page=53</t>
        </is>
      </c>
      <c r="P546" s="3" t="inlineStr">
        <is>
          <t>https://vanillabonds.com/dossier.html?c=katjes&amp;viewer=1&amp;item=F545</t>
        </is>
      </c>
      <c r="Q546" s="2" t="inlineStr"/>
    </row>
    <row r="547">
      <c r="A547" s="2" t="inlineStr">
        <is>
          <t>F546</t>
        </is>
      </c>
      <c r="B547" s="2" t="inlineStr">
        <is>
          <t>financials</t>
        </is>
      </c>
      <c r="C547" s="2" t="inlineStr">
        <is>
          <t>tax_item</t>
        </is>
      </c>
      <c r="D547" s="3" t="inlineStr">
        <is>
          <t>Tax item: position, open assessment, dispute, ruling, payment-behaviour statement</t>
        </is>
      </c>
      <c r="E547" s="2" t="n"/>
      <c r="F547" s="2" t="n">
        <v>34</v>
      </c>
      <c r="G547" s="2" t="n"/>
      <c r="H547" s="3" t="inlineStr">
        <is>
          <t>No deferred tax assets recognised for corporate income tax loss carryforwards of EUR 34.0m (2023: 35.8), trade tax loss carryforwards 7.5 (6.8) and other 9.3 (8.1); Dutch losses of 0.8 expire within one to two years.</t>
        </is>
      </c>
      <c r="I547" s="2" t="inlineStr">
        <is>
          <t>S2</t>
        </is>
      </c>
      <c r="J547" s="2" t="n">
        <v>70</v>
      </c>
      <c r="K547" s="3" t="inlineStr">
        <is>
          <t>No deferred tax assets were recognized for corporate income tax loss carryforwards amounting to EUR 34.0 million (2023: EUR 35.8 million) or for trade tax loss carryforwards of EUR 7.5 million</t>
        </is>
      </c>
      <c r="L547" s="2" t="inlineStr">
        <is>
          <t>ok</t>
        </is>
      </c>
      <c r="M547" s="2" t="inlineStr">
        <is>
          <t>demo reviewer</t>
        </is>
      </c>
      <c r="N547" s="2" t="n"/>
      <c r="O547" s="3" t="inlineStr">
        <is>
          <t>https://vanillabonds.com/dossier-data/pdf/katjes/katjes-2024-annual-report.pdf#page=70</t>
        </is>
      </c>
      <c r="P547" s="3" t="inlineStr">
        <is>
          <t>https://vanillabonds.com/dossier.html?c=katjes&amp;viewer=1&amp;item=F546</t>
        </is>
      </c>
      <c r="Q547" s="2" t="inlineStr"/>
    </row>
    <row r="548">
      <c r="A548" s="2" t="inlineStr">
        <is>
          <t>F547</t>
        </is>
      </c>
      <c r="B548" s="2" t="inlineStr">
        <is>
          <t>financials</t>
        </is>
      </c>
      <c r="C548" s="2" t="inlineStr">
        <is>
          <t>tax_item</t>
        </is>
      </c>
      <c r="D548" s="3" t="inlineStr">
        <is>
          <t>Tax item: position, open assessment, dispute, ruling, payment-behaviour statement</t>
        </is>
      </c>
      <c r="E548" s="2" t="n"/>
      <c r="F548" s="2" t="n">
        <v>10.2</v>
      </c>
      <c r="G548" s="2" t="n"/>
      <c r="H548" s="3" t="inlineStr">
        <is>
          <t>Income tax expense 2024 EUR 10.2m: current 3.3 (Germany 2.7, other 0.6), deferred 6.9 (2023: 0.9 = current 4.4, deferred -3.5); expected tax rate 12.9% (2023: 12.4%), the average rate of the German parent.</t>
        </is>
      </c>
      <c r="I548" s="2" t="inlineStr">
        <is>
          <t>S2</t>
        </is>
      </c>
      <c r="J548" s="2" t="n">
        <v>76</v>
      </c>
      <c r="K548" s="3" t="inlineStr">
        <is>
          <t>The expected tax rate of 12.9% (2023: 12.4%) corresponds to the average tax rate of the German parent company.</t>
        </is>
      </c>
      <c r="L548" s="2" t="inlineStr">
        <is>
          <t>ok</t>
        </is>
      </c>
      <c r="M548" s="2" t="inlineStr">
        <is>
          <t>demo reviewer</t>
        </is>
      </c>
      <c r="N548" s="2" t="n"/>
      <c r="O548" s="3" t="inlineStr">
        <is>
          <t>https://vanillabonds.com/dossier-data/pdf/katjes/katjes-2024-annual-report.pdf#page=76</t>
        </is>
      </c>
      <c r="P548" s="3" t="inlineStr">
        <is>
          <t>https://vanillabonds.com/dossier.html?c=katjes&amp;viewer=1&amp;item=F547</t>
        </is>
      </c>
      <c r="Q548" s="2" t="inlineStr"/>
    </row>
    <row r="549">
      <c r="A549" s="2" t="inlineStr">
        <is>
          <t>F548</t>
        </is>
      </c>
      <c r="B549" s="2" t="inlineStr">
        <is>
          <t>financials</t>
        </is>
      </c>
      <c r="C549" s="2" t="inlineStr">
        <is>
          <t>tax_item</t>
        </is>
      </c>
      <c r="D549" s="3" t="inlineStr">
        <is>
          <t>Tax item: position, open assessment, dispute, ruling, payment-behaviour statement</t>
        </is>
      </c>
      <c r="E549" s="2" t="n"/>
      <c r="F549" s="2" t="n">
        <v>671.1</v>
      </c>
      <c r="G549" s="2" t="n"/>
      <c r="H549" s="3" t="inlineStr">
        <is>
          <t>No deferred taxes recognised on taxable temporary differences of EUR 671.1m (2023: 654.2) relating to investments in subsidiaries, as reversal is not expected.</t>
        </is>
      </c>
      <c r="I549" s="2" t="inlineStr">
        <is>
          <t>S2</t>
        </is>
      </c>
      <c r="J549" s="2" t="n">
        <v>76</v>
      </c>
      <c r="K549" s="3" t="inlineStr">
        <is>
          <t>No deferred taxes were recognized as of December 31, 2024, for taxable temporary differences relating to investments in sub</t>
        </is>
      </c>
      <c r="L549" s="2" t="inlineStr">
        <is>
          <t>ok</t>
        </is>
      </c>
      <c r="M549" s="2" t="inlineStr">
        <is>
          <t>demo reviewer</t>
        </is>
      </c>
      <c r="N549" s="2" t="n"/>
      <c r="O549" s="3" t="inlineStr">
        <is>
          <t>https://vanillabonds.com/dossier-data/pdf/katjes/katjes-2024-annual-report.pdf#page=76</t>
        </is>
      </c>
      <c r="P549" s="3" t="inlineStr">
        <is>
          <t>https://vanillabonds.com/dossier.html?c=katjes&amp;viewer=1&amp;item=F548</t>
        </is>
      </c>
      <c r="Q549" s="2" t="inlineStr"/>
    </row>
    <row r="550">
      <c r="A550" s="2" t="inlineStr">
        <is>
          <t>F549</t>
        </is>
      </c>
      <c r="B550" s="2" t="inlineStr">
        <is>
          <t>financials</t>
        </is>
      </c>
      <c r="C550" s="2" t="inlineStr">
        <is>
          <t>segment</t>
        </is>
      </c>
      <c r="D550" s="3" t="inlineStr">
        <is>
          <t>Segment: segment; revenue; ebitda; assets</t>
        </is>
      </c>
      <c r="E550" s="2" t="inlineStr">
        <is>
          <t>FY2023</t>
        </is>
      </c>
      <c r="F550" s="2" t="n">
        <v>156.2</v>
      </c>
      <c r="G550" s="2" t="n"/>
      <c r="H550" s="3" t="inlineStr">
        <is>
          <t>segment: Confectionery (business line); revenue: 156.2</t>
        </is>
      </c>
      <c r="I550" s="2" t="inlineStr">
        <is>
          <t>S2</t>
        </is>
      </c>
      <c r="J550" s="2" t="n">
        <v>74</v>
      </c>
      <c r="K550" s="2" t="inlineStr">
        <is>
          <t>Confectionery 160.0 156.2</t>
        </is>
      </c>
      <c r="L550" s="2" t="inlineStr">
        <is>
          <t>ok</t>
        </is>
      </c>
      <c r="M550" s="2" t="inlineStr">
        <is>
          <t>demo reviewer</t>
        </is>
      </c>
      <c r="N550" s="2" t="n"/>
      <c r="O550" s="3" t="inlineStr">
        <is>
          <t>https://vanillabonds.com/dossier-data/pdf/katjes/katjes-2024-annual-report.pdf#page=74</t>
        </is>
      </c>
      <c r="P550" s="3" t="inlineStr">
        <is>
          <t>https://vanillabonds.com/dossier.html?c=katjes&amp;viewer=1&amp;item=F549</t>
        </is>
      </c>
      <c r="Q550" s="2" t="inlineStr"/>
    </row>
    <row r="551">
      <c r="A551" s="2" t="inlineStr">
        <is>
          <t>F550</t>
        </is>
      </c>
      <c r="B551" s="2" t="inlineStr">
        <is>
          <t>financials</t>
        </is>
      </c>
      <c r="C551" s="2" t="inlineStr">
        <is>
          <t>segment</t>
        </is>
      </c>
      <c r="D551" s="3" t="inlineStr">
        <is>
          <t>Segment: segment; revenue; ebitda; assets</t>
        </is>
      </c>
      <c r="E551" s="2" t="inlineStr">
        <is>
          <t>FY2023</t>
        </is>
      </c>
      <c r="F551" s="2" t="n">
        <v>87</v>
      </c>
      <c r="G551" s="2" t="n"/>
      <c r="H551" s="3" t="inlineStr">
        <is>
          <t>segment: Body care products (business line); revenue: 87.0</t>
        </is>
      </c>
      <c r="I551" s="2" t="inlineStr">
        <is>
          <t>S2</t>
        </is>
      </c>
      <c r="J551" s="2" t="n">
        <v>74</v>
      </c>
      <c r="K551" s="2" t="inlineStr">
        <is>
          <t>Body care products 90.4 87.0</t>
        </is>
      </c>
      <c r="L551" s="2" t="inlineStr">
        <is>
          <t>ok</t>
        </is>
      </c>
      <c r="M551" s="2" t="inlineStr">
        <is>
          <t>demo reviewer</t>
        </is>
      </c>
      <c r="N551" s="2" t="n"/>
      <c r="O551" s="3" t="inlineStr">
        <is>
          <t>https://vanillabonds.com/dossier-data/pdf/katjes/katjes-2024-annual-report.pdf#page=74</t>
        </is>
      </c>
      <c r="P551" s="3" t="inlineStr">
        <is>
          <t>https://vanillabonds.com/dossier.html?c=katjes&amp;viewer=1&amp;item=F550</t>
        </is>
      </c>
      <c r="Q551" s="2" t="inlineStr"/>
    </row>
    <row r="552">
      <c r="A552" s="2" t="inlineStr">
        <is>
          <t>F551</t>
        </is>
      </c>
      <c r="B552" s="2" t="inlineStr">
        <is>
          <t>financials</t>
        </is>
      </c>
      <c r="C552" s="2" t="inlineStr">
        <is>
          <t>segment</t>
        </is>
      </c>
      <c r="D552" s="3" t="inlineStr">
        <is>
          <t>Segment: segment; revenue; ebitda; assets</t>
        </is>
      </c>
      <c r="E552" s="2" t="inlineStr">
        <is>
          <t>FY2023</t>
        </is>
      </c>
      <c r="F552" s="2" t="n">
        <v>59.4</v>
      </c>
      <c r="G552" s="2" t="n"/>
      <c r="H552" s="3" t="inlineStr">
        <is>
          <t>segment: Chocolate (business line); revenue: 59.4</t>
        </is>
      </c>
      <c r="I552" s="2" t="inlineStr">
        <is>
          <t>S2</t>
        </is>
      </c>
      <c r="J552" s="2" t="n">
        <v>74</v>
      </c>
      <c r="K552" s="2" t="inlineStr">
        <is>
          <t>Chocolate 57.8 59.4</t>
        </is>
      </c>
      <c r="L552" s="2" t="inlineStr">
        <is>
          <t>ok</t>
        </is>
      </c>
      <c r="M552" s="2" t="inlineStr">
        <is>
          <t>demo reviewer</t>
        </is>
      </c>
      <c r="N552" s="2" t="n"/>
      <c r="O552" s="3" t="inlineStr">
        <is>
          <t>https://vanillabonds.com/dossier-data/pdf/katjes/katjes-2024-annual-report.pdf#page=74</t>
        </is>
      </c>
      <c r="P552" s="3" t="inlineStr">
        <is>
          <t>https://vanillabonds.com/dossier.html?c=katjes&amp;viewer=1&amp;item=F551</t>
        </is>
      </c>
      <c r="Q552" s="2" t="inlineStr"/>
    </row>
    <row r="553">
      <c r="A553" s="2" t="inlineStr">
        <is>
          <t>F552</t>
        </is>
      </c>
      <c r="B553" s="2" t="inlineStr">
        <is>
          <t>financials</t>
        </is>
      </c>
      <c r="C553" s="2" t="inlineStr">
        <is>
          <t>segment</t>
        </is>
      </c>
      <c r="D553" s="3" t="inlineStr">
        <is>
          <t>Segment: segment; revenue; ebitda; assets</t>
        </is>
      </c>
      <c r="E553" s="2" t="inlineStr">
        <is>
          <t>FY2023</t>
        </is>
      </c>
      <c r="F553" s="2" t="n">
        <v>46.7</v>
      </c>
      <c r="G553" s="2" t="n"/>
      <c r="H553" s="3" t="inlineStr">
        <is>
          <t>segment: Seasonals (business line); revenue: 46.7</t>
        </is>
      </c>
      <c r="I553" s="2" t="inlineStr">
        <is>
          <t>S2</t>
        </is>
      </c>
      <c r="J553" s="2" t="n">
        <v>74</v>
      </c>
      <c r="K553" s="2" t="inlineStr">
        <is>
          <t>Seasonals 54.7 46.7</t>
        </is>
      </c>
      <c r="L553" s="2" t="inlineStr">
        <is>
          <t>ok</t>
        </is>
      </c>
      <c r="M553" s="2" t="inlineStr">
        <is>
          <t>demo reviewer</t>
        </is>
      </c>
      <c r="N553" s="2" t="n"/>
      <c r="O553" s="3" t="inlineStr">
        <is>
          <t>https://vanillabonds.com/dossier-data/pdf/katjes/katjes-2024-annual-report.pdf#page=74</t>
        </is>
      </c>
      <c r="P553" s="3" t="inlineStr">
        <is>
          <t>https://vanillabonds.com/dossier.html?c=katjes&amp;viewer=1&amp;item=F552</t>
        </is>
      </c>
      <c r="Q553" s="2" t="inlineStr"/>
    </row>
    <row r="554">
      <c r="A554" s="2" t="inlineStr">
        <is>
          <t>F553</t>
        </is>
      </c>
      <c r="B554" s="2" t="inlineStr">
        <is>
          <t>financials</t>
        </is>
      </c>
      <c r="C554" s="2" t="inlineStr">
        <is>
          <t>segment</t>
        </is>
      </c>
      <c r="D554" s="3" t="inlineStr">
        <is>
          <t>Segment: segment; revenue; ebitda; assets</t>
        </is>
      </c>
      <c r="E554" s="2" t="inlineStr">
        <is>
          <t>FY2023</t>
        </is>
      </c>
      <c r="F554" s="2" t="n">
        <v>28.1</v>
      </c>
      <c r="G554" s="2" t="n"/>
      <c r="H554" s="3" t="inlineStr">
        <is>
          <t>segment: Other (business line); revenue: 28.1</t>
        </is>
      </c>
      <c r="I554" s="2" t="inlineStr">
        <is>
          <t>S2</t>
        </is>
      </c>
      <c r="J554" s="2" t="n">
        <v>74</v>
      </c>
      <c r="K554" s="2" t="inlineStr">
        <is>
          <t>Other 29.7 28.1</t>
        </is>
      </c>
      <c r="L554" s="2" t="inlineStr">
        <is>
          <t>ok</t>
        </is>
      </c>
      <c r="M554" s="2" t="inlineStr">
        <is>
          <t>demo reviewer</t>
        </is>
      </c>
      <c r="N554" s="2" t="n"/>
      <c r="O554" s="3" t="inlineStr">
        <is>
          <t>https://vanillabonds.com/dossier-data/pdf/katjes/katjes-2024-annual-report.pdf#page=74</t>
        </is>
      </c>
      <c r="P554" s="3" t="inlineStr">
        <is>
          <t>https://vanillabonds.com/dossier.html?c=katjes&amp;viewer=1&amp;item=F553</t>
        </is>
      </c>
      <c r="Q554" s="2" t="inlineStr"/>
    </row>
    <row r="555">
      <c r="A555" s="2" t="inlineStr">
        <is>
          <t>F554</t>
        </is>
      </c>
      <c r="B555" s="2" t="inlineStr">
        <is>
          <t>financials</t>
        </is>
      </c>
      <c r="C555" s="2" t="inlineStr">
        <is>
          <t>segment</t>
        </is>
      </c>
      <c r="D555" s="3" t="inlineStr">
        <is>
          <t>Segment: segment; revenue; ebitda; assets</t>
        </is>
      </c>
      <c r="E555" s="2" t="inlineStr">
        <is>
          <t>FY2023</t>
        </is>
      </c>
      <c r="F555" s="2" t="n">
        <v>115.5</v>
      </c>
      <c r="G555" s="2" t="n"/>
      <c r="H555" s="2" t="inlineStr">
        <is>
          <t>segment: Italy (region); revenue: 115.5</t>
        </is>
      </c>
      <c r="I555" s="2" t="inlineStr">
        <is>
          <t>S2</t>
        </is>
      </c>
      <c r="J555" s="2" t="n">
        <v>77</v>
      </c>
      <c r="K555" s="2" t="inlineStr">
        <is>
          <t>Italy 122.8 115.5</t>
        </is>
      </c>
      <c r="L555" s="2" t="inlineStr">
        <is>
          <t>ok</t>
        </is>
      </c>
      <c r="M555" s="2" t="inlineStr">
        <is>
          <t>demo reviewer</t>
        </is>
      </c>
      <c r="N555" s="2" t="n"/>
      <c r="O555" s="3" t="inlineStr">
        <is>
          <t>https://vanillabonds.com/dossier-data/pdf/katjes/katjes-2024-annual-report.pdf#page=77</t>
        </is>
      </c>
      <c r="P555" s="3" t="inlineStr">
        <is>
          <t>https://vanillabonds.com/dossier.html?c=katjes&amp;viewer=1&amp;item=F554</t>
        </is>
      </c>
      <c r="Q555" s="2" t="inlineStr"/>
    </row>
    <row r="556">
      <c r="A556" s="2" t="inlineStr">
        <is>
          <t>F555</t>
        </is>
      </c>
      <c r="B556" s="2" t="inlineStr">
        <is>
          <t>financials</t>
        </is>
      </c>
      <c r="C556" s="2" t="inlineStr">
        <is>
          <t>segment</t>
        </is>
      </c>
      <c r="D556" s="3" t="inlineStr">
        <is>
          <t>Segment: segment; revenue; ebitda; assets</t>
        </is>
      </c>
      <c r="E556" s="2" t="inlineStr">
        <is>
          <t>FY2023</t>
        </is>
      </c>
      <c r="F556" s="2" t="n">
        <v>104.4</v>
      </c>
      <c r="G556" s="2" t="n"/>
      <c r="H556" s="3" t="inlineStr">
        <is>
          <t>segment: Germany (region); revenue: 104.4</t>
        </is>
      </c>
      <c r="I556" s="2" t="inlineStr">
        <is>
          <t>S2</t>
        </is>
      </c>
      <c r="J556" s="2" t="n">
        <v>77</v>
      </c>
      <c r="K556" s="2" t="inlineStr">
        <is>
          <t>Germany 106.8 104.4</t>
        </is>
      </c>
      <c r="L556" s="2" t="inlineStr">
        <is>
          <t>ok</t>
        </is>
      </c>
      <c r="M556" s="2" t="inlineStr">
        <is>
          <t>demo reviewer</t>
        </is>
      </c>
      <c r="N556" s="2" t="n"/>
      <c r="O556" s="3" t="inlineStr">
        <is>
          <t>https://vanillabonds.com/dossier-data/pdf/katjes/katjes-2024-annual-report.pdf#page=77</t>
        </is>
      </c>
      <c r="P556" s="3" t="inlineStr">
        <is>
          <t>https://vanillabonds.com/dossier.html?c=katjes&amp;viewer=1&amp;item=F555</t>
        </is>
      </c>
      <c r="Q556" s="2" t="inlineStr"/>
    </row>
    <row r="557">
      <c r="A557" s="2" t="inlineStr">
        <is>
          <t>F556</t>
        </is>
      </c>
      <c r="B557" s="2" t="inlineStr">
        <is>
          <t>financials</t>
        </is>
      </c>
      <c r="C557" s="2" t="inlineStr">
        <is>
          <t>segment</t>
        </is>
      </c>
      <c r="D557" s="3" t="inlineStr">
        <is>
          <t>Segment: segment; revenue; ebitda; assets</t>
        </is>
      </c>
      <c r="E557" s="2" t="inlineStr">
        <is>
          <t>FY2023</t>
        </is>
      </c>
      <c r="F557" s="2" t="n">
        <v>15.1</v>
      </c>
      <c r="G557" s="2" t="n"/>
      <c r="H557" s="2" t="inlineStr">
        <is>
          <t>segment: UK (region); revenue: 15.1</t>
        </is>
      </c>
      <c r="I557" s="2" t="inlineStr">
        <is>
          <t>S2</t>
        </is>
      </c>
      <c r="J557" s="2" t="n">
        <v>77</v>
      </c>
      <c r="K557" s="2" t="inlineStr">
        <is>
          <t>UK 18.7 15.1</t>
        </is>
      </c>
      <c r="L557" s="2" t="inlineStr">
        <is>
          <t>ok</t>
        </is>
      </c>
      <c r="M557" s="2" t="inlineStr">
        <is>
          <t>demo reviewer</t>
        </is>
      </c>
      <c r="N557" s="2" t="n"/>
      <c r="O557" s="3" t="inlineStr">
        <is>
          <t>https://vanillabonds.com/dossier-data/pdf/katjes/katjes-2024-annual-report.pdf#page=77</t>
        </is>
      </c>
      <c r="P557" s="3" t="inlineStr">
        <is>
          <t>https://vanillabonds.com/dossier.html?c=katjes&amp;viewer=1&amp;item=F556</t>
        </is>
      </c>
      <c r="Q557" s="2" t="inlineStr"/>
    </row>
    <row r="558">
      <c r="A558" s="2" t="inlineStr">
        <is>
          <t>F557</t>
        </is>
      </c>
      <c r="B558" s="2" t="inlineStr">
        <is>
          <t>financials</t>
        </is>
      </c>
      <c r="C558" s="2" t="inlineStr">
        <is>
          <t>segment</t>
        </is>
      </c>
      <c r="D558" s="3" t="inlineStr">
        <is>
          <t>Segment: segment; revenue; ebitda; assets</t>
        </is>
      </c>
      <c r="E558" s="2" t="inlineStr">
        <is>
          <t>FY2023</t>
        </is>
      </c>
      <c r="F558" s="2" t="n">
        <v>16.5</v>
      </c>
      <c r="G558" s="2" t="n"/>
      <c r="H558" s="3" t="inlineStr">
        <is>
          <t>segment: Netherlands (region); revenue: 16.5</t>
        </is>
      </c>
      <c r="I558" s="2" t="inlineStr">
        <is>
          <t>S2</t>
        </is>
      </c>
      <c r="J558" s="2" t="n">
        <v>77</v>
      </c>
      <c r="K558" s="2" t="inlineStr">
        <is>
          <t>Netherlands 16.1 16.5</t>
        </is>
      </c>
      <c r="L558" s="2" t="inlineStr">
        <is>
          <t>ok</t>
        </is>
      </c>
      <c r="M558" s="2" t="inlineStr">
        <is>
          <t>demo reviewer</t>
        </is>
      </c>
      <c r="N558" s="2" t="n"/>
      <c r="O558" s="3" t="inlineStr">
        <is>
          <t>https://vanillabonds.com/dossier-data/pdf/katjes/katjes-2024-annual-report.pdf#page=77</t>
        </is>
      </c>
      <c r="P558" s="3" t="inlineStr">
        <is>
          <t>https://vanillabonds.com/dossier.html?c=katjes&amp;viewer=1&amp;item=F557</t>
        </is>
      </c>
      <c r="Q558" s="2" t="inlineStr"/>
    </row>
    <row r="559">
      <c r="A559" s="2" t="inlineStr">
        <is>
          <t>F558</t>
        </is>
      </c>
      <c r="B559" s="2" t="inlineStr">
        <is>
          <t>financials</t>
        </is>
      </c>
      <c r="C559" s="2" t="inlineStr">
        <is>
          <t>segment</t>
        </is>
      </c>
      <c r="D559" s="3" t="inlineStr">
        <is>
          <t>Segment: segment; revenue; ebitda; assets</t>
        </is>
      </c>
      <c r="E559" s="2" t="inlineStr">
        <is>
          <t>FY2023</t>
        </is>
      </c>
      <c r="F559" s="2" t="n">
        <v>107.8</v>
      </c>
      <c r="G559" s="2" t="n"/>
      <c r="H559" s="3" t="inlineStr">
        <is>
          <t>segment: Other EU countries + Switzerland (region); revenue: 107.8</t>
        </is>
      </c>
      <c r="I559" s="2" t="inlineStr">
        <is>
          <t>S2</t>
        </is>
      </c>
      <c r="J559" s="2" t="n">
        <v>77</v>
      </c>
      <c r="K559" s="3" t="inlineStr">
        <is>
          <t>Other EU countries + Switzerland 107.4 107.8</t>
        </is>
      </c>
      <c r="L559" s="2" t="inlineStr">
        <is>
          <t>ok</t>
        </is>
      </c>
      <c r="M559" s="2" t="inlineStr">
        <is>
          <t>demo reviewer</t>
        </is>
      </c>
      <c r="N559" s="2" t="n"/>
      <c r="O559" s="3" t="inlineStr">
        <is>
          <t>https://vanillabonds.com/dossier-data/pdf/katjes/katjes-2024-annual-report.pdf#page=77</t>
        </is>
      </c>
      <c r="P559" s="3" t="inlineStr">
        <is>
          <t>https://vanillabonds.com/dossier.html?c=katjes&amp;viewer=1&amp;item=F558</t>
        </is>
      </c>
      <c r="Q559" s="2" t="inlineStr"/>
    </row>
    <row r="560">
      <c r="A560" s="2" t="inlineStr">
        <is>
          <t>F559</t>
        </is>
      </c>
      <c r="B560" s="2" t="inlineStr">
        <is>
          <t>financials</t>
        </is>
      </c>
      <c r="C560" s="2" t="inlineStr">
        <is>
          <t>segment</t>
        </is>
      </c>
      <c r="D560" s="3" t="inlineStr">
        <is>
          <t>Segment: segment; revenue; ebitda; assets</t>
        </is>
      </c>
      <c r="E560" s="2" t="inlineStr">
        <is>
          <t>FY2023</t>
        </is>
      </c>
      <c r="F560" s="2" t="n">
        <v>18.1</v>
      </c>
      <c r="G560" s="2" t="n"/>
      <c r="H560" s="3" t="inlineStr">
        <is>
          <t>segment: Non-EU countries (region); revenue: 18.1</t>
        </is>
      </c>
      <c r="I560" s="2" t="inlineStr">
        <is>
          <t>S2</t>
        </is>
      </c>
      <c r="J560" s="2" t="n">
        <v>77</v>
      </c>
      <c r="K560" s="2" t="inlineStr">
        <is>
          <t>Non-EU countries 20.8 18.1</t>
        </is>
      </c>
      <c r="L560" s="2" t="inlineStr">
        <is>
          <t>ok</t>
        </is>
      </c>
      <c r="M560" s="2" t="inlineStr">
        <is>
          <t>demo reviewer</t>
        </is>
      </c>
      <c r="N560" s="2" t="n"/>
      <c r="O560" s="3" t="inlineStr">
        <is>
          <t>https://vanillabonds.com/dossier-data/pdf/katjes/katjes-2024-annual-report.pdf#page=77</t>
        </is>
      </c>
      <c r="P560" s="3" t="inlineStr">
        <is>
          <t>https://vanillabonds.com/dossier.html?c=katjes&amp;viewer=1&amp;item=F559</t>
        </is>
      </c>
      <c r="Q560" s="2" t="inlineStr"/>
    </row>
    <row r="561">
      <c r="A561" s="2" t="inlineStr">
        <is>
          <t>F560</t>
        </is>
      </c>
      <c r="B561" s="2" t="inlineStr">
        <is>
          <t>financials</t>
        </is>
      </c>
      <c r="C561" s="2" t="inlineStr">
        <is>
          <t>segment</t>
        </is>
      </c>
      <c r="D561" s="3" t="inlineStr">
        <is>
          <t>Segment: segment; revenue; ebitda; assets</t>
        </is>
      </c>
      <c r="E561" s="2" t="inlineStr">
        <is>
          <t>FY2023</t>
        </is>
      </c>
      <c r="F561" s="2" t="n">
        <v>132.4</v>
      </c>
      <c r="G561" s="2" t="n"/>
      <c r="H561" s="3" t="inlineStr">
        <is>
          <t>segment: Germany (region, non-current assets); assets: 132.4</t>
        </is>
      </c>
      <c r="I561" s="2" t="inlineStr">
        <is>
          <t>S2</t>
        </is>
      </c>
      <c r="J561" s="2" t="n">
        <v>78</v>
      </c>
      <c r="K561" s="2" t="inlineStr">
        <is>
          <t>Germany 141.4 132.4</t>
        </is>
      </c>
      <c r="L561" s="2" t="inlineStr">
        <is>
          <t>ok</t>
        </is>
      </c>
      <c r="M561" s="2" t="inlineStr">
        <is>
          <t>demo reviewer</t>
        </is>
      </c>
      <c r="N561" s="2" t="n"/>
      <c r="O561" s="3" t="inlineStr">
        <is>
          <t>https://vanillabonds.com/dossier-data/pdf/katjes/katjes-2024-annual-report.pdf#page=78</t>
        </is>
      </c>
      <c r="P561" s="3" t="inlineStr">
        <is>
          <t>https://vanillabonds.com/dossier.html?c=katjes&amp;viewer=1&amp;item=F560</t>
        </is>
      </c>
      <c r="Q561" s="2" t="inlineStr"/>
    </row>
    <row r="562">
      <c r="A562" s="2" t="inlineStr">
        <is>
          <t>F561</t>
        </is>
      </c>
      <c r="B562" s="2" t="inlineStr">
        <is>
          <t>financials</t>
        </is>
      </c>
      <c r="C562" s="2" t="inlineStr">
        <is>
          <t>segment</t>
        </is>
      </c>
      <c r="D562" s="3" t="inlineStr">
        <is>
          <t>Segment: segment; revenue; ebitda; assets</t>
        </is>
      </c>
      <c r="E562" s="2" t="inlineStr">
        <is>
          <t>FY2023</t>
        </is>
      </c>
      <c r="F562" s="2" t="n">
        <v>94.90000000000001</v>
      </c>
      <c r="G562" s="2" t="n"/>
      <c r="H562" s="3" t="inlineStr">
        <is>
          <t>segment: Italy (region, non-current assets); assets: 94.9</t>
        </is>
      </c>
      <c r="I562" s="2" t="inlineStr">
        <is>
          <t>S2</t>
        </is>
      </c>
      <c r="J562" s="2" t="n">
        <v>78</v>
      </c>
      <c r="K562" s="2" t="inlineStr">
        <is>
          <t>Italy 95.6 94.9</t>
        </is>
      </c>
      <c r="L562" s="2" t="inlineStr">
        <is>
          <t>ok</t>
        </is>
      </c>
      <c r="M562" s="2" t="inlineStr">
        <is>
          <t>demo reviewer</t>
        </is>
      </c>
      <c r="N562" s="2" t="n"/>
      <c r="O562" s="3" t="inlineStr">
        <is>
          <t>https://vanillabonds.com/dossier-data/pdf/katjes/katjes-2024-annual-report.pdf#page=78</t>
        </is>
      </c>
      <c r="P562" s="3" t="inlineStr">
        <is>
          <t>https://vanillabonds.com/dossier.html?c=katjes&amp;viewer=1&amp;item=F561</t>
        </is>
      </c>
      <c r="Q562" s="2" t="inlineStr"/>
    </row>
    <row r="563">
      <c r="A563" s="2" t="inlineStr">
        <is>
          <t>F562</t>
        </is>
      </c>
      <c r="B563" s="2" t="inlineStr">
        <is>
          <t>financials</t>
        </is>
      </c>
      <c r="C563" s="2" t="inlineStr">
        <is>
          <t>segment</t>
        </is>
      </c>
      <c r="D563" s="3" t="inlineStr">
        <is>
          <t>Segment: segment; revenue; ebitda; assets</t>
        </is>
      </c>
      <c r="E563" s="2" t="inlineStr">
        <is>
          <t>FY2023</t>
        </is>
      </c>
      <c r="F563" s="2" t="n">
        <v>71.09999999999999</v>
      </c>
      <c r="G563" s="2" t="n"/>
      <c r="H563" s="3" t="inlineStr">
        <is>
          <t>segment: Netherlands (region, non-current assets); assets: 71.1</t>
        </is>
      </c>
      <c r="I563" s="2" t="inlineStr">
        <is>
          <t>S2</t>
        </is>
      </c>
      <c r="J563" s="2" t="n">
        <v>78</v>
      </c>
      <c r="K563" s="2" t="inlineStr">
        <is>
          <t>Netherlands 72.3 71.1</t>
        </is>
      </c>
      <c r="L563" s="2" t="inlineStr">
        <is>
          <t>ok</t>
        </is>
      </c>
      <c r="M563" s="2" t="inlineStr">
        <is>
          <t>demo reviewer</t>
        </is>
      </c>
      <c r="N563" s="2" t="n"/>
      <c r="O563" s="3" t="inlineStr">
        <is>
          <t>https://vanillabonds.com/dossier-data/pdf/katjes/katjes-2024-annual-report.pdf#page=78</t>
        </is>
      </c>
      <c r="P563" s="3" t="inlineStr">
        <is>
          <t>https://vanillabonds.com/dossier.html?c=katjes&amp;viewer=1&amp;item=F562</t>
        </is>
      </c>
      <c r="Q563" s="2" t="inlineStr"/>
    </row>
    <row r="564">
      <c r="A564" s="2" t="inlineStr">
        <is>
          <t>F563</t>
        </is>
      </c>
      <c r="B564" s="2" t="inlineStr">
        <is>
          <t>financials</t>
        </is>
      </c>
      <c r="C564" s="2" t="inlineStr">
        <is>
          <t>segment</t>
        </is>
      </c>
      <c r="D564" s="3" t="inlineStr">
        <is>
          <t>Segment: segment; revenue; ebitda; assets</t>
        </is>
      </c>
      <c r="E564" s="2" t="inlineStr">
        <is>
          <t>FY2023</t>
        </is>
      </c>
      <c r="F564" s="2" t="n">
        <v>10.3</v>
      </c>
      <c r="G564" s="2" t="n"/>
      <c r="H564" s="3" t="inlineStr">
        <is>
          <t>segment: UK (region, non-current assets); assets: 10.3</t>
        </is>
      </c>
      <c r="I564" s="2" t="inlineStr">
        <is>
          <t>S2</t>
        </is>
      </c>
      <c r="J564" s="2" t="n">
        <v>78</v>
      </c>
      <c r="K564" s="2" t="inlineStr">
        <is>
          <t>UK 11.4 10.3</t>
        </is>
      </c>
      <c r="L564" s="2" t="inlineStr">
        <is>
          <t>ok</t>
        </is>
      </c>
      <c r="M564" s="2" t="inlineStr">
        <is>
          <t>demo reviewer</t>
        </is>
      </c>
      <c r="N564" s="2" t="n"/>
      <c r="O564" s="3" t="inlineStr">
        <is>
          <t>https://vanillabonds.com/dossier-data/pdf/katjes/katjes-2024-annual-report.pdf#page=78</t>
        </is>
      </c>
      <c r="P564" s="3" t="inlineStr">
        <is>
          <t>https://vanillabonds.com/dossier.html?c=katjes&amp;viewer=1&amp;item=F563</t>
        </is>
      </c>
      <c r="Q564" s="2" t="inlineStr"/>
    </row>
    <row r="565">
      <c r="A565" s="2" t="inlineStr">
        <is>
          <t>F564</t>
        </is>
      </c>
      <c r="B565" s="2" t="inlineStr">
        <is>
          <t>financials</t>
        </is>
      </c>
      <c r="C565" s="2" t="inlineStr">
        <is>
          <t>segment</t>
        </is>
      </c>
      <c r="D565" s="3" t="inlineStr">
        <is>
          <t>Segment: segment; revenue; ebitda; assets</t>
        </is>
      </c>
      <c r="E565" s="2" t="inlineStr">
        <is>
          <t>FY2024</t>
        </is>
      </c>
      <c r="F565" s="2" t="n">
        <v>160</v>
      </c>
      <c r="G565" s="2" t="n"/>
      <c r="H565" s="3" t="inlineStr">
        <is>
          <t>segment: Confectionery (business line); revenue: 160.0</t>
        </is>
      </c>
      <c r="I565" s="2" t="inlineStr">
        <is>
          <t>S2</t>
        </is>
      </c>
      <c r="J565" s="2" t="n">
        <v>74</v>
      </c>
      <c r="K565" s="2" t="inlineStr">
        <is>
          <t>Confectionery 160.0 156.2</t>
        </is>
      </c>
      <c r="L565" s="2" t="inlineStr">
        <is>
          <t>ok</t>
        </is>
      </c>
      <c r="M565" s="2" t="inlineStr">
        <is>
          <t>demo reviewer</t>
        </is>
      </c>
      <c r="N565" s="2" t="n"/>
      <c r="O565" s="3" t="inlineStr">
        <is>
          <t>https://vanillabonds.com/dossier-data/pdf/katjes/katjes-2024-annual-report.pdf#page=74</t>
        </is>
      </c>
      <c r="P565" s="3" t="inlineStr">
        <is>
          <t>https://vanillabonds.com/dossier.html?c=katjes&amp;viewer=1&amp;item=F564</t>
        </is>
      </c>
      <c r="Q565" s="2" t="inlineStr"/>
    </row>
    <row r="566">
      <c r="A566" s="2" t="inlineStr">
        <is>
          <t>F565</t>
        </is>
      </c>
      <c r="B566" s="2" t="inlineStr">
        <is>
          <t>financials</t>
        </is>
      </c>
      <c r="C566" s="2" t="inlineStr">
        <is>
          <t>segment</t>
        </is>
      </c>
      <c r="D566" s="3" t="inlineStr">
        <is>
          <t>Segment: segment; revenue; ebitda; assets</t>
        </is>
      </c>
      <c r="E566" s="2" t="inlineStr">
        <is>
          <t>FY2024</t>
        </is>
      </c>
      <c r="F566" s="2" t="n">
        <v>90.40000000000001</v>
      </c>
      <c r="G566" s="2" t="n"/>
      <c r="H566" s="3" t="inlineStr">
        <is>
          <t>segment: Body care products (business line); revenue: 90.4</t>
        </is>
      </c>
      <c r="I566" s="2" t="inlineStr">
        <is>
          <t>S2</t>
        </is>
      </c>
      <c r="J566" s="2" t="n">
        <v>74</v>
      </c>
      <c r="K566" s="2" t="inlineStr">
        <is>
          <t>Body care products 90.4 87.0</t>
        </is>
      </c>
      <c r="L566" s="2" t="inlineStr">
        <is>
          <t>ok</t>
        </is>
      </c>
      <c r="M566" s="2" t="inlineStr">
        <is>
          <t>demo reviewer</t>
        </is>
      </c>
      <c r="N566" s="2" t="n"/>
      <c r="O566" s="3" t="inlineStr">
        <is>
          <t>https://vanillabonds.com/dossier-data/pdf/katjes/katjes-2024-annual-report.pdf#page=74</t>
        </is>
      </c>
      <c r="P566" s="3" t="inlineStr">
        <is>
          <t>https://vanillabonds.com/dossier.html?c=katjes&amp;viewer=1&amp;item=F565</t>
        </is>
      </c>
      <c r="Q566" s="2" t="inlineStr"/>
    </row>
    <row r="567">
      <c r="A567" s="2" t="inlineStr">
        <is>
          <t>F566</t>
        </is>
      </c>
      <c r="B567" s="2" t="inlineStr">
        <is>
          <t>financials</t>
        </is>
      </c>
      <c r="C567" s="2" t="inlineStr">
        <is>
          <t>segment</t>
        </is>
      </c>
      <c r="D567" s="3" t="inlineStr">
        <is>
          <t>Segment: segment; revenue; ebitda; assets</t>
        </is>
      </c>
      <c r="E567" s="2" t="inlineStr">
        <is>
          <t>FY2024</t>
        </is>
      </c>
      <c r="F567" s="2" t="n">
        <v>57.8</v>
      </c>
      <c r="G567" s="2" t="n"/>
      <c r="H567" s="3" t="inlineStr">
        <is>
          <t>segment: Chocolate (business line); revenue: 57.8</t>
        </is>
      </c>
      <c r="I567" s="2" t="inlineStr">
        <is>
          <t>S2</t>
        </is>
      </c>
      <c r="J567" s="2" t="n">
        <v>74</v>
      </c>
      <c r="K567" s="2" t="inlineStr">
        <is>
          <t>Chocolate 57.8 59.4</t>
        </is>
      </c>
      <c r="L567" s="2" t="inlineStr">
        <is>
          <t>ok</t>
        </is>
      </c>
      <c r="M567" s="2" t="inlineStr">
        <is>
          <t>demo reviewer</t>
        </is>
      </c>
      <c r="N567" s="2" t="n"/>
      <c r="O567" s="3" t="inlineStr">
        <is>
          <t>https://vanillabonds.com/dossier-data/pdf/katjes/katjes-2024-annual-report.pdf#page=74</t>
        </is>
      </c>
      <c r="P567" s="3" t="inlineStr">
        <is>
          <t>https://vanillabonds.com/dossier.html?c=katjes&amp;viewer=1&amp;item=F566</t>
        </is>
      </c>
      <c r="Q567" s="2" t="inlineStr"/>
    </row>
    <row r="568">
      <c r="A568" s="2" t="inlineStr">
        <is>
          <t>F567</t>
        </is>
      </c>
      <c r="B568" s="2" t="inlineStr">
        <is>
          <t>financials</t>
        </is>
      </c>
      <c r="C568" s="2" t="inlineStr">
        <is>
          <t>segment</t>
        </is>
      </c>
      <c r="D568" s="3" t="inlineStr">
        <is>
          <t>Segment: segment; revenue; ebitda; assets</t>
        </is>
      </c>
      <c r="E568" s="2" t="inlineStr">
        <is>
          <t>FY2024</t>
        </is>
      </c>
      <c r="F568" s="2" t="n">
        <v>54.7</v>
      </c>
      <c r="G568" s="2" t="n"/>
      <c r="H568" s="3" t="inlineStr">
        <is>
          <t>segment: Seasonals (business line); revenue: 54.7</t>
        </is>
      </c>
      <c r="I568" s="2" t="inlineStr">
        <is>
          <t>S2</t>
        </is>
      </c>
      <c r="J568" s="2" t="n">
        <v>74</v>
      </c>
      <c r="K568" s="2" t="inlineStr">
        <is>
          <t>Seasonals 54.7 46.7</t>
        </is>
      </c>
      <c r="L568" s="2" t="inlineStr">
        <is>
          <t>ok</t>
        </is>
      </c>
      <c r="M568" s="2" t="inlineStr">
        <is>
          <t>demo reviewer</t>
        </is>
      </c>
      <c r="N568" s="2" t="n"/>
      <c r="O568" s="3" t="inlineStr">
        <is>
          <t>https://vanillabonds.com/dossier-data/pdf/katjes/katjes-2024-annual-report.pdf#page=74</t>
        </is>
      </c>
      <c r="P568" s="3" t="inlineStr">
        <is>
          <t>https://vanillabonds.com/dossier.html?c=katjes&amp;viewer=1&amp;item=F567</t>
        </is>
      </c>
      <c r="Q568" s="2" t="inlineStr"/>
    </row>
    <row r="569">
      <c r="A569" s="2" t="inlineStr">
        <is>
          <t>F568</t>
        </is>
      </c>
      <c r="B569" s="2" t="inlineStr">
        <is>
          <t>financials</t>
        </is>
      </c>
      <c r="C569" s="2" t="inlineStr">
        <is>
          <t>segment</t>
        </is>
      </c>
      <c r="D569" s="3" t="inlineStr">
        <is>
          <t>Segment: segment; revenue; ebitda; assets</t>
        </is>
      </c>
      <c r="E569" s="2" t="inlineStr">
        <is>
          <t>FY2024</t>
        </is>
      </c>
      <c r="F569" s="2" t="n">
        <v>29.7</v>
      </c>
      <c r="G569" s="2" t="n"/>
      <c r="H569" s="3" t="inlineStr">
        <is>
          <t>segment: Other (business line); revenue: 29.7</t>
        </is>
      </c>
      <c r="I569" s="2" t="inlineStr">
        <is>
          <t>S2</t>
        </is>
      </c>
      <c r="J569" s="2" t="n">
        <v>74</v>
      </c>
      <c r="K569" s="2" t="inlineStr">
        <is>
          <t>Other 29.7 28.1</t>
        </is>
      </c>
      <c r="L569" s="2" t="inlineStr">
        <is>
          <t>ok</t>
        </is>
      </c>
      <c r="M569" s="2" t="inlineStr">
        <is>
          <t>demo reviewer</t>
        </is>
      </c>
      <c r="N569" s="2" t="n"/>
      <c r="O569" s="3" t="inlineStr">
        <is>
          <t>https://vanillabonds.com/dossier-data/pdf/katjes/katjes-2024-annual-report.pdf#page=74</t>
        </is>
      </c>
      <c r="P569" s="3" t="inlineStr">
        <is>
          <t>https://vanillabonds.com/dossier.html?c=katjes&amp;viewer=1&amp;item=F568</t>
        </is>
      </c>
      <c r="Q569" s="2" t="inlineStr"/>
    </row>
    <row r="570">
      <c r="A570" s="2" t="inlineStr">
        <is>
          <t>F569</t>
        </is>
      </c>
      <c r="B570" s="2" t="inlineStr">
        <is>
          <t>financials</t>
        </is>
      </c>
      <c r="C570" s="2" t="inlineStr">
        <is>
          <t>segment</t>
        </is>
      </c>
      <c r="D570" s="3" t="inlineStr">
        <is>
          <t>Segment: segment; revenue; ebitda; assets</t>
        </is>
      </c>
      <c r="E570" s="2" t="inlineStr">
        <is>
          <t>FY2024</t>
        </is>
      </c>
      <c r="F570" s="2" t="n">
        <v>122.8</v>
      </c>
      <c r="G570" s="2" t="n"/>
      <c r="H570" s="3" t="inlineStr">
        <is>
          <t>segment: Italy (region, revenue by customer location; CPK not included); revenue: 122.8</t>
        </is>
      </c>
      <c r="I570" s="2" t="inlineStr">
        <is>
          <t>S2</t>
        </is>
      </c>
      <c r="J570" s="2" t="n">
        <v>77</v>
      </c>
      <c r="K570" s="2" t="inlineStr">
        <is>
          <t>Italy 122.8 115.5</t>
        </is>
      </c>
      <c r="L570" s="2" t="inlineStr">
        <is>
          <t>ok</t>
        </is>
      </c>
      <c r="M570" s="2" t="inlineStr">
        <is>
          <t>demo reviewer</t>
        </is>
      </c>
      <c r="N570" s="2" t="n"/>
      <c r="O570" s="3" t="inlineStr">
        <is>
          <t>https://vanillabonds.com/dossier-data/pdf/katjes/katjes-2024-annual-report.pdf#page=77</t>
        </is>
      </c>
      <c r="P570" s="3" t="inlineStr">
        <is>
          <t>https://vanillabonds.com/dossier.html?c=katjes&amp;viewer=1&amp;item=F569</t>
        </is>
      </c>
      <c r="Q570" s="2" t="inlineStr"/>
    </row>
    <row r="571">
      <c r="A571" s="2" t="inlineStr">
        <is>
          <t>F570</t>
        </is>
      </c>
      <c r="B571" s="2" t="inlineStr">
        <is>
          <t>financials</t>
        </is>
      </c>
      <c r="C571" s="2" t="inlineStr">
        <is>
          <t>segment</t>
        </is>
      </c>
      <c r="D571" s="3" t="inlineStr">
        <is>
          <t>Segment: segment; revenue; ebitda; assets</t>
        </is>
      </c>
      <c r="E571" s="2" t="inlineStr">
        <is>
          <t>FY2024</t>
        </is>
      </c>
      <c r="F571" s="2" t="n">
        <v>106.8</v>
      </c>
      <c r="G571" s="2" t="n"/>
      <c r="H571" s="3" t="inlineStr">
        <is>
          <t>segment: Germany (region, revenue by customer location; CPK not included); revenue: 106.8</t>
        </is>
      </c>
      <c r="I571" s="2" t="inlineStr">
        <is>
          <t>S2</t>
        </is>
      </c>
      <c r="J571" s="2" t="n">
        <v>77</v>
      </c>
      <c r="K571" s="2" t="inlineStr">
        <is>
          <t>Germany 106.8 104.4</t>
        </is>
      </c>
      <c r="L571" s="2" t="inlineStr">
        <is>
          <t>ok</t>
        </is>
      </c>
      <c r="M571" s="2" t="inlineStr">
        <is>
          <t>demo reviewer</t>
        </is>
      </c>
      <c r="N571" s="2" t="n"/>
      <c r="O571" s="3" t="inlineStr">
        <is>
          <t>https://vanillabonds.com/dossier-data/pdf/katjes/katjes-2024-annual-report.pdf#page=77</t>
        </is>
      </c>
      <c r="P571" s="3" t="inlineStr">
        <is>
          <t>https://vanillabonds.com/dossier.html?c=katjes&amp;viewer=1&amp;item=F570</t>
        </is>
      </c>
      <c r="Q571" s="2" t="inlineStr"/>
    </row>
    <row r="572">
      <c r="A572" s="2" t="inlineStr">
        <is>
          <t>F571</t>
        </is>
      </c>
      <c r="B572" s="2" t="inlineStr">
        <is>
          <t>financials</t>
        </is>
      </c>
      <c r="C572" s="2" t="inlineStr">
        <is>
          <t>segment</t>
        </is>
      </c>
      <c r="D572" s="3" t="inlineStr">
        <is>
          <t>Segment: segment; revenue; ebitda; assets</t>
        </is>
      </c>
      <c r="E572" s="2" t="inlineStr">
        <is>
          <t>FY2024</t>
        </is>
      </c>
      <c r="F572" s="2" t="n">
        <v>18.7</v>
      </c>
      <c r="G572" s="2" t="n"/>
      <c r="H572" s="3" t="inlineStr">
        <is>
          <t>segment: UK (region, revenue by customer location; CPK not included); revenue: 18.7</t>
        </is>
      </c>
      <c r="I572" s="2" t="inlineStr">
        <is>
          <t>S2</t>
        </is>
      </c>
      <c r="J572" s="2" t="n">
        <v>77</v>
      </c>
      <c r="K572" s="2" t="inlineStr">
        <is>
          <t>UK 18.7 15.1</t>
        </is>
      </c>
      <c r="L572" s="2" t="inlineStr">
        <is>
          <t>ok</t>
        </is>
      </c>
      <c r="M572" s="2" t="inlineStr">
        <is>
          <t>demo reviewer</t>
        </is>
      </c>
      <c r="N572" s="2" t="n"/>
      <c r="O572" s="3" t="inlineStr">
        <is>
          <t>https://vanillabonds.com/dossier-data/pdf/katjes/katjes-2024-annual-report.pdf#page=77</t>
        </is>
      </c>
      <c r="P572" s="3" t="inlineStr">
        <is>
          <t>https://vanillabonds.com/dossier.html?c=katjes&amp;viewer=1&amp;item=F571</t>
        </is>
      </c>
      <c r="Q572" s="2" t="inlineStr"/>
    </row>
    <row r="573">
      <c r="A573" s="2" t="inlineStr">
        <is>
          <t>F572</t>
        </is>
      </c>
      <c r="B573" s="2" t="inlineStr">
        <is>
          <t>financials</t>
        </is>
      </c>
      <c r="C573" s="2" t="inlineStr">
        <is>
          <t>segment</t>
        </is>
      </c>
      <c r="D573" s="3" t="inlineStr">
        <is>
          <t>Segment: segment; revenue; ebitda; assets</t>
        </is>
      </c>
      <c r="E573" s="2" t="inlineStr">
        <is>
          <t>FY2024</t>
        </is>
      </c>
      <c r="F573" s="2" t="n">
        <v>16.1</v>
      </c>
      <c r="G573" s="2" t="n"/>
      <c r="H573" s="3" t="inlineStr">
        <is>
          <t>segment: Netherlands (region, revenue by customer location; CPK not included); revenue: 16.1</t>
        </is>
      </c>
      <c r="I573" s="2" t="inlineStr">
        <is>
          <t>S2</t>
        </is>
      </c>
      <c r="J573" s="2" t="n">
        <v>77</v>
      </c>
      <c r="K573" s="2" t="inlineStr">
        <is>
          <t>Netherlands 16.1 16.5</t>
        </is>
      </c>
      <c r="L573" s="2" t="inlineStr">
        <is>
          <t>ok</t>
        </is>
      </c>
      <c r="M573" s="2" t="inlineStr">
        <is>
          <t>demo reviewer</t>
        </is>
      </c>
      <c r="N573" s="2" t="n"/>
      <c r="O573" s="3" t="inlineStr">
        <is>
          <t>https://vanillabonds.com/dossier-data/pdf/katjes/katjes-2024-annual-report.pdf#page=77</t>
        </is>
      </c>
      <c r="P573" s="3" t="inlineStr">
        <is>
          <t>https://vanillabonds.com/dossier.html?c=katjes&amp;viewer=1&amp;item=F572</t>
        </is>
      </c>
      <c r="Q573" s="2" t="inlineStr"/>
    </row>
    <row r="574">
      <c r="A574" s="2" t="inlineStr">
        <is>
          <t>F573</t>
        </is>
      </c>
      <c r="B574" s="2" t="inlineStr">
        <is>
          <t>financials</t>
        </is>
      </c>
      <c r="C574" s="2" t="inlineStr">
        <is>
          <t>segment</t>
        </is>
      </c>
      <c r="D574" s="3" t="inlineStr">
        <is>
          <t>Segment: segment; revenue; ebitda; assets</t>
        </is>
      </c>
      <c r="E574" s="2" t="inlineStr">
        <is>
          <t>FY2024</t>
        </is>
      </c>
      <c r="F574" s="2" t="n">
        <v>107.4</v>
      </c>
      <c r="G574" s="2" t="n"/>
      <c r="H574" s="3" t="inlineStr">
        <is>
          <t>segment: Other EU countries + Switzerland (region, revenue by customer location; CPK not included); revenue: 107.4</t>
        </is>
      </c>
      <c r="I574" s="2" t="inlineStr">
        <is>
          <t>S2</t>
        </is>
      </c>
      <c r="J574" s="2" t="n">
        <v>77</v>
      </c>
      <c r="K574" s="3" t="inlineStr">
        <is>
          <t>Other EU countries + Switzerland 107.4 107.8</t>
        </is>
      </c>
      <c r="L574" s="2" t="inlineStr">
        <is>
          <t>ok</t>
        </is>
      </c>
      <c r="M574" s="2" t="inlineStr">
        <is>
          <t>demo reviewer</t>
        </is>
      </c>
      <c r="N574" s="2" t="n"/>
      <c r="O574" s="3" t="inlineStr">
        <is>
          <t>https://vanillabonds.com/dossier-data/pdf/katjes/katjes-2024-annual-report.pdf#page=77</t>
        </is>
      </c>
      <c r="P574" s="3" t="inlineStr">
        <is>
          <t>https://vanillabonds.com/dossier.html?c=katjes&amp;viewer=1&amp;item=F573</t>
        </is>
      </c>
      <c r="Q574" s="2" t="inlineStr"/>
    </row>
    <row r="575">
      <c r="A575" s="2" t="inlineStr">
        <is>
          <t>F574</t>
        </is>
      </c>
      <c r="B575" s="2" t="inlineStr">
        <is>
          <t>financials</t>
        </is>
      </c>
      <c r="C575" s="2" t="inlineStr">
        <is>
          <t>segment</t>
        </is>
      </c>
      <c r="D575" s="3" t="inlineStr">
        <is>
          <t>Segment: segment; revenue; ebitda; assets</t>
        </is>
      </c>
      <c r="E575" s="2" t="inlineStr">
        <is>
          <t>FY2024</t>
        </is>
      </c>
      <c r="F575" s="2" t="n">
        <v>20.8</v>
      </c>
      <c r="G575" s="2" t="n"/>
      <c r="H575" s="3" t="inlineStr">
        <is>
          <t>segment: Non-EU countries (region, revenue by customer location; CPK not included); revenue: 20.8</t>
        </is>
      </c>
      <c r="I575" s="2" t="inlineStr">
        <is>
          <t>S2</t>
        </is>
      </c>
      <c r="J575" s="2" t="n">
        <v>77</v>
      </c>
      <c r="K575" s="2" t="inlineStr">
        <is>
          <t>Non-EU countries 20.8 18.1</t>
        </is>
      </c>
      <c r="L575" s="2" t="inlineStr">
        <is>
          <t>ok</t>
        </is>
      </c>
      <c r="M575" s="2" t="inlineStr">
        <is>
          <t>demo reviewer</t>
        </is>
      </c>
      <c r="N575" s="2" t="n"/>
      <c r="O575" s="3" t="inlineStr">
        <is>
          <t>https://vanillabonds.com/dossier-data/pdf/katjes/katjes-2024-annual-report.pdf#page=77</t>
        </is>
      </c>
      <c r="P575" s="3" t="inlineStr">
        <is>
          <t>https://vanillabonds.com/dossier.html?c=katjes&amp;viewer=1&amp;item=F574</t>
        </is>
      </c>
      <c r="Q575" s="2" t="inlineStr"/>
    </row>
    <row r="576">
      <c r="A576" s="2" t="inlineStr">
        <is>
          <t>F575</t>
        </is>
      </c>
      <c r="B576" s="2" t="inlineStr">
        <is>
          <t>financials</t>
        </is>
      </c>
      <c r="C576" s="2" t="inlineStr">
        <is>
          <t>segment</t>
        </is>
      </c>
      <c r="D576" s="3" t="inlineStr">
        <is>
          <t>Segment: segment; revenue; ebitda; assets</t>
        </is>
      </c>
      <c r="E576" s="2" t="inlineStr">
        <is>
          <t>FY2024</t>
        </is>
      </c>
      <c r="F576" s="2" t="n">
        <v>141.4</v>
      </c>
      <c r="G576" s="2" t="n"/>
      <c r="H576" s="3" t="inlineStr">
        <is>
          <t>segment: Germany (region, non-current assets); assets: 141.4</t>
        </is>
      </c>
      <c r="I576" s="2" t="inlineStr">
        <is>
          <t>S2</t>
        </is>
      </c>
      <c r="J576" s="2" t="n">
        <v>78</v>
      </c>
      <c r="K576" s="2" t="inlineStr">
        <is>
          <t>Germany 141.4 132.4</t>
        </is>
      </c>
      <c r="L576" s="2" t="inlineStr">
        <is>
          <t>ok</t>
        </is>
      </c>
      <c r="M576" s="2" t="inlineStr">
        <is>
          <t>demo reviewer</t>
        </is>
      </c>
      <c r="N576" s="2" t="n"/>
      <c r="O576" s="3" t="inlineStr">
        <is>
          <t>https://vanillabonds.com/dossier-data/pdf/katjes/katjes-2024-annual-report.pdf#page=78</t>
        </is>
      </c>
      <c r="P576" s="3" t="inlineStr">
        <is>
          <t>https://vanillabonds.com/dossier.html?c=katjes&amp;viewer=1&amp;item=F575</t>
        </is>
      </c>
      <c r="Q576" s="2" t="inlineStr"/>
    </row>
    <row r="577">
      <c r="A577" s="2" t="inlineStr">
        <is>
          <t>F576</t>
        </is>
      </c>
      <c r="B577" s="2" t="inlineStr">
        <is>
          <t>financials</t>
        </is>
      </c>
      <c r="C577" s="2" t="inlineStr">
        <is>
          <t>segment</t>
        </is>
      </c>
      <c r="D577" s="3" t="inlineStr">
        <is>
          <t>Segment: segment; revenue; ebitda; assets</t>
        </is>
      </c>
      <c r="E577" s="2" t="inlineStr">
        <is>
          <t>FY2024</t>
        </is>
      </c>
      <c r="F577" s="2" t="n">
        <v>95.59999999999999</v>
      </c>
      <c r="G577" s="2" t="n"/>
      <c r="H577" s="3" t="inlineStr">
        <is>
          <t>segment: Italy (region, non-current assets); assets: 95.6</t>
        </is>
      </c>
      <c r="I577" s="2" t="inlineStr">
        <is>
          <t>S2</t>
        </is>
      </c>
      <c r="J577" s="2" t="n">
        <v>78</v>
      </c>
      <c r="K577" s="2" t="inlineStr">
        <is>
          <t>Italy 95.6 94.9</t>
        </is>
      </c>
      <c r="L577" s="2" t="inlineStr">
        <is>
          <t>ok</t>
        </is>
      </c>
      <c r="M577" s="2" t="inlineStr">
        <is>
          <t>demo reviewer</t>
        </is>
      </c>
      <c r="N577" s="2" t="n"/>
      <c r="O577" s="3" t="inlineStr">
        <is>
          <t>https://vanillabonds.com/dossier-data/pdf/katjes/katjes-2024-annual-report.pdf#page=78</t>
        </is>
      </c>
      <c r="P577" s="3" t="inlineStr">
        <is>
          <t>https://vanillabonds.com/dossier.html?c=katjes&amp;viewer=1&amp;item=F576</t>
        </is>
      </c>
      <c r="Q577" s="2" t="inlineStr"/>
    </row>
    <row r="578">
      <c r="A578" s="2" t="inlineStr">
        <is>
          <t>F577</t>
        </is>
      </c>
      <c r="B578" s="2" t="inlineStr">
        <is>
          <t>financials</t>
        </is>
      </c>
      <c r="C578" s="2" t="inlineStr">
        <is>
          <t>segment</t>
        </is>
      </c>
      <c r="D578" s="3" t="inlineStr">
        <is>
          <t>Segment: segment; revenue; ebitda; assets</t>
        </is>
      </c>
      <c r="E578" s="2" t="inlineStr">
        <is>
          <t>FY2024</t>
        </is>
      </c>
      <c r="F578" s="2" t="n">
        <v>72.3</v>
      </c>
      <c r="G578" s="2" t="n"/>
      <c r="H578" s="3" t="inlineStr">
        <is>
          <t>segment: Netherlands (region, non-current assets (includes the EUR 65.0m at-equity investment in CPK)); assets: 72.3</t>
        </is>
      </c>
      <c r="I578" s="2" t="inlineStr">
        <is>
          <t>S2</t>
        </is>
      </c>
      <c r="J578" s="2" t="n">
        <v>78</v>
      </c>
      <c r="K578" s="2" t="inlineStr">
        <is>
          <t>Netherlands 72.3 71.1</t>
        </is>
      </c>
      <c r="L578" s="2" t="inlineStr">
        <is>
          <t>ok</t>
        </is>
      </c>
      <c r="M578" s="2" t="inlineStr">
        <is>
          <t>demo reviewer</t>
        </is>
      </c>
      <c r="N578" s="2" t="n"/>
      <c r="O578" s="3" t="inlineStr">
        <is>
          <t>https://vanillabonds.com/dossier-data/pdf/katjes/katjes-2024-annual-report.pdf#page=78</t>
        </is>
      </c>
      <c r="P578" s="3" t="inlineStr">
        <is>
          <t>https://vanillabonds.com/dossier.html?c=katjes&amp;viewer=1&amp;item=F577</t>
        </is>
      </c>
      <c r="Q578" s="2" t="inlineStr"/>
    </row>
    <row r="579">
      <c r="A579" s="2" t="inlineStr">
        <is>
          <t>F578</t>
        </is>
      </c>
      <c r="B579" s="2" t="inlineStr">
        <is>
          <t>financials</t>
        </is>
      </c>
      <c r="C579" s="2" t="inlineStr">
        <is>
          <t>segment</t>
        </is>
      </c>
      <c r="D579" s="3" t="inlineStr">
        <is>
          <t>Segment: segment; revenue; ebitda; assets</t>
        </is>
      </c>
      <c r="E579" s="2" t="inlineStr">
        <is>
          <t>FY2024</t>
        </is>
      </c>
      <c r="F579" s="2" t="n">
        <v>11.4</v>
      </c>
      <c r="G579" s="2" t="n"/>
      <c r="H579" s="3" t="inlineStr">
        <is>
          <t>segment: UK (region, non-current assets); assets: 11.4</t>
        </is>
      </c>
      <c r="I579" s="2" t="inlineStr">
        <is>
          <t>S2</t>
        </is>
      </c>
      <c r="J579" s="2" t="n">
        <v>78</v>
      </c>
      <c r="K579" s="2" t="inlineStr">
        <is>
          <t>UK 11.4 10.3</t>
        </is>
      </c>
      <c r="L579" s="2" t="inlineStr">
        <is>
          <t>ok</t>
        </is>
      </c>
      <c r="M579" s="2" t="inlineStr">
        <is>
          <t>demo reviewer</t>
        </is>
      </c>
      <c r="N579" s="2" t="n"/>
      <c r="O579" s="3" t="inlineStr">
        <is>
          <t>https://vanillabonds.com/dossier-data/pdf/katjes/katjes-2024-annual-report.pdf#page=78</t>
        </is>
      </c>
      <c r="P579" s="3" t="inlineStr">
        <is>
          <t>https://vanillabonds.com/dossier.html?c=katjes&amp;viewer=1&amp;item=F578</t>
        </is>
      </c>
      <c r="Q579" s="2" t="inlineStr"/>
    </row>
    <row r="580">
      <c r="A580" s="2" t="inlineStr">
        <is>
          <t>F579</t>
        </is>
      </c>
      <c r="B580" s="2" t="inlineStr">
        <is>
          <t>financials</t>
        </is>
      </c>
      <c r="C580" s="2" t="inlineStr">
        <is>
          <t>tax_paid</t>
        </is>
      </c>
      <c r="D580" s="2" t="inlineStr">
        <is>
          <t>Income taxes paid (cash flow statement)</t>
        </is>
      </c>
      <c r="E580" s="2" t="inlineStr">
        <is>
          <t>FY2023</t>
        </is>
      </c>
      <c r="F580" s="2" t="n">
        <v>2.5</v>
      </c>
      <c r="G580" s="2" t="inlineStr">
        <is>
          <t>EUR m</t>
        </is>
      </c>
      <c r="H580" s="3" t="inlineStr">
        <is>
          <t>Income taxes paid per cash flow statement 2023.</t>
        </is>
      </c>
      <c r="I580" s="2" t="inlineStr">
        <is>
          <t>S2</t>
        </is>
      </c>
      <c r="J580" s="2" t="n">
        <v>45</v>
      </c>
      <c r="K580" s="2" t="inlineStr">
        <is>
          <t>Income taxes paid -2.5 -2.5</t>
        </is>
      </c>
      <c r="L580" s="2" t="inlineStr">
        <is>
          <t>ok</t>
        </is>
      </c>
      <c r="M580" s="2" t="inlineStr">
        <is>
          <t>demo reviewer</t>
        </is>
      </c>
      <c r="N580" s="2" t="n"/>
      <c r="O580" s="3" t="inlineStr">
        <is>
          <t>https://vanillabonds.com/dossier-data/pdf/katjes/katjes-2024-annual-report.pdf#page=45</t>
        </is>
      </c>
      <c r="P580" s="3" t="inlineStr">
        <is>
          <t>https://vanillabonds.com/dossier.html?c=katjes&amp;viewer=1&amp;item=F579</t>
        </is>
      </c>
      <c r="Q580" s="2" t="inlineStr">
        <is>
          <t>yes</t>
        </is>
      </c>
    </row>
    <row r="581">
      <c r="A581" s="2" t="inlineStr">
        <is>
          <t>F580</t>
        </is>
      </c>
      <c r="B581" s="2" t="inlineStr">
        <is>
          <t>financials</t>
        </is>
      </c>
      <c r="C581" s="2" t="inlineStr">
        <is>
          <t>tax_paid</t>
        </is>
      </c>
      <c r="D581" s="2" t="inlineStr">
        <is>
          <t>Income taxes paid (cash flow statement)</t>
        </is>
      </c>
      <c r="E581" s="2" t="inlineStr">
        <is>
          <t>FY2024</t>
        </is>
      </c>
      <c r="F581" s="2" t="n">
        <v>2.5</v>
      </c>
      <c r="G581" s="2" t="inlineStr">
        <is>
          <t>EUR m</t>
        </is>
      </c>
      <c r="H581" s="3" t="inlineStr">
        <is>
          <t>Income taxes paid per cash flow statement 2024.</t>
        </is>
      </c>
      <c r="I581" s="2" t="inlineStr">
        <is>
          <t>S2</t>
        </is>
      </c>
      <c r="J581" s="2" t="n">
        <v>45</v>
      </c>
      <c r="K581" s="2" t="inlineStr">
        <is>
          <t>Income taxes paid -2.5 -2.5</t>
        </is>
      </c>
      <c r="L581" s="2" t="inlineStr">
        <is>
          <t>ok</t>
        </is>
      </c>
      <c r="M581" s="2" t="inlineStr">
        <is>
          <t>demo reviewer</t>
        </is>
      </c>
      <c r="N581" s="2" t="n"/>
      <c r="O581" s="3" t="inlineStr">
        <is>
          <t>https://vanillabonds.com/dossier-data/pdf/katjes/katjes-2024-annual-report.pdf#page=45</t>
        </is>
      </c>
      <c r="P581" s="3" t="inlineStr">
        <is>
          <t>https://vanillabonds.com/dossier.html?c=katjes&amp;viewer=1&amp;item=F580</t>
        </is>
      </c>
      <c r="Q581" s="2" t="inlineStr">
        <is>
          <t>no</t>
        </is>
      </c>
    </row>
    <row r="582">
      <c r="A582" s="2" t="inlineStr">
        <is>
          <t>F581</t>
        </is>
      </c>
      <c r="B582" s="2" t="inlineStr">
        <is>
          <t>debt</t>
        </is>
      </c>
      <c r="C582" s="2" t="inlineStr">
        <is>
          <t>hedge</t>
        </is>
      </c>
      <c r="D582" s="3" t="inlineStr">
        <is>
          <t>Hedge: instrument; counterparty; notional; maturity; hedged item (rate, FX)</t>
        </is>
      </c>
      <c r="E582" s="2" t="n"/>
      <c r="F582" s="2" t="n">
        <v>3.7</v>
      </c>
      <c r="G582" s="2" t="n"/>
      <c r="H582" s="3" t="inlineStr">
        <is>
          <t>instrument: interest rate swap (one at 31 Dec 2024; three at 31 Dec 2023); notional: 3.7 (2023: 6.0); hedged item: rate (rising variable interest); fair value change EUR 0.0m</t>
        </is>
      </c>
      <c r="I582" s="2" t="inlineStr">
        <is>
          <t>S2</t>
        </is>
      </c>
      <c r="J582" s="2" t="n">
        <v>65</v>
      </c>
      <c r="K582" s="3" t="inlineStr">
        <is>
          <t>As at 31 December 2024, the Group held one interest rate swap (31 December 2023: three interest rate swaps) with a notional principal amount of EUR 3.7 million (2023: EUR 6.0 million,</t>
        </is>
      </c>
      <c r="L582" s="2" t="inlineStr">
        <is>
          <t>ok</t>
        </is>
      </c>
      <c r="M582" s="2" t="inlineStr">
        <is>
          <t>demo reviewer</t>
        </is>
      </c>
      <c r="N582" s="2" t="n"/>
      <c r="O582" s="3" t="inlineStr">
        <is>
          <t>https://vanillabonds.com/dossier-data/pdf/katjes/katjes-2024-annual-report.pdf#page=65</t>
        </is>
      </c>
      <c r="P582" s="3" t="inlineStr">
        <is>
          <t>https://vanillabonds.com/dossier.html?c=katjes&amp;viewer=1&amp;item=F581</t>
        </is>
      </c>
      <c r="Q582" s="2" t="inlineStr"/>
    </row>
    <row r="583">
      <c r="A583" s="2" t="inlineStr">
        <is>
          <t>F582</t>
        </is>
      </c>
      <c r="B583" s="2" t="inlineStr">
        <is>
          <t>debt</t>
        </is>
      </c>
      <c r="C583" s="2" t="inlineStr">
        <is>
          <t>rate_type</t>
        </is>
      </c>
      <c r="D583" s="3" t="inlineStr">
        <is>
          <t>Rate structure of the debt: floating_share (0-1); base rate; fixed_share; fx mismatch revenue vs cost</t>
        </is>
      </c>
      <c r="E583" s="2" t="n"/>
      <c r="F583" s="2" t="n"/>
      <c r="G583" s="2" t="n"/>
      <c r="H583" s="3" t="inlineStr">
        <is>
          <t>base rate: 3-month and 2-month EURIBOR (factoring agreements); fixed_share: bond EUR 115m at 6.75% and listed bank loans at fixed rates, other loans variable and fixed, shares not quantified; fx mismatch revenue vs cost: vast majority of transactions in euro, no FX hedges at 31 Dec 2024</t>
        </is>
      </c>
      <c r="I583" s="2" t="inlineStr">
        <is>
          <t>S2</t>
        </is>
      </c>
      <c r="J583" s="2" t="n">
        <v>57</v>
      </c>
      <c r="K583" s="3" t="inlineStr">
        <is>
          <t>The Group is also exposed to interest rate risk arising from fac- toring. This risk is linked to the development of the 3-month and 2-month EURIBOR</t>
        </is>
      </c>
      <c r="L583" s="2" t="inlineStr">
        <is>
          <t>ok</t>
        </is>
      </c>
      <c r="M583" s="2" t="inlineStr">
        <is>
          <t>demo reviewer</t>
        </is>
      </c>
      <c r="N583" s="2" t="n"/>
      <c r="O583" s="3" t="inlineStr">
        <is>
          <t>https://vanillabonds.com/dossier-data/pdf/katjes/katjes-2024-annual-report.pdf#page=57</t>
        </is>
      </c>
      <c r="P583" s="3" t="inlineStr">
        <is>
          <t>https://vanillabonds.com/dossier.html?c=katjes&amp;viewer=1&amp;item=F582</t>
        </is>
      </c>
      <c r="Q583" s="2" t="inlineStr">
        <is>
          <t>no</t>
        </is>
      </c>
    </row>
    <row r="584">
      <c r="A584" s="2" t="inlineStr">
        <is>
          <t>F583</t>
        </is>
      </c>
      <c r="B584" s="2" t="inlineStr">
        <is>
          <t>debt</t>
        </is>
      </c>
      <c r="C584" s="2" t="inlineStr">
        <is>
          <t>rollover_event</t>
        </is>
      </c>
      <c r="D584" s="3" t="inlineStr">
        <is>
          <t>Past maturity: instrument; amount; due; outcome (repaid, refinanced, extended, waived)</t>
        </is>
      </c>
      <c r="E584" s="2" t="n"/>
      <c r="F584" s="2" t="n">
        <v>6.4</v>
      </c>
      <c r="G584" s="2" t="n"/>
      <c r="H584" s="3" t="inlineStr">
        <is>
          <t>instrument: purchase-price liability for the Oral Care production site in Viersen, recognised as financial liability at 31 Dec 2023; amount: 6.4; due: 2024; outcome: repaid in 2024</t>
        </is>
      </c>
      <c r="I584" s="2" t="inlineStr">
        <is>
          <t>S2</t>
        </is>
      </c>
      <c r="J584" s="2" t="n">
        <v>60</v>
      </c>
      <c r="K584" s="3" t="inlineStr">
        <is>
          <t>In the previous year, this also included a liability of EUR 6.4 million re- lated to the acquisition of the Oral Care production site.</t>
        </is>
      </c>
      <c r="L584" s="2" t="inlineStr">
        <is>
          <t>ok</t>
        </is>
      </c>
      <c r="M584" s="2" t="inlineStr">
        <is>
          <t>demo reviewer</t>
        </is>
      </c>
      <c r="N584" s="2" t="n"/>
      <c r="O584" s="3" t="inlineStr">
        <is>
          <t>https://vanillabonds.com/dossier-data/pdf/katjes/katjes-2024-annual-report.pdf#page=60</t>
        </is>
      </c>
      <c r="P584" s="3" t="inlineStr">
        <is>
          <t>https://vanillabonds.com/dossier.html?c=katjes&amp;viewer=1&amp;item=F583</t>
        </is>
      </c>
      <c r="Q584" s="2" t="inlineStr"/>
    </row>
    <row r="585">
      <c r="A585" s="2" t="inlineStr">
        <is>
          <t>F584</t>
        </is>
      </c>
      <c r="B585" s="2" t="inlineStr">
        <is>
          <t>debt</t>
        </is>
      </c>
      <c r="C585" s="2" t="inlineStr">
        <is>
          <t>rollover_event</t>
        </is>
      </c>
      <c r="D585" s="3" t="inlineStr">
        <is>
          <t>Past maturity: instrument; amount; due; outcome (repaid, refinanced, extended, waived)</t>
        </is>
      </c>
      <c r="E585" s="2" t="n"/>
      <c r="F585" s="2" t="n">
        <v>110</v>
      </c>
      <c r="G585" s="2" t="n"/>
      <c r="H585" s="3" t="inlineStr">
        <is>
          <t>instrument: 2019/2024 corporate bond; amount: 110.0; due: 2024; outcome: refinanced early in September 2023 at 100.5% by the new 2023/2028 bond of EUR 115m at 6.75%</t>
        </is>
      </c>
      <c r="I585" s="2" t="inlineStr">
        <is>
          <t>S2</t>
        </is>
      </c>
      <c r="J585" s="2" t="n">
        <v>68</v>
      </c>
      <c r="K585" s="3" t="inlineStr">
        <is>
          <t>vious year, 2023, at 100.5%. To redeem the bond, a new 2023/2028 bond bearing interest at 6.75% was issued in Sep- tember 2023.</t>
        </is>
      </c>
      <c r="L585" s="2" t="inlineStr">
        <is>
          <t>ok</t>
        </is>
      </c>
      <c r="M585" s="2" t="inlineStr">
        <is>
          <t>demo reviewer</t>
        </is>
      </c>
      <c r="N585" s="2" t="n"/>
      <c r="O585" s="3" t="inlineStr">
        <is>
          <t>https://vanillabonds.com/dossier-data/pdf/katjes/katjes-2024-annual-report.pdf#page=68</t>
        </is>
      </c>
      <c r="P585" s="3" t="inlineStr">
        <is>
          <t>https://vanillabonds.com/dossier.html?c=katjes&amp;viewer=1&amp;item=F584</t>
        </is>
      </c>
      <c r="Q585" s="2" t="inlineStr"/>
    </row>
    <row r="586">
      <c r="A586" s="2" t="inlineStr">
        <is>
          <t>F585</t>
        </is>
      </c>
      <c r="B586" s="2" t="inlineStr">
        <is>
          <t>debt</t>
        </is>
      </c>
      <c r="C586" s="2" t="inlineStr">
        <is>
          <t>rollover_event</t>
        </is>
      </c>
      <c r="D586" s="3" t="inlineStr">
        <is>
          <t>Past maturity: instrument; amount; due; outcome (repaid, refinanced, extended, waived)</t>
        </is>
      </c>
      <c r="E586" s="2" t="n"/>
      <c r="F586" s="2" t="n">
        <v>5</v>
      </c>
      <c r="G586" s="2" t="n"/>
      <c r="H586" s="3" t="inlineStr">
        <is>
          <t>instrument: 2020 liquidity-support bank loan, largely secured by a government guarantee (not from a promotional bank); amount: 5.0; outcome: repaid, EUR 0.0m at 31 Dec 2024</t>
        </is>
      </c>
      <c r="I586" s="2" t="inlineStr">
        <is>
          <t>S2</t>
        </is>
      </c>
      <c r="J586" s="2" t="n">
        <v>68</v>
      </c>
      <c r="K586" s="3" t="inlineStr">
        <is>
          <t>Included in the liabilities to banks was a loan granted in 2020 as part of liquidity support measures (total amount: EUR 5.0 million; as of 31 December 2024: EUR 0.0 million).</t>
        </is>
      </c>
      <c r="L586" s="2" t="inlineStr">
        <is>
          <t>ok</t>
        </is>
      </c>
      <c r="M586" s="2" t="inlineStr">
        <is>
          <t>demo reviewer</t>
        </is>
      </c>
      <c r="N586" s="2" t="n"/>
      <c r="O586" s="3" t="inlineStr">
        <is>
          <t>https://vanillabonds.com/dossier-data/pdf/katjes/katjes-2024-annual-report.pdf#page=68</t>
        </is>
      </c>
      <c r="P586" s="3" t="inlineStr">
        <is>
          <t>https://vanillabonds.com/dossier.html?c=katjes&amp;viewer=1&amp;item=F585</t>
        </is>
      </c>
      <c r="Q586" s="2" t="inlineStr"/>
    </row>
    <row r="587">
      <c r="A587" s="2" t="inlineStr">
        <is>
          <t>F586</t>
        </is>
      </c>
      <c r="B587" s="2" t="inlineStr">
        <is>
          <t>management</t>
        </is>
      </c>
      <c r="C587" s="2" t="inlineStr">
        <is>
          <t>strategy_statement</t>
        </is>
      </c>
      <c r="D587" s="3" t="inlineStr">
        <is>
          <t>Stated strategy: year; statement; what happened; source</t>
        </is>
      </c>
      <c r="E587" s="2" t="n"/>
      <c r="F587" s="2" t="n"/>
      <c r="G587" s="2" t="n"/>
      <c r="H587" s="3" t="inlineStr">
        <is>
          <t>year: 2024; statement: carve-out investor acquiring business units that large corporations no longer consider strategically relevant; what happened: Bübchen 2020, oral care 2022, N.A.E. 2023, Barnängen 2024; source: management report 1.2</t>
        </is>
      </c>
      <c r="I587" s="2" t="inlineStr">
        <is>
          <t>S2</t>
        </is>
      </c>
      <c r="J587" s="2" t="n">
        <v>23</v>
      </c>
      <c r="K587" s="3" t="inlineStr">
        <is>
          <t>Katjes International also sees itself as a carve-out investor, acquiring business units from large</t>
        </is>
      </c>
      <c r="L587" s="2" t="inlineStr">
        <is>
          <t>ok</t>
        </is>
      </c>
      <c r="M587" s="2" t="inlineStr">
        <is>
          <t>demo reviewer</t>
        </is>
      </c>
      <c r="N587" s="2" t="n"/>
      <c r="O587" s="3" t="inlineStr">
        <is>
          <t>https://vanillabonds.com/dossier-data/pdf/katjes/katjes-2024-annual-report.pdf#page=23</t>
        </is>
      </c>
      <c r="P587" s="3" t="inlineStr">
        <is>
          <t>https://vanillabonds.com/dossier.html?c=katjes&amp;viewer=1&amp;item=F586</t>
        </is>
      </c>
      <c r="Q587" s="2" t="inlineStr"/>
    </row>
    <row r="588">
      <c r="A588" s="2" t="inlineStr">
        <is>
          <t>F587</t>
        </is>
      </c>
      <c r="B588" s="2" t="inlineStr">
        <is>
          <t>management</t>
        </is>
      </c>
      <c r="C588" s="2" t="inlineStr">
        <is>
          <t>strategy_statement</t>
        </is>
      </c>
      <c r="D588" s="3" t="inlineStr">
        <is>
          <t>Stated strategy: year; statement; what happened; source</t>
        </is>
      </c>
      <c r="E588" s="2" t="n"/>
      <c r="F588" s="2" t="n"/>
      <c r="G588" s="2" t="n"/>
      <c r="H588" s="3" t="inlineStr">
        <is>
          <t>year: 2024; statement: portfolio companies stay legally and organisationally independent with local management after acquisition; source: management report 1.2</t>
        </is>
      </c>
      <c r="I588" s="2" t="inlineStr">
        <is>
          <t>S2</t>
        </is>
      </c>
      <c r="J588" s="2" t="n">
        <v>23</v>
      </c>
      <c r="K588" s="3" t="inlineStr">
        <is>
          <t>Following an acquisition, the port- folio companies remain legally and organizationally indepen- dent and retain their local management.</t>
        </is>
      </c>
      <c r="L588" s="2" t="inlineStr">
        <is>
          <t>ok</t>
        </is>
      </c>
      <c r="M588" s="2" t="inlineStr">
        <is>
          <t>demo reviewer</t>
        </is>
      </c>
      <c r="N588" s="2" t="n"/>
      <c r="O588" s="3" t="inlineStr">
        <is>
          <t>https://vanillabonds.com/dossier-data/pdf/katjes/katjes-2024-annual-report.pdf#page=23</t>
        </is>
      </c>
      <c r="P588" s="3" t="inlineStr">
        <is>
          <t>https://vanillabonds.com/dossier.html?c=katjes&amp;viewer=1&amp;item=F587</t>
        </is>
      </c>
      <c r="Q588" s="2" t="inlineStr"/>
    </row>
    <row r="589">
      <c r="A589" s="2" t="inlineStr">
        <is>
          <t>F588</t>
        </is>
      </c>
      <c r="B589" s="2" t="inlineStr">
        <is>
          <t>management</t>
        </is>
      </c>
      <c r="C589" s="2" t="inlineStr">
        <is>
          <t>strategy_statement</t>
        </is>
      </c>
      <c r="D589" s="3" t="inlineStr">
        <is>
          <t>Stated strategy: year; statement; what happened; source</t>
        </is>
      </c>
      <c r="E589" s="2" t="n"/>
      <c r="F589" s="2" t="n"/>
      <c r="G589" s="2" t="n"/>
      <c r="H589" s="3" t="inlineStr">
        <is>
          <t>year: 2025; statement: continue the proven strategy of organic growth of subsidiaries, further investments with a focus on 'strong brands' with a European focus, more Group synergies and an active role in market consolidation; source: forecast report</t>
        </is>
      </c>
      <c r="I589" s="2" t="inlineStr">
        <is>
          <t>S2</t>
        </is>
      </c>
      <c r="J589" s="2" t="n">
        <v>38</v>
      </c>
      <c r="K589" s="3" t="inlineStr">
        <is>
          <t>Katjes International will continue to pursue its proven strategy in 2025. This includes promoting the organic growth of its subsidiaries, pursuing further investments with a focus on strong brands</t>
        </is>
      </c>
      <c r="L589" s="2" t="inlineStr">
        <is>
          <t>ok</t>
        </is>
      </c>
      <c r="M589" s="2" t="inlineStr">
        <is>
          <t>demo reviewer</t>
        </is>
      </c>
      <c r="N589" s="3" t="inlineStr">
        <is>
          <t>text: company wording put in quotation marks (reviewer, 20 Oct 2026)</t>
        </is>
      </c>
      <c r="O589" s="3" t="inlineStr">
        <is>
          <t>https://vanillabonds.com/dossier-data/pdf/katjes/katjes-2024-annual-report.pdf#page=38</t>
        </is>
      </c>
      <c r="P589" s="3" t="inlineStr">
        <is>
          <t>https://vanillabonds.com/dossier.html?c=katjes&amp;viewer=1&amp;item=F588</t>
        </is>
      </c>
      <c r="Q589" s="2" t="inlineStr"/>
    </row>
    <row r="590">
      <c r="A590" s="2" t="inlineStr">
        <is>
          <t>F589</t>
        </is>
      </c>
      <c r="B590" s="2" t="inlineStr">
        <is>
          <t>management</t>
        </is>
      </c>
      <c r="C590" s="2" t="inlineStr">
        <is>
          <t>risk_policy</t>
        </is>
      </c>
      <c r="D590" s="3" t="inlineStr">
        <is>
          <t>Financial policy, stated and revealed: item (leverage target, dividend, hedging, cash held, acquisition funding); stated; realised; year</t>
        </is>
      </c>
      <c r="E590" s="2" t="n"/>
      <c r="F590" s="2" t="n"/>
      <c r="G590" s="2" t="n"/>
      <c r="H590" s="3" t="inlineStr">
        <is>
          <t>item: acquisition funding; stated: corporate bonds are the preferred instrument to finance acquisitions; realised: EUR 115m 6.75% bond placed September 2023; year: 2024</t>
        </is>
      </c>
      <c r="I590" s="2" t="inlineStr">
        <is>
          <t>S2</t>
        </is>
      </c>
      <c r="J590" s="2" t="n">
        <v>30</v>
      </c>
      <c r="K590" s="3" t="inlineStr">
        <is>
          <t>Katjes International generally uses corporate bonds as its pre- ferred instrument to finance acquisitions.</t>
        </is>
      </c>
      <c r="L590" s="2" t="inlineStr">
        <is>
          <t>ok</t>
        </is>
      </c>
      <c r="M590" s="2" t="inlineStr">
        <is>
          <t>demo reviewer</t>
        </is>
      </c>
      <c r="N590" s="2" t="n"/>
      <c r="O590" s="3" t="inlineStr">
        <is>
          <t>https://vanillabonds.com/dossier-data/pdf/katjes/katjes-2024-annual-report.pdf#page=30</t>
        </is>
      </c>
      <c r="P590" s="3" t="inlineStr">
        <is>
          <t>https://vanillabonds.com/dossier.html?c=katjes&amp;viewer=1&amp;item=F589</t>
        </is>
      </c>
      <c r="Q590" s="2" t="inlineStr"/>
    </row>
    <row r="591">
      <c r="A591" s="2" t="inlineStr">
        <is>
          <t>F590</t>
        </is>
      </c>
      <c r="B591" s="2" t="inlineStr">
        <is>
          <t>management</t>
        </is>
      </c>
      <c r="C591" s="2" t="inlineStr">
        <is>
          <t>risk_policy</t>
        </is>
      </c>
      <c r="D591" s="3" t="inlineStr">
        <is>
          <t>Financial policy, stated and revealed: item (leverage target, dividend, hedging, cash held, acquisition funding); stated; realised; year</t>
        </is>
      </c>
      <c r="E591" s="2" t="n"/>
      <c r="F591" s="2" t="n"/>
      <c r="G591" s="2" t="n"/>
      <c r="H591" s="3" t="inlineStr">
        <is>
          <t>item: cash held / operating funding; stated: ongoing operations financed through internal financing, factoring, bank loans and available credit lines; year: 2024</t>
        </is>
      </c>
      <c r="I591" s="2" t="inlineStr">
        <is>
          <t>S2</t>
        </is>
      </c>
      <c r="J591" s="2" t="n">
        <v>30</v>
      </c>
      <c r="K591" s="3" t="inlineStr">
        <is>
          <t>The Company primarily finances its ongoing operations through internal financing, factoring, bank loans, and available credit lines.</t>
        </is>
      </c>
      <c r="L591" s="2" t="inlineStr">
        <is>
          <t>ok</t>
        </is>
      </c>
      <c r="M591" s="2" t="inlineStr">
        <is>
          <t>demo reviewer</t>
        </is>
      </c>
      <c r="N591" s="2" t="n"/>
      <c r="O591" s="3" t="inlineStr">
        <is>
          <t>https://vanillabonds.com/dossier-data/pdf/katjes/katjes-2024-annual-report.pdf#page=30</t>
        </is>
      </c>
      <c r="P591" s="3" t="inlineStr">
        <is>
          <t>https://vanillabonds.com/dossier.html?c=katjes&amp;viewer=1&amp;item=F590</t>
        </is>
      </c>
      <c r="Q591" s="2" t="inlineStr"/>
    </row>
    <row r="592">
      <c r="A592" s="2" t="inlineStr">
        <is>
          <t>F591</t>
        </is>
      </c>
      <c r="B592" s="2" t="inlineStr">
        <is>
          <t>management</t>
        </is>
      </c>
      <c r="C592" s="2" t="inlineStr">
        <is>
          <t>risk_policy</t>
        </is>
      </c>
      <c r="D592" s="3" t="inlineStr">
        <is>
          <t>Financial policy, stated and revealed: item (leverage target, dividend, hedging, cash held, acquisition funding); stated; realised; year</t>
        </is>
      </c>
      <c r="E592" s="2" t="n"/>
      <c r="F592" s="2" t="n"/>
      <c r="G592" s="2" t="n"/>
      <c r="H592" s="3" t="inlineStr">
        <is>
          <t>item: hedging (interest); stated: interest rate swaps used to the extent deemed appropriate; realised: one swap with EUR 3.7m notional at end-2024; year: 2024</t>
        </is>
      </c>
      <c r="I592" s="2" t="inlineStr">
        <is>
          <t>S2</t>
        </is>
      </c>
      <c r="J592" s="2" t="n">
        <v>30</v>
      </c>
      <c r="K592" s="3" t="inlineStr">
        <is>
          <t>To hedge against potential interest rate risks, the Compa- ny uses derivatives (interest rate swaps) to the extent deemed appropriate from a risk management perspective.</t>
        </is>
      </c>
      <c r="L592" s="2" t="inlineStr">
        <is>
          <t>ok</t>
        </is>
      </c>
      <c r="M592" s="2" t="inlineStr">
        <is>
          <t>demo reviewer</t>
        </is>
      </c>
      <c r="N592" s="2" t="n"/>
      <c r="O592" s="3" t="inlineStr">
        <is>
          <t>https://vanillabonds.com/dossier-data/pdf/katjes/katjes-2024-annual-report.pdf#page=30</t>
        </is>
      </c>
      <c r="P592" s="3" t="inlineStr">
        <is>
          <t>https://vanillabonds.com/dossier.html?c=katjes&amp;viewer=1&amp;item=F591</t>
        </is>
      </c>
      <c r="Q592" s="2" t="inlineStr"/>
    </row>
    <row r="593">
      <c r="A593" s="2" t="inlineStr">
        <is>
          <t>F592</t>
        </is>
      </c>
      <c r="B593" s="2" t="inlineStr">
        <is>
          <t>management</t>
        </is>
      </c>
      <c r="C593" s="2" t="inlineStr">
        <is>
          <t>risk_policy</t>
        </is>
      </c>
      <c r="D593" s="3" t="inlineStr">
        <is>
          <t>Financial policy, stated and revealed: item (leverage target, dividend, hedging, cash held, acquisition funding); stated; realised; year</t>
        </is>
      </c>
      <c r="E593" s="2" t="n"/>
      <c r="F593" s="2" t="n"/>
      <c r="G593" s="2" t="n"/>
      <c r="H593" s="3" t="inlineStr">
        <is>
          <t>item: hedging (raw materials); stated: supplier agreements with terms of 3 to 24 months for sugar, glucose, cocoa, nuts, panthenol and energy; a permanent hedge is described as not feasible; year: 2024</t>
        </is>
      </c>
      <c r="I593" s="2" t="inlineStr">
        <is>
          <t>S2</t>
        </is>
      </c>
      <c r="J593" s="2" t="n">
        <v>57</v>
      </c>
      <c r="K593" s="3" t="inlineStr">
        <is>
          <t>The Group manages this risk by entering into supplier agreements, which typically have terms ranging from 3 to 24 months.</t>
        </is>
      </c>
      <c r="L593" s="2" t="inlineStr">
        <is>
          <t>ok</t>
        </is>
      </c>
      <c r="M593" s="2" t="inlineStr">
        <is>
          <t>demo reviewer</t>
        </is>
      </c>
      <c r="N593" s="2" t="n"/>
      <c r="O593" s="3" t="inlineStr">
        <is>
          <t>https://vanillabonds.com/dossier-data/pdf/katjes/katjes-2024-annual-report.pdf#page=57</t>
        </is>
      </c>
      <c r="P593" s="3" t="inlineStr">
        <is>
          <t>https://vanillabonds.com/dossier.html?c=katjes&amp;viewer=1&amp;item=F592</t>
        </is>
      </c>
      <c r="Q593" s="2" t="inlineStr"/>
    </row>
    <row r="594">
      <c r="A594" s="2" t="inlineStr">
        <is>
          <t>F593</t>
        </is>
      </c>
      <c r="B594" s="2" t="inlineStr">
        <is>
          <t>management</t>
        </is>
      </c>
      <c r="C594" s="2" t="inlineStr">
        <is>
          <t>risk_policy</t>
        </is>
      </c>
      <c r="D594" s="3" t="inlineStr">
        <is>
          <t>Financial policy, stated and revealed: item (leverage target, dividend, hedging, cash held, acquisition funding); stated; realised; year</t>
        </is>
      </c>
      <c r="E594" s="2" t="n"/>
      <c r="F594" s="2" t="n">
        <v>0.43</v>
      </c>
      <c r="G594" s="2" t="n"/>
      <c r="H594" s="3" t="inlineStr">
        <is>
          <t>item: leverage target; stated: capital monitored on net debt / total capital (net debt = total financial liabilities less cash); realised: 43% at end-2024 and end-2023; year: 2024</t>
        </is>
      </c>
      <c r="I594" s="2" t="inlineStr">
        <is>
          <t>S2</t>
        </is>
      </c>
      <c r="J594" s="2" t="n">
        <v>60</v>
      </c>
      <c r="K594" s="2" t="inlineStr">
        <is>
          <t>Leverage ratio 43% 43%</t>
        </is>
      </c>
      <c r="L594" s="2" t="inlineStr">
        <is>
          <t>ok</t>
        </is>
      </c>
      <c r="M594" s="2" t="inlineStr">
        <is>
          <t>demo reviewer</t>
        </is>
      </c>
      <c r="N594" s="2" t="n"/>
      <c r="O594" s="3" t="inlineStr">
        <is>
          <t>https://vanillabonds.com/dossier-data/pdf/katjes/katjes-2024-annual-report.pdf#page=60</t>
        </is>
      </c>
      <c r="P594" s="3" t="inlineStr">
        <is>
          <t>https://vanillabonds.com/dossier.html?c=katjes&amp;viewer=1&amp;item=F593</t>
        </is>
      </c>
      <c r="Q594" s="2" t="inlineStr"/>
    </row>
    <row r="595">
      <c r="A595" s="2" t="inlineStr">
        <is>
          <t>F594</t>
        </is>
      </c>
      <c r="B595" s="2" t="inlineStr">
        <is>
          <t>management</t>
        </is>
      </c>
      <c r="C595" s="2" t="inlineStr">
        <is>
          <t>insurance</t>
        </is>
      </c>
      <c r="D595" s="3" t="inlineStr">
        <is>
          <t>Insurance: cover (property, business interruption, key person, cyber, D&amp;O); insurer; sum; expiry</t>
        </is>
      </c>
      <c r="E595" s="2" t="n"/>
      <c r="F595" s="2" t="n"/>
      <c r="G595" s="2" t="n"/>
      <c r="H595" s="3" t="inlineStr">
        <is>
          <t>cover: insurance policies for potential damages from quality risks (product); insurer: not named; insurance expense 2024 EUR 0.8m (2023: 0.7)</t>
        </is>
      </c>
      <c r="I595" s="2" t="inlineStr">
        <is>
          <t>S2</t>
        </is>
      </c>
      <c r="J595" s="2" t="n">
        <v>37</v>
      </c>
      <c r="K595" s="3" t="inlineStr">
        <is>
          <t>In addition, insurance policies are in place to cover potential damages.</t>
        </is>
      </c>
      <c r="L595" s="2" t="inlineStr">
        <is>
          <t>ok</t>
        </is>
      </c>
      <c r="M595" s="2" t="inlineStr">
        <is>
          <t>demo reviewer</t>
        </is>
      </c>
      <c r="N595" s="2" t="n"/>
      <c r="O595" s="3" t="inlineStr">
        <is>
          <t>https://vanillabonds.com/dossier-data/pdf/katjes/katjes-2024-annual-report.pdf#page=37</t>
        </is>
      </c>
      <c r="P595" s="3" t="inlineStr">
        <is>
          <t>https://vanillabonds.com/dossier.html?c=katjes&amp;viewer=1&amp;item=F594</t>
        </is>
      </c>
      <c r="Q595" s="2" t="inlineStr"/>
    </row>
    <row r="596">
      <c r="A596" s="2" t="inlineStr">
        <is>
          <t>F595</t>
        </is>
      </c>
      <c r="B596" s="2" t="inlineStr">
        <is>
          <t>management</t>
        </is>
      </c>
      <c r="C596" s="2" t="inlineStr">
        <is>
          <t>insurance</t>
        </is>
      </c>
      <c r="D596" s="3" t="inlineStr">
        <is>
          <t>Insurance: cover (property, business interruption, key person, cyber, D&amp;O); insurer; sum; expiry</t>
        </is>
      </c>
      <c r="E596" s="2" t="n"/>
      <c r="F596" s="2" t="n"/>
      <c r="G596" s="2" t="n"/>
      <c r="H596" s="3" t="inlineStr">
        <is>
          <t>cover: credit insurance on receivables (in certain cases); insurer: not named</t>
        </is>
      </c>
      <c r="I596" s="2" t="inlineStr">
        <is>
          <t>S2</t>
        </is>
      </c>
      <c r="J596" s="2" t="n">
        <v>58</v>
      </c>
      <c r="K596" s="3" t="inlineStr">
        <is>
          <t>In certain cases, credit insurance is also taken out for receivables.</t>
        </is>
      </c>
      <c r="L596" s="2" t="inlineStr">
        <is>
          <t>ok</t>
        </is>
      </c>
      <c r="M596" s="2" t="inlineStr">
        <is>
          <t>demo reviewer</t>
        </is>
      </c>
      <c r="N596" s="2" t="n"/>
      <c r="O596" s="3" t="inlineStr">
        <is>
          <t>https://vanillabonds.com/dossier-data/pdf/katjes/katjes-2024-annual-report.pdf#page=58</t>
        </is>
      </c>
      <c r="P596" s="3" t="inlineStr">
        <is>
          <t>https://vanillabonds.com/dossier.html?c=katjes&amp;viewer=1&amp;item=F595</t>
        </is>
      </c>
      <c r="Q596" s="2" t="inlineStr"/>
    </row>
    <row r="597">
      <c r="A597" s="2" t="inlineStr">
        <is>
          <t>F596</t>
        </is>
      </c>
      <c r="B597" s="2" t="inlineStr">
        <is>
          <t>management</t>
        </is>
      </c>
      <c r="C597" s="2" t="inlineStr">
        <is>
          <t>remuneration</t>
        </is>
      </c>
      <c r="D597" s="3" t="inlineStr">
        <is>
          <t>Remuneration as disclosed in the filed accounts: person or body; amount; year</t>
        </is>
      </c>
      <c r="E597" s="2" t="inlineStr">
        <is>
          <t>FY2024</t>
        </is>
      </c>
      <c r="F597" s="2" t="n">
        <v>0.3</v>
      </c>
      <c r="G597" s="2" t="n"/>
      <c r="H597" s="3" t="inlineStr">
        <is>
          <t>person or body: general partner Xaver Fassin International GmbH (total remuneration paid to the management); amount: 0.3; year: 2024 (2023: 0.3); remuneration of executive bodies beyond this is not disclosed under section 286 (4) HGB</t>
        </is>
      </c>
      <c r="I597" s="2" t="inlineStr">
        <is>
          <t>S2</t>
        </is>
      </c>
      <c r="J597" s="2" t="n">
        <v>80</v>
      </c>
      <c r="K597" s="3" t="inlineStr">
        <is>
          <t>*Remuneration paid to the general partner.</t>
        </is>
      </c>
      <c r="L597" s="2" t="inlineStr">
        <is>
          <t>ok</t>
        </is>
      </c>
      <c r="M597" s="2" t="inlineStr">
        <is>
          <t>demo reviewer</t>
        </is>
      </c>
      <c r="N597" s="2" t="n"/>
      <c r="O597" s="3" t="inlineStr">
        <is>
          <t>https://vanillabonds.com/dossier-data/pdf/katjes/katjes-2024-annual-report.pdf#page=80</t>
        </is>
      </c>
      <c r="P597" s="3" t="inlineStr">
        <is>
          <t>https://vanillabonds.com/dossier.html?c=katjes&amp;viewer=1&amp;item=F596</t>
        </is>
      </c>
      <c r="Q597" s="2" t="inlineStr"/>
    </row>
    <row r="598">
      <c r="A598" s="2" t="inlineStr">
        <is>
          <t>F597</t>
        </is>
      </c>
      <c r="B598" s="2" t="inlineStr">
        <is>
          <t>plan</t>
        </is>
      </c>
      <c r="C598" s="2" t="inlineStr">
        <is>
          <t>plan_variable</t>
        </is>
      </c>
      <c r="D598" s="3" t="inlineStr">
        <is>
          <t>Plan claim as a variable: variable; value; year; reference_class; n; median; spread; percentile; source</t>
        </is>
      </c>
      <c r="E598" s="2" t="n"/>
      <c r="F598" s="2" t="n"/>
      <c r="G598" s="2" t="n"/>
      <c r="H598" s="3" t="inlineStr">
        <is>
          <t>variable: EBITDA margin; value: 0.09–0.10; year: 2025; source: management forecast report</t>
        </is>
      </c>
      <c r="I598" s="2" t="inlineStr">
        <is>
          <t>S2</t>
        </is>
      </c>
      <c r="J598" s="2" t="n">
        <v>38</v>
      </c>
      <c r="K598" s="3" t="inlineStr">
        <is>
          <t>International is targeting an EBITDA margin between 9% and 10% in 2025.</t>
        </is>
      </c>
      <c r="L598" s="2" t="inlineStr">
        <is>
          <t>ok</t>
        </is>
      </c>
      <c r="M598" s="2" t="inlineStr">
        <is>
          <t>demo reviewer</t>
        </is>
      </c>
      <c r="N598" s="2" t="n"/>
      <c r="O598" s="3" t="inlineStr">
        <is>
          <t>https://vanillabonds.com/dossier-data/pdf/katjes/katjes-2024-annual-report.pdf#page=38</t>
        </is>
      </c>
      <c r="P598" s="3" t="inlineStr">
        <is>
          <t>https://vanillabonds.com/dossier.html?c=katjes&amp;viewer=1&amp;item=F597</t>
        </is>
      </c>
      <c r="Q598" s="2" t="inlineStr"/>
    </row>
    <row r="599">
      <c r="A599" s="2" t="inlineStr">
        <is>
          <t>F598</t>
        </is>
      </c>
      <c r="B599" s="2" t="inlineStr">
        <is>
          <t>plan</t>
        </is>
      </c>
      <c r="C599" s="2" t="inlineStr">
        <is>
          <t>plan_variable</t>
        </is>
      </c>
      <c r="D599" s="3" t="inlineStr">
        <is>
          <t>Plan claim as a variable: variable; value; year; reference_class; n; median; spread; percentile; source</t>
        </is>
      </c>
      <c r="E599" s="2" t="n"/>
      <c r="F599" s="2" t="n">
        <v>0.1</v>
      </c>
      <c r="G599" s="2" t="n"/>
      <c r="H599" s="3" t="inlineStr">
        <is>
          <t>variable: average EBITDA margin (mid-term goal); value: at least 0.10; year: mid-term; source: management forecast report</t>
        </is>
      </c>
      <c r="I599" s="2" t="inlineStr">
        <is>
          <t>S2</t>
        </is>
      </c>
      <c r="J599" s="2" t="n">
        <v>38</v>
      </c>
      <c r="K599" s="3" t="inlineStr">
        <is>
          <t>The mid-term goal remains to sustainably achieve an average EBITDA margin of at least 10%.</t>
        </is>
      </c>
      <c r="L599" s="2" t="inlineStr">
        <is>
          <t>ok</t>
        </is>
      </c>
      <c r="M599" s="2" t="inlineStr">
        <is>
          <t>demo reviewer</t>
        </is>
      </c>
      <c r="N599" s="2" t="n"/>
      <c r="O599" s="3" t="inlineStr">
        <is>
          <t>https://vanillabonds.com/dossier-data/pdf/katjes/katjes-2024-annual-report.pdf#page=38</t>
        </is>
      </c>
      <c r="P599" s="3" t="inlineStr">
        <is>
          <t>https://vanillabonds.com/dossier.html?c=katjes&amp;viewer=1&amp;item=F598</t>
        </is>
      </c>
      <c r="Q599" s="2" t="inlineStr"/>
    </row>
    <row r="600">
      <c r="A600" s="2" t="inlineStr">
        <is>
          <t>F599</t>
        </is>
      </c>
      <c r="B600" s="2" t="inlineStr">
        <is>
          <t>structure</t>
        </is>
      </c>
      <c r="C600" s="2" t="inlineStr">
        <is>
          <t>security_asset</t>
        </is>
      </c>
      <c r="D600" s="3" t="inlineStr">
        <is>
          <t>Security asset: asset; book value; encumbrance (register); insured (yes / no); register</t>
        </is>
      </c>
      <c r="E600" s="2" t="n"/>
      <c r="F600" s="2" t="n">
        <v>68.5</v>
      </c>
      <c r="G600" s="2" t="n"/>
      <c r="H600" s="3" t="inlineStr">
        <is>
          <t>asset: land, land rights and buildings incl. buildings on third-party land; book value: 68.5 (2023: 70.2); encumbrance: not stated</t>
        </is>
      </c>
      <c r="I600" s="2" t="inlineStr">
        <is>
          <t>S2</t>
        </is>
      </c>
      <c r="J600" s="2" t="n">
        <v>84</v>
      </c>
      <c r="K600" s="3" t="inlineStr">
        <is>
          <t>4.Land, land rights and buildings, including buildings on third-party land 84.7 1.0 0.0 0.0 85.7 14.4 2.7 0.0 17.2 68.5 70.2</t>
        </is>
      </c>
      <c r="L600" s="2" t="inlineStr">
        <is>
          <t>ok</t>
        </is>
      </c>
      <c r="M600" s="2" t="inlineStr">
        <is>
          <t>demo reviewer</t>
        </is>
      </c>
      <c r="N600" s="2" t="n"/>
      <c r="O600" s="3" t="inlineStr">
        <is>
          <t>https://vanillabonds.com/dossier-data/pdf/katjes/katjes-2024-annual-report.pdf#page=84</t>
        </is>
      </c>
      <c r="P600" s="3" t="inlineStr">
        <is>
          <t>https://vanillabonds.com/dossier.html?c=katjes&amp;viewer=1&amp;item=F599</t>
        </is>
      </c>
      <c r="Q600" s="2" t="inlineStr"/>
    </row>
    <row r="601">
      <c r="A601" s="2" t="inlineStr">
        <is>
          <t>F600</t>
        </is>
      </c>
      <c r="B601" s="2" t="inlineStr">
        <is>
          <t>structure</t>
        </is>
      </c>
      <c r="C601" s="2" t="inlineStr">
        <is>
          <t>security_asset</t>
        </is>
      </c>
      <c r="D601" s="3" t="inlineStr">
        <is>
          <t>Security asset: asset; book value; encumbrance (register); insured (yes / no); register</t>
        </is>
      </c>
      <c r="E601" s="2" t="n"/>
      <c r="F601" s="2" t="n">
        <v>46.9</v>
      </c>
      <c r="G601" s="2" t="n"/>
      <c r="H601" s="3" t="inlineStr">
        <is>
          <t>asset: technical equipment and machinery, other equipment, operating and office equipment; book value: 46.9 (2023: 49.5); encumbrance: not stated</t>
        </is>
      </c>
      <c r="I601" s="2" t="inlineStr">
        <is>
          <t>S2</t>
        </is>
      </c>
      <c r="J601" s="2" t="n">
        <v>84</v>
      </c>
      <c r="K601" s="3" t="inlineStr">
        <is>
          <t>114.6 5.1 0.5 -1.6 118.6 65.1 7.1 -0.5 71.7 46.9 49.5</t>
        </is>
      </c>
      <c r="L601" s="2" t="inlineStr">
        <is>
          <t>ok</t>
        </is>
      </c>
      <c r="M601" s="2" t="inlineStr">
        <is>
          <t>demo reviewer</t>
        </is>
      </c>
      <c r="N601" s="2" t="n"/>
      <c r="O601" s="3" t="inlineStr">
        <is>
          <t>https://vanillabonds.com/dossier-data/pdf/katjes/katjes-2024-annual-report.pdf#page=84</t>
        </is>
      </c>
      <c r="P601" s="3" t="inlineStr">
        <is>
          <t>https://vanillabonds.com/dossier.html?c=katjes&amp;viewer=1&amp;item=F600</t>
        </is>
      </c>
      <c r="Q601" s="2" t="inlineStr"/>
    </row>
    <row r="602">
      <c r="A602" s="2" t="inlineStr">
        <is>
          <t>F601</t>
        </is>
      </c>
      <c r="B602" s="2" t="inlineStr">
        <is>
          <t>structure</t>
        </is>
      </c>
      <c r="C602" s="2" t="inlineStr">
        <is>
          <t>appraisal</t>
        </is>
      </c>
      <c r="D602" s="3" t="inlineStr">
        <is>
          <t>Appraisal: asset; date; appraiser; method; value</t>
        </is>
      </c>
      <c r="E602" s="2" t="n"/>
      <c r="F602" s="2" t="n">
        <v>6</v>
      </c>
      <c r="G602" s="2" t="n"/>
      <c r="H602" s="3" t="inlineStr">
        <is>
          <t>asset: Piasten brand; date: 2014 (initial consolidation); method: relief-from-royalty, royalty 2.0%, discount 7.5%, 40-year life; value: 6.0</t>
        </is>
      </c>
      <c r="I602" s="2" t="inlineStr">
        <is>
          <t>S2</t>
        </is>
      </c>
      <c r="J602" s="2" t="n">
        <v>62</v>
      </c>
      <c r="K602" s="3" t="inlineStr">
        <is>
          <t>The assumed royalty was 2.0%. The discount rate was 7.5% and the useful life was 40 years. The brand value calculated using this method amounted to EUR 6.0 million.</t>
        </is>
      </c>
      <c r="L602" s="2" t="inlineStr">
        <is>
          <t>ok</t>
        </is>
      </c>
      <c r="M602" s="2" t="inlineStr">
        <is>
          <t>demo reviewer</t>
        </is>
      </c>
      <c r="N602" s="2" t="n"/>
      <c r="O602" s="3" t="inlineStr">
        <is>
          <t>https://vanillabonds.com/dossier-data/pdf/katjes/katjes-2024-annual-report.pdf#page=62</t>
        </is>
      </c>
      <c r="P602" s="3" t="inlineStr">
        <is>
          <t>https://vanillabonds.com/dossier.html?c=katjes&amp;viewer=1&amp;item=F601</t>
        </is>
      </c>
      <c r="Q602" s="2" t="inlineStr"/>
    </row>
    <row r="603">
      <c r="A603" s="2" t="inlineStr">
        <is>
          <t>F602</t>
        </is>
      </c>
      <c r="B603" s="2" t="inlineStr">
        <is>
          <t>structure</t>
        </is>
      </c>
      <c r="C603" s="2" t="inlineStr">
        <is>
          <t>appraisal</t>
        </is>
      </c>
      <c r="D603" s="3" t="inlineStr">
        <is>
          <t>Appraisal: asset; date; appraiser; method; value</t>
        </is>
      </c>
      <c r="E603" s="2" t="n"/>
      <c r="F603" s="2" t="n">
        <v>4.9</v>
      </c>
      <c r="G603" s="2" t="n"/>
      <c r="H603" s="3" t="inlineStr">
        <is>
          <t>asset: Harlekĳntjes brand; date: 2016 (initial consolidation); method: relief-from-royalty, royalty 6.0%, discount 6.3%, indefinite life; value: 4.9</t>
        </is>
      </c>
      <c r="I603" s="2" t="inlineStr">
        <is>
          <t>S2</t>
        </is>
      </c>
      <c r="J603" s="2" t="n">
        <v>62</v>
      </c>
      <c r="K603" s="3" t="inlineStr">
        <is>
          <t>The assumed royalty is 6.0%. The discount rate is 6.3%. The useful life is indefinite due to the strength of the brand. The brand value calculated using this method amounted to EUR 4.9 million.</t>
        </is>
      </c>
      <c r="L603" s="2" t="inlineStr">
        <is>
          <t>ok</t>
        </is>
      </c>
      <c r="M603" s="2" t="inlineStr">
        <is>
          <t>demo reviewer</t>
        </is>
      </c>
      <c r="N603" s="2" t="n"/>
      <c r="O603" s="3" t="inlineStr">
        <is>
          <t>https://vanillabonds.com/dossier-data/pdf/katjes/katjes-2024-annual-report.pdf#page=62</t>
        </is>
      </c>
      <c r="P603" s="3" t="inlineStr">
        <is>
          <t>https://vanillabonds.com/dossier.html?c=katjes&amp;viewer=1&amp;item=F602</t>
        </is>
      </c>
      <c r="Q603" s="2" t="inlineStr"/>
    </row>
    <row r="604">
      <c r="A604" s="2" t="inlineStr">
        <is>
          <t>F603</t>
        </is>
      </c>
      <c r="B604" s="2" t="inlineStr">
        <is>
          <t>structure</t>
        </is>
      </c>
      <c r="C604" s="2" t="inlineStr">
        <is>
          <t>appraisal</t>
        </is>
      </c>
      <c r="D604" s="3" t="inlineStr">
        <is>
          <t>Appraisal: asset; date; appraiser; method; value</t>
        </is>
      </c>
      <c r="E604" s="2" t="n"/>
      <c r="F604" s="2" t="n">
        <v>22.9</v>
      </c>
      <c r="G604" s="2" t="n"/>
      <c r="H604" s="3" t="inlineStr">
        <is>
          <t>asset: Sperlari brands; date: 2017 (initial consolidation); appraiser: not named (purchase price allocation); method: relief-from-royalty, royalty 3.5%, discount rate 6.4%, 40-year life; value: 22.9</t>
        </is>
      </c>
      <c r="I604" s="2" t="inlineStr">
        <is>
          <t>S2</t>
        </is>
      </c>
      <c r="J604" s="2" t="n">
        <v>63</v>
      </c>
      <c r="K604" s="3" t="inlineStr">
        <is>
          <t>The assumed royalty was 3.5% and the discount rate was 6.4%. The useful life is 40 years. The brand value calculated using this method amounted to EUR 22.9 million.</t>
        </is>
      </c>
      <c r="L604" s="2" t="inlineStr">
        <is>
          <t>ok</t>
        </is>
      </c>
      <c r="M604" s="2" t="inlineStr">
        <is>
          <t>demo reviewer</t>
        </is>
      </c>
      <c r="N604" s="2" t="n"/>
      <c r="O604" s="3" t="inlineStr">
        <is>
          <t>https://vanillabonds.com/dossier-data/pdf/katjes/katjes-2024-annual-report.pdf#page=63</t>
        </is>
      </c>
      <c r="P604" s="3" t="inlineStr">
        <is>
          <t>https://vanillabonds.com/dossier.html?c=katjes&amp;viewer=1&amp;item=F603</t>
        </is>
      </c>
      <c r="Q604" s="2" t="inlineStr"/>
    </row>
    <row r="605">
      <c r="A605" s="2" t="inlineStr">
        <is>
          <t>F604</t>
        </is>
      </c>
      <c r="B605" s="2" t="inlineStr">
        <is>
          <t>structure</t>
        </is>
      </c>
      <c r="C605" s="2" t="inlineStr">
        <is>
          <t>appraisal</t>
        </is>
      </c>
      <c r="D605" s="3" t="inlineStr">
        <is>
          <t>Appraisal: asset; date; appraiser; method; value</t>
        </is>
      </c>
      <c r="E605" s="2" t="n"/>
      <c r="F605" s="2" t="n">
        <v>23.8</v>
      </c>
      <c r="G605" s="2" t="n"/>
      <c r="H605" s="3" t="inlineStr">
        <is>
          <t>asset: oral care brands (Theramed, Vademecum, Antica Erboristeria, Licor del Polo, Denivit); date: 2022 (initial consolidation); method: relief-from-royalty, royalty 4.0%, discount 5.7%, 40-year life; value: 23.8</t>
        </is>
      </c>
      <c r="I605" s="2" t="inlineStr">
        <is>
          <t>S2</t>
        </is>
      </c>
      <c r="J605" s="2" t="n">
        <v>63</v>
      </c>
      <c r="K605" s="3" t="inlineStr">
        <is>
          <t>sumed royalty was 4.0% and the discount rate was 5.7%. The useful life is 40 years. The brand value calculated using this me- thod amounted to EUR 23.8 million.</t>
        </is>
      </c>
      <c r="L605" s="2" t="inlineStr">
        <is>
          <t>ok</t>
        </is>
      </c>
      <c r="M605" s="2" t="inlineStr">
        <is>
          <t>demo reviewer</t>
        </is>
      </c>
      <c r="N605" s="2" t="n"/>
      <c r="O605" s="3" t="inlineStr">
        <is>
          <t>https://vanillabonds.com/dossier-data/pdf/katjes/katjes-2024-annual-report.pdf#page=63</t>
        </is>
      </c>
      <c r="P605" s="3" t="inlineStr">
        <is>
          <t>https://vanillabonds.com/dossier.html?c=katjes&amp;viewer=1&amp;item=F604</t>
        </is>
      </c>
      <c r="Q605" s="2" t="inlineStr"/>
    </row>
    <row r="606">
      <c r="A606" s="2" t="inlineStr">
        <is>
          <t>F605</t>
        </is>
      </c>
      <c r="B606" s="2" t="inlineStr">
        <is>
          <t>structure</t>
        </is>
      </c>
      <c r="C606" s="2" t="inlineStr">
        <is>
          <t>appraisal</t>
        </is>
      </c>
      <c r="D606" s="3" t="inlineStr">
        <is>
          <t>Appraisal: asset; date; appraiser; method; value</t>
        </is>
      </c>
      <c r="E606" s="2" t="n"/>
      <c r="F606" s="2" t="n">
        <v>22.5</v>
      </c>
      <c r="G606" s="2" t="n"/>
      <c r="H606" s="3" t="inlineStr">
        <is>
          <t>asset: Bübchen brand; date: 2021 (initial consolidation); method: relief-from-royalty, royalty 4.0%, discount 5.0%, 40-year life; value: 22.5</t>
        </is>
      </c>
      <c r="I606" s="2" t="inlineStr">
        <is>
          <t>S2</t>
        </is>
      </c>
      <c r="J606" s="2" t="n">
        <v>63</v>
      </c>
      <c r="K606" s="3" t="inlineStr">
        <is>
          <t>count rate was 5.0%. The useful life is 40 years. The brand va- lue calculated using this method amounted to EUR 22.5 million.</t>
        </is>
      </c>
      <c r="L606" s="2" t="inlineStr">
        <is>
          <t>ok</t>
        </is>
      </c>
      <c r="M606" s="2" t="inlineStr">
        <is>
          <t>demo reviewer</t>
        </is>
      </c>
      <c r="N606" s="2" t="n"/>
      <c r="O606" s="3" t="inlineStr">
        <is>
          <t>https://vanillabonds.com/dossier-data/pdf/katjes/katjes-2024-annual-report.pdf#page=63</t>
        </is>
      </c>
      <c r="P606" s="3" t="inlineStr">
        <is>
          <t>https://vanillabonds.com/dossier.html?c=katjes&amp;viewer=1&amp;item=F605</t>
        </is>
      </c>
      <c r="Q606" s="2" t="inlineStr"/>
    </row>
    <row r="607">
      <c r="A607" s="2" t="inlineStr">
        <is>
          <t>F606</t>
        </is>
      </c>
      <c r="B607" s="2" t="inlineStr">
        <is>
          <t>structure</t>
        </is>
      </c>
      <c r="C607" s="2" t="inlineStr">
        <is>
          <t>appraisal</t>
        </is>
      </c>
      <c r="D607" s="3" t="inlineStr">
        <is>
          <t>Appraisal: asset; date; appraiser; method; value</t>
        </is>
      </c>
      <c r="E607" s="2" t="n"/>
      <c r="F607" s="2" t="n">
        <v>9.800000000000001</v>
      </c>
      <c r="G607" s="2" t="n"/>
      <c r="H607" s="3" t="inlineStr">
        <is>
          <t>asset: Candy Kittens brand; date: 2021 (initial consolidation); method: relief-from-royalty, royalty 6%, discount 8.3%, indefinite life; value: 9.8</t>
        </is>
      </c>
      <c r="I607" s="2" t="inlineStr">
        <is>
          <t>S2</t>
        </is>
      </c>
      <c r="J607" s="2" t="n">
        <v>63</v>
      </c>
      <c r="K607" s="3" t="inlineStr">
        <is>
          <t>The useful life is indefinite due to the strength of the brand. The brand value calculated using this method amounted to EUR 9.8 million.</t>
        </is>
      </c>
      <c r="L607" s="2" t="inlineStr">
        <is>
          <t>ok</t>
        </is>
      </c>
      <c r="M607" s="2" t="inlineStr">
        <is>
          <t>demo reviewer</t>
        </is>
      </c>
      <c r="N607" s="2" t="n"/>
      <c r="O607" s="3" t="inlineStr">
        <is>
          <t>https://vanillabonds.com/dossier-data/pdf/katjes/katjes-2024-annual-report.pdf#page=63</t>
        </is>
      </c>
      <c r="P607" s="3" t="inlineStr">
        <is>
          <t>https://vanillabonds.com/dossier.html?c=katjes&amp;viewer=1&amp;item=F606</t>
        </is>
      </c>
      <c r="Q607" s="2" t="inlineStr"/>
    </row>
    <row r="608">
      <c r="A608" s="2" t="inlineStr">
        <is>
          <t>F607</t>
        </is>
      </c>
      <c r="B608" s="2" t="inlineStr">
        <is>
          <t>structure</t>
        </is>
      </c>
      <c r="C608" s="2" t="inlineStr">
        <is>
          <t>appraisal</t>
        </is>
      </c>
      <c r="D608" s="3" t="inlineStr">
        <is>
          <t>Appraisal: asset; date; appraiser; method; value</t>
        </is>
      </c>
      <c r="E608" s="2" t="n"/>
      <c r="F608" s="2" t="n">
        <v>7.7</v>
      </c>
      <c r="G608" s="2" t="n"/>
      <c r="H608" s="3" t="inlineStr">
        <is>
          <t>asset: Dallmann’s brand; date: 2012 (initial consolidation); method: relief-from-royalty, royalty 9.5%, discount 8.4%, indefinite life; value: 7.7</t>
        </is>
      </c>
      <c r="I608" s="2" t="inlineStr">
        <is>
          <t>S2</t>
        </is>
      </c>
      <c r="J608" s="2" t="n">
        <v>63</v>
      </c>
      <c r="K608" s="3" t="inlineStr">
        <is>
          <t>brand. The brand value calculated using this method amounted to EUR 7.7 million.</t>
        </is>
      </c>
      <c r="L608" s="2" t="inlineStr">
        <is>
          <t>ok</t>
        </is>
      </c>
      <c r="M608" s="2" t="inlineStr">
        <is>
          <t>demo reviewer</t>
        </is>
      </c>
      <c r="N608" s="2" t="n"/>
      <c r="O608" s="3" t="inlineStr">
        <is>
          <t>https://vanillabonds.com/dossier-data/pdf/katjes/katjes-2024-annual-report.pdf#page=63</t>
        </is>
      </c>
      <c r="P608" s="3" t="inlineStr">
        <is>
          <t>https://vanillabonds.com/dossier.html?c=katjes&amp;viewer=1&amp;item=F607</t>
        </is>
      </c>
      <c r="Q608" s="2" t="inlineStr"/>
    </row>
    <row r="609">
      <c r="A609" s="2" t="inlineStr">
        <is>
          <t>F608</t>
        </is>
      </c>
      <c r="B609" s="2" t="inlineStr">
        <is>
          <t>structure</t>
        </is>
      </c>
      <c r="C609" s="2" t="inlineStr">
        <is>
          <t>appraisal</t>
        </is>
      </c>
      <c r="D609" s="3" t="inlineStr">
        <is>
          <t>Appraisal: asset; date; appraiser; method; value</t>
        </is>
      </c>
      <c r="E609" s="2" t="n"/>
      <c r="F609" s="2" t="n">
        <v>7.6</v>
      </c>
      <c r="G609" s="2" t="n"/>
      <c r="H609" s="3" t="inlineStr">
        <is>
          <t>asset: Dulcioliva brand; date: 2021 (initial consolidation); method: relief-from-royalty, royalty 5.0%, discount 4.0%, 40-year life; value: 7.6</t>
        </is>
      </c>
      <c r="I609" s="2" t="inlineStr">
        <is>
          <t>S2</t>
        </is>
      </c>
      <c r="J609" s="2" t="n">
        <v>63</v>
      </c>
      <c r="K609" s="3" t="inlineStr">
        <is>
          <t>count rate was 4.0%. The useful life is 40 years. The brand va- lue calculated using this method amounted to EUR 7.6 million.</t>
        </is>
      </c>
      <c r="L609" s="2" t="inlineStr">
        <is>
          <t>ok</t>
        </is>
      </c>
      <c r="M609" s="2" t="inlineStr">
        <is>
          <t>demo reviewer</t>
        </is>
      </c>
      <c r="N609" s="2" t="n"/>
      <c r="O609" s="3" t="inlineStr">
        <is>
          <t>https://vanillabonds.com/dossier-data/pdf/katjes/katjes-2024-annual-report.pdf#page=63</t>
        </is>
      </c>
      <c r="P609" s="3" t="inlineStr">
        <is>
          <t>https://vanillabonds.com/dossier.html?c=katjes&amp;viewer=1&amp;item=F608</t>
        </is>
      </c>
      <c r="Q609" s="2" t="inlineStr"/>
    </row>
    <row r="610">
      <c r="A610" s="2" t="inlineStr">
        <is>
          <t>F609</t>
        </is>
      </c>
      <c r="B610" s="2" t="inlineStr">
        <is>
          <t>structure</t>
        </is>
      </c>
      <c r="C610" s="2" t="inlineStr">
        <is>
          <t>appraisal</t>
        </is>
      </c>
      <c r="D610" s="3" t="inlineStr">
        <is>
          <t>Appraisal: asset; date; appraiser; method; value</t>
        </is>
      </c>
      <c r="E610" s="2" t="n"/>
      <c r="F610" s="2" t="n">
        <v>7.1</v>
      </c>
      <c r="G610" s="2" t="n"/>
      <c r="H610" s="3" t="inlineStr">
        <is>
          <t>asset: Paluani brand; date: 2022 (initial consolidation); method: relief-from-royalty, royalty 3.5%, discount 5.9%, 40-year life; value: 7.1</t>
        </is>
      </c>
      <c r="I610" s="2" t="inlineStr">
        <is>
          <t>S2</t>
        </is>
      </c>
      <c r="J610" s="2" t="n">
        <v>63</v>
      </c>
      <c r="K610" s="3" t="inlineStr">
        <is>
          <t>count rate was 5.9%. The useful life is 40 years. The brand va- lue calculated using this method amounted to EUR 7.1 million.</t>
        </is>
      </c>
      <c r="L610" s="2" t="inlineStr">
        <is>
          <t>ok</t>
        </is>
      </c>
      <c r="M610" s="2" t="inlineStr">
        <is>
          <t>demo reviewer</t>
        </is>
      </c>
      <c r="N610" s="2" t="n"/>
      <c r="O610" s="3" t="inlineStr">
        <is>
          <t>https://vanillabonds.com/dossier-data/pdf/katjes/katjes-2024-annual-report.pdf#page=63</t>
        </is>
      </c>
      <c r="P610" s="3" t="inlineStr">
        <is>
          <t>https://vanillabonds.com/dossier.html?c=katjes&amp;viewer=1&amp;item=F609</t>
        </is>
      </c>
      <c r="Q610" s="2" t="inlineStr"/>
    </row>
    <row r="611">
      <c r="A611" s="2" t="inlineStr">
        <is>
          <t>F610</t>
        </is>
      </c>
      <c r="B611" s="2" t="inlineStr">
        <is>
          <t>compliance</t>
        </is>
      </c>
      <c r="C611" s="2" t="inlineStr">
        <is>
          <t>litigation_item</t>
        </is>
      </c>
      <c r="D611" s="3" t="inlineStr">
        <is>
          <t>Litigation, insolvency, fine or tax dispute: register; case; date; amount; status</t>
        </is>
      </c>
      <c r="E611" s="2" t="n"/>
      <c r="F611" s="2" t="n"/>
      <c r="G611" s="2" t="n"/>
      <c r="H611" s="3" t="inlineStr">
        <is>
          <t>register: company statement; case: legal case decided in the Group’s favour; date: 2024; amount: not disclosed (income in other operating result); status: closed</t>
        </is>
      </c>
      <c r="I611" s="2" t="inlineStr">
        <is>
          <t>S2</t>
        </is>
      </c>
      <c r="J611" s="2" t="n">
        <v>75</v>
      </c>
      <c r="K611" s="3" t="inlineStr">
        <is>
          <t>it also includes income from a legal case that was decided in the Group’s favor.</t>
        </is>
      </c>
      <c r="L611" s="2" t="inlineStr">
        <is>
          <t>ok</t>
        </is>
      </c>
      <c r="M611" s="2" t="inlineStr">
        <is>
          <t>demo reviewer</t>
        </is>
      </c>
      <c r="N611" s="2" t="n"/>
      <c r="O611" s="3" t="inlineStr">
        <is>
          <t>https://vanillabonds.com/dossier-data/pdf/katjes/katjes-2024-annual-report.pdf#page=75</t>
        </is>
      </c>
      <c r="P611" s="3" t="inlineStr">
        <is>
          <t>https://vanillabonds.com/dossier.html?c=katjes&amp;viewer=1&amp;item=F610</t>
        </is>
      </c>
      <c r="Q611" s="2" t="inlineStr"/>
    </row>
    <row r="612">
      <c r="A612" s="2" t="inlineStr">
        <is>
          <t>F611</t>
        </is>
      </c>
      <c r="B612" s="2" t="inlineStr">
        <is>
          <t>compliance</t>
        </is>
      </c>
      <c r="C612" s="2" t="inlineStr">
        <is>
          <t>litigation_item</t>
        </is>
      </c>
      <c r="D612" s="3" t="inlineStr">
        <is>
          <t>Litigation, insolvency, fine or tax dispute: register; case; date; amount; status</t>
        </is>
      </c>
      <c r="E612" s="2" t="n"/>
      <c r="F612" s="2" t="n"/>
      <c r="G612" s="2" t="n"/>
      <c r="H612" s="3" t="inlineStr">
        <is>
          <t>register: company statement; case: no current or foreseeable legal or arbitration proceedings as defendant with significant influence, nor within the last two years; status: provisions set up at the relevant group company for other proceedings</t>
        </is>
      </c>
      <c r="I612" s="2" t="inlineStr">
        <is>
          <t>S2</t>
        </is>
      </c>
      <c r="J612" s="2" t="n">
        <v>79</v>
      </c>
      <c r="K612" s="3" t="inlineStr">
        <is>
          <t>not involved as a defendant in current or foreseeable legal or arbitration proceedings that could have a significant influence</t>
        </is>
      </c>
      <c r="L612" s="2" t="inlineStr">
        <is>
          <t>ok</t>
        </is>
      </c>
      <c r="M612" s="2" t="inlineStr">
        <is>
          <t>demo reviewer</t>
        </is>
      </c>
      <c r="N612" s="2" t="n"/>
      <c r="O612" s="3" t="inlineStr">
        <is>
          <t>https://vanillabonds.com/dossier-data/pdf/katjes/katjes-2024-annual-report.pdf#page=79</t>
        </is>
      </c>
      <c r="P612" s="3" t="inlineStr">
        <is>
          <t>https://vanillabonds.com/dossier.html?c=katjes&amp;viewer=1&amp;item=F611</t>
        </is>
      </c>
      <c r="Q612" s="2" t="inlineStr"/>
    </row>
    <row r="613">
      <c r="A613" s="2" t="inlineStr">
        <is>
          <t>F612</t>
        </is>
      </c>
      <c r="B613" s="2" t="inlineStr">
        <is>
          <t>compliance</t>
        </is>
      </c>
      <c r="C613" s="2" t="inlineStr">
        <is>
          <t>esg_fact</t>
        </is>
      </c>
      <c r="D613" s="3" t="inlineStr">
        <is>
          <t>ESG fact: item (CSRD / VSME status, energy, emissions, taxonomy, permit, incident, labour); value; year; source</t>
        </is>
      </c>
      <c r="E613" s="2" t="n"/>
      <c r="F613" s="2" t="n"/>
      <c r="G613" s="2" t="n"/>
      <c r="H613" s="3" t="inlineStr">
        <is>
          <t>item: packaging; value: Sperlari nougat flowpack 100% recyclable into paper; year: 2024; source: introduction section 5.4</t>
        </is>
      </c>
      <c r="I613" s="2" t="inlineStr">
        <is>
          <t>S2</t>
        </is>
      </c>
      <c r="J613" s="2" t="n">
        <v>13</v>
      </c>
      <c r="K613" s="3" t="inlineStr">
        <is>
          <t>by using a flowpack 100% recyclable into paper.</t>
        </is>
      </c>
      <c r="L613" s="2" t="inlineStr">
        <is>
          <t>ok</t>
        </is>
      </c>
      <c r="M613" s="2" t="inlineStr">
        <is>
          <t>demo reviewer</t>
        </is>
      </c>
      <c r="N613" s="2" t="n"/>
      <c r="O613" s="3" t="inlineStr">
        <is>
          <t>https://vanillabonds.com/dossier-data/pdf/katjes/katjes-2024-annual-report.pdf#page=13</t>
        </is>
      </c>
      <c r="P613" s="3" t="inlineStr">
        <is>
          <t>https://vanillabonds.com/dossier.html?c=katjes&amp;viewer=1&amp;item=F612</t>
        </is>
      </c>
      <c r="Q613" s="2" t="inlineStr"/>
    </row>
    <row r="614">
      <c r="A614" s="2" t="inlineStr">
        <is>
          <t>F613</t>
        </is>
      </c>
      <c r="B614" s="2" t="inlineStr">
        <is>
          <t>compliance</t>
        </is>
      </c>
      <c r="C614" s="2" t="inlineStr">
        <is>
          <t>esg_fact</t>
        </is>
      </c>
      <c r="D614" s="3" t="inlineStr">
        <is>
          <t>ESG fact: item (CSRD / VSME status, energy, emissions, taxonomy, permit, incident, labour); value; year; source</t>
        </is>
      </c>
      <c r="E614" s="2" t="n"/>
      <c r="F614" s="2" t="n">
        <v>22</v>
      </c>
      <c r="G614" s="2" t="n"/>
      <c r="H614" s="3" t="inlineStr">
        <is>
          <t>item: labour (apprentices); value: average of 22 apprentices; year: 2024; source: management report 4.4</t>
        </is>
      </c>
      <c r="I614" s="2" t="inlineStr">
        <is>
          <t>S2</t>
        </is>
      </c>
      <c r="J614" s="2" t="n">
        <v>32</v>
      </c>
      <c r="K614" s="3" t="inlineStr">
        <is>
          <t>In 2024, Katjes International also employed an average of 22 apprentices.</t>
        </is>
      </c>
      <c r="L614" s="2" t="inlineStr">
        <is>
          <t>ok</t>
        </is>
      </c>
      <c r="M614" s="2" t="inlineStr">
        <is>
          <t>demo reviewer</t>
        </is>
      </c>
      <c r="N614" s="2" t="n"/>
      <c r="O614" s="3" t="inlineStr">
        <is>
          <t>https://vanillabonds.com/dossier-data/pdf/katjes/katjes-2024-annual-report.pdf#page=32</t>
        </is>
      </c>
      <c r="P614" s="3" t="inlineStr">
        <is>
          <t>https://vanillabonds.com/dossier.html?c=katjes&amp;viewer=1&amp;item=F613</t>
        </is>
      </c>
      <c r="Q614" s="2" t="inlineStr"/>
    </row>
    <row r="615">
      <c r="A615" s="2" t="inlineStr">
        <is>
          <t>F614</t>
        </is>
      </c>
      <c r="B615" s="2" t="inlineStr">
        <is>
          <t>compliance</t>
        </is>
      </c>
      <c r="C615" s="2" t="inlineStr">
        <is>
          <t>esg_fact</t>
        </is>
      </c>
      <c r="D615" s="3" t="inlineStr">
        <is>
          <t>ESG fact: item (CSRD / VSME status, energy, emissions, taxonomy, permit, incident, labour); value; year; source</t>
        </is>
      </c>
      <c r="E615" s="2" t="n"/>
      <c r="F615" s="2" t="n"/>
      <c r="G615" s="2" t="n"/>
      <c r="H615" s="3" t="inlineStr">
        <is>
          <t>item: CSRD / sustainability reporting status; value: no sustainability statement or emissions data in this report; year: 2024; source: report contents</t>
        </is>
      </c>
      <c r="I615" s="2" t="inlineStr">
        <is>
          <t>S2</t>
        </is>
      </c>
      <c r="J615" s="2" t="n">
        <v>32</v>
      </c>
      <c r="K615" s="3" t="inlineStr">
        <is>
          <t>As a family-owned company with a strong medium-sized busi- ness character, sustainable action is an integral part of Katjes International’s corporate identity.</t>
        </is>
      </c>
      <c r="L615" s="2" t="inlineStr">
        <is>
          <t>ok</t>
        </is>
      </c>
      <c r="M615" s="2" t="inlineStr">
        <is>
          <t>demo reviewer</t>
        </is>
      </c>
      <c r="N615" s="2" t="n"/>
      <c r="O615" s="3" t="inlineStr">
        <is>
          <t>https://vanillabonds.com/dossier-data/pdf/katjes/katjes-2024-annual-report.pdf#page=32</t>
        </is>
      </c>
      <c r="P615" s="3" t="inlineStr">
        <is>
          <t>https://vanillabonds.com/dossier.html?c=katjes&amp;viewer=1&amp;item=F614</t>
        </is>
      </c>
      <c r="Q615" s="2" t="inlineStr"/>
    </row>
    <row r="616">
      <c r="A616" s="2" t="inlineStr">
        <is>
          <t>F615</t>
        </is>
      </c>
      <c r="B616" s="2" t="inlineStr">
        <is>
          <t>market_data</t>
        </is>
      </c>
      <c r="C616" s="2" t="inlineStr">
        <is>
          <t>instrument_term</t>
        </is>
      </c>
      <c r="D616" s="3" t="inlineStr">
        <is>
          <t>Instrument term: term (rate type, base rate, maturity, call, listing, ISIN, denomination, settlement, holders, transfer); value</t>
        </is>
      </c>
      <c r="E616" s="2" t="n"/>
      <c r="F616" s="2" t="n"/>
      <c r="G616" s="2" t="n"/>
      <c r="H616" s="3" t="inlineStr">
        <is>
          <t>term: maturity; value: 2028 (bond 2023/2028, issued September 2023)</t>
        </is>
      </c>
      <c r="I616" s="2" t="inlineStr">
        <is>
          <t>S2</t>
        </is>
      </c>
      <c r="J616" s="2" t="n">
        <v>45</v>
      </c>
      <c r="K616" s="3" t="inlineStr">
        <is>
          <t>Repayment of the 2019/2024 bond (EUR 110 million) / issue of the 2023/2028 bond (EUR 115 million)</t>
        </is>
      </c>
      <c r="L616" s="2" t="inlineStr">
        <is>
          <t>ok</t>
        </is>
      </c>
      <c r="M616" s="2" t="inlineStr">
        <is>
          <t>demo reviewer</t>
        </is>
      </c>
      <c r="N616" s="2" t="n"/>
      <c r="O616" s="3" t="inlineStr">
        <is>
          <t>https://vanillabonds.com/dossier-data/pdf/katjes/katjes-2024-annual-report.pdf#page=45</t>
        </is>
      </c>
      <c r="P616" s="3" t="inlineStr">
        <is>
          <t>https://vanillabonds.com/dossier.html?c=katjes&amp;viewer=1&amp;item=F615</t>
        </is>
      </c>
      <c r="Q616" s="2" t="inlineStr"/>
    </row>
    <row r="617">
      <c r="A617" s="2" t="inlineStr">
        <is>
          <t>F616</t>
        </is>
      </c>
      <c r="B617" s="2" t="inlineStr">
        <is>
          <t>market_data</t>
        </is>
      </c>
      <c r="C617" s="2" t="inlineStr">
        <is>
          <t>instrument_term</t>
        </is>
      </c>
      <c r="D617" s="3" t="inlineStr">
        <is>
          <t>Instrument term: term (rate type, base rate, maturity, call, listing, ISIN, denomination, settlement, holders, transfer); value</t>
        </is>
      </c>
      <c r="E617" s="2" t="n"/>
      <c r="F617" s="2" t="n">
        <v>123.7</v>
      </c>
      <c r="G617" s="2" t="n"/>
      <c r="H617" s="3" t="inlineStr">
        <is>
          <t>term: fair value at 31 Dec 2024 (level II); value: EUR 123.7m against carrying amount 115.0</t>
        </is>
      </c>
      <c r="I617" s="2" t="inlineStr">
        <is>
          <t>S2</t>
        </is>
      </c>
      <c r="J617" s="2" t="n">
        <v>64</v>
      </c>
      <c r="K617" s="3" t="inlineStr">
        <is>
          <t>Liabilities from the issuance of a bond2 115.0 123.7**</t>
        </is>
      </c>
      <c r="L617" s="2" t="inlineStr">
        <is>
          <t>ok</t>
        </is>
      </c>
      <c r="M617" s="2" t="inlineStr">
        <is>
          <t>demo reviewer</t>
        </is>
      </c>
      <c r="N617" s="2" t="n"/>
      <c r="O617" s="3" t="inlineStr">
        <is>
          <t>https://vanillabonds.com/dossier-data/pdf/katjes/katjes-2024-annual-report.pdf#page=64</t>
        </is>
      </c>
      <c r="P617" s="3" t="inlineStr">
        <is>
          <t>https://vanillabonds.com/dossier.html?c=katjes&amp;viewer=1&amp;item=F616</t>
        </is>
      </c>
      <c r="Q617" s="2" t="inlineStr"/>
    </row>
    <row r="618">
      <c r="A618" s="2" t="inlineStr">
        <is>
          <t>F617</t>
        </is>
      </c>
      <c r="B618" s="2" t="inlineStr">
        <is>
          <t>market_data</t>
        </is>
      </c>
      <c r="C618" s="2" t="inlineStr">
        <is>
          <t>instrument_term</t>
        </is>
      </c>
      <c r="D618" s="3" t="inlineStr">
        <is>
          <t>Instrument term: term (rate type, base rate, maturity, call, listing, ISIN, denomination, settlement, holders, transfer); value</t>
        </is>
      </c>
      <c r="E618" s="2" t="n"/>
      <c r="F618" s="2" t="n">
        <v>6.75</v>
      </c>
      <c r="G618" s="2" t="n"/>
      <c r="H618" s="3" t="inlineStr">
        <is>
          <t>term: coupon / rate type; value: 6.75% fixed (2023/2028 corporate bond, EUR 115m)</t>
        </is>
      </c>
      <c r="I618" s="2" t="inlineStr">
        <is>
          <t>S2</t>
        </is>
      </c>
      <c r="J618" s="2" t="n">
        <v>68</v>
      </c>
      <c r="K618" s="3" t="inlineStr">
        <is>
          <t>Due to strong investor demand, the total volume of the new bond amounted to EUR 115 million.</t>
        </is>
      </c>
      <c r="L618" s="2" t="inlineStr">
        <is>
          <t>ok</t>
        </is>
      </c>
      <c r="M618" s="2" t="inlineStr">
        <is>
          <t>demo reviewer</t>
        </is>
      </c>
      <c r="N618" s="2" t="n"/>
      <c r="O618" s="3" t="inlineStr">
        <is>
          <t>https://vanillabonds.com/dossier-data/pdf/katjes/katjes-2024-annual-report.pdf#page=68</t>
        </is>
      </c>
      <c r="P618" s="3" t="inlineStr">
        <is>
          <t>https://vanillabonds.com/dossier.html?c=katjes&amp;viewer=1&amp;item=F617</t>
        </is>
      </c>
      <c r="Q618" s="2" t="inlineStr"/>
    </row>
    <row r="619">
      <c r="A619" s="2" t="inlineStr">
        <is>
          <t>F618</t>
        </is>
      </c>
      <c r="B619" s="2" t="inlineStr">
        <is>
          <t>identity</t>
        </is>
      </c>
      <c r="C619" s="2" t="inlineStr">
        <is>
          <t>legal_name</t>
        </is>
      </c>
      <c r="D619" s="2" t="inlineStr">
        <is>
          <t>Legal name</t>
        </is>
      </c>
      <c r="E619" s="2" t="n"/>
      <c r="F619" s="2" t="n"/>
      <c r="G619" s="2" t="n"/>
      <c r="H619" s="2" t="inlineStr">
        <is>
          <t>Katjes International GmbH &amp; Co. KG</t>
        </is>
      </c>
      <c r="I619" s="2" t="inlineStr">
        <is>
          <t>S3</t>
        </is>
      </c>
      <c r="J619" s="2" t="n">
        <v>44</v>
      </c>
      <c r="K619" s="3" t="inlineStr">
        <is>
          <t>Katjes International GmbH &amp; Co. KG (“Katjes International”, “the Company”) is a limited partnership established under the laws of the Federal Republic of Germany</t>
        </is>
      </c>
      <c r="L619" s="2" t="inlineStr">
        <is>
          <t>ok</t>
        </is>
      </c>
      <c r="M619" s="2" t="inlineStr">
        <is>
          <t>demo reviewer</t>
        </is>
      </c>
      <c r="N619" s="2" t="n"/>
      <c r="O619" s="3" t="inlineStr">
        <is>
          <t>https://vanillabonds.com/dossier-data/pdf/katjes/katjes-2025-annual-report.pdf#page=44</t>
        </is>
      </c>
      <c r="P619" s="3" t="inlineStr">
        <is>
          <t>https://vanillabonds.com/dossier.html?c=katjes&amp;viewer=1&amp;item=F618</t>
        </is>
      </c>
      <c r="Q619" s="2" t="inlineStr">
        <is>
          <t>yes</t>
        </is>
      </c>
    </row>
    <row r="620">
      <c r="A620" s="2" t="inlineStr">
        <is>
          <t>F619</t>
        </is>
      </c>
      <c r="B620" s="2" t="inlineStr">
        <is>
          <t>identity</t>
        </is>
      </c>
      <c r="C620" s="2" t="inlineStr">
        <is>
          <t>legal_form</t>
        </is>
      </c>
      <c r="D620" s="2" t="inlineStr">
        <is>
          <t>Legal form</t>
        </is>
      </c>
      <c r="E620" s="2" t="n"/>
      <c r="F620" s="2" t="n"/>
      <c r="G620" s="2" t="n"/>
      <c r="H620" s="3" t="inlineStr">
        <is>
          <t>German GmbH &amp; Co. KG (limited partnership)</t>
        </is>
      </c>
      <c r="I620" s="2" t="inlineStr">
        <is>
          <t>S3</t>
        </is>
      </c>
      <c r="J620" s="2" t="n">
        <v>44</v>
      </c>
      <c r="K620" s="3" t="inlineStr">
        <is>
          <t>Company”) is a limited partnership established under the laws of the Federal Republic of Germany, with its registered office in Emmerich am Rhein.</t>
        </is>
      </c>
      <c r="L620" s="2" t="inlineStr">
        <is>
          <t>ok</t>
        </is>
      </c>
      <c r="M620" s="2" t="inlineStr">
        <is>
          <t>demo reviewer</t>
        </is>
      </c>
      <c r="N620" s="2" t="n"/>
      <c r="O620" s="3" t="inlineStr">
        <is>
          <t>https://vanillabonds.com/dossier-data/pdf/katjes/katjes-2025-annual-report.pdf#page=44</t>
        </is>
      </c>
      <c r="P620" s="3" t="inlineStr">
        <is>
          <t>https://vanillabonds.com/dossier.html?c=katjes&amp;viewer=1&amp;item=F619</t>
        </is>
      </c>
      <c r="Q620" s="2" t="inlineStr">
        <is>
          <t>yes</t>
        </is>
      </c>
    </row>
    <row r="621">
      <c r="A621" s="2" t="inlineStr">
        <is>
          <t>F620</t>
        </is>
      </c>
      <c r="B621" s="2" t="inlineStr">
        <is>
          <t>identity</t>
        </is>
      </c>
      <c r="C621" s="2" t="inlineStr">
        <is>
          <t>registry</t>
        </is>
      </c>
      <c r="D621" s="2" t="inlineStr">
        <is>
          <t>Commercial register / registration no.</t>
        </is>
      </c>
      <c r="E621" s="2" t="n"/>
      <c r="F621" s="2" t="n"/>
      <c r="G621" s="2" t="n"/>
      <c r="H621" s="2" t="inlineStr">
        <is>
          <t>HRA 1076, Local Court of Kleve</t>
        </is>
      </c>
      <c r="I621" s="2" t="inlineStr">
        <is>
          <t>S3</t>
        </is>
      </c>
      <c r="J621" s="2" t="n">
        <v>44</v>
      </c>
      <c r="K621" s="3" t="inlineStr">
        <is>
          <t>It is registered under commercial register number HRA 1076 in the commercial register of the Local Court of Kleve.</t>
        </is>
      </c>
      <c r="L621" s="2" t="inlineStr">
        <is>
          <t>ok</t>
        </is>
      </c>
      <c r="M621" s="2" t="inlineStr">
        <is>
          <t>demo reviewer</t>
        </is>
      </c>
      <c r="N621" s="2" t="n"/>
      <c r="O621" s="3" t="inlineStr">
        <is>
          <t>https://vanillabonds.com/dossier-data/pdf/katjes/katjes-2025-annual-report.pdf#page=44</t>
        </is>
      </c>
      <c r="P621" s="3" t="inlineStr">
        <is>
          <t>https://vanillabonds.com/dossier.html?c=katjes&amp;viewer=1&amp;item=F620</t>
        </is>
      </c>
      <c r="Q621" s="2" t="inlineStr">
        <is>
          <t>yes</t>
        </is>
      </c>
    </row>
    <row r="622">
      <c r="A622" s="2" t="inlineStr">
        <is>
          <t>F621</t>
        </is>
      </c>
      <c r="B622" s="2" t="inlineStr">
        <is>
          <t>identity</t>
        </is>
      </c>
      <c r="C622" s="2" t="inlineStr">
        <is>
          <t>founded</t>
        </is>
      </c>
      <c r="D622" s="2" t="inlineStr">
        <is>
          <t>Founded</t>
        </is>
      </c>
      <c r="E622" s="2" t="n"/>
      <c r="F622" s="2" t="n"/>
      <c r="G622" s="2" t="n"/>
      <c r="H622" s="3" t="inlineStr">
        <is>
          <t>Established 2011 from predecessor entities</t>
        </is>
      </c>
      <c r="I622" s="2" t="inlineStr">
        <is>
          <t>S3</t>
        </is>
      </c>
      <c r="J622" s="2" t="n">
        <v>9</v>
      </c>
      <c r="K622" s="3" t="inlineStr">
        <is>
          <t>was established in 2011 from predecessor entities and, together with its two independent and legally separate sister companies</t>
        </is>
      </c>
      <c r="L622" s="2" t="inlineStr">
        <is>
          <t>ok</t>
        </is>
      </c>
      <c r="M622" s="2" t="inlineStr">
        <is>
          <t>demo reviewer</t>
        </is>
      </c>
      <c r="N622" s="2" t="n"/>
      <c r="O622" s="3" t="inlineStr">
        <is>
          <t>https://vanillabonds.com/dossier-data/pdf/katjes/katjes-2025-annual-report.pdf#page=9</t>
        </is>
      </c>
      <c r="P622" s="3" t="inlineStr">
        <is>
          <t>https://vanillabonds.com/dossier.html?c=katjes&amp;viewer=1&amp;item=F621</t>
        </is>
      </c>
      <c r="Q622" s="2" t="inlineStr">
        <is>
          <t>yes</t>
        </is>
      </c>
    </row>
    <row r="623">
      <c r="A623" s="2" t="inlineStr">
        <is>
          <t>F622</t>
        </is>
      </c>
      <c r="B623" s="2" t="inlineStr">
        <is>
          <t>identity</t>
        </is>
      </c>
      <c r="C623" s="2" t="inlineStr">
        <is>
          <t>registered_office</t>
        </is>
      </c>
      <c r="D623" s="2" t="inlineStr">
        <is>
          <t>Registered office</t>
        </is>
      </c>
      <c r="E623" s="2" t="n"/>
      <c r="F623" s="2" t="n"/>
      <c r="G623" s="2" t="n"/>
      <c r="H623" s="3" t="inlineStr">
        <is>
          <t>Dechant-Sprünken-Str. 53–57, 46446 Emmerich am Rhein</t>
        </is>
      </c>
      <c r="I623" s="2" t="inlineStr">
        <is>
          <t>S3</t>
        </is>
      </c>
      <c r="J623" s="2" t="n">
        <v>44</v>
      </c>
      <c r="K623" s="3" t="inlineStr">
        <is>
          <t>Dechant-Sprünken-Str. 53–57 46446 Emmerich am Rhein Germany</t>
        </is>
      </c>
      <c r="L623" s="2" t="inlineStr">
        <is>
          <t>ok</t>
        </is>
      </c>
      <c r="M623" s="2" t="inlineStr">
        <is>
          <t>demo reviewer</t>
        </is>
      </c>
      <c r="N623" s="2" t="n"/>
      <c r="O623" s="3" t="inlineStr">
        <is>
          <t>https://vanillabonds.com/dossier-data/pdf/katjes/katjes-2025-annual-report.pdf#page=44</t>
        </is>
      </c>
      <c r="P623" s="3" t="inlineStr">
        <is>
          <t>https://vanillabonds.com/dossier.html?c=katjes&amp;viewer=1&amp;item=F622</t>
        </is>
      </c>
      <c r="Q623" s="2" t="inlineStr">
        <is>
          <t>yes</t>
        </is>
      </c>
    </row>
    <row r="624">
      <c r="A624" s="2" t="inlineStr">
        <is>
          <t>F623</t>
        </is>
      </c>
      <c r="B624" s="2" t="inlineStr">
        <is>
          <t>identity</t>
        </is>
      </c>
      <c r="C624" s="2" t="inlineStr">
        <is>
          <t>country</t>
        </is>
      </c>
      <c r="D624" s="2" t="inlineStr">
        <is>
          <t>Country of incorporation (ISO-2)</t>
        </is>
      </c>
      <c r="E624" s="2" t="n"/>
      <c r="F624" s="2" t="n"/>
      <c r="G624" s="2" t="n"/>
      <c r="H624" s="2" t="inlineStr">
        <is>
          <t>DE</t>
        </is>
      </c>
      <c r="I624" s="2" t="inlineStr">
        <is>
          <t>S3</t>
        </is>
      </c>
      <c r="J624" s="2" t="n">
        <v>44</v>
      </c>
      <c r="K624" s="3" t="inlineStr">
        <is>
          <t>established under the laws of the Federal Republic of Germany, with its registered office in Emmerich am Rhein.</t>
        </is>
      </c>
      <c r="L624" s="2" t="inlineStr">
        <is>
          <t>ok</t>
        </is>
      </c>
      <c r="M624" s="2" t="inlineStr">
        <is>
          <t>demo reviewer</t>
        </is>
      </c>
      <c r="N624" s="2" t="n"/>
      <c r="O624" s="3" t="inlineStr">
        <is>
          <t>https://vanillabonds.com/dossier-data/pdf/katjes/katjes-2025-annual-report.pdf#page=44</t>
        </is>
      </c>
      <c r="P624" s="3" t="inlineStr">
        <is>
          <t>https://vanillabonds.com/dossier.html?c=katjes&amp;viewer=1&amp;item=F623</t>
        </is>
      </c>
      <c r="Q624" s="2" t="inlineStr">
        <is>
          <t>yes</t>
        </is>
      </c>
    </row>
    <row r="625">
      <c r="A625" s="2" t="inlineStr">
        <is>
          <t>F624</t>
        </is>
      </c>
      <c r="B625" s="2" t="inlineStr">
        <is>
          <t>identity</t>
        </is>
      </c>
      <c r="C625" s="2" t="inlineStr">
        <is>
          <t>sector</t>
        </is>
      </c>
      <c r="D625" s="2" t="inlineStr">
        <is>
          <t>Sector</t>
        </is>
      </c>
      <c r="E625" s="2" t="n"/>
      <c r="F625" s="2" t="n"/>
      <c r="G625" s="2" t="n"/>
      <c r="H625" s="3" t="inlineStr">
        <is>
          <t>Consumer goods brand holding: confectionery, body care, lifestyle</t>
        </is>
      </c>
      <c r="I625" s="2" t="inlineStr">
        <is>
          <t>S3</t>
        </is>
      </c>
      <c r="J625" s="2" t="n">
        <v>77</v>
      </c>
      <c r="K625" s="3" t="inlineStr">
        <is>
          <t>brand holding that, through its portfolio companies, develops and distributes consumer goods brands with a focus on confectionery, personal care and body care products as well as lifestyle</t>
        </is>
      </c>
      <c r="L625" s="2" t="inlineStr">
        <is>
          <t>ok</t>
        </is>
      </c>
      <c r="M625" s="2" t="inlineStr">
        <is>
          <t>demo reviewer</t>
        </is>
      </c>
      <c r="N625" s="2" t="n"/>
      <c r="O625" s="3" t="inlineStr">
        <is>
          <t>https://vanillabonds.com/dossier-data/pdf/katjes/katjes-2025-annual-report.pdf#page=77</t>
        </is>
      </c>
      <c r="P625" s="3" t="inlineStr">
        <is>
          <t>https://vanillabonds.com/dossier.html?c=katjes&amp;viewer=1&amp;item=F624</t>
        </is>
      </c>
      <c r="Q625" s="2" t="inlineStr">
        <is>
          <t>yes</t>
        </is>
      </c>
    </row>
    <row r="626">
      <c r="A626" s="2" t="inlineStr">
        <is>
          <t>F625</t>
        </is>
      </c>
      <c r="B626" s="2" t="inlineStr">
        <is>
          <t>identity</t>
        </is>
      </c>
      <c r="C626" s="2" t="inlineStr">
        <is>
          <t>sites</t>
        </is>
      </c>
      <c r="D626" s="2" t="inlineStr">
        <is>
          <t>Sites / countries of operation</t>
        </is>
      </c>
      <c r="E626" s="2" t="n"/>
      <c r="F626" s="2" t="n"/>
      <c r="G626" s="2" t="n"/>
      <c r="H626" s="3" t="inlineStr">
        <is>
          <t>DE, IT, CH, AT, UK, FR, NL, ES; North America since Sep 2025</t>
        </is>
      </c>
      <c r="I626" s="2" t="inlineStr">
        <is>
          <t>S3</t>
        </is>
      </c>
      <c r="J626" s="2" t="n">
        <v>21</v>
      </c>
      <c r="K626" s="3" t="inlineStr">
        <is>
          <t>In the financial year 2025, Katjes International was primarily active through its investments in Germany, Italy, Switzerland, Austria, the United Kingdom, France, the Netherlands and Spain.</t>
        </is>
      </c>
      <c r="L626" s="2" t="inlineStr">
        <is>
          <t>ok</t>
        </is>
      </c>
      <c r="M626" s="2" t="inlineStr">
        <is>
          <t>demo reviewer</t>
        </is>
      </c>
      <c r="N626" s="2" t="n"/>
      <c r="O626" s="3" t="inlineStr">
        <is>
          <t>https://vanillabonds.com/dossier-data/pdf/katjes/katjes-2025-annual-report.pdf#page=21</t>
        </is>
      </c>
      <c r="P626" s="3" t="inlineStr">
        <is>
          <t>https://vanillabonds.com/dossier.html?c=katjes&amp;viewer=1&amp;item=F625</t>
        </is>
      </c>
      <c r="Q626" s="2" t="inlineStr">
        <is>
          <t>yes</t>
        </is>
      </c>
    </row>
    <row r="627">
      <c r="A627" s="2" t="inlineStr">
        <is>
          <t>F626</t>
        </is>
      </c>
      <c r="B627" s="2" t="inlineStr">
        <is>
          <t>identity</t>
        </is>
      </c>
      <c r="C627" s="2" t="inlineStr">
        <is>
          <t>employees</t>
        </is>
      </c>
      <c r="D627" s="2" t="inlineStr">
        <is>
          <t>Employees (FTE, period end)</t>
        </is>
      </c>
      <c r="E627" s="2" t="inlineStr">
        <is>
          <t>FY2024</t>
        </is>
      </c>
      <c r="F627" s="2" t="n">
        <v>1097</v>
      </c>
      <c r="G627" s="2" t="n"/>
      <c r="H627" s="3" t="inlineStr">
        <is>
          <t>Average number of employees 2024 (not period end): 1,097, of which 692 in Germany</t>
        </is>
      </c>
      <c r="I627" s="2" t="inlineStr">
        <is>
          <t>S3</t>
        </is>
      </c>
      <c r="J627" s="2" t="n">
        <v>44</v>
      </c>
      <c r="K627" s="3" t="inlineStr">
        <is>
          <t>In the financial year 2025, the Group employed an average of 1,648 employees (2024: 1,097), of which 1,137 were employed in Germany (2024: 692)</t>
        </is>
      </c>
      <c r="L627" s="2" t="inlineStr">
        <is>
          <t>ok</t>
        </is>
      </c>
      <c r="M627" s="2" t="inlineStr">
        <is>
          <t>demo reviewer</t>
        </is>
      </c>
      <c r="N627" s="2" t="n"/>
      <c r="O627" s="3" t="inlineStr">
        <is>
          <t>https://vanillabonds.com/dossier-data/pdf/katjes/katjes-2025-annual-report.pdf#page=44</t>
        </is>
      </c>
      <c r="P627" s="3" t="inlineStr">
        <is>
          <t>https://vanillabonds.com/dossier.html?c=katjes&amp;viewer=1&amp;item=F626</t>
        </is>
      </c>
      <c r="Q627" s="2" t="inlineStr">
        <is>
          <t>yes</t>
        </is>
      </c>
    </row>
    <row r="628">
      <c r="A628" s="2" t="inlineStr">
        <is>
          <t>F627</t>
        </is>
      </c>
      <c r="B628" s="2" t="inlineStr">
        <is>
          <t>identity</t>
        </is>
      </c>
      <c r="C628" s="2" t="inlineStr">
        <is>
          <t>employees</t>
        </is>
      </c>
      <c r="D628" s="2" t="inlineStr">
        <is>
          <t>Employees (FTE, period end)</t>
        </is>
      </c>
      <c r="E628" s="2" t="inlineStr">
        <is>
          <t>FY2025</t>
        </is>
      </c>
      <c r="F628" s="2" t="n">
        <v>1648</v>
      </c>
      <c r="G628" s="2" t="n"/>
      <c r="H628" s="3" t="inlineStr">
        <is>
          <t>Average number of employees 2025 (not period end): 1,648, of which 1,137 in Germany</t>
        </is>
      </c>
      <c r="I628" s="2" t="inlineStr">
        <is>
          <t>S3</t>
        </is>
      </c>
      <c r="J628" s="2" t="n">
        <v>44</v>
      </c>
      <c r="K628" s="3" t="inlineStr">
        <is>
          <t>In the financial year 2025, the Group employed an average of 1,648 employees (2024: 1,097), of which 1,137 were employed in Germany (2024: 692)</t>
        </is>
      </c>
      <c r="L628" s="2" t="inlineStr">
        <is>
          <t>ok</t>
        </is>
      </c>
      <c r="M628" s="2" t="inlineStr">
        <is>
          <t>demo reviewer</t>
        </is>
      </c>
      <c r="N628" s="2" t="n"/>
      <c r="O628" s="3" t="inlineStr">
        <is>
          <t>https://vanillabonds.com/dossier-data/pdf/katjes/katjes-2025-annual-report.pdf#page=44</t>
        </is>
      </c>
      <c r="P628" s="3" t="inlineStr">
        <is>
          <t>https://vanillabonds.com/dossier.html?c=katjes&amp;viewer=1&amp;item=F627</t>
        </is>
      </c>
      <c r="Q628" s="2" t="inlineStr"/>
    </row>
    <row r="629">
      <c r="A629" s="2" t="inlineStr">
        <is>
          <t>F628</t>
        </is>
      </c>
      <c r="B629" s="2" t="inlineStr">
        <is>
          <t>identity</t>
        </is>
      </c>
      <c r="C629" s="2" t="inlineStr">
        <is>
          <t>ownership</t>
        </is>
      </c>
      <c r="D629" s="2" t="inlineStr">
        <is>
          <t>Ownership / UBO</t>
        </is>
      </c>
      <c r="E629" s="2" t="n"/>
      <c r="F629" s="2" t="n"/>
      <c r="G629" s="2" t="n"/>
      <c r="H629" s="3" t="inlineStr">
        <is>
          <t>Limited partners Bastian Fassin EUR 0.9m, Tobias Bachmüller EUR 0.1m</t>
        </is>
      </c>
      <c r="I629" s="2" t="inlineStr">
        <is>
          <t>S3</t>
        </is>
      </c>
      <c r="J629" s="2" t="n">
        <v>67</v>
      </c>
      <c r="K629" s="3" t="inlineStr">
        <is>
          <t>Limited partner Bastian Fassin 0.9 0.9 Limited partner Tobias Bachmüller 0.1 0.1</t>
        </is>
      </c>
      <c r="L629" s="2" t="inlineStr">
        <is>
          <t>ok</t>
        </is>
      </c>
      <c r="M629" s="2" t="inlineStr">
        <is>
          <t>demo reviewer</t>
        </is>
      </c>
      <c r="N629" s="2" t="n"/>
      <c r="O629" s="3" t="inlineStr">
        <is>
          <t>https://vanillabonds.com/dossier-data/pdf/katjes/katjes-2025-annual-report.pdf#page=67</t>
        </is>
      </c>
      <c r="P629" s="3" t="inlineStr">
        <is>
          <t>https://vanillabonds.com/dossier.html?c=katjes&amp;viewer=1&amp;item=F628</t>
        </is>
      </c>
      <c r="Q629" s="2" t="inlineStr">
        <is>
          <t>yes</t>
        </is>
      </c>
    </row>
    <row r="630">
      <c r="A630" s="2" t="inlineStr">
        <is>
          <t>F629</t>
        </is>
      </c>
      <c r="B630" s="2" t="inlineStr">
        <is>
          <t>identity</t>
        </is>
      </c>
      <c r="C630" s="2" t="inlineStr">
        <is>
          <t>auditor</t>
        </is>
      </c>
      <c r="D630" s="2" t="inlineStr">
        <is>
          <t>Auditor</t>
        </is>
      </c>
      <c r="E630" s="2" t="n"/>
      <c r="F630" s="2" t="n"/>
      <c r="G630" s="2" t="n"/>
      <c r="H630" s="3" t="inlineStr">
        <is>
          <t>EY GmbH &amp; Co. KG Wirtschaftsprüfungsgesellschaft, Köln</t>
        </is>
      </c>
      <c r="I630" s="2" t="inlineStr">
        <is>
          <t>S3</t>
        </is>
      </c>
      <c r="J630" s="2" t="n">
        <v>91</v>
      </c>
      <c r="K630" s="3" t="inlineStr">
        <is>
          <t>Köln, April 2, 2026 EY GmbH &amp; Co. KG Wirtschaftsprüfungsgesellschaft</t>
        </is>
      </c>
      <c r="L630" s="2" t="inlineStr">
        <is>
          <t>ok</t>
        </is>
      </c>
      <c r="M630" s="2" t="inlineStr">
        <is>
          <t>demo reviewer</t>
        </is>
      </c>
      <c r="N630" s="2" t="n"/>
      <c r="O630" s="3" t="inlineStr">
        <is>
          <t>https://vanillabonds.com/dossier-data/pdf/katjes/katjes-2025-annual-report.pdf#page=91</t>
        </is>
      </c>
      <c r="P630" s="3" t="inlineStr">
        <is>
          <t>https://vanillabonds.com/dossier.html?c=katjes&amp;viewer=1&amp;item=F629</t>
        </is>
      </c>
      <c r="Q630" s="2" t="inlineStr">
        <is>
          <t>yes</t>
        </is>
      </c>
    </row>
    <row r="631">
      <c r="A631" s="2" t="inlineStr">
        <is>
          <t>F630</t>
        </is>
      </c>
      <c r="B631" s="2" t="inlineStr">
        <is>
          <t>identity</t>
        </is>
      </c>
      <c r="C631" s="2" t="inlineStr">
        <is>
          <t>audit_opinion</t>
        </is>
      </c>
      <c r="D631" s="2" t="inlineStr">
        <is>
          <t>Audit opinion</t>
        </is>
      </c>
      <c r="E631" s="2" t="inlineStr">
        <is>
          <t>FY2025</t>
        </is>
      </c>
      <c r="F631" s="2" t="n"/>
      <c r="G631" s="2" t="n"/>
      <c r="H631" s="3" t="inlineStr">
        <is>
          <t>unqualified; the auditor's report dated April 2, 2026 states no reservations and names no emphasis of matter and no key audit matters</t>
        </is>
      </c>
      <c r="I631" s="2" t="inlineStr">
        <is>
          <t>S3</t>
        </is>
      </c>
      <c r="J631" s="2" t="n">
        <v>88</v>
      </c>
      <c r="K631" s="3" t="inlineStr">
        <is>
          <t>the accompanying consolidated financial statements comply, in all material respects, with the IFRS Accounting Standards as issued by the International Accounting Standards Board</t>
        </is>
      </c>
      <c r="L631" s="2" t="inlineStr">
        <is>
          <t>ok</t>
        </is>
      </c>
      <c r="M631" s="2" t="inlineStr">
        <is>
          <t>demo reviewer</t>
        </is>
      </c>
      <c r="N631" s="2" t="n"/>
      <c r="O631" s="3" t="inlineStr">
        <is>
          <t>https://vanillabonds.com/dossier-data/pdf/katjes/katjes-2025-annual-report.pdf#page=88</t>
        </is>
      </c>
      <c r="P631" s="3" t="inlineStr">
        <is>
          <t>https://vanillabonds.com/dossier.html?c=katjes&amp;viewer=1&amp;item=F630</t>
        </is>
      </c>
      <c r="Q631" s="2" t="inlineStr"/>
    </row>
    <row r="632">
      <c r="A632" s="2" t="inlineStr">
        <is>
          <t>F631</t>
        </is>
      </c>
      <c r="B632" s="2" t="inlineStr">
        <is>
          <t>identity</t>
        </is>
      </c>
      <c r="C632" s="2" t="inlineStr">
        <is>
          <t>accounting_standard</t>
        </is>
      </c>
      <c r="D632" s="2" t="inlineStr">
        <is>
          <t>Accounting standard</t>
        </is>
      </c>
      <c r="E632" s="2" t="n"/>
      <c r="F632" s="2" t="n"/>
      <c r="G632" s="2" t="n"/>
      <c r="H632" s="3" t="inlineStr">
        <is>
          <t>IFRS as adopted by the EU plus Section 315e (1) HGB</t>
        </is>
      </c>
      <c r="I632" s="2" t="inlineStr">
        <is>
          <t>S3</t>
        </is>
      </c>
      <c r="J632" s="2" t="n">
        <v>45</v>
      </c>
      <c r="K632" s="3" t="inlineStr">
        <is>
          <t>have been prepared in accordance with IFRS Accounting Standards (IFRS) as adopted by the European Union and the supplementary provisions of German commercial law pursuant to Section 315e (1) HGB</t>
        </is>
      </c>
      <c r="L632" s="2" t="inlineStr">
        <is>
          <t>ok</t>
        </is>
      </c>
      <c r="M632" s="2" t="inlineStr">
        <is>
          <t>demo reviewer</t>
        </is>
      </c>
      <c r="N632" s="2" t="n"/>
      <c r="O632" s="3" t="inlineStr">
        <is>
          <t>https://vanillabonds.com/dossier-data/pdf/katjes/katjes-2025-annual-report.pdf#page=45</t>
        </is>
      </c>
      <c r="P632" s="3" t="inlineStr">
        <is>
          <t>https://vanillabonds.com/dossier.html?c=katjes&amp;viewer=1&amp;item=F631</t>
        </is>
      </c>
      <c r="Q632" s="2" t="inlineStr">
        <is>
          <t>yes</t>
        </is>
      </c>
    </row>
    <row r="633">
      <c r="A633" s="2" t="inlineStr">
        <is>
          <t>F632</t>
        </is>
      </c>
      <c r="B633" s="2" t="inlineStr">
        <is>
          <t>identity</t>
        </is>
      </c>
      <c r="C633" s="2" t="inlineStr">
        <is>
          <t>fiscal_year_end</t>
        </is>
      </c>
      <c r="D633" s="2" t="inlineStr">
        <is>
          <t>Fiscal year end</t>
        </is>
      </c>
      <c r="E633" s="2" t="n"/>
      <c r="F633" s="2" t="n"/>
      <c r="G633" s="2" t="n"/>
      <c r="H633" s="2" t="inlineStr">
        <is>
          <t>31 December (calendar year)</t>
        </is>
      </c>
      <c r="I633" s="2" t="inlineStr">
        <is>
          <t>S3</t>
        </is>
      </c>
      <c r="J633" s="2" t="n">
        <v>88</v>
      </c>
      <c r="K633" s="3" t="inlineStr">
        <is>
          <t>for the fiscal year from 1 January 2025 to 31 December 2025</t>
        </is>
      </c>
      <c r="L633" s="2" t="inlineStr">
        <is>
          <t>ok</t>
        </is>
      </c>
      <c r="M633" s="2" t="inlineStr">
        <is>
          <t>demo reviewer</t>
        </is>
      </c>
      <c r="N633" s="2" t="n"/>
      <c r="O633" s="3" t="inlineStr">
        <is>
          <t>https://vanillabonds.com/dossier-data/pdf/katjes/katjes-2025-annual-report.pdf#page=88</t>
        </is>
      </c>
      <c r="P633" s="3" t="inlineStr">
        <is>
          <t>https://vanillabonds.com/dossier.html?c=katjes&amp;viewer=1&amp;item=F632</t>
        </is>
      </c>
      <c r="Q633" s="2" t="inlineStr">
        <is>
          <t>yes</t>
        </is>
      </c>
    </row>
    <row r="634">
      <c r="A634" s="2" t="inlineStr">
        <is>
          <t>F633</t>
        </is>
      </c>
      <c r="B634" s="2" t="inlineStr">
        <is>
          <t>business</t>
        </is>
      </c>
      <c r="C634" s="2" t="inlineStr">
        <is>
          <t>business_fact</t>
        </is>
      </c>
      <c r="D634" s="2" t="inlineStr">
        <is>
          <t>Business fact</t>
        </is>
      </c>
      <c r="E634" s="2" t="n"/>
      <c r="F634" s="2" t="n"/>
      <c r="G634" s="2" t="n"/>
      <c r="H634" s="3" t="inlineStr">
        <is>
          <t>Katjes International is the brand holding of the Katjes Group alongside the legally separate sister companies Katjes Fassin GmbH + Co. KG (Katjes Germany) and Katjesgreenfood GmbH &amp; Co. KG; the consolidated statements cover only Katjes International and its portfolio companies.</t>
        </is>
      </c>
      <c r="I634" s="2" t="inlineStr">
        <is>
          <t>S3</t>
        </is>
      </c>
      <c r="J634" s="2" t="n">
        <v>18</v>
      </c>
      <c r="K634" s="3" t="inlineStr">
        <is>
          <t>The present consolidated financial statements relate exclusively to Katjes International and its portfolio companies.</t>
        </is>
      </c>
      <c r="L634" s="2" t="inlineStr">
        <is>
          <t>ok</t>
        </is>
      </c>
      <c r="M634" s="2" t="inlineStr">
        <is>
          <t>demo reviewer</t>
        </is>
      </c>
      <c r="N634" s="2" t="n"/>
      <c r="O634" s="3" t="inlineStr">
        <is>
          <t>https://vanillabonds.com/dossier-data/pdf/katjes/katjes-2025-annual-report.pdf#page=18</t>
        </is>
      </c>
      <c r="P634" s="3" t="inlineStr">
        <is>
          <t>https://vanillabonds.com/dossier.html?c=katjes&amp;viewer=1&amp;item=F633</t>
        </is>
      </c>
      <c r="Q634" s="2" t="inlineStr"/>
    </row>
    <row r="635">
      <c r="A635" s="2" t="inlineStr">
        <is>
          <t>F634</t>
        </is>
      </c>
      <c r="B635" s="2" t="inlineStr">
        <is>
          <t>business</t>
        </is>
      </c>
      <c r="C635" s="2" t="inlineStr">
        <is>
          <t>business_fact</t>
        </is>
      </c>
      <c r="D635" s="2" t="inlineStr">
        <is>
          <t>Business fact</t>
        </is>
      </c>
      <c r="E635" s="2" t="n"/>
      <c r="F635" s="2" t="n"/>
      <c r="G635" s="2" t="n"/>
      <c r="H635" s="3" t="inlineStr">
        <is>
          <t>Gross margin 27.4% in 2025 (2024: 25.2%); cost of sales ratio 72.6% (74.8%), attributed to product mix, price increases and stabilising raw material and energy prices.</t>
        </is>
      </c>
      <c r="I635" s="2" t="inlineStr">
        <is>
          <t>S3</t>
        </is>
      </c>
      <c r="J635" s="2" t="n">
        <v>25</v>
      </c>
      <c r="K635" s="3" t="inlineStr">
        <is>
          <t>Accordingly, the gross margin of 27.4% was above the pri- or-year level (2024: 25.2%).</t>
        </is>
      </c>
      <c r="L635" s="2" t="inlineStr">
        <is>
          <t>ok</t>
        </is>
      </c>
      <c r="M635" s="2" t="inlineStr">
        <is>
          <t>demo reviewer</t>
        </is>
      </c>
      <c r="N635" s="2" t="n"/>
      <c r="O635" s="3" t="inlineStr">
        <is>
          <t>https://vanillabonds.com/dossier-data/pdf/katjes/katjes-2025-annual-report.pdf#page=25</t>
        </is>
      </c>
      <c r="P635" s="3" t="inlineStr">
        <is>
          <t>https://vanillabonds.com/dossier.html?c=katjes&amp;viewer=1&amp;item=F634</t>
        </is>
      </c>
      <c r="Q635" s="2" t="inlineStr"/>
    </row>
    <row r="636">
      <c r="A636" s="2" t="inlineStr">
        <is>
          <t>F635</t>
        </is>
      </c>
      <c r="B636" s="2" t="inlineStr">
        <is>
          <t>business</t>
        </is>
      </c>
      <c r="C636" s="2" t="inlineStr">
        <is>
          <t>business_fact</t>
        </is>
      </c>
      <c r="D636" s="2" t="inlineStr">
        <is>
          <t>Business fact</t>
        </is>
      </c>
      <c r="E636" s="2" t="n"/>
      <c r="F636" s="2" t="n"/>
      <c r="G636" s="2" t="n"/>
      <c r="H636" s="3" t="inlineStr">
        <is>
          <t>Revenue mix 2025: sugar confectionery 34.8% (2024: 40.8%), seasonal products 28.8% (13.9%), body care 19.3% (23.0%), chocolate 11.4% (14.7%); revenue recognised at point of delivery, all contracted revenue within 12 months.</t>
        </is>
      </c>
      <c r="I636" s="2" t="inlineStr">
        <is>
          <t>S3</t>
        </is>
      </c>
      <c r="J636" s="2" t="n">
        <v>25</v>
      </c>
      <c r="K636" s="3" t="inlineStr">
        <is>
          <t>Sugar confectionery accounted for 34.8% (prior year: 40.8%)</t>
        </is>
      </c>
      <c r="L636" s="2" t="inlineStr">
        <is>
          <t>ok</t>
        </is>
      </c>
      <c r="M636" s="2" t="inlineStr">
        <is>
          <t>demo reviewer</t>
        </is>
      </c>
      <c r="N636" s="2" t="n"/>
      <c r="O636" s="3" t="inlineStr">
        <is>
          <t>https://vanillabonds.com/dossier-data/pdf/katjes/katjes-2025-annual-report.pdf#page=25</t>
        </is>
      </c>
      <c r="P636" s="3" t="inlineStr">
        <is>
          <t>https://vanillabonds.com/dossier.html?c=katjes&amp;viewer=1&amp;item=F635</t>
        </is>
      </c>
      <c r="Q636" s="2" t="inlineStr"/>
    </row>
    <row r="637">
      <c r="A637" s="2" t="inlineStr">
        <is>
          <t>F636</t>
        </is>
      </c>
      <c r="B637" s="2" t="inlineStr">
        <is>
          <t>business</t>
        </is>
      </c>
      <c r="C637" s="2" t="inlineStr">
        <is>
          <t>business_fact</t>
        </is>
      </c>
      <c r="D637" s="2" t="inlineStr">
        <is>
          <t>Business fact</t>
        </is>
      </c>
      <c r="E637" s="2" t="n"/>
      <c r="F637" s="2" t="n"/>
      <c r="G637" s="2" t="n"/>
      <c r="H637" s="3" t="inlineStr">
        <is>
          <t>Procurement and distribution synergies with Katjes Germany: joint raw material procurement (largely identical raw materials) and overlapping distribution channels; raw material price risks monitored in joint procurement with Katjes Germany.</t>
        </is>
      </c>
      <c r="I637" s="2" t="inlineStr">
        <is>
          <t>S3</t>
        </is>
      </c>
      <c r="J637" s="2" t="n">
        <v>34</v>
      </c>
      <c r="K637" s="3" t="inlineStr">
        <is>
          <t>Raw material price risks are largely monitored as part of joint procurement activities with Katjes Germany</t>
        </is>
      </c>
      <c r="L637" s="2" t="inlineStr">
        <is>
          <t>ok</t>
        </is>
      </c>
      <c r="M637" s="2" t="inlineStr">
        <is>
          <t>demo reviewer</t>
        </is>
      </c>
      <c r="N637" s="2" t="n"/>
      <c r="O637" s="3" t="inlineStr">
        <is>
          <t>https://vanillabonds.com/dossier-data/pdf/katjes/katjes-2025-annual-report.pdf#page=34</t>
        </is>
      </c>
      <c r="P637" s="3" t="inlineStr">
        <is>
          <t>https://vanillabonds.com/dossier.html?c=katjes&amp;viewer=1&amp;item=F636</t>
        </is>
      </c>
      <c r="Q637" s="2" t="inlineStr"/>
    </row>
    <row r="638">
      <c r="A638" s="2" t="inlineStr">
        <is>
          <t>F637</t>
        </is>
      </c>
      <c r="B638" s="2" t="inlineStr">
        <is>
          <t>business</t>
        </is>
      </c>
      <c r="C638" s="2" t="inlineStr">
        <is>
          <t>business_fact</t>
        </is>
      </c>
      <c r="D638" s="2" t="inlineStr">
        <is>
          <t>Business fact</t>
        </is>
      </c>
      <c r="E638" s="2" t="n"/>
      <c r="F638" s="2" t="n">
        <v>17.8</v>
      </c>
      <c r="G638" s="2" t="n"/>
      <c r="H638" s="3" t="inlineStr">
        <is>
          <t>Interest paid EUR 17.8m in 2025 (2024: 12.8) per cash flow statement; interest expenses corporate bond 9.5 (7.8), banks 3.6 (4.2).</t>
        </is>
      </c>
      <c r="I638" s="2" t="inlineStr">
        <is>
          <t>S3</t>
        </is>
      </c>
      <c r="J638" s="2" t="n">
        <v>42</v>
      </c>
      <c r="K638" s="2" t="inlineStr">
        <is>
          <t>Interest paid 7.4 -17.8 -12.8</t>
        </is>
      </c>
      <c r="L638" s="2" t="inlineStr">
        <is>
          <t>ok</t>
        </is>
      </c>
      <c r="M638" s="2" t="inlineStr">
        <is>
          <t>demo reviewer</t>
        </is>
      </c>
      <c r="N638" s="2" t="n"/>
      <c r="O638" s="3" t="inlineStr">
        <is>
          <t>https://vanillabonds.com/dossier-data/pdf/katjes/katjes-2025-annual-report.pdf#page=42</t>
        </is>
      </c>
      <c r="P638" s="3" t="inlineStr">
        <is>
          <t>https://vanillabonds.com/dossier.html?c=katjes&amp;viewer=1&amp;item=F637</t>
        </is>
      </c>
      <c r="Q638" s="2" t="inlineStr"/>
    </row>
    <row r="639">
      <c r="A639" s="2" t="inlineStr">
        <is>
          <t>F638</t>
        </is>
      </c>
      <c r="B639" s="2" t="inlineStr">
        <is>
          <t>business</t>
        </is>
      </c>
      <c r="C639" s="2" t="inlineStr">
        <is>
          <t>business_fact</t>
        </is>
      </c>
      <c r="D639" s="2" t="inlineStr">
        <is>
          <t>Business fact</t>
        </is>
      </c>
      <c r="E639" s="2" t="n"/>
      <c r="F639" s="2" t="n">
        <v>48</v>
      </c>
      <c r="G639" s="2" t="n"/>
      <c r="H639" s="3" t="inlineStr">
        <is>
          <t>48 fully consolidated entities at 31 Dec 2025 (32 in Germany, 16 abroad) versus 32 in 2024 (23 / 9).</t>
        </is>
      </c>
      <c r="I639" s="2" t="inlineStr">
        <is>
          <t>S3</t>
        </is>
      </c>
      <c r="J639" s="2" t="n">
        <v>46</v>
      </c>
      <c r="K639" s="3" t="inlineStr">
        <is>
          <t>Germany 32 23 Other countries 16 9 Total 48 32</t>
        </is>
      </c>
      <c r="L639" s="2" t="inlineStr">
        <is>
          <t>ok</t>
        </is>
      </c>
      <c r="M639" s="2" t="inlineStr">
        <is>
          <t>demo reviewer</t>
        </is>
      </c>
      <c r="N639" s="2" t="n"/>
      <c r="O639" s="3" t="inlineStr">
        <is>
          <t>https://vanillabonds.com/dossier-data/pdf/katjes/katjes-2025-annual-report.pdf#page=46</t>
        </is>
      </c>
      <c r="P639" s="3" t="inlineStr">
        <is>
          <t>https://vanillabonds.com/dossier.html?c=katjes&amp;viewer=1&amp;item=F638</t>
        </is>
      </c>
      <c r="Q639" s="2" t="inlineStr"/>
    </row>
    <row r="640">
      <c r="A640" s="2" t="inlineStr">
        <is>
          <t>F639</t>
        </is>
      </c>
      <c r="B640" s="2" t="inlineStr">
        <is>
          <t>business</t>
        </is>
      </c>
      <c r="C640" s="2" t="inlineStr">
        <is>
          <t>business_fact</t>
        </is>
      </c>
      <c r="D640" s="2" t="inlineStr">
        <is>
          <t>Business fact</t>
        </is>
      </c>
      <c r="E640" s="2" t="n"/>
      <c r="F640" s="2" t="n"/>
      <c r="G640" s="2" t="n"/>
      <c r="H640" s="3" t="inlineStr">
        <is>
          <t>Reporting currency EUR; closing rates at 31 Dec 2025: GBP 0.87, USD 1.18, CAD 1.61, CHF 0.93, RUB 92.91.</t>
        </is>
      </c>
      <c r="I640" s="2" t="inlineStr">
        <is>
          <t>S3</t>
        </is>
      </c>
      <c r="J640" s="2" t="n">
        <v>47</v>
      </c>
      <c r="K640" s="3" t="inlineStr">
        <is>
          <t>Closing rate USD as at December 31, 2025: 1.18, average rate 2025: 1.17</t>
        </is>
      </c>
      <c r="L640" s="2" t="inlineStr">
        <is>
          <t>ok</t>
        </is>
      </c>
      <c r="M640" s="2" t="inlineStr">
        <is>
          <t>demo reviewer</t>
        </is>
      </c>
      <c r="N640" s="2" t="n"/>
      <c r="O640" s="3" t="inlineStr">
        <is>
          <t>https://vanillabonds.com/dossier-data/pdf/katjes/katjes-2025-annual-report.pdf#page=47</t>
        </is>
      </c>
      <c r="P640" s="3" t="inlineStr">
        <is>
          <t>https://vanillabonds.com/dossier.html?c=katjes&amp;viewer=1&amp;item=F639</t>
        </is>
      </c>
      <c r="Q640" s="2" t="inlineStr"/>
    </row>
    <row r="641">
      <c r="A641" s="2" t="inlineStr">
        <is>
          <t>F640</t>
        </is>
      </c>
      <c r="B641" s="2" t="inlineStr">
        <is>
          <t>business</t>
        </is>
      </c>
      <c r="C641" s="2" t="inlineStr">
        <is>
          <t>business_fact</t>
        </is>
      </c>
      <c r="D641" s="2" t="inlineStr">
        <is>
          <t>Business fact</t>
        </is>
      </c>
      <c r="E641" s="2" t="n"/>
      <c r="F641" s="2" t="n">
        <v>214.9</v>
      </c>
      <c r="G641" s="2" t="n"/>
      <c r="H641" s="3" t="inlineStr">
        <is>
          <t>Brands recognised under intangible assets carried at EUR 214.9m at 31 Dec 2025 (2024: 108.0); goodwill only 0.3.</t>
        </is>
      </c>
      <c r="I641" s="2" t="inlineStr">
        <is>
          <t>S3</t>
        </is>
      </c>
      <c r="J641" s="2" t="n">
        <v>61</v>
      </c>
      <c r="K641" s="3" t="inlineStr">
        <is>
          <t>The total carrying amount of brands recognised under intangible assets amounted to EUR 214.9 million as at December 31, 2025 (December 31, 2024: EUR 108.0 million).</t>
        </is>
      </c>
      <c r="L641" s="2" t="inlineStr">
        <is>
          <t>ok</t>
        </is>
      </c>
      <c r="M641" s="2" t="inlineStr">
        <is>
          <t>demo reviewer</t>
        </is>
      </c>
      <c r="N641" s="2" t="n"/>
      <c r="O641" s="3" t="inlineStr">
        <is>
          <t>https://vanillabonds.com/dossier-data/pdf/katjes/katjes-2025-annual-report.pdf#page=61</t>
        </is>
      </c>
      <c r="P641" s="3" t="inlineStr">
        <is>
          <t>https://vanillabonds.com/dossier.html?c=katjes&amp;viewer=1&amp;item=F640</t>
        </is>
      </c>
      <c r="Q641" s="2" t="inlineStr"/>
    </row>
    <row r="642">
      <c r="A642" s="2" t="inlineStr">
        <is>
          <t>F641</t>
        </is>
      </c>
      <c r="B642" s="2" t="inlineStr">
        <is>
          <t>business</t>
        </is>
      </c>
      <c r="C642" s="2" t="inlineStr">
        <is>
          <t>business_fact</t>
        </is>
      </c>
      <c r="D642" s="2" t="inlineStr">
        <is>
          <t>Business fact</t>
        </is>
      </c>
      <c r="E642" s="2" t="n"/>
      <c r="F642" s="2" t="n">
        <v>33.5</v>
      </c>
      <c r="G642" s="2" t="n"/>
      <c r="H642" s="3" t="inlineStr">
        <is>
          <t>Current provisions EUR 33.5m at 31 Dec 2025 (2024: 19.1): outstanding invoices 13.6, returns 8.8, personnel 6.5, other 4.6; 13.2 added via initial consolidation.</t>
        </is>
      </c>
      <c r="I642" s="2" t="inlineStr">
        <is>
          <t>S3</t>
        </is>
      </c>
      <c r="J642" s="2" t="n">
        <v>73</v>
      </c>
      <c r="K642" s="2" t="inlineStr">
        <is>
          <t>Total 19.1 -26.0 13.2 29.7 -2.5 33.5</t>
        </is>
      </c>
      <c r="L642" s="2" t="inlineStr">
        <is>
          <t>ok</t>
        </is>
      </c>
      <c r="M642" s="2" t="inlineStr">
        <is>
          <t>demo reviewer</t>
        </is>
      </c>
      <c r="N642" s="2" t="n"/>
      <c r="O642" s="3" t="inlineStr">
        <is>
          <t>https://vanillabonds.com/dossier-data/pdf/katjes/katjes-2025-annual-report.pdf#page=73</t>
        </is>
      </c>
      <c r="P642" s="3" t="inlineStr">
        <is>
          <t>https://vanillabonds.com/dossier.html?c=katjes&amp;viewer=1&amp;item=F641</t>
        </is>
      </c>
      <c r="Q642" s="2" t="inlineStr"/>
    </row>
    <row r="643">
      <c r="A643" s="2" t="inlineStr">
        <is>
          <t>F642</t>
        </is>
      </c>
      <c r="B643" s="2" t="inlineStr">
        <is>
          <t>business</t>
        </is>
      </c>
      <c r="C643" s="2" t="inlineStr">
        <is>
          <t>business_fact</t>
        </is>
      </c>
      <c r="D643" s="2" t="inlineStr">
        <is>
          <t>Business fact</t>
        </is>
      </c>
      <c r="E643" s="2" t="n"/>
      <c r="F643" s="2" t="n">
        <v>94.3</v>
      </c>
      <c r="G643" s="2" t="n"/>
      <c r="H643" s="3" t="inlineStr">
        <is>
          <t>Personnel expenses EUR 94.3m in 2025 (2024: 73.8), increase mainly from the Bogner consolidation; marketing expenses 26.0 (16.0).</t>
        </is>
      </c>
      <c r="I643" s="2" t="inlineStr">
        <is>
          <t>S3</t>
        </is>
      </c>
      <c r="J643" s="2" t="n">
        <v>74</v>
      </c>
      <c r="K643" s="3" t="inlineStr">
        <is>
          <t>Wages and salaries 74.6 57.9 Social security 16.8 13.1 Post-employment costs 2.3 1.8 Other personnel expenses 0.6 1.0 Total 94.3 73.8</t>
        </is>
      </c>
      <c r="L643" s="2" t="inlineStr">
        <is>
          <t>ok</t>
        </is>
      </c>
      <c r="M643" s="2" t="inlineStr">
        <is>
          <t>demo reviewer</t>
        </is>
      </c>
      <c r="N643" s="2" t="n"/>
      <c r="O643" s="3" t="inlineStr">
        <is>
          <t>https://vanillabonds.com/dossier-data/pdf/katjes/katjes-2025-annual-report.pdf#page=74</t>
        </is>
      </c>
      <c r="P643" s="3" t="inlineStr">
        <is>
          <t>https://vanillabonds.com/dossier.html?c=katjes&amp;viewer=1&amp;item=F642</t>
        </is>
      </c>
      <c r="Q643" s="2" t="inlineStr"/>
    </row>
    <row r="644">
      <c r="A644" s="2" t="inlineStr">
        <is>
          <t>F643</t>
        </is>
      </c>
      <c r="B644" s="2" t="inlineStr">
        <is>
          <t>business</t>
        </is>
      </c>
      <c r="C644" s="2" t="inlineStr">
        <is>
          <t>business_fact</t>
        </is>
      </c>
      <c r="D644" s="2" t="inlineStr">
        <is>
          <t>Business fact</t>
        </is>
      </c>
      <c r="E644" s="2" t="n"/>
      <c r="F644" s="2" t="n">
        <v>60.9</v>
      </c>
      <c r="G644" s="2" t="n"/>
      <c r="H644" s="3" t="inlineStr">
        <is>
          <t>Other operating result EUR 60.9m in 2025 (2024: 6.7): other operating income 61.5 (badwill 35.1, CPK gain 20.1, provision releases 2.7, JV results 1.3, other 2.3) less other operating expenses 0.6.</t>
        </is>
      </c>
      <c r="I644" s="2" t="inlineStr">
        <is>
          <t>S3</t>
        </is>
      </c>
      <c r="J644" s="2" t="n">
        <v>75</v>
      </c>
      <c r="K644" s="3" t="inlineStr">
        <is>
          <t>Income from the reversal of provisi- ons 2.7 1.6 Share of results of Joint Ventures 1.3 0.0 Other 2.3 5.4 Total 61.5 7.0</t>
        </is>
      </c>
      <c r="L644" s="2" t="inlineStr">
        <is>
          <t>ok</t>
        </is>
      </c>
      <c r="M644" s="2" t="inlineStr">
        <is>
          <t>demo reviewer</t>
        </is>
      </c>
      <c r="N644" s="2" t="n"/>
      <c r="O644" s="3" t="inlineStr">
        <is>
          <t>https://vanillabonds.com/dossier-data/pdf/katjes/katjes-2025-annual-report.pdf#page=75</t>
        </is>
      </c>
      <c r="P644" s="3" t="inlineStr">
        <is>
          <t>https://vanillabonds.com/dossier.html?c=katjes&amp;viewer=1&amp;item=F643</t>
        </is>
      </c>
      <c r="Q644" s="2" t="inlineStr"/>
    </row>
    <row r="645">
      <c r="A645" s="2" t="inlineStr">
        <is>
          <t>F644</t>
        </is>
      </c>
      <c r="B645" s="2" t="inlineStr">
        <is>
          <t>business</t>
        </is>
      </c>
      <c r="C645" s="2" t="inlineStr">
        <is>
          <t>key_event</t>
        </is>
      </c>
      <c r="D645" s="2" t="inlineStr">
        <is>
          <t>Key event (M&amp;A, financing, strategy)</t>
        </is>
      </c>
      <c r="E645" s="2" t="n"/>
      <c r="F645" s="2" t="n"/>
      <c r="G645" s="2" t="n"/>
      <c r="H645" s="3" t="inlineStr">
        <is>
          <t>Agreement signed March 3, 2026 to acquire approximately 27% of Missoni S.p.A., closing expected Q2 2026, financed mainly from own funds plus a EUR 15m bond increase to EUR 200m.</t>
        </is>
      </c>
      <c r="I645" s="2" t="inlineStr">
        <is>
          <t>S3</t>
        </is>
      </c>
      <c r="J645" s="2" t="n">
        <v>5</v>
      </c>
      <c r="K645" s="3" t="inlineStr">
        <is>
          <t>With the signing of the agreement on March 3, 2026, the foundation was laid for the acquisition of approximately 27% of Missoni S.p.A. Closing is expected in the second quarter of the current year.</t>
        </is>
      </c>
      <c r="L645" s="2" t="inlineStr">
        <is>
          <t>ok</t>
        </is>
      </c>
      <c r="M645" s="2" t="inlineStr">
        <is>
          <t>demo reviewer</t>
        </is>
      </c>
      <c r="N645" s="2" t="n"/>
      <c r="O645" s="3" t="inlineStr">
        <is>
          <t>https://vanillabonds.com/dossier-data/pdf/katjes/katjes-2025-annual-report.pdf#page=5</t>
        </is>
      </c>
      <c r="P645" s="3" t="inlineStr">
        <is>
          <t>https://vanillabonds.com/dossier.html?c=katjes&amp;viewer=1&amp;item=F644</t>
        </is>
      </c>
      <c r="Q645" s="2" t="inlineStr"/>
    </row>
    <row r="646">
      <c r="A646" s="2" t="inlineStr">
        <is>
          <t>F645</t>
        </is>
      </c>
      <c r="B646" s="2" t="inlineStr">
        <is>
          <t>business</t>
        </is>
      </c>
      <c r="C646" s="2" t="inlineStr">
        <is>
          <t>key_event</t>
        </is>
      </c>
      <c r="D646" s="2" t="inlineStr">
        <is>
          <t>Key event (M&amp;A, financing, strategy)</t>
        </is>
      </c>
      <c r="E646" s="2" t="n"/>
      <c r="F646" s="2" t="n"/>
      <c r="G646" s="2" t="n"/>
      <c r="H646" s="3" t="inlineStr">
        <is>
          <t>Joint venture Shirin Beauty (50%, with Shirin David) launched a premium beauty line at the start of Q2 2025; share of profit 0.8 in 2025.</t>
        </is>
      </c>
      <c r="I646" s="2" t="inlineStr">
        <is>
          <t>S3</t>
        </is>
      </c>
      <c r="J646" s="2" t="n">
        <v>5</v>
      </c>
      <c r="K646" s="3" t="inlineStr">
        <is>
          <t>successfully launched a premium beauty line at the beginning of the second quarter of 2025</t>
        </is>
      </c>
      <c r="L646" s="2" t="inlineStr">
        <is>
          <t>ok</t>
        </is>
      </c>
      <c r="M646" s="2" t="inlineStr">
        <is>
          <t>demo reviewer</t>
        </is>
      </c>
      <c r="N646" s="2" t="n"/>
      <c r="O646" s="3" t="inlineStr">
        <is>
          <t>https://vanillabonds.com/dossier-data/pdf/katjes/katjes-2025-annual-report.pdf#page=5</t>
        </is>
      </c>
      <c r="P646" s="3" t="inlineStr">
        <is>
          <t>https://vanillabonds.com/dossier.html?c=katjes&amp;viewer=1&amp;item=F645</t>
        </is>
      </c>
      <c r="Q646" s="2" t="inlineStr"/>
    </row>
    <row r="647">
      <c r="A647" s="2" t="inlineStr">
        <is>
          <t>F646</t>
        </is>
      </c>
      <c r="B647" s="2" t="inlineStr">
        <is>
          <t>business</t>
        </is>
      </c>
      <c r="C647" s="2" t="inlineStr">
        <is>
          <t>key_event</t>
        </is>
      </c>
      <c r="D647" s="2" t="inlineStr">
        <is>
          <t>Key event (M&amp;A, financing, strategy)</t>
        </is>
      </c>
      <c r="E647" s="2" t="n"/>
      <c r="F647" s="2" t="n"/>
      <c r="G647" s="2" t="n"/>
      <c r="H647" s="3" t="inlineStr">
        <is>
          <t>Joint venture Shades Snacks Ltd. (49%, with Niko Omilana) launched 'Shades by Niko' in the UK in May 2025; more than 10 million packs sold in 2025; share of profit 0.5.</t>
        </is>
      </c>
      <c r="I647" s="2" t="inlineStr">
        <is>
          <t>S3</t>
        </is>
      </c>
      <c r="J647" s="2" t="n">
        <v>5</v>
      </c>
      <c r="K647" s="3" t="inlineStr">
        <is>
          <t>launched the sale of products under the brand “Shades by Niko” in the United Kingdom in May.</t>
        </is>
      </c>
      <c r="L647" s="2" t="inlineStr">
        <is>
          <t>ok</t>
        </is>
      </c>
      <c r="M647" s="2" t="inlineStr">
        <is>
          <t>demo reviewer</t>
        </is>
      </c>
      <c r="N647" s="2" t="n"/>
      <c r="O647" s="3" t="inlineStr">
        <is>
          <t>https://vanillabonds.com/dossier-data/pdf/katjes/katjes-2025-annual-report.pdf#page=5</t>
        </is>
      </c>
      <c r="P647" s="3" t="inlineStr">
        <is>
          <t>https://vanillabonds.com/dossier.html?c=katjes&amp;viewer=1&amp;item=F646</t>
        </is>
      </c>
      <c r="Q647" s="2" t="inlineStr"/>
    </row>
    <row r="648">
      <c r="A648" s="2" t="inlineStr">
        <is>
          <t>F647</t>
        </is>
      </c>
      <c r="B648" s="2" t="inlineStr">
        <is>
          <t>business</t>
        </is>
      </c>
      <c r="C648" s="2" t="inlineStr">
        <is>
          <t>key_event</t>
        </is>
      </c>
      <c r="D648" s="2" t="inlineStr">
        <is>
          <t>Key event (M&amp;A, financing, strategy)</t>
        </is>
      </c>
      <c r="E648" s="2" t="n"/>
      <c r="F648" s="2" t="n">
        <v>68.40000000000001</v>
      </c>
      <c r="G648" s="2" t="n"/>
      <c r="H648" s="3" t="inlineStr">
        <is>
          <t>The 2023/2028 bond was increased by EUR 70m in August 2025 to fund the Bogner acquisition; net inflow after transaction costs 68.4.</t>
        </is>
      </c>
      <c r="I648" s="2" t="inlineStr">
        <is>
          <t>S3</t>
        </is>
      </c>
      <c r="J648" s="2" t="n">
        <v>42</v>
      </c>
      <c r="K648" s="3" t="inlineStr">
        <is>
          <t>Increase of the 2023/2028 bond, net of transaction costs 68.4 0.0</t>
        </is>
      </c>
      <c r="L648" s="2" t="inlineStr">
        <is>
          <t>ok</t>
        </is>
      </c>
      <c r="M648" s="2" t="inlineStr">
        <is>
          <t>demo reviewer</t>
        </is>
      </c>
      <c r="N648" s="2" t="n"/>
      <c r="O648" s="3" t="inlineStr">
        <is>
          <t>https://vanillabonds.com/dossier-data/pdf/katjes/katjes-2025-annual-report.pdf#page=42</t>
        </is>
      </c>
      <c r="P648" s="3" t="inlineStr">
        <is>
          <t>https://vanillabonds.com/dossier.html?c=katjes&amp;viewer=1&amp;item=F647</t>
        </is>
      </c>
      <c r="Q648" s="2" t="inlineStr"/>
    </row>
    <row r="649">
      <c r="A649" s="2" t="inlineStr">
        <is>
          <t>F648</t>
        </is>
      </c>
      <c r="B649" s="2" t="inlineStr">
        <is>
          <t>business</t>
        </is>
      </c>
      <c r="C649" s="2" t="inlineStr">
        <is>
          <t>key_event</t>
        </is>
      </c>
      <c r="D649" s="2" t="inlineStr">
        <is>
          <t>Key event (M&amp;A, financing, strategy)</t>
        </is>
      </c>
      <c r="E649" s="2" t="n"/>
      <c r="F649" s="2" t="n"/>
      <c r="G649" s="2" t="n"/>
      <c r="H649" s="3" t="inlineStr">
        <is>
          <t>The Bogner entities' financial year-end was changed from March 31 to December 31 on joining the Group.</t>
        </is>
      </c>
      <c r="I649" s="2" t="inlineStr">
        <is>
          <t>S3</t>
        </is>
      </c>
      <c r="J649" s="2" t="n">
        <v>45</v>
      </c>
      <c r="K649" s="3" t="inlineStr">
        <is>
          <t>The financial year-end of the Bogner entities, which have been part of Katjes International since September 1, 2025, was changed from March 31</t>
        </is>
      </c>
      <c r="L649" s="2" t="inlineStr">
        <is>
          <t>ok</t>
        </is>
      </c>
      <c r="M649" s="2" t="inlineStr">
        <is>
          <t>demo reviewer</t>
        </is>
      </c>
      <c r="N649" s="2" t="n"/>
      <c r="O649" s="3" t="inlineStr">
        <is>
          <t>https://vanillabonds.com/dossier-data/pdf/katjes/katjes-2025-annual-report.pdf#page=45</t>
        </is>
      </c>
      <c r="P649" s="3" t="inlineStr">
        <is>
          <t>https://vanillabonds.com/dossier.html?c=katjes&amp;viewer=1&amp;item=F648</t>
        </is>
      </c>
      <c r="Q649" s="2" t="inlineStr"/>
    </row>
    <row r="650">
      <c r="A650" s="2" t="inlineStr">
        <is>
          <t>F649</t>
        </is>
      </c>
      <c r="B650" s="2" t="inlineStr">
        <is>
          <t>business</t>
        </is>
      </c>
      <c r="C650" s="2" t="inlineStr">
        <is>
          <t>key_event</t>
        </is>
      </c>
      <c r="D650" s="2" t="inlineStr">
        <is>
          <t>Key event (M&amp;A, financing, strategy)</t>
        </is>
      </c>
      <c r="E650" s="2" t="n"/>
      <c r="F650" s="2" t="n">
        <v>61.2</v>
      </c>
      <c r="G650" s="2" t="n"/>
      <c r="H650" s="3" t="inlineStr">
        <is>
          <t>On September 1, 2025 Katjes Quiet Luxury GmbH acquired 60% of Willy Bogner GmbH; the Bogner family keeps 40%; cash outflow EUR 61.2m.</t>
        </is>
      </c>
      <c r="I650" s="2" t="inlineStr">
        <is>
          <t>S3</t>
        </is>
      </c>
      <c r="J650" s="2" t="n">
        <v>53</v>
      </c>
      <c r="K650" s="3" t="inlineStr">
        <is>
          <t>acquired 60% of the shares and thus a majority stake in Willy Bogner GmbH (“Bogner Group”, “Bogner entities”, “Bogner”). The remaining 40% of the shares continue to be held by the Bogner family.</t>
        </is>
      </c>
      <c r="L650" s="2" t="inlineStr">
        <is>
          <t>ok</t>
        </is>
      </c>
      <c r="M650" s="2" t="inlineStr">
        <is>
          <t>demo reviewer</t>
        </is>
      </c>
      <c r="N650" s="2" t="n"/>
      <c r="O650" s="3" t="inlineStr">
        <is>
          <t>https://vanillabonds.com/dossier-data/pdf/katjes/katjes-2025-annual-report.pdf#page=53</t>
        </is>
      </c>
      <c r="P650" s="3" t="inlineStr">
        <is>
          <t>https://vanillabonds.com/dossier.html?c=katjes&amp;viewer=1&amp;item=F649</t>
        </is>
      </c>
      <c r="Q650" s="2" t="inlineStr"/>
    </row>
    <row r="651">
      <c r="A651" s="2" t="inlineStr">
        <is>
          <t>F650</t>
        </is>
      </c>
      <c r="B651" s="2" t="inlineStr">
        <is>
          <t>business</t>
        </is>
      </c>
      <c r="C651" s="2" t="inlineStr">
        <is>
          <t>key_event</t>
        </is>
      </c>
      <c r="D651" s="2" t="inlineStr">
        <is>
          <t>Key event (M&amp;A, financing, strategy)</t>
        </is>
      </c>
      <c r="E651" s="2" t="n"/>
      <c r="F651" s="2" t="n">
        <v>81.90000000000001</v>
      </c>
      <c r="G651" s="2" t="n"/>
      <c r="H651" s="3" t="inlineStr">
        <is>
          <t>In Q4 2025 the 23% equity-accounted stake in CPK S.A.S., Paris was sold under tag-along rights for slightly more than EUR 80m (cash flow statement: 81.9) with a gain of about EUR 20m before transaction costs.</t>
        </is>
      </c>
      <c r="I651" s="2" t="inlineStr">
        <is>
          <t>S3</t>
        </is>
      </c>
      <c r="J651" s="2" t="n">
        <v>53</v>
      </c>
      <c r="K651" s="3" t="inlineStr">
        <is>
          <t>In the fourth quarter of 2025, the 23% minority interest in the French company CPK, accounted for using the equity method, was sold.</t>
        </is>
      </c>
      <c r="L651" s="2" t="inlineStr">
        <is>
          <t>ok</t>
        </is>
      </c>
      <c r="M651" s="2" t="inlineStr">
        <is>
          <t>demo reviewer</t>
        </is>
      </c>
      <c r="N651" s="2" t="n"/>
      <c r="O651" s="3" t="inlineStr">
        <is>
          <t>https://vanillabonds.com/dossier-data/pdf/katjes/katjes-2025-annual-report.pdf#page=53</t>
        </is>
      </c>
      <c r="P651" s="3" t="inlineStr">
        <is>
          <t>https://vanillabonds.com/dossier.html?c=katjes&amp;viewer=1&amp;item=F650</t>
        </is>
      </c>
      <c r="Q651" s="2" t="inlineStr"/>
    </row>
    <row r="652">
      <c r="A652" s="2" t="inlineStr">
        <is>
          <t>F651</t>
        </is>
      </c>
      <c r="B652" s="2" t="inlineStr">
        <is>
          <t>business</t>
        </is>
      </c>
      <c r="C652" s="2" t="inlineStr">
        <is>
          <t>key_event</t>
        </is>
      </c>
      <c r="D652" s="2" t="inlineStr">
        <is>
          <t>Key event (M&amp;A, financing, strategy)</t>
        </is>
      </c>
      <c r="E652" s="2" t="n"/>
      <c r="F652" s="2" t="n"/>
      <c r="G652" s="2" t="n"/>
      <c r="H652" s="3" t="inlineStr">
        <is>
          <t>In February 2026 Future Snacks Ltd. (UK) acquired 100% of Nature Delivered Ltd. ('Graze') from Unilever; agreements signed December 2025; price not stated.</t>
        </is>
      </c>
      <c r="I652" s="2" t="inlineStr">
        <is>
          <t>S3</t>
        </is>
      </c>
      <c r="J652" s="2" t="n">
        <v>81</v>
      </c>
      <c r="K652" s="3" t="inlineStr">
        <is>
          <t>Kingdom, acquired 100% of the shares in Nature Delivered Ltd. (“Graze”) from Unilever as planned. The related agreements were signed in December 2025.</t>
        </is>
      </c>
      <c r="L652" s="2" t="inlineStr">
        <is>
          <t>ok</t>
        </is>
      </c>
      <c r="M652" s="2" t="inlineStr">
        <is>
          <t>demo reviewer</t>
        </is>
      </c>
      <c r="N652" s="2" t="n"/>
      <c r="O652" s="3" t="inlineStr">
        <is>
          <t>https://vanillabonds.com/dossier-data/pdf/katjes/katjes-2025-annual-report.pdf#page=81</t>
        </is>
      </c>
      <c r="P652" s="3" t="inlineStr">
        <is>
          <t>https://vanillabonds.com/dossier.html?c=katjes&amp;viewer=1&amp;item=F651</t>
        </is>
      </c>
      <c r="Q652" s="2" t="inlineStr"/>
    </row>
    <row r="653">
      <c r="A653" s="2" t="inlineStr">
        <is>
          <t>F652</t>
        </is>
      </c>
      <c r="B653" s="2" t="inlineStr">
        <is>
          <t>financials</t>
        </is>
      </c>
      <c r="C653" s="2" t="inlineStr">
        <is>
          <t>revenue</t>
        </is>
      </c>
      <c r="D653" s="2" t="inlineStr">
        <is>
          <t>Revenue</t>
        </is>
      </c>
      <c r="E653" s="2" t="inlineStr">
        <is>
          <t>FY2021</t>
        </is>
      </c>
      <c r="F653" s="2" t="n">
        <v>255</v>
      </c>
      <c r="G653" s="2" t="inlineStr">
        <is>
          <t>EUR m</t>
        </is>
      </c>
      <c r="H653" s="3" t="inlineStr">
        <is>
          <t>Rounded chart value from the At a glance sales development series</t>
        </is>
      </c>
      <c r="I653" s="2" t="inlineStr">
        <is>
          <t>S3</t>
        </is>
      </c>
      <c r="J653" s="2" t="n">
        <v>7</v>
      </c>
      <c r="K653" s="3" t="inlineStr">
        <is>
          <t>255 295 377 393 2021 2022 2023 2024 2025 503</t>
        </is>
      </c>
      <c r="L653" s="2" t="inlineStr">
        <is>
          <t>ok</t>
        </is>
      </c>
      <c r="M653" s="2" t="inlineStr">
        <is>
          <t>demo reviewer</t>
        </is>
      </c>
      <c r="N653" s="2" t="n"/>
      <c r="O653" s="3" t="inlineStr">
        <is>
          <t>https://vanillabonds.com/dossier-data/pdf/katjes/katjes-2025-annual-report.pdf#page=7</t>
        </is>
      </c>
      <c r="P653" s="3" t="inlineStr">
        <is>
          <t>https://vanillabonds.com/dossier.html?c=katjes&amp;viewer=1&amp;item=F652</t>
        </is>
      </c>
      <c r="Q653" s="2" t="inlineStr">
        <is>
          <t>yes</t>
        </is>
      </c>
    </row>
    <row r="654">
      <c r="A654" s="2" t="inlineStr">
        <is>
          <t>F653</t>
        </is>
      </c>
      <c r="B654" s="2" t="inlineStr">
        <is>
          <t>financials</t>
        </is>
      </c>
      <c r="C654" s="2" t="inlineStr">
        <is>
          <t>revenue</t>
        </is>
      </c>
      <c r="D654" s="2" t="inlineStr">
        <is>
          <t>Revenue</t>
        </is>
      </c>
      <c r="E654" s="2" t="inlineStr">
        <is>
          <t>FY2022</t>
        </is>
      </c>
      <c r="F654" s="2" t="n">
        <v>295</v>
      </c>
      <c r="G654" s="2" t="inlineStr">
        <is>
          <t>EUR m</t>
        </is>
      </c>
      <c r="H654" s="3" t="inlineStr">
        <is>
          <t>Rounded chart value from the At a glance sales development series</t>
        </is>
      </c>
      <c r="I654" s="2" t="inlineStr">
        <is>
          <t>S3</t>
        </is>
      </c>
      <c r="J654" s="2" t="n">
        <v>7</v>
      </c>
      <c r="K654" s="3" t="inlineStr">
        <is>
          <t>255 295 377 393 2021 2022 2023 2024 2025 503</t>
        </is>
      </c>
      <c r="L654" s="2" t="inlineStr">
        <is>
          <t>ok</t>
        </is>
      </c>
      <c r="M654" s="2" t="inlineStr">
        <is>
          <t>demo reviewer</t>
        </is>
      </c>
      <c r="N654" s="2" t="n"/>
      <c r="O654" s="3" t="inlineStr">
        <is>
          <t>https://vanillabonds.com/dossier-data/pdf/katjes/katjes-2025-annual-report.pdf#page=7</t>
        </is>
      </c>
      <c r="P654" s="3" t="inlineStr">
        <is>
          <t>https://vanillabonds.com/dossier.html?c=katjes&amp;viewer=1&amp;item=F653</t>
        </is>
      </c>
      <c r="Q654" s="2" t="inlineStr">
        <is>
          <t>yes</t>
        </is>
      </c>
    </row>
    <row r="655">
      <c r="A655" s="2" t="inlineStr">
        <is>
          <t>F654</t>
        </is>
      </c>
      <c r="B655" s="2" t="inlineStr">
        <is>
          <t>financials</t>
        </is>
      </c>
      <c r="C655" s="2" t="inlineStr">
        <is>
          <t>revenue</t>
        </is>
      </c>
      <c r="D655" s="2" t="inlineStr">
        <is>
          <t>Revenue</t>
        </is>
      </c>
      <c r="E655" s="2" t="inlineStr">
        <is>
          <t>FY2023</t>
        </is>
      </c>
      <c r="F655" s="2" t="n">
        <v>377</v>
      </c>
      <c r="G655" s="2" t="inlineStr">
        <is>
          <t>EUR m</t>
        </is>
      </c>
      <c r="H655" s="3" t="inlineStr">
        <is>
          <t>Rounded chart value from the At a glance sales development series (2021-2025: 255, 295, 377, 393, 503)</t>
        </is>
      </c>
      <c r="I655" s="2" t="inlineStr">
        <is>
          <t>S3</t>
        </is>
      </c>
      <c r="J655" s="2" t="n">
        <v>7</v>
      </c>
      <c r="K655" s="3" t="inlineStr">
        <is>
          <t>255 295 377 393 2021 2022 2023 2024 2025 503</t>
        </is>
      </c>
      <c r="L655" s="2" t="inlineStr">
        <is>
          <t>ok</t>
        </is>
      </c>
      <c r="M655" s="2" t="inlineStr">
        <is>
          <t>demo reviewer</t>
        </is>
      </c>
      <c r="N655" s="2" t="n"/>
      <c r="O655" s="3" t="inlineStr">
        <is>
          <t>https://vanillabonds.com/dossier-data/pdf/katjes/katjes-2025-annual-report.pdf#page=7</t>
        </is>
      </c>
      <c r="P655" s="3" t="inlineStr">
        <is>
          <t>https://vanillabonds.com/dossier.html?c=katjes&amp;viewer=1&amp;item=F654</t>
        </is>
      </c>
      <c r="Q655" s="2" t="inlineStr">
        <is>
          <t>yes</t>
        </is>
      </c>
    </row>
    <row r="656">
      <c r="A656" s="2" t="inlineStr">
        <is>
          <t>F655</t>
        </is>
      </c>
      <c r="B656" s="2" t="inlineStr">
        <is>
          <t>financials</t>
        </is>
      </c>
      <c r="C656" s="2" t="inlineStr">
        <is>
          <t>revenue</t>
        </is>
      </c>
      <c r="D656" s="2" t="inlineStr">
        <is>
          <t>Revenue</t>
        </is>
      </c>
      <c r="E656" s="2" t="inlineStr">
        <is>
          <t>FY2024</t>
        </is>
      </c>
      <c r="F656" s="2" t="n">
        <v>392.6</v>
      </c>
      <c r="G656" s="2" t="inlineStr">
        <is>
          <t>EUR m</t>
        </is>
      </c>
      <c r="H656" s="3" t="inlineStr">
        <is>
          <t>Group revenue 2024 per consolidated income statement</t>
        </is>
      </c>
      <c r="I656" s="2" t="inlineStr">
        <is>
          <t>S3</t>
        </is>
      </c>
      <c r="J656" s="2" t="n">
        <v>37</v>
      </c>
      <c r="K656" s="2" t="inlineStr">
        <is>
          <t>Revenue 7.1 503.0 392.6</t>
        </is>
      </c>
      <c r="L656" s="2" t="inlineStr">
        <is>
          <t>ok</t>
        </is>
      </c>
      <c r="M656" s="2" t="inlineStr">
        <is>
          <t>demo reviewer</t>
        </is>
      </c>
      <c r="N656" s="2" t="n"/>
      <c r="O656" s="3" t="inlineStr">
        <is>
          <t>https://vanillabonds.com/dossier-data/pdf/katjes/katjes-2025-annual-report.pdf#page=37</t>
        </is>
      </c>
      <c r="P656" s="3" t="inlineStr">
        <is>
          <t>https://vanillabonds.com/dossier.html?c=katjes&amp;viewer=1&amp;item=F655</t>
        </is>
      </c>
      <c r="Q656" s="2" t="inlineStr">
        <is>
          <t>yes</t>
        </is>
      </c>
    </row>
    <row r="657">
      <c r="A657" s="2" t="inlineStr">
        <is>
          <t>F656</t>
        </is>
      </c>
      <c r="B657" s="2" t="inlineStr">
        <is>
          <t>financials</t>
        </is>
      </c>
      <c r="C657" s="2" t="inlineStr">
        <is>
          <t>revenue</t>
        </is>
      </c>
      <c r="D657" s="2" t="inlineStr">
        <is>
          <t>Revenue</t>
        </is>
      </c>
      <c r="E657" s="2" t="inlineStr">
        <is>
          <t>FY2025</t>
        </is>
      </c>
      <c r="F657" s="2" t="n">
        <v>503</v>
      </c>
      <c r="G657" s="2" t="inlineStr">
        <is>
          <t>EUR m</t>
        </is>
      </c>
      <c r="H657" s="3" t="inlineStr">
        <is>
          <t>Group revenue 2025 per consolidated income statement</t>
        </is>
      </c>
      <c r="I657" s="2" t="inlineStr">
        <is>
          <t>S3</t>
        </is>
      </c>
      <c r="J657" s="2" t="n">
        <v>37</v>
      </c>
      <c r="K657" s="2" t="inlineStr">
        <is>
          <t>Revenue 7.1 503.0 392.6</t>
        </is>
      </c>
      <c r="L657" s="2" t="inlineStr">
        <is>
          <t>ok</t>
        </is>
      </c>
      <c r="M657" s="2" t="inlineStr">
        <is>
          <t>demo reviewer</t>
        </is>
      </c>
      <c r="N657" s="2" t="n"/>
      <c r="O657" s="3" t="inlineStr">
        <is>
          <t>https://vanillabonds.com/dossier-data/pdf/katjes/katjes-2025-annual-report.pdf#page=37</t>
        </is>
      </c>
      <c r="P657" s="3" t="inlineStr">
        <is>
          <t>https://vanillabonds.com/dossier.html?c=katjes&amp;viewer=1&amp;item=F656</t>
        </is>
      </c>
      <c r="Q657" s="2" t="inlineStr"/>
    </row>
    <row r="658">
      <c r="A658" s="2" t="inlineStr">
        <is>
          <t>F657</t>
        </is>
      </c>
      <c r="B658" s="2" t="inlineStr">
        <is>
          <t>financials</t>
        </is>
      </c>
      <c r="C658" s="2" t="inlineStr">
        <is>
          <t>ebitda</t>
        </is>
      </c>
      <c r="D658" s="2" t="inlineStr">
        <is>
          <t>EBITDA (as reported)</t>
        </is>
      </c>
      <c r="E658" s="2" t="inlineStr">
        <is>
          <t>FY2021</t>
        </is>
      </c>
      <c r="F658" s="2" t="n">
        <v>41</v>
      </c>
      <c r="G658" s="2" t="inlineStr">
        <is>
          <t>EUR m</t>
        </is>
      </c>
      <c r="H658" s="3" t="inlineStr">
        <is>
          <t>Rounded chart value from the At a glance EBITDA series</t>
        </is>
      </c>
      <c r="I658" s="2" t="inlineStr">
        <is>
          <t>S3</t>
        </is>
      </c>
      <c r="J658" s="2" t="n">
        <v>7</v>
      </c>
      <c r="K658" s="2" t="inlineStr">
        <is>
          <t>41 37 23 2021 2022 2023 2024 2025 45 99</t>
        </is>
      </c>
      <c r="L658" s="2" t="inlineStr">
        <is>
          <t>pend</t>
        </is>
      </c>
      <c r="M658" s="2" t="n"/>
      <c r="N658" s="3" t="inlineStr">
        <is>
          <t>conflict: S1·p7 17.0 vs S3·p7 41.0; primary per fact agent: open - no audited statement on file carries FY2021 EBITDA, and the chart text layers in S1 p7, S2 p7 and S3 p7 list bar values without a year for each bar; once FY2022 = 37.3 and FY2023 = 40.8 are taken out, S1 leaves 23, 25 or 17, S2 leaves 23 or 25 and S3 leaves 23 for FY2021, so a reviewer reads the chart images; the S1 FY2019 fact (23.0) depends on the same reading.</t>
        </is>
      </c>
      <c r="O658" s="3" t="inlineStr">
        <is>
          <t>https://vanillabonds.com/dossier-data/pdf/katjes/katjes-2025-annual-report.pdf#page=7</t>
        </is>
      </c>
      <c r="P658" s="3" t="inlineStr">
        <is>
          <t>https://vanillabonds.com/dossier.html?c=katjes&amp;viewer=1&amp;item=F657</t>
        </is>
      </c>
      <c r="Q658" s="2" t="inlineStr">
        <is>
          <t>yes</t>
        </is>
      </c>
    </row>
    <row r="659">
      <c r="A659" s="2" t="inlineStr">
        <is>
          <t>F658</t>
        </is>
      </c>
      <c r="B659" s="2" t="inlineStr">
        <is>
          <t>financials</t>
        </is>
      </c>
      <c r="C659" s="2" t="inlineStr">
        <is>
          <t>ebitda</t>
        </is>
      </c>
      <c r="D659" s="2" t="inlineStr">
        <is>
          <t>EBITDA (as reported)</t>
        </is>
      </c>
      <c r="E659" s="2" t="inlineStr">
        <is>
          <t>FY2022</t>
        </is>
      </c>
      <c r="F659" s="2" t="n">
        <v>37</v>
      </c>
      <c r="G659" s="2" t="inlineStr">
        <is>
          <t>EUR m</t>
        </is>
      </c>
      <c r="H659" s="3" t="inlineStr">
        <is>
          <t>Rounded chart value from the At a glance EBITDA series</t>
        </is>
      </c>
      <c r="I659" s="2" t="inlineStr">
        <is>
          <t>S3</t>
        </is>
      </c>
      <c r="J659" s="2" t="n">
        <v>7</v>
      </c>
      <c r="K659" s="2" t="inlineStr">
        <is>
          <t>41 37 23 2021 2022 2023 2024 2025 45 99</t>
        </is>
      </c>
      <c r="L659" s="2" t="inlineStr">
        <is>
          <t>ok</t>
        </is>
      </c>
      <c r="M659" s="2" t="inlineStr">
        <is>
          <t>demo reviewer</t>
        </is>
      </c>
      <c r="N659" s="2" t="n"/>
      <c r="O659" s="3" t="inlineStr">
        <is>
          <t>https://vanillabonds.com/dossier-data/pdf/katjes/katjes-2025-annual-report.pdf#page=7</t>
        </is>
      </c>
      <c r="P659" s="3" t="inlineStr">
        <is>
          <t>https://vanillabonds.com/dossier.html?c=katjes&amp;viewer=1&amp;item=F658</t>
        </is>
      </c>
      <c r="Q659" s="2" t="inlineStr">
        <is>
          <t>yes</t>
        </is>
      </c>
    </row>
    <row r="660">
      <c r="A660" s="2" t="inlineStr">
        <is>
          <t>F659</t>
        </is>
      </c>
      <c r="B660" s="2" t="inlineStr">
        <is>
          <t>financials</t>
        </is>
      </c>
      <c r="C660" s="2" t="inlineStr">
        <is>
          <t>ebitda</t>
        </is>
      </c>
      <c r="D660" s="2" t="inlineStr">
        <is>
          <t>EBITDA (as reported)</t>
        </is>
      </c>
      <c r="E660" s="2" t="inlineStr">
        <is>
          <t>FY2023</t>
        </is>
      </c>
      <c r="F660" s="2" t="n">
        <v>23</v>
      </c>
      <c r="G660" s="2" t="inlineStr">
        <is>
          <t>EUR m</t>
        </is>
      </c>
      <c r="H660" s="3" t="inlineStr">
        <is>
          <t>Rounded chart value from the At a glance EBITDA series (2021-2025: 41, 37, 23, 45, 99)</t>
        </is>
      </c>
      <c r="I660" s="2" t="inlineStr">
        <is>
          <t>S3</t>
        </is>
      </c>
      <c r="J660" s="2" t="n">
        <v>7</v>
      </c>
      <c r="K660" s="2" t="inlineStr">
        <is>
          <t>41 37 23 2021 2022 2023 2024 2025 45 99</t>
        </is>
      </c>
      <c r="L660" s="2" t="inlineStr">
        <is>
          <t>pend</t>
        </is>
      </c>
      <c r="M660" s="2" t="n"/>
      <c r="N660" s="3" t="inlineStr">
        <is>
          <t>conflict: S1·p32 40.8 vs S2·p29 40.8 vs S3·p7 23.0; primary per fact agent: S2 p29 - S2 is the later audited report carrying FY2023 and its comparative equals S1 p32; S3 carries no FY2023 statement, and its 23.0 is a chart bar from p7 assigned to FY2023.</t>
        </is>
      </c>
      <c r="O660" s="3" t="inlineStr">
        <is>
          <t>https://vanillabonds.com/dossier-data/pdf/katjes/katjes-2025-annual-report.pdf#page=7</t>
        </is>
      </c>
      <c r="P660" s="3" t="inlineStr">
        <is>
          <t>https://vanillabonds.com/dossier.html?c=katjes&amp;viewer=1&amp;item=F659</t>
        </is>
      </c>
      <c r="Q660" s="2" t="inlineStr">
        <is>
          <t>no</t>
        </is>
      </c>
    </row>
    <row r="661">
      <c r="A661" s="2" t="inlineStr">
        <is>
          <t>F660</t>
        </is>
      </c>
      <c r="B661" s="2" t="inlineStr">
        <is>
          <t>financials</t>
        </is>
      </c>
      <c r="C661" s="2" t="inlineStr">
        <is>
          <t>ebitda</t>
        </is>
      </c>
      <c r="D661" s="2" t="inlineStr">
        <is>
          <t>EBITDA (as reported)</t>
        </is>
      </c>
      <c r="E661" s="2" t="inlineStr">
        <is>
          <t>FY2024</t>
        </is>
      </c>
      <c r="F661" s="2" t="n">
        <v>44.8</v>
      </c>
      <c r="G661" s="2" t="inlineStr">
        <is>
          <t>EUR m</t>
        </is>
      </c>
      <c r="H661" s="3" t="inlineStr">
        <is>
          <t>EBITDA as reported in the group management report; EBITDA margin 11.4%</t>
        </is>
      </c>
      <c r="I661" s="2" t="inlineStr">
        <is>
          <t>S3</t>
        </is>
      </c>
      <c r="J661" s="2" t="n">
        <v>25</v>
      </c>
      <c r="K661" s="3" t="inlineStr">
        <is>
          <t>EBITDA amounted to EUR 98.8 million in the financial year 2025 (2024: EUR 44.8 million).</t>
        </is>
      </c>
      <c r="L661" s="2" t="inlineStr">
        <is>
          <t>ok</t>
        </is>
      </c>
      <c r="M661" s="2" t="inlineStr">
        <is>
          <t>demo reviewer</t>
        </is>
      </c>
      <c r="N661" s="2" t="n"/>
      <c r="O661" s="3" t="inlineStr">
        <is>
          <t>https://vanillabonds.com/dossier-data/pdf/katjes/katjes-2025-annual-report.pdf#page=25</t>
        </is>
      </c>
      <c r="P661" s="3" t="inlineStr">
        <is>
          <t>https://vanillabonds.com/dossier.html?c=katjes&amp;viewer=1&amp;item=F660</t>
        </is>
      </c>
      <c r="Q661" s="2" t="inlineStr">
        <is>
          <t>yes</t>
        </is>
      </c>
    </row>
    <row r="662">
      <c r="A662" s="2" t="inlineStr">
        <is>
          <t>F661</t>
        </is>
      </c>
      <c r="B662" s="2" t="inlineStr">
        <is>
          <t>financials</t>
        </is>
      </c>
      <c r="C662" s="2" t="inlineStr">
        <is>
          <t>ebitda</t>
        </is>
      </c>
      <c r="D662" s="2" t="inlineStr">
        <is>
          <t>EBITDA (as reported)</t>
        </is>
      </c>
      <c r="E662" s="2" t="inlineStr">
        <is>
          <t>FY2025</t>
        </is>
      </c>
      <c r="F662" s="2" t="n">
        <v>98.8</v>
      </c>
      <c r="G662" s="2" t="inlineStr">
        <is>
          <t>EUR m</t>
        </is>
      </c>
      <c r="H662" s="3" t="inlineStr">
        <is>
          <t>EBITDA as reported in the group management report; EBITDA margin 19.7%</t>
        </is>
      </c>
      <c r="I662" s="2" t="inlineStr">
        <is>
          <t>S3</t>
        </is>
      </c>
      <c r="J662" s="2" t="n">
        <v>25</v>
      </c>
      <c r="K662" s="3" t="inlineStr">
        <is>
          <t>EBITDA amounted to EUR 98.8 million in the financial year 2025 (2024: EUR 44.8 million).</t>
        </is>
      </c>
      <c r="L662" s="2" t="inlineStr">
        <is>
          <t>ok</t>
        </is>
      </c>
      <c r="M662" s="2" t="inlineStr">
        <is>
          <t>demo reviewer</t>
        </is>
      </c>
      <c r="N662" s="2" t="n"/>
      <c r="O662" s="3" t="inlineStr">
        <is>
          <t>https://vanillabonds.com/dossier-data/pdf/katjes/katjes-2025-annual-report.pdf#page=25</t>
        </is>
      </c>
      <c r="P662" s="3" t="inlineStr">
        <is>
          <t>https://vanillabonds.com/dossier.html?c=katjes&amp;viewer=1&amp;item=F661</t>
        </is>
      </c>
      <c r="Q662" s="2" t="inlineStr"/>
    </row>
    <row r="663">
      <c r="A663" s="2" t="inlineStr">
        <is>
          <t>F662</t>
        </is>
      </c>
      <c r="B663" s="2" t="inlineStr">
        <is>
          <t>financials</t>
        </is>
      </c>
      <c r="C663" s="2" t="inlineStr">
        <is>
          <t>ebit</t>
        </is>
      </c>
      <c r="D663" s="2" t="inlineStr">
        <is>
          <t>EBIT / operating result</t>
        </is>
      </c>
      <c r="E663" s="2" t="inlineStr">
        <is>
          <t>FY2024</t>
        </is>
      </c>
      <c r="F663" s="2" t="n">
        <v>25</v>
      </c>
      <c r="G663" s="2" t="inlineStr">
        <is>
          <t>EUR m</t>
        </is>
      </c>
      <c r="H663" s="3" t="inlineStr">
        <is>
          <t>Operating result per consolidated income statement</t>
        </is>
      </c>
      <c r="I663" s="2" t="inlineStr">
        <is>
          <t>S3</t>
        </is>
      </c>
      <c r="J663" s="2" t="n">
        <v>37</v>
      </c>
      <c r="K663" s="2" t="inlineStr">
        <is>
          <t>Operating result 71.1 25.0</t>
        </is>
      </c>
      <c r="L663" s="2" t="inlineStr">
        <is>
          <t>ok</t>
        </is>
      </c>
      <c r="M663" s="2" t="inlineStr">
        <is>
          <t>demo reviewer</t>
        </is>
      </c>
      <c r="N663" s="2" t="n"/>
      <c r="O663" s="3" t="inlineStr">
        <is>
          <t>https://vanillabonds.com/dossier-data/pdf/katjes/katjes-2025-annual-report.pdf#page=37</t>
        </is>
      </c>
      <c r="P663" s="3" t="inlineStr">
        <is>
          <t>https://vanillabonds.com/dossier.html?c=katjes&amp;viewer=1&amp;item=F662</t>
        </is>
      </c>
      <c r="Q663" s="2" t="inlineStr">
        <is>
          <t>yes</t>
        </is>
      </c>
    </row>
    <row r="664">
      <c r="A664" s="2" t="inlineStr">
        <is>
          <t>F663</t>
        </is>
      </c>
      <c r="B664" s="2" t="inlineStr">
        <is>
          <t>financials</t>
        </is>
      </c>
      <c r="C664" s="2" t="inlineStr">
        <is>
          <t>ebit</t>
        </is>
      </c>
      <c r="D664" s="2" t="inlineStr">
        <is>
          <t>EBIT / operating result</t>
        </is>
      </c>
      <c r="E664" s="2" t="inlineStr">
        <is>
          <t>FY2025</t>
        </is>
      </c>
      <c r="F664" s="2" t="n">
        <v>71.09999999999999</v>
      </c>
      <c r="G664" s="2" t="inlineStr">
        <is>
          <t>EUR m</t>
        </is>
      </c>
      <c r="H664" s="3" t="inlineStr">
        <is>
          <t>Operating result per consolidated income statement</t>
        </is>
      </c>
      <c r="I664" s="2" t="inlineStr">
        <is>
          <t>S3</t>
        </is>
      </c>
      <c r="J664" s="2" t="n">
        <v>37</v>
      </c>
      <c r="K664" s="2" t="inlineStr">
        <is>
          <t>Operating result 71.1 25.0</t>
        </is>
      </c>
      <c r="L664" s="2" t="inlineStr">
        <is>
          <t>ok</t>
        </is>
      </c>
      <c r="M664" s="2" t="inlineStr">
        <is>
          <t>demo reviewer</t>
        </is>
      </c>
      <c r="N664" s="2" t="n"/>
      <c r="O664" s="3" t="inlineStr">
        <is>
          <t>https://vanillabonds.com/dossier-data/pdf/katjes/katjes-2025-annual-report.pdf#page=37</t>
        </is>
      </c>
      <c r="P664" s="3" t="inlineStr">
        <is>
          <t>https://vanillabonds.com/dossier.html?c=katjes&amp;viewer=1&amp;item=F663</t>
        </is>
      </c>
      <c r="Q664" s="2" t="inlineStr"/>
    </row>
    <row r="665">
      <c r="A665" s="2" t="inlineStr">
        <is>
          <t>F664</t>
        </is>
      </c>
      <c r="B665" s="2" t="inlineStr">
        <is>
          <t>financials</t>
        </is>
      </c>
      <c r="C665" s="2" t="inlineStr">
        <is>
          <t>net_income</t>
        </is>
      </c>
      <c r="D665" s="2" t="inlineStr">
        <is>
          <t>Net result</t>
        </is>
      </c>
      <c r="E665" s="2" t="inlineStr">
        <is>
          <t>FY2024</t>
        </is>
      </c>
      <c r="F665" s="2" t="n">
        <v>3.2</v>
      </c>
      <c r="G665" s="2" t="inlineStr">
        <is>
          <t>EUR m</t>
        </is>
      </c>
      <c r="H665" s="3" t="inlineStr">
        <is>
          <t>Earnings after tax; non-controlling interests 0.0</t>
        </is>
      </c>
      <c r="I665" s="2" t="inlineStr">
        <is>
          <t>S3</t>
        </is>
      </c>
      <c r="J665" s="2" t="n">
        <v>37</v>
      </c>
      <c r="K665" s="2" t="inlineStr">
        <is>
          <t>Earnings after tax 53.2 3.2</t>
        </is>
      </c>
      <c r="L665" s="2" t="inlineStr">
        <is>
          <t>ok</t>
        </is>
      </c>
      <c r="M665" s="2" t="inlineStr">
        <is>
          <t>demo reviewer</t>
        </is>
      </c>
      <c r="N665" s="2" t="n"/>
      <c r="O665" s="3" t="inlineStr">
        <is>
          <t>https://vanillabonds.com/dossier-data/pdf/katjes/katjes-2025-annual-report.pdf#page=37</t>
        </is>
      </c>
      <c r="P665" s="3" t="inlineStr">
        <is>
          <t>https://vanillabonds.com/dossier.html?c=katjes&amp;viewer=1&amp;item=F664</t>
        </is>
      </c>
      <c r="Q665" s="2" t="inlineStr">
        <is>
          <t>yes</t>
        </is>
      </c>
    </row>
    <row r="666">
      <c r="A666" s="2" t="inlineStr">
        <is>
          <t>F665</t>
        </is>
      </c>
      <c r="B666" s="2" t="inlineStr">
        <is>
          <t>financials</t>
        </is>
      </c>
      <c r="C666" s="2" t="inlineStr">
        <is>
          <t>net_income</t>
        </is>
      </c>
      <c r="D666" s="2" t="inlineStr">
        <is>
          <t>Net result</t>
        </is>
      </c>
      <c r="E666" s="2" t="inlineStr">
        <is>
          <t>FY2025</t>
        </is>
      </c>
      <c r="F666" s="2" t="n">
        <v>53.2</v>
      </c>
      <c r="G666" s="2" t="inlineStr">
        <is>
          <t>EUR m</t>
        </is>
      </c>
      <c r="H666" s="3" t="inlineStr">
        <is>
          <t>Earnings after tax; of which non-controlling interests 3.1 and attributable to Katjes International 50.1</t>
        </is>
      </c>
      <c r="I666" s="2" t="inlineStr">
        <is>
          <t>S3</t>
        </is>
      </c>
      <c r="J666" s="2" t="n">
        <v>37</v>
      </c>
      <c r="K666" s="2" t="inlineStr">
        <is>
          <t>Earnings after tax 53.2 3.2</t>
        </is>
      </c>
      <c r="L666" s="2" t="inlineStr">
        <is>
          <t>ok</t>
        </is>
      </c>
      <c r="M666" s="2" t="inlineStr">
        <is>
          <t>demo reviewer</t>
        </is>
      </c>
      <c r="N666" s="2" t="n"/>
      <c r="O666" s="3" t="inlineStr">
        <is>
          <t>https://vanillabonds.com/dossier-data/pdf/katjes/katjes-2025-annual-report.pdf#page=37</t>
        </is>
      </c>
      <c r="P666" s="3" t="inlineStr">
        <is>
          <t>https://vanillabonds.com/dossier.html?c=katjes&amp;viewer=1&amp;item=F665</t>
        </is>
      </c>
      <c r="Q666" s="2" t="inlineStr"/>
    </row>
    <row r="667">
      <c r="A667" s="2" t="inlineStr">
        <is>
          <t>F666</t>
        </is>
      </c>
      <c r="B667" s="2" t="inlineStr">
        <is>
          <t>financials</t>
        </is>
      </c>
      <c r="C667" s="2" t="inlineStr">
        <is>
          <t>da</t>
        </is>
      </c>
      <c r="D667" s="2" t="inlineStr">
        <is>
          <t>Depreciation &amp; amortisation</t>
        </is>
      </c>
      <c r="E667" s="2" t="inlineStr">
        <is>
          <t>FY2024</t>
        </is>
      </c>
      <c r="F667" s="2" t="n">
        <v>20.8</v>
      </c>
      <c r="G667" s="2" t="inlineStr">
        <is>
          <t>EUR m</t>
        </is>
      </c>
      <c r="H667" s="3" t="inlineStr">
        <is>
          <t>Total depreciation/amortisation additions per statement of changes in fixed assets incl. right-of-use assets 4.8 and participation write-down 1.6; cash flow statement lists 10.4 PP&amp;E, 4.8 right-of-use, 4.6 intangibles</t>
        </is>
      </c>
      <c r="I667" s="2" t="inlineStr">
        <is>
          <t>S3</t>
        </is>
      </c>
      <c r="J667" s="2" t="n">
        <v>86</v>
      </c>
      <c r="K667" s="3" t="inlineStr">
        <is>
          <t>414.0 31.3 0.0 -1.4 443.9 107.0 20.8 -0.5 127.4 316.4 307.1</t>
        </is>
      </c>
      <c r="L667" s="2" t="inlineStr">
        <is>
          <t>pend</t>
        </is>
      </c>
      <c r="M667" s="2" t="n"/>
      <c r="N667" s="3" t="inlineStr">
        <is>
          <t>conflict: S2·p74 19.8 vs S3·p86 20.8; primary per fact agent: S2 p74 - S3 does not restate FY2024: its 2024 cash flow lines on p42 (10.4, 4.8, 4.6) are the same as S2's, S3 shows no labelled D&amp;A total for 2024, and its 20.8 is the fixed-asset schedule column on p86, a different line; S2's labelled total of 19.8 stands.</t>
        </is>
      </c>
      <c r="O667" s="3" t="inlineStr">
        <is>
          <t>https://vanillabonds.com/dossier-data/pdf/katjes/katjes-2025-annual-report.pdf#page=86</t>
        </is>
      </c>
      <c r="P667" s="3" t="inlineStr">
        <is>
          <t>https://vanillabonds.com/dossier.html?c=katjes&amp;viewer=1&amp;item=F666</t>
        </is>
      </c>
      <c r="Q667" s="2" t="inlineStr">
        <is>
          <t>no</t>
        </is>
      </c>
    </row>
    <row r="668">
      <c r="A668" s="2" t="inlineStr">
        <is>
          <t>F667</t>
        </is>
      </c>
      <c r="B668" s="2" t="inlineStr">
        <is>
          <t>financials</t>
        </is>
      </c>
      <c r="C668" s="2" t="inlineStr">
        <is>
          <t>da</t>
        </is>
      </c>
      <c r="D668" s="2" t="inlineStr">
        <is>
          <t>Depreciation &amp; amortisation</t>
        </is>
      </c>
      <c r="E668" s="2" t="inlineStr">
        <is>
          <t>FY2025</t>
        </is>
      </c>
      <c r="F668" s="2" t="n">
        <v>27.2</v>
      </c>
      <c r="G668" s="2" t="inlineStr">
        <is>
          <t>EUR m</t>
        </is>
      </c>
      <c r="H668" s="3" t="inlineStr">
        <is>
          <t>Total depreciation/amortisation additions per statement of changes in fixed assets incl. right-of-use assets; cash flow statement lists depreciation of PP&amp;E 11.4, amortisation of right-of-use assets 9.9, amortisation of intangibles 6.3</t>
        </is>
      </c>
      <c r="I668" s="2" t="inlineStr">
        <is>
          <t>S3</t>
        </is>
      </c>
      <c r="J668" s="2" t="n">
        <v>85</v>
      </c>
      <c r="K668" s="3" t="inlineStr">
        <is>
          <t>443.9 23.3 -1.1 -65.7 291.1 691.6 127.4 27.2 -1.0 91.8 245.5 446.0 316.4</t>
        </is>
      </c>
      <c r="L668" s="2" t="inlineStr">
        <is>
          <t>ok</t>
        </is>
      </c>
      <c r="M668" s="2" t="inlineStr">
        <is>
          <t>demo reviewer</t>
        </is>
      </c>
      <c r="N668" s="2" t="n"/>
      <c r="O668" s="3" t="inlineStr">
        <is>
          <t>https://vanillabonds.com/dossier-data/pdf/katjes/katjes-2025-annual-report.pdf#page=85</t>
        </is>
      </c>
      <c r="P668" s="3" t="inlineStr">
        <is>
          <t>https://vanillabonds.com/dossier.html?c=katjes&amp;viewer=1&amp;item=F667</t>
        </is>
      </c>
      <c r="Q668" s="2" t="inlineStr"/>
    </row>
    <row r="669">
      <c r="A669" s="2" t="inlineStr">
        <is>
          <t>F668</t>
        </is>
      </c>
      <c r="B669" s="2" t="inlineStr">
        <is>
          <t>financials</t>
        </is>
      </c>
      <c r="C669" s="2" t="inlineStr">
        <is>
          <t>net_interest</t>
        </is>
      </c>
      <c r="D669" s="2" t="inlineStr">
        <is>
          <t>Net finance cost</t>
        </is>
      </c>
      <c r="E669" s="2" t="inlineStr">
        <is>
          <t>FY2024</t>
        </is>
      </c>
      <c r="F669" s="2" t="n">
        <v>11.6</v>
      </c>
      <c r="G669" s="2" t="inlineStr">
        <is>
          <t>EUR m</t>
        </is>
      </c>
      <c r="H669" s="3" t="inlineStr">
        <is>
          <t>Financial result -11.6 reported as net finance cost</t>
        </is>
      </c>
      <c r="I669" s="2" t="inlineStr">
        <is>
          <t>S3</t>
        </is>
      </c>
      <c r="J669" s="2" t="n">
        <v>37</v>
      </c>
      <c r="K669" s="2" t="inlineStr">
        <is>
          <t>Financial result 7.4 -19.2 -11.6</t>
        </is>
      </c>
      <c r="L669" s="2" t="inlineStr">
        <is>
          <t>ok</t>
        </is>
      </c>
      <c r="M669" s="2" t="inlineStr">
        <is>
          <t>demo reviewer</t>
        </is>
      </c>
      <c r="N669" s="2" t="n"/>
      <c r="O669" s="3" t="inlineStr">
        <is>
          <t>https://vanillabonds.com/dossier-data/pdf/katjes/katjes-2025-annual-report.pdf#page=37</t>
        </is>
      </c>
      <c r="P669" s="3" t="inlineStr">
        <is>
          <t>https://vanillabonds.com/dossier.html?c=katjes&amp;viewer=1&amp;item=F668</t>
        </is>
      </c>
      <c r="Q669" s="2" t="inlineStr">
        <is>
          <t>yes</t>
        </is>
      </c>
    </row>
    <row r="670">
      <c r="A670" s="2" t="inlineStr">
        <is>
          <t>F669</t>
        </is>
      </c>
      <c r="B670" s="2" t="inlineStr">
        <is>
          <t>financials</t>
        </is>
      </c>
      <c r="C670" s="2" t="inlineStr">
        <is>
          <t>net_interest</t>
        </is>
      </c>
      <c r="D670" s="2" t="inlineStr">
        <is>
          <t>Net finance cost</t>
        </is>
      </c>
      <c r="E670" s="2" t="inlineStr">
        <is>
          <t>FY2025</t>
        </is>
      </c>
      <c r="F670" s="2" t="n">
        <v>19.2</v>
      </c>
      <c r="G670" s="2" t="inlineStr">
        <is>
          <t>EUR m</t>
        </is>
      </c>
      <c r="H670" s="3" t="inlineStr">
        <is>
          <t>Financial result -19.2 reported as net finance cost; includes share of loss of Bogner GCA Holding -1.8 and share of profit of CPK 1.8</t>
        </is>
      </c>
      <c r="I670" s="2" t="inlineStr">
        <is>
          <t>S3</t>
        </is>
      </c>
      <c r="J670" s="2" t="n">
        <v>37</v>
      </c>
      <c r="K670" s="2" t="inlineStr">
        <is>
          <t>Financial result 7.4 -19.2 -11.6</t>
        </is>
      </c>
      <c r="L670" s="2" t="inlineStr">
        <is>
          <t>ok</t>
        </is>
      </c>
      <c r="M670" s="2" t="inlineStr">
        <is>
          <t>demo reviewer</t>
        </is>
      </c>
      <c r="N670" s="2" t="n"/>
      <c r="O670" s="3" t="inlineStr">
        <is>
          <t>https://vanillabonds.com/dossier-data/pdf/katjes/katjes-2025-annual-report.pdf#page=37</t>
        </is>
      </c>
      <c r="P670" s="3" t="inlineStr">
        <is>
          <t>https://vanillabonds.com/dossier.html?c=katjes&amp;viewer=1&amp;item=F669</t>
        </is>
      </c>
      <c r="Q670" s="2" t="inlineStr"/>
    </row>
    <row r="671">
      <c r="A671" s="2" t="inlineStr">
        <is>
          <t>F670</t>
        </is>
      </c>
      <c r="B671" s="2" t="inlineStr">
        <is>
          <t>financials</t>
        </is>
      </c>
      <c r="C671" s="2" t="inlineStr">
        <is>
          <t>cfo</t>
        </is>
      </c>
      <c r="D671" s="2" t="inlineStr">
        <is>
          <t>Cash flow from operating activities</t>
        </is>
      </c>
      <c r="E671" s="2" t="inlineStr">
        <is>
          <t>FY2024</t>
        </is>
      </c>
      <c r="F671" s="2" t="n">
        <v>45.6</v>
      </c>
      <c r="G671" s="2" t="inlineStr">
        <is>
          <t>EUR m</t>
        </is>
      </c>
      <c r="H671" s="2" t="inlineStr">
        <is>
          <t>Cash flow from operating activities</t>
        </is>
      </c>
      <c r="I671" s="2" t="inlineStr">
        <is>
          <t>S3</t>
        </is>
      </c>
      <c r="J671" s="2" t="n">
        <v>42</v>
      </c>
      <c r="K671" s="3" t="inlineStr">
        <is>
          <t>Cash flow from operating activities 19.1 45.6</t>
        </is>
      </c>
      <c r="L671" s="2" t="inlineStr">
        <is>
          <t>ok</t>
        </is>
      </c>
      <c r="M671" s="2" t="inlineStr">
        <is>
          <t>demo reviewer</t>
        </is>
      </c>
      <c r="N671" s="2" t="n"/>
      <c r="O671" s="3" t="inlineStr">
        <is>
          <t>https://vanillabonds.com/dossier-data/pdf/katjes/katjes-2025-annual-report.pdf#page=42</t>
        </is>
      </c>
      <c r="P671" s="3" t="inlineStr">
        <is>
          <t>https://vanillabonds.com/dossier.html?c=katjes&amp;viewer=1&amp;item=F670</t>
        </is>
      </c>
      <c r="Q671" s="2" t="inlineStr">
        <is>
          <t>yes</t>
        </is>
      </c>
    </row>
    <row r="672">
      <c r="A672" s="2" t="inlineStr">
        <is>
          <t>F671</t>
        </is>
      </c>
      <c r="B672" s="2" t="inlineStr">
        <is>
          <t>financials</t>
        </is>
      </c>
      <c r="C672" s="2" t="inlineStr">
        <is>
          <t>cfo</t>
        </is>
      </c>
      <c r="D672" s="2" t="inlineStr">
        <is>
          <t>Cash flow from operating activities</t>
        </is>
      </c>
      <c r="E672" s="2" t="inlineStr">
        <is>
          <t>FY2025</t>
        </is>
      </c>
      <c r="F672" s="2" t="n">
        <v>19.1</v>
      </c>
      <c r="G672" s="2" t="inlineStr">
        <is>
          <t>EUR m</t>
        </is>
      </c>
      <c r="H672" s="3" t="inlineStr">
        <is>
          <t>Cash flow from operating activities; decrease attributed to inclusion of the Bogner Group and its seasonal working capital</t>
        </is>
      </c>
      <c r="I672" s="2" t="inlineStr">
        <is>
          <t>S3</t>
        </is>
      </c>
      <c r="J672" s="2" t="n">
        <v>42</v>
      </c>
      <c r="K672" s="3" t="inlineStr">
        <is>
          <t>Cash flow from operating activities 19.1 45.6</t>
        </is>
      </c>
      <c r="L672" s="2" t="inlineStr">
        <is>
          <t>ok</t>
        </is>
      </c>
      <c r="M672" s="2" t="inlineStr">
        <is>
          <t>demo reviewer</t>
        </is>
      </c>
      <c r="N672" s="2" t="n"/>
      <c r="O672" s="3" t="inlineStr">
        <is>
          <t>https://vanillabonds.com/dossier-data/pdf/katjes/katjes-2025-annual-report.pdf#page=42</t>
        </is>
      </c>
      <c r="P672" s="3" t="inlineStr">
        <is>
          <t>https://vanillabonds.com/dossier.html?c=katjes&amp;viewer=1&amp;item=F671</t>
        </is>
      </c>
      <c r="Q672" s="2" t="inlineStr"/>
    </row>
    <row r="673">
      <c r="A673" s="2" t="inlineStr">
        <is>
          <t>F672</t>
        </is>
      </c>
      <c r="B673" s="2" t="inlineStr">
        <is>
          <t>financials</t>
        </is>
      </c>
      <c r="C673" s="2" t="inlineStr">
        <is>
          <t>capex</t>
        </is>
      </c>
      <c r="D673" s="2" t="inlineStr">
        <is>
          <t>Capex (PP&amp;E + intangibles)</t>
        </is>
      </c>
      <c r="E673" s="2" t="inlineStr">
        <is>
          <t>FY2024</t>
        </is>
      </c>
      <c r="F673" s="2" t="n">
        <v>18.8</v>
      </c>
      <c r="G673" s="2" t="inlineStr">
        <is>
          <t>EUR m</t>
        </is>
      </c>
      <c r="H673" s="3" t="inlineStr">
        <is>
          <t>Additions at cost to intangible assets (5.2) and property, plant and equipment (13.6) per statement of changes in fixed assets; cash flow statement shows -13.0 PP&amp;E and -4.9 intangibles</t>
        </is>
      </c>
      <c r="I673" s="2" t="inlineStr">
        <is>
          <t>S3</t>
        </is>
      </c>
      <c r="J673" s="2" t="n">
        <v>86</v>
      </c>
      <c r="K673" s="3" t="inlineStr">
        <is>
          <t>330.1 18.8 0.0 -1.4 347.5 95.4 14.4 -0.5 109.3 238.2 234.8</t>
        </is>
      </c>
      <c r="L673" s="2" t="inlineStr">
        <is>
          <t>pend</t>
        </is>
      </c>
      <c r="M673" s="2" t="n"/>
      <c r="N673" s="3" t="inlineStr">
        <is>
          <t>conflict: S2·p45 17.9 vs S3·p86 18.8; primary per fact agent: S3 p42 - S3 is the later audited report; its FY2024 cash flow comparatives (-13.0 and -4.9) are the same lines as S2's, so S2's 17.9 on the cash flow basis stands, and S3's 18.8 is the fixed-asset schedule additions on p86, a different line.</t>
        </is>
      </c>
      <c r="O673" s="3" t="inlineStr">
        <is>
          <t>https://vanillabonds.com/dossier-data/pdf/katjes/katjes-2025-annual-report.pdf#page=86</t>
        </is>
      </c>
      <c r="P673" s="3" t="inlineStr">
        <is>
          <t>https://vanillabonds.com/dossier.html?c=katjes&amp;viewer=1&amp;item=F672</t>
        </is>
      </c>
      <c r="Q673" s="2" t="inlineStr">
        <is>
          <t>yes</t>
        </is>
      </c>
    </row>
    <row r="674">
      <c r="A674" s="2" t="inlineStr">
        <is>
          <t>F673</t>
        </is>
      </c>
      <c r="B674" s="2" t="inlineStr">
        <is>
          <t>financials</t>
        </is>
      </c>
      <c r="C674" s="2" t="inlineStr">
        <is>
          <t>capex</t>
        </is>
      </c>
      <c r="D674" s="2" t="inlineStr">
        <is>
          <t>Capex (PP&amp;E + intangibles)</t>
        </is>
      </c>
      <c r="E674" s="2" t="inlineStr">
        <is>
          <t>FY2025</t>
        </is>
      </c>
      <c r="F674" s="2" t="n">
        <v>19.6</v>
      </c>
      <c r="G674" s="2" t="inlineStr">
        <is>
          <t>EUR m</t>
        </is>
      </c>
      <c r="H674" s="3" t="inlineStr">
        <is>
          <t>Additions at cost to intangible assets (2.1) and property, plant and equipment (17.5) per statement of changes in fixed assets; cash flow statement shows acquisitions of PP&amp;E -16.6 and intangibles -1.2</t>
        </is>
      </c>
      <c r="I674" s="2" t="inlineStr">
        <is>
          <t>S3</t>
        </is>
      </c>
      <c r="J674" s="2" t="n">
        <v>85</v>
      </c>
      <c r="K674" s="3" t="inlineStr">
        <is>
          <t>347.5 19.6 -1.1 -3.8 221.9 584.1 109.3 18.2 -1.0 90.6 217.1 367.0 238.2</t>
        </is>
      </c>
      <c r="L674" s="2" t="inlineStr">
        <is>
          <t>ok</t>
        </is>
      </c>
      <c r="M674" s="2" t="inlineStr">
        <is>
          <t>demo reviewer</t>
        </is>
      </c>
      <c r="N674" s="2" t="n"/>
      <c r="O674" s="3" t="inlineStr">
        <is>
          <t>https://vanillabonds.com/dossier-data/pdf/katjes/katjes-2025-annual-report.pdf#page=85</t>
        </is>
      </c>
      <c r="P674" s="3" t="inlineStr">
        <is>
          <t>https://vanillabonds.com/dossier.html?c=katjes&amp;viewer=1&amp;item=F673</t>
        </is>
      </c>
      <c r="Q674" s="2" t="inlineStr"/>
    </row>
    <row r="675">
      <c r="A675" s="2" t="inlineStr">
        <is>
          <t>F674</t>
        </is>
      </c>
      <c r="B675" s="2" t="inlineStr">
        <is>
          <t>financials</t>
        </is>
      </c>
      <c r="C675" s="2" t="inlineStr">
        <is>
          <t>cash</t>
        </is>
      </c>
      <c r="D675" s="2" t="inlineStr">
        <is>
          <t>Cash &amp; equivalents</t>
        </is>
      </c>
      <c r="E675" s="2" t="inlineStr">
        <is>
          <t>FY2023</t>
        </is>
      </c>
      <c r="F675" s="2" t="n">
        <v>58.4</v>
      </c>
      <c r="G675" s="2" t="inlineStr">
        <is>
          <t>EUR m</t>
        </is>
      </c>
      <c r="H675" s="3" t="inlineStr">
        <is>
          <t>Cash and cash equivalents at 1 January 2024 per cash flow statement</t>
        </is>
      </c>
      <c r="I675" s="2" t="inlineStr">
        <is>
          <t>S3</t>
        </is>
      </c>
      <c r="J675" s="2" t="n">
        <v>42</v>
      </c>
      <c r="K675" s="3" t="inlineStr">
        <is>
          <t>Cash and cash equivalents as at 1 January 54.0 58.4</t>
        </is>
      </c>
      <c r="L675" s="2" t="inlineStr">
        <is>
          <t>ok</t>
        </is>
      </c>
      <c r="M675" s="2" t="inlineStr">
        <is>
          <t>demo reviewer</t>
        </is>
      </c>
      <c r="N675" s="2" t="n"/>
      <c r="O675" s="3" t="inlineStr">
        <is>
          <t>https://vanillabonds.com/dossier-data/pdf/katjes/katjes-2025-annual-report.pdf#page=42</t>
        </is>
      </c>
      <c r="P675" s="3" t="inlineStr">
        <is>
          <t>https://vanillabonds.com/dossier.html?c=katjes&amp;viewer=1&amp;item=F674</t>
        </is>
      </c>
      <c r="Q675" s="2" t="inlineStr">
        <is>
          <t>yes</t>
        </is>
      </c>
    </row>
    <row r="676">
      <c r="A676" s="2" t="inlineStr">
        <is>
          <t>F675</t>
        </is>
      </c>
      <c r="B676" s="2" t="inlineStr">
        <is>
          <t>financials</t>
        </is>
      </c>
      <c r="C676" s="2" t="inlineStr">
        <is>
          <t>cash</t>
        </is>
      </c>
      <c r="D676" s="2" t="inlineStr">
        <is>
          <t>Cash &amp; equivalents</t>
        </is>
      </c>
      <c r="E676" s="2" t="inlineStr">
        <is>
          <t>FY2024</t>
        </is>
      </c>
      <c r="F676" s="2" t="n">
        <v>54</v>
      </c>
      <c r="G676" s="2" t="inlineStr">
        <is>
          <t>EUR m</t>
        </is>
      </c>
      <c r="H676" s="2" t="inlineStr">
        <is>
          <t>Cash and cash equivalents at 31 Dec 2024</t>
        </is>
      </c>
      <c r="I676" s="2" t="inlineStr">
        <is>
          <t>S3</t>
        </is>
      </c>
      <c r="J676" s="2" t="n">
        <v>39</v>
      </c>
      <c r="K676" s="2" t="inlineStr">
        <is>
          <t>Cash and cash equivalents 6.7 146.8 54.0</t>
        </is>
      </c>
      <c r="L676" s="2" t="inlineStr">
        <is>
          <t>ok</t>
        </is>
      </c>
      <c r="M676" s="2" t="inlineStr">
        <is>
          <t>demo reviewer</t>
        </is>
      </c>
      <c r="N676" s="2" t="n"/>
      <c r="O676" s="3" t="inlineStr">
        <is>
          <t>https://vanillabonds.com/dossier-data/pdf/katjes/katjes-2025-annual-report.pdf#page=39</t>
        </is>
      </c>
      <c r="P676" s="3" t="inlineStr">
        <is>
          <t>https://vanillabonds.com/dossier.html?c=katjes&amp;viewer=1&amp;item=F675</t>
        </is>
      </c>
      <c r="Q676" s="2" t="inlineStr">
        <is>
          <t>yes</t>
        </is>
      </c>
    </row>
    <row r="677">
      <c r="A677" s="2" t="inlineStr">
        <is>
          <t>F676</t>
        </is>
      </c>
      <c r="B677" s="2" t="inlineStr">
        <is>
          <t>financials</t>
        </is>
      </c>
      <c r="C677" s="2" t="inlineStr">
        <is>
          <t>cash</t>
        </is>
      </c>
      <c r="D677" s="2" t="inlineStr">
        <is>
          <t>Cash &amp; equivalents</t>
        </is>
      </c>
      <c r="E677" s="2" t="inlineStr">
        <is>
          <t>FY2025</t>
        </is>
      </c>
      <c r="F677" s="2" t="n">
        <v>146.8</v>
      </c>
      <c r="G677" s="2" t="inlineStr">
        <is>
          <t>EUR m</t>
        </is>
      </c>
      <c r="H677" s="2" t="inlineStr">
        <is>
          <t>Cash and cash equivalents at 31 Dec 2025</t>
        </is>
      </c>
      <c r="I677" s="2" t="inlineStr">
        <is>
          <t>S3</t>
        </is>
      </c>
      <c r="J677" s="2" t="n">
        <v>39</v>
      </c>
      <c r="K677" s="2" t="inlineStr">
        <is>
          <t>Cash and cash equivalents 6.7 146.8 54.0</t>
        </is>
      </c>
      <c r="L677" s="2" t="inlineStr">
        <is>
          <t>ok</t>
        </is>
      </c>
      <c r="M677" s="2" t="inlineStr">
        <is>
          <t>demo reviewer</t>
        </is>
      </c>
      <c r="N677" s="2" t="n"/>
      <c r="O677" s="3" t="inlineStr">
        <is>
          <t>https://vanillabonds.com/dossier-data/pdf/katjes/katjes-2025-annual-report.pdf#page=39</t>
        </is>
      </c>
      <c r="P677" s="3" t="inlineStr">
        <is>
          <t>https://vanillabonds.com/dossier.html?c=katjes&amp;viewer=1&amp;item=F676</t>
        </is>
      </c>
      <c r="Q677" s="2" t="inlineStr">
        <is>
          <t>yes</t>
        </is>
      </c>
    </row>
    <row r="678">
      <c r="A678" s="2" t="inlineStr">
        <is>
          <t>F677</t>
        </is>
      </c>
      <c r="B678" s="2" t="inlineStr">
        <is>
          <t>financials</t>
        </is>
      </c>
      <c r="C678" s="2" t="inlineStr">
        <is>
          <t>lease_liabilities</t>
        </is>
      </c>
      <c r="D678" s="2" t="inlineStr">
        <is>
          <t>Lease liabilities</t>
        </is>
      </c>
      <c r="E678" s="2" t="inlineStr">
        <is>
          <t>FY2024</t>
        </is>
      </c>
      <c r="F678" s="2" t="n">
        <v>13.2</v>
      </c>
      <c r="G678" s="2" t="inlineStr">
        <is>
          <t>EUR m</t>
        </is>
      </c>
      <c r="H678" s="3" t="inlineStr">
        <is>
          <t>IFRS 16 lease liabilities (non-current 9.5, current 3.7)</t>
        </is>
      </c>
      <c r="I678" s="2" t="inlineStr">
        <is>
          <t>S3</t>
        </is>
      </c>
      <c r="J678" s="2" t="n">
        <v>58</v>
      </c>
      <c r="K678" s="3" t="inlineStr">
        <is>
          <t>financial liabilities include lease liabilities in accordance with IFRS 16 in the amount of EUR 74.7 million (2024: EUR 13.2 million)</t>
        </is>
      </c>
      <c r="L678" s="2" t="inlineStr">
        <is>
          <t>ok</t>
        </is>
      </c>
      <c r="M678" s="2" t="inlineStr">
        <is>
          <t>demo reviewer</t>
        </is>
      </c>
      <c r="N678" s="2" t="n"/>
      <c r="O678" s="3" t="inlineStr">
        <is>
          <t>https://vanillabonds.com/dossier-data/pdf/katjes/katjes-2025-annual-report.pdf#page=58</t>
        </is>
      </c>
      <c r="P678" s="3" t="inlineStr">
        <is>
          <t>https://vanillabonds.com/dossier.html?c=katjes&amp;viewer=1&amp;item=F677</t>
        </is>
      </c>
      <c r="Q678" s="2" t="inlineStr">
        <is>
          <t>yes</t>
        </is>
      </c>
    </row>
    <row r="679">
      <c r="A679" s="2" t="inlineStr">
        <is>
          <t>F678</t>
        </is>
      </c>
      <c r="B679" s="2" t="inlineStr">
        <is>
          <t>financials</t>
        </is>
      </c>
      <c r="C679" s="2" t="inlineStr">
        <is>
          <t>lease_liabilities</t>
        </is>
      </c>
      <c r="D679" s="2" t="inlineStr">
        <is>
          <t>Lease liabilities</t>
        </is>
      </c>
      <c r="E679" s="2" t="inlineStr">
        <is>
          <t>FY2025</t>
        </is>
      </c>
      <c r="F679" s="2" t="n">
        <v>74.7</v>
      </c>
      <c r="G679" s="2" t="inlineStr">
        <is>
          <t>EUR m</t>
        </is>
      </c>
      <c r="H679" s="3" t="inlineStr">
        <is>
          <t>IFRS 16 lease liabilities (non-current 58.0, current 16.7)</t>
        </is>
      </c>
      <c r="I679" s="2" t="inlineStr">
        <is>
          <t>S3</t>
        </is>
      </c>
      <c r="J679" s="2" t="n">
        <v>58</v>
      </c>
      <c r="K679" s="3" t="inlineStr">
        <is>
          <t>financial liabilities include lease liabilities in accordance with IFRS 16 in the amount of EUR 74.7 million (2024: EUR 13.2 million)</t>
        </is>
      </c>
      <c r="L679" s="2" t="inlineStr">
        <is>
          <t>ok</t>
        </is>
      </c>
      <c r="M679" s="2" t="inlineStr">
        <is>
          <t>demo reviewer</t>
        </is>
      </c>
      <c r="N679" s="2" t="n"/>
      <c r="O679" s="3" t="inlineStr">
        <is>
          <t>https://vanillabonds.com/dossier-data/pdf/katjes/katjes-2025-annual-report.pdf#page=58</t>
        </is>
      </c>
      <c r="P679" s="3" t="inlineStr">
        <is>
          <t>https://vanillabonds.com/dossier.html?c=katjes&amp;viewer=1&amp;item=F678</t>
        </is>
      </c>
      <c r="Q679" s="2" t="inlineStr">
        <is>
          <t>yes</t>
        </is>
      </c>
    </row>
    <row r="680">
      <c r="A680" s="2" t="inlineStr">
        <is>
          <t>F679</t>
        </is>
      </c>
      <c r="B680" s="2" t="inlineStr">
        <is>
          <t>financials</t>
        </is>
      </c>
      <c r="C680" s="2" t="inlineStr">
        <is>
          <t>net_debt</t>
        </is>
      </c>
      <c r="D680" s="2" t="inlineStr">
        <is>
          <t>Net debt (as reported)</t>
        </is>
      </c>
      <c r="E680" s="2" t="inlineStr">
        <is>
          <t>FY2024</t>
        </is>
      </c>
      <c r="F680" s="2" t="n">
        <v>135.4</v>
      </c>
      <c r="G680" s="2" t="inlineStr">
        <is>
          <t>EUR m</t>
        </is>
      </c>
      <c r="H680" s="3" t="inlineStr">
        <is>
          <t>Net debt as reported = financial liabilities 189.4 (incl. lease liabilities 13.2) less cash 54.0</t>
        </is>
      </c>
      <c r="I680" s="2" t="inlineStr">
        <is>
          <t>S3</t>
        </is>
      </c>
      <c r="J680" s="2" t="n">
        <v>58</v>
      </c>
      <c r="K680" s="2" t="inlineStr">
        <is>
          <t>Net debt 206.0 135.4</t>
        </is>
      </c>
      <c r="L680" s="2" t="inlineStr">
        <is>
          <t>ok</t>
        </is>
      </c>
      <c r="M680" s="2" t="inlineStr">
        <is>
          <t>demo reviewer</t>
        </is>
      </c>
      <c r="N680" s="2" t="n"/>
      <c r="O680" s="3" t="inlineStr">
        <is>
          <t>https://vanillabonds.com/dossier-data/pdf/katjes/katjes-2025-annual-report.pdf#page=58</t>
        </is>
      </c>
      <c r="P680" s="3" t="inlineStr">
        <is>
          <t>https://vanillabonds.com/dossier.html?c=katjes&amp;viewer=1&amp;item=F679</t>
        </is>
      </c>
      <c r="Q680" s="2" t="inlineStr">
        <is>
          <t>yes</t>
        </is>
      </c>
    </row>
    <row r="681">
      <c r="A681" s="2" t="inlineStr">
        <is>
          <t>F680</t>
        </is>
      </c>
      <c r="B681" s="2" t="inlineStr">
        <is>
          <t>financials</t>
        </is>
      </c>
      <c r="C681" s="2" t="inlineStr">
        <is>
          <t>net_debt</t>
        </is>
      </c>
      <c r="D681" s="2" t="inlineStr">
        <is>
          <t>Net debt (as reported)</t>
        </is>
      </c>
      <c r="E681" s="2" t="inlineStr">
        <is>
          <t>FY2025</t>
        </is>
      </c>
      <c r="F681" s="2" t="n">
        <v>206</v>
      </c>
      <c r="G681" s="2" t="inlineStr">
        <is>
          <t>EUR m</t>
        </is>
      </c>
      <c r="H681" s="3" t="inlineStr">
        <is>
          <t>Net debt as reported = financial liabilities 352.8 (incl. lease liabilities 74.7, hire purchase 8.2, option liabilities 7.1, accrued bond interest 3.5) less cash 146.8</t>
        </is>
      </c>
      <c r="I681" s="2" t="inlineStr">
        <is>
          <t>S3</t>
        </is>
      </c>
      <c r="J681" s="2" t="n">
        <v>58</v>
      </c>
      <c r="K681" s="2" t="inlineStr">
        <is>
          <t>Net debt 206.0 135.4</t>
        </is>
      </c>
      <c r="L681" s="2" t="inlineStr">
        <is>
          <t>ok</t>
        </is>
      </c>
      <c r="M681" s="2" t="inlineStr">
        <is>
          <t>demo reviewer</t>
        </is>
      </c>
      <c r="N681" s="2" t="n"/>
      <c r="O681" s="3" t="inlineStr">
        <is>
          <t>https://vanillabonds.com/dossier-data/pdf/katjes/katjes-2025-annual-report.pdf#page=58</t>
        </is>
      </c>
      <c r="P681" s="3" t="inlineStr">
        <is>
          <t>https://vanillabonds.com/dossier.html?c=katjes&amp;viewer=1&amp;item=F680</t>
        </is>
      </c>
      <c r="Q681" s="2" t="inlineStr"/>
    </row>
    <row r="682">
      <c r="A682" s="2" t="inlineStr">
        <is>
          <t>F681</t>
        </is>
      </c>
      <c r="B682" s="2" t="inlineStr">
        <is>
          <t>financials</t>
        </is>
      </c>
      <c r="C682" s="2" t="inlineStr">
        <is>
          <t>equity</t>
        </is>
      </c>
      <c r="D682" s="2" t="inlineStr">
        <is>
          <t>Total equity</t>
        </is>
      </c>
      <c r="E682" s="2" t="inlineStr">
        <is>
          <t>FY2023</t>
        </is>
      </c>
      <c r="F682" s="2" t="n">
        <v>176</v>
      </c>
      <c r="G682" s="2" t="inlineStr">
        <is>
          <t>EUR m</t>
        </is>
      </c>
      <c r="H682" s="3" t="inlineStr">
        <is>
          <t>Total equity at 31 Dec 2023 per statement of changes in equity (shareholders 173.0, non-controlling 3.0)</t>
        </is>
      </c>
      <c r="I682" s="2" t="inlineStr">
        <is>
          <t>S3</t>
        </is>
      </c>
      <c r="J682" s="2" t="n">
        <v>41</v>
      </c>
      <c r="K682" s="3" t="inlineStr">
        <is>
          <t>As at 31 Dec 2023/ 01 Jan 2024 0.6 2.0 2.0 153.5 10.1 1.2 3.6 0.0 4,8 173.0 3.0 176.0</t>
        </is>
      </c>
      <c r="L682" s="2" t="inlineStr">
        <is>
          <t>ok</t>
        </is>
      </c>
      <c r="M682" s="2" t="inlineStr">
        <is>
          <t>demo reviewer</t>
        </is>
      </c>
      <c r="N682" s="2" t="n"/>
      <c r="O682" s="3" t="inlineStr">
        <is>
          <t>https://vanillabonds.com/dossier-data/pdf/katjes/katjes-2025-annual-report.pdf#page=41</t>
        </is>
      </c>
      <c r="P682" s="3" t="inlineStr">
        <is>
          <t>https://vanillabonds.com/dossier.html?c=katjes&amp;viewer=1&amp;item=F681</t>
        </is>
      </c>
      <c r="Q682" s="2" t="inlineStr">
        <is>
          <t>yes</t>
        </is>
      </c>
    </row>
    <row r="683">
      <c r="A683" s="2" t="inlineStr">
        <is>
          <t>F682</t>
        </is>
      </c>
      <c r="B683" s="2" t="inlineStr">
        <is>
          <t>financials</t>
        </is>
      </c>
      <c r="C683" s="2" t="inlineStr">
        <is>
          <t>equity</t>
        </is>
      </c>
      <c r="D683" s="2" t="inlineStr">
        <is>
          <t>Total equity</t>
        </is>
      </c>
      <c r="E683" s="2" t="inlineStr">
        <is>
          <t>FY2024</t>
        </is>
      </c>
      <c r="F683" s="2" t="n">
        <v>176.2</v>
      </c>
      <c r="G683" s="2" t="inlineStr">
        <is>
          <t>EUR m</t>
        </is>
      </c>
      <c r="H683" s="3" t="inlineStr">
        <is>
          <t>Total equity incl. non-controlling interests 1.2; shareholders' equity 175.0; equity ratio 35.9%</t>
        </is>
      </c>
      <c r="I683" s="2" t="inlineStr">
        <is>
          <t>S3</t>
        </is>
      </c>
      <c r="J683" s="2" t="n">
        <v>40</v>
      </c>
      <c r="K683" s="2" t="inlineStr">
        <is>
          <t>Total equity 6.8 266.9 176.2</t>
        </is>
      </c>
      <c r="L683" s="2" t="inlineStr">
        <is>
          <t>ok</t>
        </is>
      </c>
      <c r="M683" s="2" t="inlineStr">
        <is>
          <t>demo reviewer</t>
        </is>
      </c>
      <c r="N683" s="2" t="n"/>
      <c r="O683" s="3" t="inlineStr">
        <is>
          <t>https://vanillabonds.com/dossier-data/pdf/katjes/katjes-2025-annual-report.pdf#page=40</t>
        </is>
      </c>
      <c r="P683" s="3" t="inlineStr">
        <is>
          <t>https://vanillabonds.com/dossier.html?c=katjes&amp;viewer=1&amp;item=F682</t>
        </is>
      </c>
      <c r="Q683" s="2" t="inlineStr">
        <is>
          <t>yes</t>
        </is>
      </c>
    </row>
    <row r="684">
      <c r="A684" s="2" t="inlineStr">
        <is>
          <t>F683</t>
        </is>
      </c>
      <c r="B684" s="2" t="inlineStr">
        <is>
          <t>financials</t>
        </is>
      </c>
      <c r="C684" s="2" t="inlineStr">
        <is>
          <t>equity</t>
        </is>
      </c>
      <c r="D684" s="2" t="inlineStr">
        <is>
          <t>Total equity</t>
        </is>
      </c>
      <c r="E684" s="2" t="inlineStr">
        <is>
          <t>FY2025</t>
        </is>
      </c>
      <c r="F684" s="2" t="n">
        <v>266.9</v>
      </c>
      <c r="G684" s="2" t="inlineStr">
        <is>
          <t>EUR m</t>
        </is>
      </c>
      <c r="H684" s="3" t="inlineStr">
        <is>
          <t>Total equity incl. non-controlling interests 47.5; shareholders' equity 219.4; equity ratio 32.9%</t>
        </is>
      </c>
      <c r="I684" s="2" t="inlineStr">
        <is>
          <t>S3</t>
        </is>
      </c>
      <c r="J684" s="2" t="n">
        <v>40</v>
      </c>
      <c r="K684" s="2" t="inlineStr">
        <is>
          <t>Total equity 6.8 266.9 176.2</t>
        </is>
      </c>
      <c r="L684" s="2" t="inlineStr">
        <is>
          <t>ok</t>
        </is>
      </c>
      <c r="M684" s="2" t="inlineStr">
        <is>
          <t>demo reviewer</t>
        </is>
      </c>
      <c r="N684" s="2" t="n"/>
      <c r="O684" s="3" t="inlineStr">
        <is>
          <t>https://vanillabonds.com/dossier-data/pdf/katjes/katjes-2025-annual-report.pdf#page=40</t>
        </is>
      </c>
      <c r="P684" s="3" t="inlineStr">
        <is>
          <t>https://vanillabonds.com/dossier.html?c=katjes&amp;viewer=1&amp;item=F683</t>
        </is>
      </c>
      <c r="Q684" s="2" t="inlineStr">
        <is>
          <t>yes</t>
        </is>
      </c>
    </row>
    <row r="685">
      <c r="A685" s="2" t="inlineStr">
        <is>
          <t>F684</t>
        </is>
      </c>
      <c r="B685" s="2" t="inlineStr">
        <is>
          <t>financials</t>
        </is>
      </c>
      <c r="C685" s="2" t="inlineStr">
        <is>
          <t>total_assets</t>
        </is>
      </c>
      <c r="D685" s="2" t="inlineStr">
        <is>
          <t>Total assets</t>
        </is>
      </c>
      <c r="E685" s="2" t="inlineStr">
        <is>
          <t>FY2024</t>
        </is>
      </c>
      <c r="F685" s="2" t="n">
        <v>491.7</v>
      </c>
      <c r="G685" s="2" t="inlineStr">
        <is>
          <t>EUR m</t>
        </is>
      </c>
      <c r="H685" s="2" t="inlineStr">
        <is>
          <t>Total assets at 31 Dec 2024</t>
        </is>
      </c>
      <c r="I685" s="2" t="inlineStr">
        <is>
          <t>S3</t>
        </is>
      </c>
      <c r="J685" s="2" t="n">
        <v>39</v>
      </c>
      <c r="K685" s="2" t="inlineStr">
        <is>
          <t>Total assets 812.3 491.7</t>
        </is>
      </c>
      <c r="L685" s="2" t="inlineStr">
        <is>
          <t>ok</t>
        </is>
      </c>
      <c r="M685" s="2" t="inlineStr">
        <is>
          <t>demo reviewer</t>
        </is>
      </c>
      <c r="N685" s="2" t="n"/>
      <c r="O685" s="3" t="inlineStr">
        <is>
          <t>https://vanillabonds.com/dossier-data/pdf/katjes/katjes-2025-annual-report.pdf#page=39</t>
        </is>
      </c>
      <c r="P685" s="3" t="inlineStr">
        <is>
          <t>https://vanillabonds.com/dossier.html?c=katjes&amp;viewer=1&amp;item=F684</t>
        </is>
      </c>
      <c r="Q685" s="2" t="inlineStr">
        <is>
          <t>yes</t>
        </is>
      </c>
    </row>
    <row r="686">
      <c r="A686" s="2" t="inlineStr">
        <is>
          <t>F685</t>
        </is>
      </c>
      <c r="B686" s="2" t="inlineStr">
        <is>
          <t>financials</t>
        </is>
      </c>
      <c r="C686" s="2" t="inlineStr">
        <is>
          <t>total_assets</t>
        </is>
      </c>
      <c r="D686" s="2" t="inlineStr">
        <is>
          <t>Total assets</t>
        </is>
      </c>
      <c r="E686" s="2" t="inlineStr">
        <is>
          <t>FY2025</t>
        </is>
      </c>
      <c r="F686" s="2" t="n">
        <v>812.3</v>
      </c>
      <c r="G686" s="2" t="inlineStr">
        <is>
          <t>EUR m</t>
        </is>
      </c>
      <c r="H686" s="2" t="inlineStr">
        <is>
          <t>Total assets at 31 Dec 2025</t>
        </is>
      </c>
      <c r="I686" s="2" t="inlineStr">
        <is>
          <t>S3</t>
        </is>
      </c>
      <c r="J686" s="2" t="n">
        <v>39</v>
      </c>
      <c r="K686" s="2" t="inlineStr">
        <is>
          <t>Total assets 812.3 491.7</t>
        </is>
      </c>
      <c r="L686" s="2" t="inlineStr">
        <is>
          <t>ok</t>
        </is>
      </c>
      <c r="M686" s="2" t="inlineStr">
        <is>
          <t>demo reviewer</t>
        </is>
      </c>
      <c r="N686" s="2" t="n"/>
      <c r="O686" s="3" t="inlineStr">
        <is>
          <t>https://vanillabonds.com/dossier-data/pdf/katjes/katjes-2025-annual-report.pdf#page=39</t>
        </is>
      </c>
      <c r="P686" s="3" t="inlineStr">
        <is>
          <t>https://vanillabonds.com/dossier.html?c=katjes&amp;viewer=1&amp;item=F685</t>
        </is>
      </c>
      <c r="Q686" s="2" t="inlineStr">
        <is>
          <t>yes</t>
        </is>
      </c>
    </row>
    <row r="687">
      <c r="A687" s="2" t="inlineStr">
        <is>
          <t>F686</t>
        </is>
      </c>
      <c r="B687" s="2" t="inlineStr">
        <is>
          <t>debt</t>
        </is>
      </c>
      <c r="C687" s="2" t="inlineStr">
        <is>
          <t>debt_instrument</t>
        </is>
      </c>
      <c r="D687" s="2" t="inlineStr">
        <is>
          <t>Debt instrument</t>
        </is>
      </c>
      <c r="E687" s="2" t="n"/>
      <c r="F687" s="2" t="n">
        <v>72</v>
      </c>
      <c r="G687" s="2" t="n"/>
      <c r="H687" s="3" t="inlineStr">
        <is>
          <t>Liabilities to banks total EUR 72.0m at 31 Dec 2025 (2024: 50.4) within financial liabilities of 352.8.</t>
        </is>
      </c>
      <c r="I687" s="2" t="inlineStr">
        <is>
          <t>S3</t>
        </is>
      </c>
      <c r="J687" s="2" t="n">
        <v>58</v>
      </c>
      <c r="K687" s="3" t="inlineStr">
        <is>
          <t>liabilities to banks in the amount of EUR 72.0 million</t>
        </is>
      </c>
      <c r="L687" s="2" t="inlineStr">
        <is>
          <t>ok</t>
        </is>
      </c>
      <c r="M687" s="2" t="inlineStr">
        <is>
          <t>demo reviewer</t>
        </is>
      </c>
      <c r="N687" s="2" t="n"/>
      <c r="O687" s="3" t="inlineStr">
        <is>
          <t>https://vanillabonds.com/dossier-data/pdf/katjes/katjes-2025-annual-report.pdf#page=58</t>
        </is>
      </c>
      <c r="P687" s="3" t="inlineStr">
        <is>
          <t>https://vanillabonds.com/dossier.html?c=katjes&amp;viewer=1&amp;item=F686</t>
        </is>
      </c>
      <c r="Q687" s="2" t="inlineStr"/>
    </row>
    <row r="688">
      <c r="A688" s="2" t="inlineStr">
        <is>
          <t>F687</t>
        </is>
      </c>
      <c r="B688" s="2" t="inlineStr">
        <is>
          <t>debt</t>
        </is>
      </c>
      <c r="C688" s="2" t="inlineStr">
        <is>
          <t>debt_instrument</t>
        </is>
      </c>
      <c r="D688" s="2" t="inlineStr">
        <is>
          <t>Debt instrument</t>
        </is>
      </c>
      <c r="E688" s="2" t="n"/>
      <c r="F688" s="2" t="n">
        <v>3.5</v>
      </c>
      <c r="G688" s="2" t="n"/>
      <c r="H688" s="3" t="inlineStr">
        <is>
          <t>Accrued interest liabilities relating to the bond EUR 3.5m at 31 Dec 2025 (2024: 2.1).</t>
        </is>
      </c>
      <c r="I688" s="2" t="inlineStr">
        <is>
          <t>S3</t>
        </is>
      </c>
      <c r="J688" s="2" t="n">
        <v>58</v>
      </c>
      <c r="K688" s="3" t="inlineStr">
        <is>
          <t>as accrued interest liabilities relating to the bond in the amount of EUR 3.5 million (2024: EUR 2.1 million)</t>
        </is>
      </c>
      <c r="L688" s="2" t="inlineStr">
        <is>
          <t>ok</t>
        </is>
      </c>
      <c r="M688" s="2" t="inlineStr">
        <is>
          <t>demo reviewer</t>
        </is>
      </c>
      <c r="N688" s="2" t="n"/>
      <c r="O688" s="3" t="inlineStr">
        <is>
          <t>https://vanillabonds.com/dossier-data/pdf/katjes/katjes-2025-annual-report.pdf#page=58</t>
        </is>
      </c>
      <c r="P688" s="3" t="inlineStr">
        <is>
          <t>https://vanillabonds.com/dossier.html?c=katjes&amp;viewer=1&amp;item=F687</t>
        </is>
      </c>
      <c r="Q688" s="2" t="inlineStr"/>
    </row>
    <row r="689">
      <c r="A689" s="2" t="inlineStr">
        <is>
          <t>F688</t>
        </is>
      </c>
      <c r="B689" s="2" t="inlineStr">
        <is>
          <t>debt</t>
        </is>
      </c>
      <c r="C689" s="2" t="inlineStr">
        <is>
          <t>debt_instrument</t>
        </is>
      </c>
      <c r="D689" s="2" t="inlineStr">
        <is>
          <t>Debt instrument</t>
        </is>
      </c>
      <c r="E689" s="2" t="n"/>
      <c r="F689" s="2" t="n">
        <v>8.199999999999999</v>
      </c>
      <c r="G689" s="2" t="n"/>
      <c r="H689" s="3" t="inlineStr">
        <is>
          <t>Hire purchase liabilities EUR 8.2m at 31 Dec 2025, of which current 2.4 (2024: 6.7, current 5.5); interest expense hire purchases 0.3.</t>
        </is>
      </c>
      <c r="I689" s="2" t="inlineStr">
        <is>
          <t>S3</t>
        </is>
      </c>
      <c r="J689" s="2" t="n">
        <v>58</v>
      </c>
      <c r="K689" s="3" t="inlineStr">
        <is>
          <t>from hire purchase agreements in the amount of EUR 8.2 million (of which current: EUR 2.4 million)</t>
        </is>
      </c>
      <c r="L689" s="2" t="inlineStr">
        <is>
          <t>ok</t>
        </is>
      </c>
      <c r="M689" s="2" t="inlineStr">
        <is>
          <t>demo reviewer</t>
        </is>
      </c>
      <c r="N689" s="2" t="n"/>
      <c r="O689" s="3" t="inlineStr">
        <is>
          <t>https://vanillabonds.com/dossier-data/pdf/katjes/katjes-2025-annual-report.pdf#page=58</t>
        </is>
      </c>
      <c r="P689" s="3" t="inlineStr">
        <is>
          <t>https://vanillabonds.com/dossier.html?c=katjes&amp;viewer=1&amp;item=F688</t>
        </is>
      </c>
      <c r="Q689" s="2" t="inlineStr"/>
    </row>
    <row r="690">
      <c r="A690" s="2" t="inlineStr">
        <is>
          <t>F689</t>
        </is>
      </c>
      <c r="B690" s="2" t="inlineStr">
        <is>
          <t>debt</t>
        </is>
      </c>
      <c r="C690" s="2" t="inlineStr">
        <is>
          <t>debt_instrument</t>
        </is>
      </c>
      <c r="D690" s="2" t="inlineStr">
        <is>
          <t>Debt instrument</t>
        </is>
      </c>
      <c r="E690" s="2" t="n"/>
      <c r="F690" s="2" t="n">
        <v>1.6</v>
      </c>
      <c r="G690" s="2" t="n"/>
      <c r="H690" s="3" t="inlineStr">
        <is>
          <t>Liability from the purchase option on the remaining 25% of Dulcioliva EUR 1.6m, fully recognised as exercise probability unchanged.</t>
        </is>
      </c>
      <c r="I690" s="2" t="inlineStr">
        <is>
          <t>S3</t>
        </is>
      </c>
      <c r="J690" s="2" t="n">
        <v>58</v>
      </c>
      <c r="K690" s="3" t="inlineStr">
        <is>
          <t>includes the liability arising from the exercise of the purchase option for the remaining 25% of Dulcioliva (EUR 1.6 million).</t>
        </is>
      </c>
      <c r="L690" s="2" t="inlineStr">
        <is>
          <t>ok</t>
        </is>
      </c>
      <c r="M690" s="2" t="inlineStr">
        <is>
          <t>demo reviewer</t>
        </is>
      </c>
      <c r="N690" s="2" t="n"/>
      <c r="O690" s="3" t="inlineStr">
        <is>
          <t>https://vanillabonds.com/dossier-data/pdf/katjes/katjes-2025-annual-report.pdf#page=58</t>
        </is>
      </c>
      <c r="P690" s="3" t="inlineStr">
        <is>
          <t>https://vanillabonds.com/dossier.html?c=katjes&amp;viewer=1&amp;item=F689</t>
        </is>
      </c>
      <c r="Q690" s="2" t="inlineStr"/>
    </row>
    <row r="691">
      <c r="A691" s="2" t="inlineStr">
        <is>
          <t>F690</t>
        </is>
      </c>
      <c r="B691" s="2" t="inlineStr">
        <is>
          <t>debt</t>
        </is>
      </c>
      <c r="C691" s="2" t="inlineStr">
        <is>
          <t>debt_instrument</t>
        </is>
      </c>
      <c r="D691" s="2" t="inlineStr">
        <is>
          <t>Debt instrument</t>
        </is>
      </c>
      <c r="E691" s="2" t="n"/>
      <c r="F691" s="2" t="n">
        <v>5.5</v>
      </c>
      <c r="G691" s="2" t="n"/>
      <c r="H691" s="3" t="inlineStr">
        <is>
          <t>Put option granted to Bogner non-controlling shareholders recognised as financial liability of EUR 5.5m since initial consolidation.</t>
        </is>
      </c>
      <c r="I691" s="2" t="inlineStr">
        <is>
          <t>S3</t>
        </is>
      </c>
      <c r="J691" s="2" t="n">
        <v>58</v>
      </c>
      <c r="K691" s="3" t="inlineStr">
        <is>
          <t>Since the initial consolidation of Bogner, this item also includes a liability from a put option granted to non-controlling</t>
        </is>
      </c>
      <c r="L691" s="2" t="inlineStr">
        <is>
          <t>ok</t>
        </is>
      </c>
      <c r="M691" s="2" t="inlineStr">
        <is>
          <t>demo reviewer</t>
        </is>
      </c>
      <c r="N691" s="2" t="n"/>
      <c r="O691" s="3" t="inlineStr">
        <is>
          <t>https://vanillabonds.com/dossier-data/pdf/katjes/katjes-2025-annual-report.pdf#page=58</t>
        </is>
      </c>
      <c r="P691" s="3" t="inlineStr">
        <is>
          <t>https://vanillabonds.com/dossier.html?c=katjes&amp;viewer=1&amp;item=F690</t>
        </is>
      </c>
      <c r="Q691" s="2" t="inlineStr"/>
    </row>
    <row r="692">
      <c r="A692" s="2" t="inlineStr">
        <is>
          <t>F691</t>
        </is>
      </c>
      <c r="B692" s="2" t="inlineStr">
        <is>
          <t>debt</t>
        </is>
      </c>
      <c r="C692" s="2" t="inlineStr">
        <is>
          <t>debt_instrument</t>
        </is>
      </c>
      <c r="D692" s="2" t="inlineStr">
        <is>
          <t>Debt instrument</t>
        </is>
      </c>
      <c r="E692" s="2" t="n"/>
      <c r="F692" s="2" t="n">
        <v>185</v>
      </c>
      <c r="G692" s="2" t="n"/>
      <c r="H692" s="3" t="inlineStr">
        <is>
          <t>2023/2028 corporate bond, 6.75% fixed, issued September 2023 at EUR 115m, increased by EUR 70m in August 2025 to EUR 185.0m outstanding at 31 Dec 2025 (2024: 115.0); interest expense 2025 EUR 9.5m; no ISIN or security stated.</t>
        </is>
      </c>
      <c r="I692" s="2" t="inlineStr">
        <is>
          <t>S3</t>
        </is>
      </c>
      <c r="J692" s="2" t="n">
        <v>63</v>
      </c>
      <c r="K692" s="2" t="inlineStr">
        <is>
          <t>Corporate bond 6.75 185.0 115.0</t>
        </is>
      </c>
      <c r="L692" s="2" t="inlineStr">
        <is>
          <t>ok</t>
        </is>
      </c>
      <c r="M692" s="2" t="inlineStr">
        <is>
          <t>demo reviewer</t>
        </is>
      </c>
      <c r="N692" s="2" t="n"/>
      <c r="O692" s="3" t="inlineStr">
        <is>
          <t>https://vanillabonds.com/dossier-data/pdf/katjes/katjes-2025-annual-report.pdf#page=63</t>
        </is>
      </c>
      <c r="P692" s="3" t="inlineStr">
        <is>
          <t>https://vanillabonds.com/dossier.html?c=katjes&amp;viewer=1&amp;item=F691</t>
        </is>
      </c>
      <c r="Q692" s="2" t="inlineStr"/>
    </row>
    <row r="693">
      <c r="A693" s="2" t="inlineStr">
        <is>
          <t>F692</t>
        </is>
      </c>
      <c r="B693" s="2" t="inlineStr">
        <is>
          <t>debt</t>
        </is>
      </c>
      <c r="C693" s="2" t="inlineStr">
        <is>
          <t>debt_instrument</t>
        </is>
      </c>
      <c r="D693" s="2" t="inlineStr">
        <is>
          <t>Debt instrument</t>
        </is>
      </c>
      <c r="E693" s="2" t="n"/>
      <c r="F693" s="2" t="n">
        <v>16.8</v>
      </c>
      <c r="G693" s="2" t="n"/>
      <c r="H693" s="3" t="inlineStr">
        <is>
          <t>Bank loan of kEUR 24,000 at 5.6%, EUR 16.8m outstanding at 31 Dec 2025 (2024: 20.9).</t>
        </is>
      </c>
      <c r="I693" s="2" t="inlineStr">
        <is>
          <t>S3</t>
        </is>
      </c>
      <c r="J693" s="2" t="n">
        <v>63</v>
      </c>
      <c r="K693" s="2" t="inlineStr">
        <is>
          <t>Bank loan kEUR 24.000 5.6 16.8 20.9</t>
        </is>
      </c>
      <c r="L693" s="2" t="inlineStr">
        <is>
          <t>ok</t>
        </is>
      </c>
      <c r="M693" s="2" t="inlineStr">
        <is>
          <t>demo reviewer</t>
        </is>
      </c>
      <c r="N693" s="2" t="n"/>
      <c r="O693" s="3" t="inlineStr">
        <is>
          <t>https://vanillabonds.com/dossier-data/pdf/katjes/katjes-2025-annual-report.pdf#page=63</t>
        </is>
      </c>
      <c r="P693" s="3" t="inlineStr">
        <is>
          <t>https://vanillabonds.com/dossier.html?c=katjes&amp;viewer=1&amp;item=F692</t>
        </is>
      </c>
      <c r="Q693" s="2" t="inlineStr"/>
    </row>
    <row r="694">
      <c r="A694" s="2" t="inlineStr">
        <is>
          <t>F693</t>
        </is>
      </c>
      <c r="B694" s="2" t="inlineStr">
        <is>
          <t>debt</t>
        </is>
      </c>
      <c r="C694" s="2" t="inlineStr">
        <is>
          <t>debt_instrument</t>
        </is>
      </c>
      <c r="D694" s="2" t="inlineStr">
        <is>
          <t>Debt instrument</t>
        </is>
      </c>
      <c r="E694" s="2" t="n"/>
      <c r="F694" s="2" t="n">
        <v>0</v>
      </c>
      <c r="G694" s="2" t="n"/>
      <c r="H694" s="3" t="inlineStr">
        <is>
          <t>Bank loan of kEUR 11,700 at 2.9%, EUR 0.0m outstanding at 31 Dec 2025 (2024: 3.7), i.e. repaid in 2025.</t>
        </is>
      </c>
      <c r="I694" s="2" t="inlineStr">
        <is>
          <t>S3</t>
        </is>
      </c>
      <c r="J694" s="2" t="n">
        <v>63</v>
      </c>
      <c r="K694" s="2" t="inlineStr">
        <is>
          <t>Bank loan kEUR 11.700 2.9 0.0 3.7</t>
        </is>
      </c>
      <c r="L694" s="2" t="inlineStr">
        <is>
          <t>ok</t>
        </is>
      </c>
      <c r="M694" s="2" t="inlineStr">
        <is>
          <t>demo reviewer</t>
        </is>
      </c>
      <c r="N694" s="2" t="n"/>
      <c r="O694" s="3" t="inlineStr">
        <is>
          <t>https://vanillabonds.com/dossier-data/pdf/katjes/katjes-2025-annual-report.pdf#page=63</t>
        </is>
      </c>
      <c r="P694" s="3" t="inlineStr">
        <is>
          <t>https://vanillabonds.com/dossier.html?c=katjes&amp;viewer=1&amp;item=F693</t>
        </is>
      </c>
      <c r="Q694" s="2" t="inlineStr"/>
    </row>
    <row r="695">
      <c r="A695" s="2" t="inlineStr">
        <is>
          <t>F694</t>
        </is>
      </c>
      <c r="B695" s="2" t="inlineStr">
        <is>
          <t>debt</t>
        </is>
      </c>
      <c r="C695" s="2" t="inlineStr">
        <is>
          <t>debt_instrument</t>
        </is>
      </c>
      <c r="D695" s="2" t="inlineStr">
        <is>
          <t>Debt instrument</t>
        </is>
      </c>
      <c r="E695" s="2" t="n"/>
      <c r="F695" s="2" t="n">
        <v>16.3</v>
      </c>
      <c r="G695" s="2" t="n"/>
      <c r="H695" s="3" t="inlineStr">
        <is>
          <t>Revolving line of up to kEUR 40,000 at 6.65%, EUR 16.3m drawn at 31 Dec 2025 (2024: 0.0).</t>
        </is>
      </c>
      <c r="I695" s="2" t="inlineStr">
        <is>
          <t>S3</t>
        </is>
      </c>
      <c r="J695" s="2" t="n">
        <v>63</v>
      </c>
      <c r="K695" s="3" t="inlineStr">
        <is>
          <t>Revolving line up kEUR 40.000 6.65 16.3 0.0</t>
        </is>
      </c>
      <c r="L695" s="2" t="inlineStr">
        <is>
          <t>ok</t>
        </is>
      </c>
      <c r="M695" s="2" t="inlineStr">
        <is>
          <t>demo reviewer</t>
        </is>
      </c>
      <c r="N695" s="2" t="n"/>
      <c r="O695" s="3" t="inlineStr">
        <is>
          <t>https://vanillabonds.com/dossier-data/pdf/katjes/katjes-2025-annual-report.pdf#page=63</t>
        </is>
      </c>
      <c r="P695" s="3" t="inlineStr">
        <is>
          <t>https://vanillabonds.com/dossier.html?c=katjes&amp;viewer=1&amp;item=F694</t>
        </is>
      </c>
      <c r="Q695" s="2" t="inlineStr"/>
    </row>
    <row r="696">
      <c r="A696" s="2" t="inlineStr">
        <is>
          <t>F695</t>
        </is>
      </c>
      <c r="B696" s="2" t="inlineStr">
        <is>
          <t>debt</t>
        </is>
      </c>
      <c r="C696" s="2" t="inlineStr">
        <is>
          <t>debt_instrument</t>
        </is>
      </c>
      <c r="D696" s="2" t="inlineStr">
        <is>
          <t>Debt instrument</t>
        </is>
      </c>
      <c r="E696" s="2" t="n"/>
      <c r="F696" s="2" t="n">
        <v>3.6</v>
      </c>
      <c r="G696" s="2" t="n"/>
      <c r="H696" s="3" t="inlineStr">
        <is>
          <t>Bank loan of kEUR 5,000 at 4.98%, EUR 3.6m outstanding at 31 Dec 2025 (2024: 5.0).</t>
        </is>
      </c>
      <c r="I696" s="2" t="inlineStr">
        <is>
          <t>S3</t>
        </is>
      </c>
      <c r="J696" s="2" t="n">
        <v>63</v>
      </c>
      <c r="K696" s="2" t="inlineStr">
        <is>
          <t>Bank loan kEUR 5.000 4.98 3.6 5.0</t>
        </is>
      </c>
      <c r="L696" s="2" t="inlineStr">
        <is>
          <t>ok</t>
        </is>
      </c>
      <c r="M696" s="2" t="inlineStr">
        <is>
          <t>demo reviewer</t>
        </is>
      </c>
      <c r="N696" s="2" t="n"/>
      <c r="O696" s="3" t="inlineStr">
        <is>
          <t>https://vanillabonds.com/dossier-data/pdf/katjes/katjes-2025-annual-report.pdf#page=63</t>
        </is>
      </c>
      <c r="P696" s="3" t="inlineStr">
        <is>
          <t>https://vanillabonds.com/dossier.html?c=katjes&amp;viewer=1&amp;item=F695</t>
        </is>
      </c>
      <c r="Q696" s="2" t="inlineStr"/>
    </row>
    <row r="697">
      <c r="A697" s="2" t="inlineStr">
        <is>
          <t>F696</t>
        </is>
      </c>
      <c r="B697" s="2" t="inlineStr">
        <is>
          <t>debt</t>
        </is>
      </c>
      <c r="C697" s="2" t="inlineStr">
        <is>
          <t>debt_instrument</t>
        </is>
      </c>
      <c r="D697" s="2" t="inlineStr">
        <is>
          <t>Debt instrument</t>
        </is>
      </c>
      <c r="E697" s="2" t="n"/>
      <c r="F697" s="2" t="n">
        <v>1.9</v>
      </c>
      <c r="G697" s="2" t="n"/>
      <c r="H697" s="3" t="inlineStr">
        <is>
          <t>Bank loan of kEUR 5,000 at 8.5%, EUR 1.9m outstanding at 31 Dec 2025 (2024: 3.1).</t>
        </is>
      </c>
      <c r="I697" s="2" t="inlineStr">
        <is>
          <t>S3</t>
        </is>
      </c>
      <c r="J697" s="2" t="n">
        <v>63</v>
      </c>
      <c r="K697" s="2" t="inlineStr">
        <is>
          <t>Bank loan kEUR 5.000 8.5 1.9 3.1</t>
        </is>
      </c>
      <c r="L697" s="2" t="inlineStr">
        <is>
          <t>ok</t>
        </is>
      </c>
      <c r="M697" s="2" t="inlineStr">
        <is>
          <t>demo reviewer</t>
        </is>
      </c>
      <c r="N697" s="2" t="n"/>
      <c r="O697" s="3" t="inlineStr">
        <is>
          <t>https://vanillabonds.com/dossier-data/pdf/katjes/katjes-2025-annual-report.pdf#page=63</t>
        </is>
      </c>
      <c r="P697" s="3" t="inlineStr">
        <is>
          <t>https://vanillabonds.com/dossier.html?c=katjes&amp;viewer=1&amp;item=F696</t>
        </is>
      </c>
      <c r="Q697" s="2" t="inlineStr"/>
    </row>
    <row r="698">
      <c r="A698" s="2" t="inlineStr">
        <is>
          <t>F697</t>
        </is>
      </c>
      <c r="B698" s="2" t="inlineStr">
        <is>
          <t>debt</t>
        </is>
      </c>
      <c r="C698" s="2" t="inlineStr">
        <is>
          <t>debt_instrument</t>
        </is>
      </c>
      <c r="D698" s="2" t="inlineStr">
        <is>
          <t>Debt instrument</t>
        </is>
      </c>
      <c r="E698" s="2" t="n"/>
      <c r="F698" s="2" t="n">
        <v>0</v>
      </c>
      <c r="G698" s="2" t="n"/>
      <c r="H698" s="3" t="inlineStr">
        <is>
          <t>Bank loan of kEUR 3,000 at 2.0%, EUR 0.0m outstanding at 31 Dec 2025 (2024: 0.4).</t>
        </is>
      </c>
      <c r="I698" s="2" t="inlineStr">
        <is>
          <t>S3</t>
        </is>
      </c>
      <c r="J698" s="2" t="n">
        <v>63</v>
      </c>
      <c r="K698" s="2" t="inlineStr">
        <is>
          <t>Bank loan kEUR 3.000 2.0 0.0 0.4</t>
        </is>
      </c>
      <c r="L698" s="2" t="inlineStr">
        <is>
          <t>ok</t>
        </is>
      </c>
      <c r="M698" s="2" t="inlineStr">
        <is>
          <t>demo reviewer</t>
        </is>
      </c>
      <c r="N698" s="2" t="n"/>
      <c r="O698" s="3" t="inlineStr">
        <is>
          <t>https://vanillabonds.com/dossier-data/pdf/katjes/katjes-2025-annual-report.pdf#page=63</t>
        </is>
      </c>
      <c r="P698" s="3" t="inlineStr">
        <is>
          <t>https://vanillabonds.com/dossier.html?c=katjes&amp;viewer=1&amp;item=F697</t>
        </is>
      </c>
      <c r="Q698" s="2" t="inlineStr"/>
    </row>
    <row r="699">
      <c r="A699" s="2" t="inlineStr">
        <is>
          <t>F698</t>
        </is>
      </c>
      <c r="B699" s="2" t="inlineStr">
        <is>
          <t>debt</t>
        </is>
      </c>
      <c r="C699" s="2" t="inlineStr">
        <is>
          <t>debt_instrument</t>
        </is>
      </c>
      <c r="D699" s="2" t="inlineStr">
        <is>
          <t>Debt instrument</t>
        </is>
      </c>
      <c r="E699" s="2" t="n"/>
      <c r="F699" s="2" t="n">
        <v>42.8</v>
      </c>
      <c r="G699" s="2" t="n"/>
      <c r="H699" s="3" t="inlineStr">
        <is>
          <t>Other loans, variable and fixed rate, EUR 42.8m at 31 Dec 2025 (2024: 24.0).</t>
        </is>
      </c>
      <c r="I699" s="2" t="inlineStr">
        <is>
          <t>S3</t>
        </is>
      </c>
      <c r="J699" s="2" t="n">
        <v>63</v>
      </c>
      <c r="K699" s="2" t="inlineStr">
        <is>
          <t>Other loans Variable and fixed 42.8 24.0</t>
        </is>
      </c>
      <c r="L699" s="2" t="inlineStr">
        <is>
          <t>ok</t>
        </is>
      </c>
      <c r="M699" s="2" t="inlineStr">
        <is>
          <t>demo reviewer</t>
        </is>
      </c>
      <c r="N699" s="2" t="n"/>
      <c r="O699" s="3" t="inlineStr">
        <is>
          <t>https://vanillabonds.com/dossier-data/pdf/katjes/katjes-2025-annual-report.pdf#page=63</t>
        </is>
      </c>
      <c r="P699" s="3" t="inlineStr">
        <is>
          <t>https://vanillabonds.com/dossier.html?c=katjes&amp;viewer=1&amp;item=F698</t>
        </is>
      </c>
      <c r="Q699" s="2" t="inlineStr"/>
    </row>
    <row r="700">
      <c r="A700" s="2" t="inlineStr">
        <is>
          <t>F699</t>
        </is>
      </c>
      <c r="B700" s="2" t="inlineStr">
        <is>
          <t>debt</t>
        </is>
      </c>
      <c r="C700" s="2" t="inlineStr">
        <is>
          <t>debt_instrument</t>
        </is>
      </c>
      <c r="D700" s="2" t="inlineStr">
        <is>
          <t>Debt instrument</t>
        </is>
      </c>
      <c r="E700" s="2" t="n"/>
      <c r="F700" s="2" t="n">
        <v>82.40000000000001</v>
      </c>
      <c r="G700" s="2" t="n"/>
      <c r="H700" s="3" t="inlineStr">
        <is>
          <t>Other financial interest-bearing liabilities, variable and fixed, EUR 82.4m at 31 Dec 2025 (2024: 14.7); per note 6.2 mainly lease liabilities and the option liabilities for Dulcioliva and Bogner minorities.</t>
        </is>
      </c>
      <c r="I700" s="2" t="inlineStr">
        <is>
          <t>S3</t>
        </is>
      </c>
      <c r="J700" s="2" t="n">
        <v>63</v>
      </c>
      <c r="K700" s="3" t="inlineStr">
        <is>
          <t>Other financial interest-bearing liabilities Variable and fixed 82.4 14.7</t>
        </is>
      </c>
      <c r="L700" s="2" t="inlineStr">
        <is>
          <t>ok</t>
        </is>
      </c>
      <c r="M700" s="2" t="inlineStr">
        <is>
          <t>demo reviewer</t>
        </is>
      </c>
      <c r="N700" s="2" t="n"/>
      <c r="O700" s="3" t="inlineStr">
        <is>
          <t>https://vanillabonds.com/dossier-data/pdf/katjes/katjes-2025-annual-report.pdf#page=63</t>
        </is>
      </c>
      <c r="P700" s="3" t="inlineStr">
        <is>
          <t>https://vanillabonds.com/dossier.html?c=katjes&amp;viewer=1&amp;item=F699</t>
        </is>
      </c>
      <c r="Q700" s="2" t="inlineStr"/>
    </row>
    <row r="701">
      <c r="A701" s="2" t="inlineStr">
        <is>
          <t>F700</t>
        </is>
      </c>
      <c r="B701" s="2" t="inlineStr">
        <is>
          <t>debt</t>
        </is>
      </c>
      <c r="C701" s="2" t="inlineStr">
        <is>
          <t>covenant</t>
        </is>
      </c>
      <c r="D701" s="2" t="inlineStr">
        <is>
          <t>Financial covenant / restriction</t>
        </is>
      </c>
      <c r="E701" s="2" t="n"/>
      <c r="F701" s="2" t="n"/>
      <c r="G701" s="2" t="n"/>
      <c r="H701" s="3" t="inlineStr">
        <is>
          <t>Certain subsidiaries must comply with financial covenants under existing financing agreements; a breach could lead to higher financing costs or early repayment obligations; no covenant definitions or thresholds disclosed.</t>
        </is>
      </c>
      <c r="I701" s="2" t="inlineStr">
        <is>
          <t>S3</t>
        </is>
      </c>
      <c r="J701" s="2" t="n">
        <v>32</v>
      </c>
      <c r="K701" s="3" t="inlineStr">
        <is>
          <t>Under existing financing agreements, certain subsidiaries of Katjes International are required to comply with certain</t>
        </is>
      </c>
      <c r="L701" s="2" t="inlineStr">
        <is>
          <t>ok</t>
        </is>
      </c>
      <c r="M701" s="2" t="inlineStr">
        <is>
          <t>demo reviewer</t>
        </is>
      </c>
      <c r="N701" s="2" t="n"/>
      <c r="O701" s="3" t="inlineStr">
        <is>
          <t>https://vanillabonds.com/dossier-data/pdf/katjes/katjes-2025-annual-report.pdf#page=32</t>
        </is>
      </c>
      <c r="P701" s="3" t="inlineStr">
        <is>
          <t>https://vanillabonds.com/dossier.html?c=katjes&amp;viewer=1&amp;item=F700</t>
        </is>
      </c>
      <c r="Q701" s="2" t="inlineStr"/>
    </row>
    <row r="702">
      <c r="A702" s="2" t="inlineStr">
        <is>
          <t>F701</t>
        </is>
      </c>
      <c r="B702" s="2" t="inlineStr">
        <is>
          <t>risk</t>
        </is>
      </c>
      <c r="C702" s="2" t="inlineStr">
        <is>
          <t>risk_fact</t>
        </is>
      </c>
      <c r="D702" s="2" t="inlineStr">
        <is>
          <t>Risk fact</t>
        </is>
      </c>
      <c r="E702" s="2" t="n"/>
      <c r="F702" s="2" t="n">
        <v>19.1</v>
      </c>
      <c r="G702" s="2" t="n"/>
      <c r="H702" s="3" t="inlineStr">
        <is>
          <t>Operating cash flow fell to 19.1 (2024: 45.6), attributed among other factors to the Bogner Group's strongly seasonal working capital; inventories rose to 97.1 (51.3) and receivables to 100.6 (59.2).</t>
        </is>
      </c>
      <c r="I702" s="2" t="inlineStr">
        <is>
          <t>S3</t>
        </is>
      </c>
      <c r="J702" s="2" t="n">
        <v>26</v>
      </c>
      <c r="K702" s="3" t="inlineStr">
        <is>
          <t>In the financial year 2025, cash flow from operating activities amounted to EUR 19.1 million (2024: EUR 45.6 million)</t>
        </is>
      </c>
      <c r="L702" s="2" t="inlineStr">
        <is>
          <t>ok</t>
        </is>
      </c>
      <c r="M702" s="2" t="inlineStr">
        <is>
          <t>demo reviewer</t>
        </is>
      </c>
      <c r="N702" s="2" t="n"/>
      <c r="O702" s="3" t="inlineStr">
        <is>
          <t>https://vanillabonds.com/dossier-data/pdf/katjes/katjes-2025-annual-report.pdf#page=26</t>
        </is>
      </c>
      <c r="P702" s="3" t="inlineStr">
        <is>
          <t>https://vanillabonds.com/dossier.html?c=katjes&amp;viewer=1&amp;item=F701</t>
        </is>
      </c>
      <c r="Q702" s="2" t="inlineStr"/>
    </row>
    <row r="703">
      <c r="A703" s="2" t="inlineStr">
        <is>
          <t>F702</t>
        </is>
      </c>
      <c r="B703" s="2" t="inlineStr">
        <is>
          <t>risk</t>
        </is>
      </c>
      <c r="C703" s="2" t="inlineStr">
        <is>
          <t>risk_fact</t>
        </is>
      </c>
      <c r="D703" s="2" t="inlineStr">
        <is>
          <t>Risk fact</t>
        </is>
      </c>
      <c r="E703" s="2" t="n"/>
      <c r="F703" s="2" t="n"/>
      <c r="G703" s="2" t="n"/>
      <c r="H703" s="3" t="inlineStr">
        <is>
          <t>Management expects 'largely stable sales development' citing the low cyclicality of confectionery and body care; luxury goods (Bogner) are described as subject to 'significant risks'.</t>
        </is>
      </c>
      <c r="I703" s="2" t="inlineStr">
        <is>
          <t>S3</t>
        </is>
      </c>
      <c r="J703" s="2" t="n">
        <v>30</v>
      </c>
      <c r="K703" s="3" t="inlineStr">
        <is>
          <t>Luxury consumer goods are subject to significant risks, but also offer corresponding opportunities.</t>
        </is>
      </c>
      <c r="L703" s="2" t="inlineStr">
        <is>
          <t>ok</t>
        </is>
      </c>
      <c r="M703" s="2" t="inlineStr">
        <is>
          <t>demo reviewer</t>
        </is>
      </c>
      <c r="N703" s="2" t="n"/>
      <c r="O703" s="3" t="inlineStr">
        <is>
          <t>https://vanillabonds.com/dossier-data/pdf/katjes/katjes-2025-annual-report.pdf#page=30</t>
        </is>
      </c>
      <c r="P703" s="3" t="inlineStr">
        <is>
          <t>https://vanillabonds.com/dossier.html?c=katjes&amp;viewer=1&amp;item=F702</t>
        </is>
      </c>
      <c r="Q703" s="2" t="inlineStr"/>
    </row>
    <row r="704">
      <c r="A704" s="2" t="inlineStr">
        <is>
          <t>F703</t>
        </is>
      </c>
      <c r="B704" s="2" t="inlineStr">
        <is>
          <t>risk</t>
        </is>
      </c>
      <c r="C704" s="2" t="inlineStr">
        <is>
          <t>risk_fact</t>
        </is>
      </c>
      <c r="D704" s="2" t="inlineStr">
        <is>
          <t>Risk fact</t>
        </is>
      </c>
      <c r="E704" s="2" t="n"/>
      <c r="F704" s="2" t="n"/>
      <c r="G704" s="2" t="n"/>
      <c r="H704" s="3" t="inlineStr">
        <is>
          <t>FX: international raw material sourcing exposes the Group to foreign exchange risk, especially against the US dollar; USD purchases hedged with forwards (notional 92.0); RUB, GBP, USD, CAD, CHF rates applied.</t>
        </is>
      </c>
      <c r="I704" s="2" t="inlineStr">
        <is>
          <t>S3</t>
        </is>
      </c>
      <c r="J704" s="2" t="n">
        <v>32</v>
      </c>
      <c r="K704" s="3" t="inlineStr">
        <is>
          <t>is exposed to foreign exchange risks, especially against the US dollar.</t>
        </is>
      </c>
      <c r="L704" s="2" t="inlineStr">
        <is>
          <t>ok</t>
        </is>
      </c>
      <c r="M704" s="2" t="inlineStr">
        <is>
          <t>demo reviewer</t>
        </is>
      </c>
      <c r="N704" s="2" t="n"/>
      <c r="O704" s="3" t="inlineStr">
        <is>
          <t>https://vanillabonds.com/dossier-data/pdf/katjes/katjes-2025-annual-report.pdf#page=32</t>
        </is>
      </c>
      <c r="P704" s="3" t="inlineStr">
        <is>
          <t>https://vanillabonds.com/dossier.html?c=katjes&amp;viewer=1&amp;item=F703</t>
        </is>
      </c>
      <c r="Q704" s="2" t="inlineStr"/>
    </row>
    <row r="705">
      <c r="A705" s="2" t="inlineStr">
        <is>
          <t>F704</t>
        </is>
      </c>
      <c r="B705" s="2" t="inlineStr">
        <is>
          <t>risk</t>
        </is>
      </c>
      <c r="C705" s="2" t="inlineStr">
        <is>
          <t>risk_fact</t>
        </is>
      </c>
      <c r="D705" s="2" t="inlineStr">
        <is>
          <t>Risk fact</t>
        </is>
      </c>
      <c r="E705" s="2" t="n"/>
      <c r="F705" s="2" t="n"/>
      <c r="G705" s="2" t="n"/>
      <c r="H705" s="3" t="inlineStr">
        <is>
          <t>Group companies may be required to repay subsidies or other government grants (stated risk, no amount).</t>
        </is>
      </c>
      <c r="I705" s="2" t="inlineStr">
        <is>
          <t>S3</t>
        </is>
      </c>
      <c r="J705" s="2" t="n">
        <v>32</v>
      </c>
      <c r="K705" s="3" t="inlineStr">
        <is>
          <t>Group companies may be required to repay subsidies or other government grants.</t>
        </is>
      </c>
      <c r="L705" s="2" t="inlineStr">
        <is>
          <t>ok</t>
        </is>
      </c>
      <c r="M705" s="2" t="inlineStr">
        <is>
          <t>demo reviewer</t>
        </is>
      </c>
      <c r="N705" s="2" t="n"/>
      <c r="O705" s="3" t="inlineStr">
        <is>
          <t>https://vanillabonds.com/dossier-data/pdf/katjes/katjes-2025-annual-report.pdf#page=32</t>
        </is>
      </c>
      <c r="P705" s="3" t="inlineStr">
        <is>
          <t>https://vanillabonds.com/dossier.html?c=katjes&amp;viewer=1&amp;item=F704</t>
        </is>
      </c>
      <c r="Q705" s="2" t="inlineStr"/>
    </row>
    <row r="706">
      <c r="A706" s="2" t="inlineStr">
        <is>
          <t>F705</t>
        </is>
      </c>
      <c r="B706" s="2" t="inlineStr">
        <is>
          <t>risk</t>
        </is>
      </c>
      <c r="C706" s="2" t="inlineStr">
        <is>
          <t>risk_fact</t>
        </is>
      </c>
      <c r="D706" s="2" t="inlineStr">
        <is>
          <t>Risk fact</t>
        </is>
      </c>
      <c r="E706" s="2" t="n"/>
      <c r="F706" s="2" t="n"/>
      <c r="G706" s="2" t="n"/>
      <c r="H706" s="3" t="inlineStr">
        <is>
          <t>Key-person risk: success depends on the expertise and experience of key management personnel and qualified employees (stated risk).</t>
        </is>
      </c>
      <c r="I706" s="2" t="inlineStr">
        <is>
          <t>S3</t>
        </is>
      </c>
      <c r="J706" s="2" t="n">
        <v>32</v>
      </c>
      <c r="K706" s="3" t="inlineStr">
        <is>
          <t>The success of Katjes International depends on the expertise and experience of key management personnel and qualified employees.</t>
        </is>
      </c>
      <c r="L706" s="2" t="inlineStr">
        <is>
          <t>ok</t>
        </is>
      </c>
      <c r="M706" s="2" t="inlineStr">
        <is>
          <t>demo reviewer</t>
        </is>
      </c>
      <c r="N706" s="2" t="n"/>
      <c r="O706" s="3" t="inlineStr">
        <is>
          <t>https://vanillabonds.com/dossier-data/pdf/katjes/katjes-2025-annual-report.pdf#page=32</t>
        </is>
      </c>
      <c r="P706" s="3" t="inlineStr">
        <is>
          <t>https://vanillabonds.com/dossier.html?c=katjes&amp;viewer=1&amp;item=F705</t>
        </is>
      </c>
      <c r="Q706" s="2" t="inlineStr"/>
    </row>
    <row r="707">
      <c r="A707" s="2" t="inlineStr">
        <is>
          <t>F706</t>
        </is>
      </c>
      <c r="B707" s="2" t="inlineStr">
        <is>
          <t>risk</t>
        </is>
      </c>
      <c r="C707" s="2" t="inlineStr">
        <is>
          <t>risk_fact</t>
        </is>
      </c>
      <c r="D707" s="2" t="inlineStr">
        <is>
          <t>Risk fact</t>
        </is>
      </c>
      <c r="E707" s="2" t="n"/>
      <c r="F707" s="2" t="n"/>
      <c r="G707" s="2" t="n"/>
      <c r="H707" s="3" t="inlineStr">
        <is>
          <t>Holding structure: Katjes International's earnings are primarily dependent on the results of its subsidiaries and portfolio companies, which it services for consideration.</t>
        </is>
      </c>
      <c r="I707" s="2" t="inlineStr">
        <is>
          <t>S3</t>
        </is>
      </c>
      <c r="J707" s="2" t="n">
        <v>32</v>
      </c>
      <c r="K707" s="3" t="inlineStr">
        <is>
          <t>however, its earnings are primarily dependent on the results of its subsidiaries and portfolio companies.</t>
        </is>
      </c>
      <c r="L707" s="2" t="inlineStr">
        <is>
          <t>ok</t>
        </is>
      </c>
      <c r="M707" s="2" t="inlineStr">
        <is>
          <t>demo reviewer</t>
        </is>
      </c>
      <c r="N707" s="2" t="n"/>
      <c r="O707" s="3" t="inlineStr">
        <is>
          <t>https://vanillabonds.com/dossier-data/pdf/katjes/katjes-2025-annual-report.pdf#page=32</t>
        </is>
      </c>
      <c r="P707" s="3" t="inlineStr">
        <is>
          <t>https://vanillabonds.com/dossier.html?c=katjes&amp;viewer=1&amp;item=F706</t>
        </is>
      </c>
      <c r="Q707" s="2" t="inlineStr"/>
    </row>
    <row r="708">
      <c r="A708" s="2" t="inlineStr">
        <is>
          <t>F707</t>
        </is>
      </c>
      <c r="B708" s="2" t="inlineStr">
        <is>
          <t>risk</t>
        </is>
      </c>
      <c r="C708" s="2" t="inlineStr">
        <is>
          <t>risk_fact</t>
        </is>
      </c>
      <c r="D708" s="2" t="inlineStr">
        <is>
          <t>Risk fact</t>
        </is>
      </c>
      <c r="E708" s="2" t="n"/>
      <c r="F708" s="2" t="n"/>
      <c r="G708" s="2" t="n"/>
      <c r="H708" s="3" t="inlineStr">
        <is>
          <t>Cyber risk named: a single incident may cause business interruption or data loss (stated risk, no incident disclosed).</t>
        </is>
      </c>
      <c r="I708" s="2" t="inlineStr">
        <is>
          <t>S3</t>
        </is>
      </c>
      <c r="J708" s="2" t="n">
        <v>32</v>
      </c>
      <c r="K708" s="3" t="inlineStr">
        <is>
          <t>A single incident may have serious consequences (e.g. business interruption, data loss).</t>
        </is>
      </c>
      <c r="L708" s="2" t="inlineStr">
        <is>
          <t>ok</t>
        </is>
      </c>
      <c r="M708" s="2" t="inlineStr">
        <is>
          <t>demo reviewer</t>
        </is>
      </c>
      <c r="N708" s="2" t="n"/>
      <c r="O708" s="3" t="inlineStr">
        <is>
          <t>https://vanillabonds.com/dossier-data/pdf/katjes/katjes-2025-annual-report.pdf#page=32</t>
        </is>
      </c>
      <c r="P708" s="3" t="inlineStr">
        <is>
          <t>https://vanillabonds.com/dossier.html?c=katjes&amp;viewer=1&amp;item=F707</t>
        </is>
      </c>
      <c r="Q708" s="2" t="inlineStr"/>
    </row>
    <row r="709">
      <c r="A709" s="2" t="inlineStr">
        <is>
          <t>F708</t>
        </is>
      </c>
      <c r="B709" s="2" t="inlineStr">
        <is>
          <t>risk</t>
        </is>
      </c>
      <c r="C709" s="2" t="inlineStr">
        <is>
          <t>risk_fact</t>
        </is>
      </c>
      <c r="D709" s="2" t="inlineStr">
        <is>
          <t>Risk fact</t>
        </is>
      </c>
      <c r="E709" s="2" t="n"/>
      <c r="F709" s="2" t="n"/>
      <c r="G709" s="2" t="n"/>
      <c r="H709" s="3" t="inlineStr">
        <is>
          <t>Management rates the overall market-related and regulatory risk as 'rather low' and company-specific risks as 'manageable and appropriate' given mitigation measures.</t>
        </is>
      </c>
      <c r="I709" s="2" t="inlineStr">
        <is>
          <t>S3</t>
        </is>
      </c>
      <c r="J709" s="2" t="n">
        <v>32</v>
      </c>
      <c r="K709" s="3" t="inlineStr">
        <is>
          <t>Katjes International assesses the overall risk arising from these</t>
        </is>
      </c>
      <c r="L709" s="2" t="inlineStr">
        <is>
          <t>ok</t>
        </is>
      </c>
      <c r="M709" s="2" t="inlineStr">
        <is>
          <t>demo reviewer</t>
        </is>
      </c>
      <c r="N709" s="2" t="n"/>
      <c r="O709" s="3" t="inlineStr">
        <is>
          <t>https://vanillabonds.com/dossier-data/pdf/katjes/katjes-2025-annual-report.pdf#page=32</t>
        </is>
      </c>
      <c r="P709" s="3" t="inlineStr">
        <is>
          <t>https://vanillabonds.com/dossier.html?c=katjes&amp;viewer=1&amp;item=F708</t>
        </is>
      </c>
      <c r="Q709" s="2" t="inlineStr"/>
    </row>
    <row r="710">
      <c r="A710" s="2" t="inlineStr">
        <is>
          <t>F709</t>
        </is>
      </c>
      <c r="B710" s="2" t="inlineStr">
        <is>
          <t>risk</t>
        </is>
      </c>
      <c r="C710" s="2" t="inlineStr">
        <is>
          <t>risk_fact</t>
        </is>
      </c>
      <c r="D710" s="2" t="inlineStr">
        <is>
          <t>Risk fact</t>
        </is>
      </c>
      <c r="E710" s="2" t="n"/>
      <c r="F710" s="2" t="n"/>
      <c r="G710" s="2" t="n"/>
      <c r="H710" s="3" t="inlineStr">
        <is>
          <t>Geopolitics: the Russia-Ukraine war and the Middle East security situation are named as risks on both the sales and procurement sides.</t>
        </is>
      </c>
      <c r="I710" s="2" t="inlineStr">
        <is>
          <t>S3</t>
        </is>
      </c>
      <c r="J710" s="2" t="n">
        <v>33</v>
      </c>
      <c r="K710" s="3" t="inlineStr">
        <is>
          <t>However, further developments in the Russia-Ukraine war and the security situation in the Middle East remain of importance</t>
        </is>
      </c>
      <c r="L710" s="2" t="inlineStr">
        <is>
          <t>ok</t>
        </is>
      </c>
      <c r="M710" s="2" t="inlineStr">
        <is>
          <t>demo reviewer</t>
        </is>
      </c>
      <c r="N710" s="2" t="n"/>
      <c r="O710" s="3" t="inlineStr">
        <is>
          <t>https://vanillabonds.com/dossier-data/pdf/katjes/katjes-2025-annual-report.pdf#page=33</t>
        </is>
      </c>
      <c r="P710" s="3" t="inlineStr">
        <is>
          <t>https://vanillabonds.com/dossier.html?c=katjes&amp;viewer=1&amp;item=F709</t>
        </is>
      </c>
      <c r="Q710" s="2" t="inlineStr"/>
    </row>
    <row r="711">
      <c r="A711" s="2" t="inlineStr">
        <is>
          <t>F710</t>
        </is>
      </c>
      <c r="B711" s="2" t="inlineStr">
        <is>
          <t>risk</t>
        </is>
      </c>
      <c r="C711" s="2" t="inlineStr">
        <is>
          <t>risk_fact</t>
        </is>
      </c>
      <c r="D711" s="2" t="inlineStr">
        <is>
          <t>Risk fact</t>
        </is>
      </c>
      <c r="E711" s="2" t="n"/>
      <c r="F711" s="2" t="n">
        <v>2.1</v>
      </c>
      <c r="G711" s="2" t="n"/>
      <c r="H711" s="3" t="inlineStr">
        <is>
          <t>Trade receivables of EUR 2.1m more than six months past due at 31 Dec 2025, impaired by 0.7; total impairment allowance 1.5 (2024: 0.7); no collateral received.</t>
        </is>
      </c>
      <c r="I711" s="2" t="inlineStr">
        <is>
          <t>S3</t>
        </is>
      </c>
      <c r="J711" s="2" t="n">
        <v>66</v>
      </c>
      <c r="K711" s="3" t="inlineStr">
        <is>
          <t>As at the reporting date, trade receivables amounting to EUR 2.1 million were more than six months past due</t>
        </is>
      </c>
      <c r="L711" s="2" t="inlineStr">
        <is>
          <t>ok</t>
        </is>
      </c>
      <c r="M711" s="2" t="inlineStr">
        <is>
          <t>demo reviewer</t>
        </is>
      </c>
      <c r="N711" s="2" t="n"/>
      <c r="O711" s="3" t="inlineStr">
        <is>
          <t>https://vanillabonds.com/dossier-data/pdf/katjes/katjes-2025-annual-report.pdf#page=66</t>
        </is>
      </c>
      <c r="P711" s="3" t="inlineStr">
        <is>
          <t>https://vanillabonds.com/dossier.html?c=katjes&amp;viewer=1&amp;item=F710</t>
        </is>
      </c>
      <c r="Q711" s="2" t="inlineStr"/>
    </row>
    <row r="712">
      <c r="A712" s="2" t="inlineStr">
        <is>
          <t>F711</t>
        </is>
      </c>
      <c r="B712" s="2" t="inlineStr">
        <is>
          <t>risk</t>
        </is>
      </c>
      <c r="C712" s="2" t="inlineStr">
        <is>
          <t>risk_fact</t>
        </is>
      </c>
      <c r="D712" s="2" t="inlineStr">
        <is>
          <t>Risk fact</t>
        </is>
      </c>
      <c r="E712" s="2" t="n"/>
      <c r="F712" s="2" t="n"/>
      <c r="G712" s="2" t="n"/>
      <c r="H712" s="3" t="inlineStr">
        <is>
          <t>Event after the balance sheet date: the US-Israel military conflict with Iran initiated on February 28, 2026; financial effects on the Company 'cannot be reliably determined'.</t>
        </is>
      </c>
      <c r="I712" s="2" t="inlineStr">
        <is>
          <t>S3</t>
        </is>
      </c>
      <c r="J712" s="2" t="n">
        <v>81</v>
      </c>
      <c r="K712" s="3" t="inlineStr">
        <is>
          <t>On February 28, 2026, the United States and Israel initiated a military conflict with Iran.</t>
        </is>
      </c>
      <c r="L712" s="2" t="inlineStr">
        <is>
          <t>ok</t>
        </is>
      </c>
      <c r="M712" s="2" t="inlineStr">
        <is>
          <t>demo reviewer</t>
        </is>
      </c>
      <c r="N712" s="2" t="n"/>
      <c r="O712" s="3" t="inlineStr">
        <is>
          <t>https://vanillabonds.com/dossier-data/pdf/katjes/katjes-2025-annual-report.pdf#page=81</t>
        </is>
      </c>
      <c r="P712" s="3" t="inlineStr">
        <is>
          <t>https://vanillabonds.com/dossier.html?c=katjes&amp;viewer=1&amp;item=F711</t>
        </is>
      </c>
      <c r="Q712" s="2" t="inlineStr"/>
    </row>
    <row r="713">
      <c r="A713" s="2" t="inlineStr">
        <is>
          <t>F712</t>
        </is>
      </c>
      <c r="B713" s="2" t="inlineStr">
        <is>
          <t>risk</t>
        </is>
      </c>
      <c r="C713" s="2" t="inlineStr">
        <is>
          <t>risk_fact</t>
        </is>
      </c>
      <c r="D713" s="2" t="inlineStr">
        <is>
          <t>Risk fact</t>
        </is>
      </c>
      <c r="E713" s="2" t="n"/>
      <c r="F713" s="2" t="n"/>
      <c r="G713" s="2" t="n"/>
      <c r="H713" s="3" t="inlineStr">
        <is>
          <t>The Group fully consolidates Bogner Eastern Europe LLC, Moscow, Russia (60%); a RUB closing rate of 92.91 was applied at 31 Dec 2025.</t>
        </is>
      </c>
      <c r="I713" s="2" t="inlineStr">
        <is>
          <t>S3</t>
        </is>
      </c>
      <c r="J713" s="2" t="n">
        <v>84</v>
      </c>
      <c r="K713" s="3" t="inlineStr">
        <is>
          <t>Bogner Eastern Europe LLC, Moscow, Russia 60 A</t>
        </is>
      </c>
      <c r="L713" s="2" t="inlineStr">
        <is>
          <t>ok</t>
        </is>
      </c>
      <c r="M713" s="2" t="inlineStr">
        <is>
          <t>demo reviewer</t>
        </is>
      </c>
      <c r="N713" s="2" t="n"/>
      <c r="O713" s="3" t="inlineStr">
        <is>
          <t>https://vanillabonds.com/dossier-data/pdf/katjes/katjes-2025-annual-report.pdf#page=84</t>
        </is>
      </c>
      <c r="P713" s="3" t="inlineStr">
        <is>
          <t>https://vanillabonds.com/dossier.html?c=katjes&amp;viewer=1&amp;item=F712</t>
        </is>
      </c>
      <c r="Q713" s="2" t="inlineStr"/>
    </row>
    <row r="714">
      <c r="A714" s="2" t="inlineStr">
        <is>
          <t>F713</t>
        </is>
      </c>
      <c r="B714" s="2" t="inlineStr">
        <is>
          <t>management</t>
        </is>
      </c>
      <c r="C714" s="2" t="inlineStr">
        <is>
          <t>mgmt_person</t>
        </is>
      </c>
      <c r="D714" s="3" t="inlineStr">
        <is>
          <t>Executive: name, role, since, prior roles (register / report)</t>
        </is>
      </c>
      <c r="E714" s="2" t="n"/>
      <c r="F714" s="2" t="n"/>
      <c r="G714" s="2" t="n"/>
      <c r="H714" s="3" t="inlineStr">
        <is>
          <t>Stephan Milde, Managing Director (CFO) since 2012; before several years in investment banking at Deutsche Bank and Citigroup in London.</t>
        </is>
      </c>
      <c r="I714" s="2" t="inlineStr">
        <is>
          <t>S3</t>
        </is>
      </c>
      <c r="J714" s="2" t="n">
        <v>6</v>
      </c>
      <c r="K714" s="3" t="inlineStr">
        <is>
          <t>STEPHAN MILDE Managing Director (CFO) of Katjes International Career since 2012 – CFO Katjes International before several years in Investment Banking at Deutsche Bank and Citigroup in London</t>
        </is>
      </c>
      <c r="L714" s="2" t="inlineStr">
        <is>
          <t>ok</t>
        </is>
      </c>
      <c r="M714" s="2" t="inlineStr">
        <is>
          <t>demo reviewer</t>
        </is>
      </c>
      <c r="N714" s="2" t="n"/>
      <c r="O714" s="3" t="inlineStr">
        <is>
          <t>https://vanillabonds.com/dossier-data/pdf/katjes/katjes-2025-annual-report.pdf#page=6</t>
        </is>
      </c>
      <c r="P714" s="3" t="inlineStr">
        <is>
          <t>https://vanillabonds.com/dossier.html?c=katjes&amp;viewer=1&amp;item=F713</t>
        </is>
      </c>
      <c r="Q714" s="2" t="inlineStr"/>
    </row>
    <row r="715">
      <c r="A715" s="2" t="inlineStr">
        <is>
          <t>F714</t>
        </is>
      </c>
      <c r="B715" s="2" t="inlineStr">
        <is>
          <t>management</t>
        </is>
      </c>
      <c r="C715" s="2" t="inlineStr">
        <is>
          <t>mgmt_person</t>
        </is>
      </c>
      <c r="D715" s="3" t="inlineStr">
        <is>
          <t>Executive: name, role, since, prior roles (register / report)</t>
        </is>
      </c>
      <c r="E715" s="2" t="n"/>
      <c r="F715" s="2" t="n"/>
      <c r="G715" s="2" t="n"/>
      <c r="H715" s="3" t="inlineStr">
        <is>
          <t>Bastian Fassin, Managing Shareholder since 2004; until 2003 Marketing and Sales at Kraft Foods, until 2000 Roland Berger Strategy Consultants.</t>
        </is>
      </c>
      <c r="I715" s="2" t="inlineStr">
        <is>
          <t>S3</t>
        </is>
      </c>
      <c r="J715" s="2" t="n">
        <v>6</v>
      </c>
      <c r="K715" s="3" t="inlineStr">
        <is>
          <t>since 2004 – Managing Shareholder of Katjes International until 2003 – Marketing and Sales, Kraft Foods until 2000 – Roland Berger Strategy Consultants</t>
        </is>
      </c>
      <c r="L715" s="2" t="inlineStr">
        <is>
          <t>ok</t>
        </is>
      </c>
      <c r="M715" s="2" t="inlineStr">
        <is>
          <t>demo reviewer</t>
        </is>
      </c>
      <c r="N715" s="2" t="n"/>
      <c r="O715" s="3" t="inlineStr">
        <is>
          <t>https://vanillabonds.com/dossier-data/pdf/katjes/katjes-2025-annual-report.pdf#page=6</t>
        </is>
      </c>
      <c r="P715" s="3" t="inlineStr">
        <is>
          <t>https://vanillabonds.com/dossier.html?c=katjes&amp;viewer=1&amp;item=F714</t>
        </is>
      </c>
      <c r="Q715" s="2" t="inlineStr"/>
    </row>
    <row r="716">
      <c r="A716" s="2" t="inlineStr">
        <is>
          <t>F715</t>
        </is>
      </c>
      <c r="B716" s="2" t="inlineStr">
        <is>
          <t>management</t>
        </is>
      </c>
      <c r="C716" s="2" t="inlineStr">
        <is>
          <t>mgmt_person</t>
        </is>
      </c>
      <c r="D716" s="3" t="inlineStr">
        <is>
          <t>Executive: name, role, since, prior roles (register / report)</t>
        </is>
      </c>
      <c r="E716" s="2" t="n"/>
      <c r="F716" s="2" t="n"/>
      <c r="G716" s="2" t="n"/>
      <c r="H716" s="3" t="inlineStr">
        <is>
          <t>Tobias Bachmüller, Managing Shareholder since 1996; until 1995 General Manager Kraft Foods (Milka), until 1992 Principal at The Boston Consulting Group.</t>
        </is>
      </c>
      <c r="I716" s="2" t="inlineStr">
        <is>
          <t>S3</t>
        </is>
      </c>
      <c r="J716" s="2" t="n">
        <v>6</v>
      </c>
      <c r="K716" s="3" t="inlineStr">
        <is>
          <t>since 1996 – Managing Shareholder of Katjes International until 1995 – General Manager, Kraft Foods (Milka) until 1992 – Principal, The Boston Consulting Group</t>
        </is>
      </c>
      <c r="L716" s="2" t="inlineStr">
        <is>
          <t>ok</t>
        </is>
      </c>
      <c r="M716" s="2" t="inlineStr">
        <is>
          <t>demo reviewer</t>
        </is>
      </c>
      <c r="N716" s="2" t="n"/>
      <c r="O716" s="3" t="inlineStr">
        <is>
          <t>https://vanillabonds.com/dossier-data/pdf/katjes/katjes-2025-annual-report.pdf#page=6</t>
        </is>
      </c>
      <c r="P716" s="3" t="inlineStr">
        <is>
          <t>https://vanillabonds.com/dossier.html?c=katjes&amp;viewer=1&amp;item=F715</t>
        </is>
      </c>
      <c r="Q716" s="2" t="inlineStr"/>
    </row>
    <row r="717">
      <c r="A717" s="2" t="inlineStr">
        <is>
          <t>F716</t>
        </is>
      </c>
      <c r="B717" s="2" t="inlineStr">
        <is>
          <t>management</t>
        </is>
      </c>
      <c r="C717" s="2" t="inlineStr">
        <is>
          <t>revenue_budget</t>
        </is>
      </c>
      <c r="D717" s="3" t="inlineStr">
        <is>
          <t>Revenue as budgeted for that year (management plan at the time)</t>
        </is>
      </c>
      <c r="E717" s="2" t="inlineStr">
        <is>
          <t>FY2025</t>
        </is>
      </c>
      <c r="F717" s="2" t="n">
        <v>400</v>
      </c>
      <c r="G717" s="2" t="inlineStr">
        <is>
          <t>EUR m</t>
        </is>
      </c>
      <c r="H717" s="3" t="inlineStr">
        <is>
          <t>Guidance for 2025 was Group revenue of at least EUR 400m; actual 503.0</t>
        </is>
      </c>
      <c r="I717" s="2" t="inlineStr">
        <is>
          <t>S3</t>
        </is>
      </c>
      <c r="J717" s="2" t="n">
        <v>35</v>
      </c>
      <c r="K717" s="3" t="inlineStr">
        <is>
          <t>Group revenue of at least EUR 400 million for the financial year 2025 in its guidance.</t>
        </is>
      </c>
      <c r="L717" s="2" t="inlineStr">
        <is>
          <t>ok</t>
        </is>
      </c>
      <c r="M717" s="2" t="inlineStr">
        <is>
          <t>demo reviewer</t>
        </is>
      </c>
      <c r="N717" s="2" t="n"/>
      <c r="O717" s="3" t="inlineStr">
        <is>
          <t>https://vanillabonds.com/dossier-data/pdf/katjes/katjes-2025-annual-report.pdf#page=35</t>
        </is>
      </c>
      <c r="P717" s="3" t="inlineStr">
        <is>
          <t>https://vanillabonds.com/dossier.html?c=katjes&amp;viewer=1&amp;item=F716</t>
        </is>
      </c>
      <c r="Q717" s="2" t="inlineStr"/>
    </row>
    <row r="718">
      <c r="A718" s="2" t="inlineStr">
        <is>
          <t>F717</t>
        </is>
      </c>
      <c r="B718" s="2" t="inlineStr">
        <is>
          <t>management</t>
        </is>
      </c>
      <c r="C718" s="2" t="inlineStr">
        <is>
          <t>revenue_budget</t>
        </is>
      </c>
      <c r="D718" s="3" t="inlineStr">
        <is>
          <t>Revenue as budgeted for that year (management plan at the time)</t>
        </is>
      </c>
      <c r="E718" s="2" t="inlineStr">
        <is>
          <t>FY2026E</t>
        </is>
      </c>
      <c r="F718" s="2" t="n">
        <v>650</v>
      </c>
      <c r="G718" s="2" t="inlineStr">
        <is>
          <t>EUR m</t>
        </is>
      </c>
      <c r="H718" s="3" t="inlineStr">
        <is>
          <t>Guidance for 2026: revenue of more than EUR 650m (management forecast, status rep)</t>
        </is>
      </c>
      <c r="I718" s="2" t="inlineStr">
        <is>
          <t>S3</t>
        </is>
      </c>
      <c r="J718" s="2" t="n">
        <v>35</v>
      </c>
      <c r="K718" s="3" t="inlineStr">
        <is>
          <t>For the financial year 2026, the Company expects revenue of more than EUR 650 million.</t>
        </is>
      </c>
      <c r="L718" s="2" t="inlineStr">
        <is>
          <t>ok</t>
        </is>
      </c>
      <c r="M718" s="2" t="inlineStr">
        <is>
          <t>demo reviewer</t>
        </is>
      </c>
      <c r="N718" s="2" t="n"/>
      <c r="O718" s="3" t="inlineStr">
        <is>
          <t>https://vanillabonds.com/dossier-data/pdf/katjes/katjes-2025-annual-report.pdf#page=35</t>
        </is>
      </c>
      <c r="P718" s="3" t="inlineStr">
        <is>
          <t>https://vanillabonds.com/dossier.html?c=katjes&amp;viewer=1&amp;item=F717</t>
        </is>
      </c>
      <c r="Q718" s="2" t="inlineStr"/>
    </row>
    <row r="719">
      <c r="A719" s="2" t="inlineStr">
        <is>
          <t>F718</t>
        </is>
      </c>
      <c r="B719" s="2" t="inlineStr">
        <is>
          <t>management</t>
        </is>
      </c>
      <c r="C719" s="2" t="inlineStr">
        <is>
          <t>covenant_test</t>
        </is>
      </c>
      <c r="D719" s="3" t="inlineStr">
        <is>
          <t>Covenant test: date, ratio, threshold, outcome, waiver</t>
        </is>
      </c>
      <c r="E719" s="2" t="n"/>
      <c r="F719" s="2" t="n"/>
      <c r="G719" s="2" t="n"/>
      <c r="H719" s="3" t="inlineStr">
        <is>
          <t>No covenant test result disclosed; management states covenant compliance is ensured through continuous monitoring of KPIs and forward-looking financial planning.</t>
        </is>
      </c>
      <c r="I719" s="2" t="inlineStr">
        <is>
          <t>S3</t>
        </is>
      </c>
      <c r="J719" s="2" t="n">
        <v>34</v>
      </c>
      <c r="K719" s="3" t="inlineStr">
        <is>
          <t>Compliance with existing covenants is ensured through</t>
        </is>
      </c>
      <c r="L719" s="2" t="inlineStr">
        <is>
          <t>ok</t>
        </is>
      </c>
      <c r="M719" s="2" t="inlineStr">
        <is>
          <t>demo reviewer</t>
        </is>
      </c>
      <c r="N719" s="2" t="n"/>
      <c r="O719" s="3" t="inlineStr">
        <is>
          <t>https://vanillabonds.com/dossier-data/pdf/katjes/katjes-2025-annual-report.pdf#page=34</t>
        </is>
      </c>
      <c r="P719" s="3" t="inlineStr">
        <is>
          <t>https://vanillabonds.com/dossier.html?c=katjes&amp;viewer=1&amp;item=F718</t>
        </is>
      </c>
      <c r="Q719" s="2" t="inlineStr"/>
    </row>
    <row r="720">
      <c r="A720" s="2" t="inlineStr">
        <is>
          <t>F719</t>
        </is>
      </c>
      <c r="B720" s="2" t="inlineStr">
        <is>
          <t>management</t>
        </is>
      </c>
      <c r="C720" s="2" t="inlineStr">
        <is>
          <t>acquisition</t>
        </is>
      </c>
      <c r="D720" s="3" t="inlineStr">
        <is>
          <t>Acquisition / disposal: target, year, price, funding, outcome vs case</t>
        </is>
      </c>
      <c r="E720" s="2" t="n"/>
      <c r="F720" s="2" t="n"/>
      <c r="G720" s="2" t="n"/>
      <c r="H720" s="3" t="inlineStr">
        <is>
          <t>Paluani: operating business of Paluani S.p.A. (Verona, panettone) acquired by Sperlari on August 1, 2022; price not stated.</t>
        </is>
      </c>
      <c r="I720" s="2" t="inlineStr">
        <is>
          <t>S3</t>
        </is>
      </c>
      <c r="J720" s="2" t="n">
        <v>12</v>
      </c>
      <c r="K720" s="3" t="inlineStr">
        <is>
          <t>With the acquisition of the operating business of Paluani S.p.A. on August 1, 2022, Sperlari took a further strategic step</t>
        </is>
      </c>
      <c r="L720" s="2" t="inlineStr">
        <is>
          <t>ok</t>
        </is>
      </c>
      <c r="M720" s="2" t="inlineStr">
        <is>
          <t>demo reviewer</t>
        </is>
      </c>
      <c r="N720" s="2" t="n"/>
      <c r="O720" s="3" t="inlineStr">
        <is>
          <t>https://vanillabonds.com/dossier-data/pdf/katjes/katjes-2025-annual-report.pdf#page=12</t>
        </is>
      </c>
      <c r="P720" s="3" t="inlineStr">
        <is>
          <t>https://vanillabonds.com/dossier.html?c=katjes&amp;viewer=1&amp;item=F719</t>
        </is>
      </c>
      <c r="Q720" s="2" t="inlineStr"/>
    </row>
    <row r="721">
      <c r="A721" s="2" t="inlineStr">
        <is>
          <t>F720</t>
        </is>
      </c>
      <c r="B721" s="2" t="inlineStr">
        <is>
          <t>management</t>
        </is>
      </c>
      <c r="C721" s="2" t="inlineStr">
        <is>
          <t>acquisition</t>
        </is>
      </c>
      <c r="D721" s="3" t="inlineStr">
        <is>
          <t>Acquisition / disposal: target, year, price, funding, outcome vs case</t>
        </is>
      </c>
      <c r="E721" s="2" t="n"/>
      <c r="F721" s="2" t="n"/>
      <c r="G721" s="2" t="n"/>
      <c r="H721" s="3" t="inlineStr">
        <is>
          <t>Bübchen: acquired from Nestlé/Galderma in May 2020, market leader in baby and kids body care in Germany; price not stated.</t>
        </is>
      </c>
      <c r="I721" s="2" t="inlineStr">
        <is>
          <t>S3</t>
        </is>
      </c>
      <c r="J721" s="2" t="n">
        <v>19</v>
      </c>
      <c r="K721" s="3" t="inlineStr">
        <is>
          <t>Since May 2020 Bübchen, the market leader in the baby &amp; kids body care segment in Germany</t>
        </is>
      </c>
      <c r="L721" s="2" t="inlineStr">
        <is>
          <t>ok</t>
        </is>
      </c>
      <c r="M721" s="2" t="inlineStr">
        <is>
          <t>demo reviewer</t>
        </is>
      </c>
      <c r="N721" s="2" t="n"/>
      <c r="O721" s="3" t="inlineStr">
        <is>
          <t>https://vanillabonds.com/dossier-data/pdf/katjes/katjes-2025-annual-report.pdf#page=19</t>
        </is>
      </c>
      <c r="P721" s="3" t="inlineStr">
        <is>
          <t>https://vanillabonds.com/dossier.html?c=katjes&amp;viewer=1&amp;item=F720</t>
        </is>
      </c>
      <c r="Q721" s="2" t="inlineStr"/>
    </row>
    <row r="722">
      <c r="A722" s="2" t="inlineStr">
        <is>
          <t>F721</t>
        </is>
      </c>
      <c r="B722" s="2" t="inlineStr">
        <is>
          <t>management</t>
        </is>
      </c>
      <c r="C722" s="2" t="inlineStr">
        <is>
          <t>acquisition</t>
        </is>
      </c>
      <c r="D722" s="3" t="inlineStr">
        <is>
          <t>Acquisition / disposal: target, year, price, funding, outcome vs case</t>
        </is>
      </c>
      <c r="E722" s="2" t="n"/>
      <c r="F722" s="2" t="n"/>
      <c r="G722" s="2" t="n"/>
      <c r="H722" s="3" t="inlineStr">
        <is>
          <t>Oral Care business (Theramed, Vademecum, Licor del Polo, Antica Erboristeria, Denivit): carve-out from Henkel AG &amp; Co. KGaA, December 2022; price not stated.</t>
        </is>
      </c>
      <c r="I722" s="2" t="inlineStr">
        <is>
          <t>S3</t>
        </is>
      </c>
      <c r="J722" s="2" t="n">
        <v>19</v>
      </c>
      <c r="K722" s="3" t="inlineStr">
        <is>
          <t>Since December 2022, the Oral Care business acquired from Henkel</t>
        </is>
      </c>
      <c r="L722" s="2" t="inlineStr">
        <is>
          <t>ok</t>
        </is>
      </c>
      <c r="M722" s="2" t="inlineStr">
        <is>
          <t>demo reviewer</t>
        </is>
      </c>
      <c r="N722" s="2" t="n"/>
      <c r="O722" s="3" t="inlineStr">
        <is>
          <t>https://vanillabonds.com/dossier-data/pdf/katjes/katjes-2025-annual-report.pdf#page=19</t>
        </is>
      </c>
      <c r="P722" s="3" t="inlineStr">
        <is>
          <t>https://vanillabonds.com/dossier.html?c=katjes&amp;viewer=1&amp;item=F721</t>
        </is>
      </c>
      <c r="Q722" s="2" t="inlineStr"/>
    </row>
    <row r="723">
      <c r="A723" s="2" t="inlineStr">
        <is>
          <t>F722</t>
        </is>
      </c>
      <c r="B723" s="2" t="inlineStr">
        <is>
          <t>management</t>
        </is>
      </c>
      <c r="C723" s="2" t="inlineStr">
        <is>
          <t>acquisition</t>
        </is>
      </c>
      <c r="D723" s="3" t="inlineStr">
        <is>
          <t>Acquisition / disposal: target, year, price, funding, outcome vs case</t>
        </is>
      </c>
      <c r="E723" s="2" t="n"/>
      <c r="F723" s="2" t="n"/>
      <c r="G723" s="2" t="n"/>
      <c r="H723" s="3" t="inlineStr">
        <is>
          <t>Dulcioliva (Cuneesi pralines, Piedmont): 75% held since June 2021 with an option on the remaining 25% (option liability 1.6 recognised); Candy Kittens approximately 88%.</t>
        </is>
      </c>
      <c r="I723" s="2" t="inlineStr">
        <is>
          <t>S3</t>
        </is>
      </c>
      <c r="J723" s="2" t="n">
        <v>19</v>
      </c>
      <c r="K723" s="3" t="inlineStr">
        <is>
          <t>holds approximately 88% of the shares in the UK-based Candy Kittens and 75% of the shares in the Italian company Dulcioliva, with the option to acquire the remaining 25%.</t>
        </is>
      </c>
      <c r="L723" s="2" t="inlineStr">
        <is>
          <t>ok</t>
        </is>
      </c>
      <c r="M723" s="2" t="inlineStr">
        <is>
          <t>demo reviewer</t>
        </is>
      </c>
      <c r="N723" s="2" t="n"/>
      <c r="O723" s="3" t="inlineStr">
        <is>
          <t>https://vanillabonds.com/dossier-data/pdf/katjes/katjes-2025-annual-report.pdf#page=19</t>
        </is>
      </c>
      <c r="P723" s="3" t="inlineStr">
        <is>
          <t>https://vanillabonds.com/dossier.html?c=katjes&amp;viewer=1&amp;item=F722</t>
        </is>
      </c>
      <c r="Q723" s="2" t="inlineStr"/>
    </row>
    <row r="724">
      <c r="A724" s="2" t="inlineStr">
        <is>
          <t>F723</t>
        </is>
      </c>
      <c r="B724" s="2" t="inlineStr">
        <is>
          <t>management</t>
        </is>
      </c>
      <c r="C724" s="2" t="inlineStr">
        <is>
          <t>acquisition</t>
        </is>
      </c>
      <c r="D724" s="3" t="inlineStr">
        <is>
          <t>Acquisition / disposal: target, year, price, funding, outcome vs case</t>
        </is>
      </c>
      <c r="E724" s="2" t="n"/>
      <c r="F724" s="2" t="n"/>
      <c r="G724" s="2" t="n"/>
      <c r="H724" s="3" t="inlineStr">
        <is>
          <t>N.A.E. (Naturale Antica Erboristeria, certified organic body care, France): part of the Group since November 2023; price not stated.</t>
        </is>
      </c>
      <c r="I724" s="2" t="inlineStr">
        <is>
          <t>S3</t>
        </is>
      </c>
      <c r="J724" s="2" t="n">
        <v>19</v>
      </c>
      <c r="K724" s="3" t="inlineStr">
        <is>
          <t>Since November 2023, Naturale Antica Erboristeria (N.A.E.), an additional brand in the body care segment, has been part of Katjes International.</t>
        </is>
      </c>
      <c r="L724" s="2" t="inlineStr">
        <is>
          <t>ok</t>
        </is>
      </c>
      <c r="M724" s="2" t="inlineStr">
        <is>
          <t>demo reviewer</t>
        </is>
      </c>
      <c r="N724" s="2" t="n"/>
      <c r="O724" s="3" t="inlineStr">
        <is>
          <t>https://vanillabonds.com/dossier-data/pdf/katjes/katjes-2025-annual-report.pdf#page=19</t>
        </is>
      </c>
      <c r="P724" s="3" t="inlineStr">
        <is>
          <t>https://vanillabonds.com/dossier.html?c=katjes&amp;viewer=1&amp;item=F723</t>
        </is>
      </c>
      <c r="Q724" s="2" t="inlineStr"/>
    </row>
    <row r="725">
      <c r="A725" s="2" t="inlineStr">
        <is>
          <t>F724</t>
        </is>
      </c>
      <c r="B725" s="2" t="inlineStr">
        <is>
          <t>management</t>
        </is>
      </c>
      <c r="C725" s="2" t="inlineStr">
        <is>
          <t>acquisition</t>
        </is>
      </c>
      <c r="D725" s="3" t="inlineStr">
        <is>
          <t>Acquisition / disposal: target, year, price, funding, outcome vs case</t>
        </is>
      </c>
      <c r="E725" s="2" t="n"/>
      <c r="F725" s="2" t="n"/>
      <c r="G725" s="2" t="n"/>
      <c r="H725" s="3" t="inlineStr">
        <is>
          <t>Barnängen (cosmetics brand founded 1868, markets DE, AT, CZ, CH, HU): acquired April 2024; price not stated.</t>
        </is>
      </c>
      <c r="I725" s="2" t="inlineStr">
        <is>
          <t>S3</t>
        </is>
      </c>
      <c r="J725" s="2" t="n">
        <v>19</v>
      </c>
      <c r="K725" s="3" t="inlineStr">
        <is>
          <t>In April 2024, the cosmetics brand Barnängen was acquired</t>
        </is>
      </c>
      <c r="L725" s="2" t="inlineStr">
        <is>
          <t>ok</t>
        </is>
      </c>
      <c r="M725" s="2" t="inlineStr">
        <is>
          <t>demo reviewer</t>
        </is>
      </c>
      <c r="N725" s="2" t="n"/>
      <c r="O725" s="3" t="inlineStr">
        <is>
          <t>https://vanillabonds.com/dossier-data/pdf/katjes/katjes-2025-annual-report.pdf#page=19</t>
        </is>
      </c>
      <c r="P725" s="3" t="inlineStr">
        <is>
          <t>https://vanillabonds.com/dossier.html?c=katjes&amp;viewer=1&amp;item=F724</t>
        </is>
      </c>
      <c r="Q725" s="2" t="inlineStr"/>
    </row>
    <row r="726">
      <c r="A726" s="2" t="inlineStr">
        <is>
          <t>F725</t>
        </is>
      </c>
      <c r="B726" s="2" t="inlineStr">
        <is>
          <t>management</t>
        </is>
      </c>
      <c r="C726" s="2" t="inlineStr">
        <is>
          <t>acquisition</t>
        </is>
      </c>
      <c r="D726" s="3" t="inlineStr">
        <is>
          <t>Acquisition / disposal: target, year, price, funding, outcome vs case</t>
        </is>
      </c>
      <c r="E726" s="2" t="n"/>
      <c r="F726" s="2" t="n"/>
      <c r="G726" s="2" t="n"/>
      <c r="H726" s="3" t="inlineStr">
        <is>
          <t>Portfolio build-up: Dallmann's since 2012, Piasten since 2014, Harlekijntjes (100%) since 2016, Sperlari since 2017.</t>
        </is>
      </c>
      <c r="I726" s="2" t="inlineStr">
        <is>
          <t>S3</t>
        </is>
      </c>
      <c r="J726" s="2" t="n">
        <v>19</v>
      </c>
      <c r="K726" s="3" t="inlineStr">
        <is>
          <t>In Italy, Sperlari has been part of Katjes International since 2017.</t>
        </is>
      </c>
      <c r="L726" s="2" t="inlineStr">
        <is>
          <t>ok</t>
        </is>
      </c>
      <c r="M726" s="2" t="inlineStr">
        <is>
          <t>demo reviewer</t>
        </is>
      </c>
      <c r="N726" s="2" t="n"/>
      <c r="O726" s="3" t="inlineStr">
        <is>
          <t>https://vanillabonds.com/dossier-data/pdf/katjes/katjes-2025-annual-report.pdf#page=19</t>
        </is>
      </c>
      <c r="P726" s="3" t="inlineStr">
        <is>
          <t>https://vanillabonds.com/dossier.html?c=katjes&amp;viewer=1&amp;item=F725</t>
        </is>
      </c>
      <c r="Q726" s="2" t="inlineStr"/>
    </row>
    <row r="727">
      <c r="A727" s="2" t="inlineStr">
        <is>
          <t>F726</t>
        </is>
      </c>
      <c r="B727" s="2" t="inlineStr">
        <is>
          <t>management</t>
        </is>
      </c>
      <c r="C727" s="2" t="inlineStr">
        <is>
          <t>acquisition</t>
        </is>
      </c>
      <c r="D727" s="3" t="inlineStr">
        <is>
          <t>Acquisition / disposal: target, year, price, funding, outcome vs case</t>
        </is>
      </c>
      <c r="E727" s="2" t="n"/>
      <c r="F727" s="2" t="n"/>
      <c r="G727" s="2" t="n"/>
      <c r="H727" s="3" t="inlineStr">
        <is>
          <t>Joint ventures: Shirin Beauty GmbH 50% (established 2024 with Shirin David) and Shades Snacks Ltd. UK 49% (with Niko Omilana), both equity-accounted.</t>
        </is>
      </c>
      <c r="I727" s="2" t="inlineStr">
        <is>
          <t>S3</t>
        </is>
      </c>
      <c r="J727" s="2" t="n">
        <v>19</v>
      </c>
      <c r="K727" s="3" t="inlineStr">
        <is>
          <t>In 2024, a joint venture was established with entrepreneur and musician Shirin David, in which Katjes International holds 50%.</t>
        </is>
      </c>
      <c r="L727" s="2" t="inlineStr">
        <is>
          <t>ok</t>
        </is>
      </c>
      <c r="M727" s="2" t="inlineStr">
        <is>
          <t>demo reviewer</t>
        </is>
      </c>
      <c r="N727" s="2" t="n"/>
      <c r="O727" s="3" t="inlineStr">
        <is>
          <t>https://vanillabonds.com/dossier-data/pdf/katjes/katjes-2025-annual-report.pdf#page=19</t>
        </is>
      </c>
      <c r="P727" s="3" t="inlineStr">
        <is>
          <t>https://vanillabonds.com/dossier.html?c=katjes&amp;viewer=1&amp;item=F726</t>
        </is>
      </c>
      <c r="Q727" s="2" t="inlineStr"/>
    </row>
    <row r="728">
      <c r="A728" s="2" t="inlineStr">
        <is>
          <t>F727</t>
        </is>
      </c>
      <c r="B728" s="2" t="inlineStr">
        <is>
          <t>management</t>
        </is>
      </c>
      <c r="C728" s="2" t="inlineStr">
        <is>
          <t>acquisition</t>
        </is>
      </c>
      <c r="D728" s="3" t="inlineStr">
        <is>
          <t>Acquisition / disposal: target, year, price, funding, outcome vs case</t>
        </is>
      </c>
      <c r="E728" s="2" t="n"/>
      <c r="F728" s="2" t="n">
        <v>61.2</v>
      </c>
      <c r="G728" s="2" t="n"/>
      <c r="H728" s="3" t="inlineStr">
        <is>
          <t>Bogner: 60% of Willy Bogner GmbH, 2025, cash outflow 61.2, funded by the EUR 70m bond tap; acquired financial liabilities 98.9, cash 33.2, intangibles 113.0 (brand 112.5), NCI 40.8 at fair value (full goodwill method); badwill 35.1 'mainly resulted from the competitive situation in the acquisition process'; Bogner 2025 revenue approximately 200 and profitable.</t>
        </is>
      </c>
      <c r="I728" s="2" t="inlineStr">
        <is>
          <t>S3</t>
        </is>
      </c>
      <c r="J728" s="2" t="n">
        <v>53</v>
      </c>
      <c r="K728" s="3" t="inlineStr">
        <is>
          <t>In connection with the acquisition of the assets, cash outflows amounted to EUR 61.2 million.</t>
        </is>
      </c>
      <c r="L728" s="2" t="inlineStr">
        <is>
          <t>ok</t>
        </is>
      </c>
      <c r="M728" s="2" t="inlineStr">
        <is>
          <t>demo reviewer</t>
        </is>
      </c>
      <c r="N728" s="2" t="n"/>
      <c r="O728" s="3" t="inlineStr">
        <is>
          <t>https://vanillabonds.com/dossier-data/pdf/katjes/katjes-2025-annual-report.pdf#page=53</t>
        </is>
      </c>
      <c r="P728" s="3" t="inlineStr">
        <is>
          <t>https://vanillabonds.com/dossier.html?c=katjes&amp;viewer=1&amp;item=F727</t>
        </is>
      </c>
      <c r="Q728" s="2" t="inlineStr"/>
    </row>
    <row r="729">
      <c r="A729" s="2" t="inlineStr">
        <is>
          <t>F728</t>
        </is>
      </c>
      <c r="B729" s="2" t="inlineStr">
        <is>
          <t>management</t>
        </is>
      </c>
      <c r="C729" s="2" t="inlineStr">
        <is>
          <t>acquisition</t>
        </is>
      </c>
      <c r="D729" s="3" t="inlineStr">
        <is>
          <t>Acquisition / disposal: target, year, price, funding, outcome vs case</t>
        </is>
      </c>
      <c r="E729" s="2" t="n"/>
      <c r="F729" s="2" t="n">
        <v>20.1</v>
      </c>
      <c r="G729" s="2" t="n"/>
      <c r="H729" s="3" t="inlineStr">
        <is>
          <t>CPK S.A.S. (France): disposal of the 23% equity-accounted stake, 2025, proceeds slightly above 80 (81.9 per cash flow), gain 20.1 recognised in other operating income; at-equity carrying amount fell from 65.0 to 4.3.</t>
        </is>
      </c>
      <c r="I729" s="2" t="inlineStr">
        <is>
          <t>S3</t>
        </is>
      </c>
      <c r="J729" s="2" t="n">
        <v>53</v>
      </c>
      <c r="K729" s="3" t="inlineStr">
        <is>
          <t>As expected, cash inflows of slightly more than EUR 80 million were realised. At the same time, the disposal of the investment resulted in a gain of approximately EUR 20 million.</t>
        </is>
      </c>
      <c r="L729" s="2" t="inlineStr">
        <is>
          <t>ok</t>
        </is>
      </c>
      <c r="M729" s="2" t="inlineStr">
        <is>
          <t>demo reviewer</t>
        </is>
      </c>
      <c r="N729" s="2" t="n"/>
      <c r="O729" s="3" t="inlineStr">
        <is>
          <t>https://vanillabonds.com/dossier-data/pdf/katjes/katjes-2025-annual-report.pdf#page=53</t>
        </is>
      </c>
      <c r="P729" s="3" t="inlineStr">
        <is>
          <t>https://vanillabonds.com/dossier.html?c=katjes&amp;viewer=1&amp;item=F728</t>
        </is>
      </c>
      <c r="Q729" s="2" t="inlineStr"/>
    </row>
    <row r="730">
      <c r="A730" s="2" t="inlineStr">
        <is>
          <t>F729</t>
        </is>
      </c>
      <c r="B730" s="2" t="inlineStr">
        <is>
          <t>management</t>
        </is>
      </c>
      <c r="C730" s="2" t="inlineStr">
        <is>
          <t>governance</t>
        </is>
      </c>
      <c r="D730" s="3" t="inlineStr">
        <is>
          <t>Board, independent members, group structure, related-party flows, dividends</t>
        </is>
      </c>
      <c r="E730" s="2" t="n"/>
      <c r="F730" s="2" t="n"/>
      <c r="G730" s="2" t="n"/>
      <c r="H730" s="3" t="inlineStr">
        <is>
          <t>Management describes the equity ratio of 32.9% at 31 Dec 2025 (2024: 35.9%) as a 'solid level'.</t>
        </is>
      </c>
      <c r="I730" s="2" t="inlineStr">
        <is>
          <t>S3</t>
        </is>
      </c>
      <c r="J730" s="2" t="n">
        <v>27</v>
      </c>
      <c r="K730" s="3" t="inlineStr">
        <is>
          <t>the equity ratio remained at a solid level of 32.9% (December 31, 2024: 35.9%).</t>
        </is>
      </c>
      <c r="L730" s="2" t="inlineStr">
        <is>
          <t>ok</t>
        </is>
      </c>
      <c r="M730" s="2" t="inlineStr">
        <is>
          <t>demo reviewer</t>
        </is>
      </c>
      <c r="N730" s="2" t="n"/>
      <c r="O730" s="3" t="inlineStr">
        <is>
          <t>https://vanillabonds.com/dossier-data/pdf/katjes/katjes-2025-annual-report.pdf#page=27</t>
        </is>
      </c>
      <c r="P730" s="3" t="inlineStr">
        <is>
          <t>https://vanillabonds.com/dossier.html?c=katjes&amp;viewer=1&amp;item=F729</t>
        </is>
      </c>
      <c r="Q730" s="2" t="inlineStr"/>
    </row>
    <row r="731">
      <c r="A731" s="2" t="inlineStr">
        <is>
          <t>F730</t>
        </is>
      </c>
      <c r="B731" s="2" t="inlineStr">
        <is>
          <t>management</t>
        </is>
      </c>
      <c r="C731" s="2" t="inlineStr">
        <is>
          <t>governance</t>
        </is>
      </c>
      <c r="D731" s="3" t="inlineStr">
        <is>
          <t>Board, independent members, group structure, related-party flows, dividends</t>
        </is>
      </c>
      <c r="E731" s="2" t="n"/>
      <c r="F731" s="2" t="n"/>
      <c r="G731" s="2" t="n"/>
      <c r="H731" s="3" t="inlineStr">
        <is>
          <t>A voluntary external advisory board of experienced specialists supervises and advises management under the partnership agreement and meets several times a year; members not named.</t>
        </is>
      </c>
      <c r="I731" s="2" t="inlineStr">
        <is>
          <t>S3</t>
        </is>
      </c>
      <c r="J731" s="2" t="n">
        <v>34</v>
      </c>
      <c r="K731" s="3" t="inlineStr">
        <is>
          <t>the advisory board meets several times a year with management to discuss and critically review the strategy and operational business of Katjes International.</t>
        </is>
      </c>
      <c r="L731" s="2" t="inlineStr">
        <is>
          <t>ok</t>
        </is>
      </c>
      <c r="M731" s="2" t="inlineStr">
        <is>
          <t>demo reviewer</t>
        </is>
      </c>
      <c r="N731" s="2" t="n"/>
      <c r="O731" s="3" t="inlineStr">
        <is>
          <t>https://vanillabonds.com/dossier-data/pdf/katjes/katjes-2025-annual-report.pdf#page=34</t>
        </is>
      </c>
      <c r="P731" s="3" t="inlineStr">
        <is>
          <t>https://vanillabonds.com/dossier.html?c=katjes&amp;viewer=1&amp;item=F730</t>
        </is>
      </c>
      <c r="Q731" s="2" t="inlineStr"/>
    </row>
    <row r="732">
      <c r="A732" s="2" t="inlineStr">
        <is>
          <t>F731</t>
        </is>
      </c>
      <c r="B732" s="2" t="inlineStr">
        <is>
          <t>management</t>
        </is>
      </c>
      <c r="C732" s="2" t="inlineStr">
        <is>
          <t>governance</t>
        </is>
      </c>
      <c r="D732" s="3" t="inlineStr">
        <is>
          <t>Board, independent members, group structure, related-party flows, dividends</t>
        </is>
      </c>
      <c r="E732" s="2" t="n"/>
      <c r="F732" s="2" t="n"/>
      <c r="G732" s="2" t="n"/>
      <c r="H732" s="3" t="inlineStr">
        <is>
          <t>General partner Xaver Fassin International GmbH (shareholders Bastian Fassin and Tobias Bachmüller) holds no capital interest; limited partnership capital EUR 1.0m.</t>
        </is>
      </c>
      <c r="I732" s="2" t="inlineStr">
        <is>
          <t>S3</t>
        </is>
      </c>
      <c r="J732" s="2" t="n">
        <v>44</v>
      </c>
      <c r="K732" s="3" t="inlineStr">
        <is>
          <t>The general partner (personally liable partner) of the Company is Xaver Fassin International GmbH, whose shareholders are Bastian Fassin and Tobias Bachmüller.</t>
        </is>
      </c>
      <c r="L732" s="2" t="inlineStr">
        <is>
          <t>ok</t>
        </is>
      </c>
      <c r="M732" s="2" t="inlineStr">
        <is>
          <t>demo reviewer</t>
        </is>
      </c>
      <c r="N732" s="2" t="n"/>
      <c r="O732" s="3" t="inlineStr">
        <is>
          <t>https://vanillabonds.com/dossier-data/pdf/katjes/katjes-2025-annual-report.pdf#page=44</t>
        </is>
      </c>
      <c r="P732" s="3" t="inlineStr">
        <is>
          <t>https://vanillabonds.com/dossier.html?c=katjes&amp;viewer=1&amp;item=F731</t>
        </is>
      </c>
      <c r="Q732" s="2" t="inlineStr"/>
    </row>
    <row r="733">
      <c r="A733" s="2" t="inlineStr">
        <is>
          <t>F732</t>
        </is>
      </c>
      <c r="B733" s="2" t="inlineStr">
        <is>
          <t>management</t>
        </is>
      </c>
      <c r="C733" s="2" t="inlineStr">
        <is>
          <t>governance</t>
        </is>
      </c>
      <c r="D733" s="3" t="inlineStr">
        <is>
          <t>Board, independent members, group structure, related-party flows, dividends</t>
        </is>
      </c>
      <c r="E733" s="2" t="n"/>
      <c r="F733" s="2" t="n"/>
      <c r="G733" s="2" t="n"/>
      <c r="H733" s="3" t="inlineStr">
        <is>
          <t>Partnership agreement dated November 22, 2024 defines the object as holding and managing participations in Katjes International Group companies.</t>
        </is>
      </c>
      <c r="I733" s="2" t="inlineStr">
        <is>
          <t>S3</t>
        </is>
      </c>
      <c r="J733" s="2" t="n">
        <v>44</v>
      </c>
      <c r="K733" s="3" t="inlineStr">
        <is>
          <t>In accordance with Section 2 of the partnership agreement dated November 22, 2024</t>
        </is>
      </c>
      <c r="L733" s="2" t="inlineStr">
        <is>
          <t>ok</t>
        </is>
      </c>
      <c r="M733" s="2" t="inlineStr">
        <is>
          <t>demo reviewer</t>
        </is>
      </c>
      <c r="N733" s="2" t="n"/>
      <c r="O733" s="3" t="inlineStr">
        <is>
          <t>https://vanillabonds.com/dossier-data/pdf/katjes/katjes-2025-annual-report.pdf#page=44</t>
        </is>
      </c>
      <c r="P733" s="3" t="inlineStr">
        <is>
          <t>https://vanillabonds.com/dossier.html?c=katjes&amp;viewer=1&amp;item=F732</t>
        </is>
      </c>
      <c r="Q733" s="2" t="inlineStr"/>
    </row>
    <row r="734">
      <c r="A734" s="2" t="inlineStr">
        <is>
          <t>F733</t>
        </is>
      </c>
      <c r="B734" s="2" t="inlineStr">
        <is>
          <t>management</t>
        </is>
      </c>
      <c r="C734" s="2" t="inlineStr">
        <is>
          <t>governance</t>
        </is>
      </c>
      <c r="D734" s="3" t="inlineStr">
        <is>
          <t>Board, independent members, group structure, related-party flows, dividends</t>
        </is>
      </c>
      <c r="E734" s="2" t="n"/>
      <c r="F734" s="2" t="n">
        <v>47.5</v>
      </c>
      <c r="G734" s="2" t="n"/>
      <c r="H734" s="3" t="inlineStr">
        <is>
          <t>Non-controlling interests of EUR 47.5m at 31 Dec 2025 (2024: 1.2) relate mainly to the Bogner Group minorities, plus Candy Kittens, Longaim and Tuckshop minorities; the Bogner put option was recognised in equity.</t>
        </is>
      </c>
      <c r="I734" s="2" t="inlineStr">
        <is>
          <t>S3</t>
        </is>
      </c>
      <c r="J734" s="2" t="n">
        <v>67</v>
      </c>
      <c r="K734" s="3" t="inlineStr">
        <is>
          <t>Non-controlling interests relate to the minority interests in the Bogner Group</t>
        </is>
      </c>
      <c r="L734" s="2" t="inlineStr">
        <is>
          <t>ok</t>
        </is>
      </c>
      <c r="M734" s="2" t="inlineStr">
        <is>
          <t>demo reviewer</t>
        </is>
      </c>
      <c r="N734" s="2" t="n"/>
      <c r="O734" s="3" t="inlineStr">
        <is>
          <t>https://vanillabonds.com/dossier-data/pdf/katjes/katjes-2025-annual-report.pdf#page=67</t>
        </is>
      </c>
      <c r="P734" s="3" t="inlineStr">
        <is>
          <t>https://vanillabonds.com/dossier.html?c=katjes&amp;viewer=1&amp;item=F733</t>
        </is>
      </c>
      <c r="Q734" s="2" t="inlineStr"/>
    </row>
    <row r="735">
      <c r="A735" s="2" t="inlineStr">
        <is>
          <t>F734</t>
        </is>
      </c>
      <c r="B735" s="2" t="inlineStr">
        <is>
          <t>management</t>
        </is>
      </c>
      <c r="C735" s="2" t="inlineStr">
        <is>
          <t>governance</t>
        </is>
      </c>
      <c r="D735" s="3" t="inlineStr">
        <is>
          <t>Board, independent members, group structure, related-party flows, dividends</t>
        </is>
      </c>
      <c r="E735" s="2" t="n"/>
      <c r="F735" s="2" t="n">
        <v>0.7</v>
      </c>
      <c r="G735" s="2" t="n"/>
      <c r="H735" s="3" t="inlineStr">
        <is>
          <t>Auditor fees recognised 2025 EUR 0.7m (audit services 0.6, other services 0.1; 2024: 0.5), of which 0.2 for foreign subsidiaries.</t>
        </is>
      </c>
      <c r="I735" s="2" t="inlineStr">
        <is>
          <t>S3</t>
        </is>
      </c>
      <c r="J735" s="2" t="n">
        <v>75</v>
      </c>
      <c r="K735" s="3" t="inlineStr">
        <is>
          <t>Fees for audit services 0.6 0.5 Other services 0.1 0.0 Total 0.7 0.5</t>
        </is>
      </c>
      <c r="L735" s="2" t="inlineStr">
        <is>
          <t>ok</t>
        </is>
      </c>
      <c r="M735" s="2" t="inlineStr">
        <is>
          <t>demo reviewer</t>
        </is>
      </c>
      <c r="N735" s="2" t="n"/>
      <c r="O735" s="3" t="inlineStr">
        <is>
          <t>https://vanillabonds.com/dossier-data/pdf/katjes/katjes-2025-annual-report.pdf#page=75</t>
        </is>
      </c>
      <c r="P735" s="3" t="inlineStr">
        <is>
          <t>https://vanillabonds.com/dossier.html?c=katjes&amp;viewer=1&amp;item=F734</t>
        </is>
      </c>
      <c r="Q735" s="2" t="inlineStr"/>
    </row>
    <row r="736">
      <c r="A736" s="2" t="inlineStr">
        <is>
          <t>F735</t>
        </is>
      </c>
      <c r="B736" s="2" t="inlineStr">
        <is>
          <t>management</t>
        </is>
      </c>
      <c r="C736" s="2" t="inlineStr">
        <is>
          <t>governance</t>
        </is>
      </c>
      <c r="D736" s="3" t="inlineStr">
        <is>
          <t>Board, independent members, group structure, related-party flows, dividends</t>
        </is>
      </c>
      <c r="E736" s="2" t="n"/>
      <c r="F736" s="2" t="n"/>
      <c r="G736" s="2" t="n"/>
      <c r="H736" s="3" t="inlineStr">
        <is>
          <t>Disclosure of management remuneration beyond the general partner's remuneration is omitted under the Section 286 (4) HGB exemption.</t>
        </is>
      </c>
      <c r="I736" s="2" t="inlineStr">
        <is>
          <t>S3</t>
        </is>
      </c>
      <c r="J736" s="2" t="n">
        <v>80</v>
      </c>
      <c r="K736" s="3" t="inlineStr">
        <is>
          <t>is omitted with reference to the exemption clause pursuant to Section 286 (4) HGB</t>
        </is>
      </c>
      <c r="L736" s="2" t="inlineStr">
        <is>
          <t>ok</t>
        </is>
      </c>
      <c r="M736" s="2" t="inlineStr">
        <is>
          <t>demo reviewer</t>
        </is>
      </c>
      <c r="N736" s="2" t="n"/>
      <c r="O736" s="3" t="inlineStr">
        <is>
          <t>https://vanillabonds.com/dossier-data/pdf/katjes/katjes-2025-annual-report.pdf#page=80</t>
        </is>
      </c>
      <c r="P736" s="3" t="inlineStr">
        <is>
          <t>https://vanillabonds.com/dossier.html?c=katjes&amp;viewer=1&amp;item=F735</t>
        </is>
      </c>
      <c r="Q736" s="2" t="inlineStr"/>
    </row>
    <row r="737">
      <c r="A737" s="2" t="inlineStr">
        <is>
          <t>F736</t>
        </is>
      </c>
      <c r="B737" s="2" t="inlineStr">
        <is>
          <t>management</t>
        </is>
      </c>
      <c r="C737" s="2" t="inlineStr">
        <is>
          <t>governance</t>
        </is>
      </c>
      <c r="D737" s="3" t="inlineStr">
        <is>
          <t>Board, independent members, group structure, related-party flows, dividends</t>
        </is>
      </c>
      <c r="E737" s="2" t="n"/>
      <c r="F737" s="2" t="n"/>
      <c r="G737" s="2" t="n"/>
      <c r="H737" s="3" t="inlineStr">
        <is>
          <t>Consolidated financial statements approved for publication by management on April 2, 2026 in Emmerich; signed by Fassin, Bachmüller and Milde.</t>
        </is>
      </c>
      <c r="I737" s="2" t="inlineStr">
        <is>
          <t>S3</t>
        </is>
      </c>
      <c r="J737" s="2" t="n">
        <v>81</v>
      </c>
      <c r="K737" s="3" t="inlineStr">
        <is>
          <t>These consolidated financial statements were approved for publication by the management on April 2, 2026.</t>
        </is>
      </c>
      <c r="L737" s="2" t="inlineStr">
        <is>
          <t>ok</t>
        </is>
      </c>
      <c r="M737" s="2" t="inlineStr">
        <is>
          <t>demo reviewer</t>
        </is>
      </c>
      <c r="N737" s="2" t="n"/>
      <c r="O737" s="3" t="inlineStr">
        <is>
          <t>https://vanillabonds.com/dossier-data/pdf/katjes/katjes-2025-annual-report.pdf#page=81</t>
        </is>
      </c>
      <c r="P737" s="3" t="inlineStr">
        <is>
          <t>https://vanillabonds.com/dossier.html?c=katjes&amp;viewer=1&amp;item=F736</t>
        </is>
      </c>
      <c r="Q737" s="2" t="inlineStr"/>
    </row>
    <row r="738">
      <c r="A738" s="2" t="inlineStr">
        <is>
          <t>F737</t>
        </is>
      </c>
      <c r="B738" s="2" t="inlineStr">
        <is>
          <t>management</t>
        </is>
      </c>
      <c r="C738" s="2" t="inlineStr">
        <is>
          <t>governance</t>
        </is>
      </c>
      <c r="D738" s="3" t="inlineStr">
        <is>
          <t>Board, independent members, group structure, related-party flows, dividends</t>
        </is>
      </c>
      <c r="E738" s="2" t="n"/>
      <c r="F738" s="2" t="n"/>
      <c r="G738" s="2" t="n"/>
      <c r="H738" s="3" t="inlineStr">
        <is>
          <t>Five German subsidiaries (Piasten GmbH, Dallmann's Pharma Candy GmbH, Katjes 24 GmbH, Bübchen Skincare GmbH, Bübchen-Werk Ewald Hermes Pharmazeutische Fabrik GmbH) use the Section 264 (3) HGB exemption from own audited annual accounts.</t>
        </is>
      </c>
      <c r="I738" s="2" t="inlineStr">
        <is>
          <t>S3</t>
        </is>
      </c>
      <c r="J738" s="2" t="n">
        <v>81</v>
      </c>
      <c r="K738" s="3" t="inlineStr">
        <is>
          <t>the exemption from certain regulations on the preparation, auditing and publication of the annual financial statements/management report pursuant to section 264 (3) HGB</t>
        </is>
      </c>
      <c r="L738" s="2" t="inlineStr">
        <is>
          <t>ok</t>
        </is>
      </c>
      <c r="M738" s="2" t="inlineStr">
        <is>
          <t>demo reviewer</t>
        </is>
      </c>
      <c r="N738" s="2" t="n"/>
      <c r="O738" s="3" t="inlineStr">
        <is>
          <t>https://vanillabonds.com/dossier-data/pdf/katjes/katjes-2025-annual-report.pdf#page=81</t>
        </is>
      </c>
      <c r="P738" s="3" t="inlineStr">
        <is>
          <t>https://vanillabonds.com/dossier.html?c=katjes&amp;viewer=1&amp;item=F737</t>
        </is>
      </c>
      <c r="Q738" s="2" t="inlineStr"/>
    </row>
    <row r="739">
      <c r="A739" s="2" t="inlineStr">
        <is>
          <t>F738</t>
        </is>
      </c>
      <c r="B739" s="2" t="inlineStr">
        <is>
          <t>management</t>
        </is>
      </c>
      <c r="C739" s="2" t="inlineStr">
        <is>
          <t>reporting_practice</t>
        </is>
      </c>
      <c r="D739" s="3" t="inlineStr">
        <is>
          <t>Monitoring: KPI reporting, frequency, budget process, controlling</t>
        </is>
      </c>
      <c r="E739" s="2" t="n"/>
      <c r="F739" s="2" t="n"/>
      <c r="G739" s="2" t="n"/>
      <c r="H739" s="3" t="inlineStr">
        <is>
          <t>Management KPIs are revenue (growth) and EBITDA (profitability); strategic planning combined with value-oriented business development.</t>
        </is>
      </c>
      <c r="I739" s="2" t="inlineStr">
        <is>
          <t>S3</t>
        </is>
      </c>
      <c r="J739" s="2" t="n">
        <v>20</v>
      </c>
      <c r="K739" s="3" t="inlineStr">
        <is>
          <t>include revenue as an indicator of business growth and EBITDA (Group earnings before interest, taxes, depreciation and amortisation) as a key indicator of profitability.</t>
        </is>
      </c>
      <c r="L739" s="2" t="inlineStr">
        <is>
          <t>ok</t>
        </is>
      </c>
      <c r="M739" s="2" t="inlineStr">
        <is>
          <t>demo reviewer</t>
        </is>
      </c>
      <c r="N739" s="2" t="n"/>
      <c r="O739" s="3" t="inlineStr">
        <is>
          <t>https://vanillabonds.com/dossier-data/pdf/katjes/katjes-2025-annual-report.pdf#page=20</t>
        </is>
      </c>
      <c r="P739" s="3" t="inlineStr">
        <is>
          <t>https://vanillabonds.com/dossier.html?c=katjes&amp;viewer=1&amp;item=F738</t>
        </is>
      </c>
      <c r="Q739" s="2" t="inlineStr"/>
    </row>
    <row r="740">
      <c r="A740" s="2" t="inlineStr">
        <is>
          <t>F739</t>
        </is>
      </c>
      <c r="B740" s="2" t="inlineStr">
        <is>
          <t>management</t>
        </is>
      </c>
      <c r="C740" s="2" t="inlineStr">
        <is>
          <t>reporting_practice</t>
        </is>
      </c>
      <c r="D740" s="3" t="inlineStr">
        <is>
          <t>Monitoring: KPI reporting, frequency, budget process, controlling</t>
        </is>
      </c>
      <c r="E740" s="2" t="n"/>
      <c r="F740" s="2" t="n"/>
      <c r="G740" s="2" t="n"/>
      <c r="H740" s="3" t="inlineStr">
        <is>
          <t>Risk management runs through an internal reporting system and regular management meetings; financial risks managed by operating units and monitored by the holding in regular meetings.</t>
        </is>
      </c>
      <c r="I740" s="2" t="inlineStr">
        <is>
          <t>S3</t>
        </is>
      </c>
      <c r="J740" s="2" t="n">
        <v>34</v>
      </c>
      <c r="K740" s="3" t="inlineStr">
        <is>
          <t>The objective of risk management is to identify risks affecting the Group and their potential impact on the Group’s business objectives</t>
        </is>
      </c>
      <c r="L740" s="2" t="inlineStr">
        <is>
          <t>ok</t>
        </is>
      </c>
      <c r="M740" s="2" t="inlineStr">
        <is>
          <t>demo reviewer</t>
        </is>
      </c>
      <c r="N740" s="2" t="n"/>
      <c r="O740" s="3" t="inlineStr">
        <is>
          <t>https://vanillabonds.com/dossier-data/pdf/katjes/katjes-2025-annual-report.pdf#page=34</t>
        </is>
      </c>
      <c r="P740" s="3" t="inlineStr">
        <is>
          <t>https://vanillabonds.com/dossier.html?c=katjes&amp;viewer=1&amp;item=F739</t>
        </is>
      </c>
      <c r="Q740" s="2" t="inlineStr"/>
    </row>
    <row r="741">
      <c r="A741" s="2" t="inlineStr">
        <is>
          <t>F740</t>
        </is>
      </c>
      <c r="B741" s="2" t="inlineStr">
        <is>
          <t>management</t>
        </is>
      </c>
      <c r="C741" s="2" t="inlineStr">
        <is>
          <t>reporting_practice</t>
        </is>
      </c>
      <c r="D741" s="3" t="inlineStr">
        <is>
          <t>Monitoring: KPI reporting, frequency, budget process, controlling</t>
        </is>
      </c>
      <c r="E741" s="2" t="n"/>
      <c r="F741" s="2" t="n"/>
      <c r="G741" s="2" t="n"/>
      <c r="H741" s="3" t="inlineStr">
        <is>
          <t>Cash planning is regularly monitored and updated at Group level.</t>
        </is>
      </c>
      <c r="I741" s="2" t="inlineStr">
        <is>
          <t>S3</t>
        </is>
      </c>
      <c r="J741" s="2" t="n">
        <v>56</v>
      </c>
      <c r="K741" s="3" t="inlineStr">
        <is>
          <t>The Group regularly monitors and updates its cash planning.</t>
        </is>
      </c>
      <c r="L741" s="2" t="inlineStr">
        <is>
          <t>ok</t>
        </is>
      </c>
      <c r="M741" s="2" t="inlineStr">
        <is>
          <t>demo reviewer</t>
        </is>
      </c>
      <c r="N741" s="2" t="n"/>
      <c r="O741" s="3" t="inlineStr">
        <is>
          <t>https://vanillabonds.com/dossier-data/pdf/katjes/katjes-2025-annual-report.pdf#page=56</t>
        </is>
      </c>
      <c r="P741" s="3" t="inlineStr">
        <is>
          <t>https://vanillabonds.com/dossier.html?c=katjes&amp;viewer=1&amp;item=F740</t>
        </is>
      </c>
      <c r="Q741" s="2" t="inlineStr"/>
    </row>
    <row r="742">
      <c r="A742" s="2" t="inlineStr">
        <is>
          <t>F741</t>
        </is>
      </c>
      <c r="B742" s="2" t="inlineStr">
        <is>
          <t>management</t>
        </is>
      </c>
      <c r="C742" s="2" t="inlineStr">
        <is>
          <t>reporting_practice</t>
        </is>
      </c>
      <c r="D742" s="3" t="inlineStr">
        <is>
          <t>Monitoring: KPI reporting, frequency, budget process, controlling</t>
        </is>
      </c>
      <c r="E742" s="2" t="n"/>
      <c r="F742" s="2" t="n"/>
      <c r="G742" s="2" t="n"/>
      <c r="H742" s="3" t="inlineStr">
        <is>
          <t>The CODM (management) steers on consolidated figures only; no regular internal reporting or performance measurement by business unit, hence a single IFRS 8 segment.</t>
        </is>
      </c>
      <c r="I742" s="2" t="inlineStr">
        <is>
          <t>S3</t>
        </is>
      </c>
      <c r="J742" s="2" t="n">
        <v>77</v>
      </c>
      <c r="K742" s="3" t="inlineStr">
        <is>
          <t>There is no regular internal reporting or performance measurement by</t>
        </is>
      </c>
      <c r="L742" s="2" t="inlineStr">
        <is>
          <t>ok</t>
        </is>
      </c>
      <c r="M742" s="2" t="inlineStr">
        <is>
          <t>demo reviewer</t>
        </is>
      </c>
      <c r="N742" s="2" t="n"/>
      <c r="O742" s="3" t="inlineStr">
        <is>
          <t>https://vanillabonds.com/dossier-data/pdf/katjes/katjes-2025-annual-report.pdf#page=77</t>
        </is>
      </c>
      <c r="P742" s="3" t="inlineStr">
        <is>
          <t>https://vanillabonds.com/dossier.html?c=katjes&amp;viewer=1&amp;item=F741</t>
        </is>
      </c>
      <c r="Q742" s="2" t="inlineStr"/>
    </row>
    <row r="743">
      <c r="A743" s="2" t="inlineStr">
        <is>
          <t>F742</t>
        </is>
      </c>
      <c r="B743" s="2" t="inlineStr">
        <is>
          <t>market</t>
        </is>
      </c>
      <c r="C743" s="2" t="inlineStr">
        <is>
          <t>market_fact</t>
        </is>
      </c>
      <c r="D743" s="3" t="inlineStr">
        <is>
          <t>Market: size, growth, share, competitor capacity, regulation (source named)</t>
        </is>
      </c>
      <c r="E743" s="2" t="n"/>
      <c r="F743" s="2" t="n"/>
      <c r="G743" s="2" t="n"/>
      <c r="H743" s="3" t="inlineStr">
        <is>
          <t>company statement: Piasten (Forchheim) is Bavaria's largest confectionery manufacturer and Germany's leading producer of dragées; Treets introduced to Germany in 2018.</t>
        </is>
      </c>
      <c r="I743" s="2" t="inlineStr">
        <is>
          <t>S3</t>
        </is>
      </c>
      <c r="J743" s="2" t="n">
        <v>11</v>
      </c>
      <c r="K743" s="3" t="inlineStr">
        <is>
          <t>In 2025, Treets, part of Piasten GmbH — Bavaria’s largest confectionery manufacturer and Germany’s leading pro- ducer of dragées, headquartered in Forchheim</t>
        </is>
      </c>
      <c r="L743" s="2" t="inlineStr">
        <is>
          <t>ok</t>
        </is>
      </c>
      <c r="M743" s="2" t="inlineStr">
        <is>
          <t>demo reviewer</t>
        </is>
      </c>
      <c r="N743" s="2" t="n"/>
      <c r="O743" s="3" t="inlineStr">
        <is>
          <t>https://vanillabonds.com/dossier-data/pdf/katjes/katjes-2025-annual-report.pdf#page=11</t>
        </is>
      </c>
      <c r="P743" s="3" t="inlineStr">
        <is>
          <t>https://vanillabonds.com/dossier.html?c=katjes&amp;viewer=1&amp;item=F742</t>
        </is>
      </c>
      <c r="Q743" s="2" t="inlineStr"/>
    </row>
    <row r="744">
      <c r="A744" s="2" t="inlineStr">
        <is>
          <t>F743</t>
        </is>
      </c>
      <c r="B744" s="2" t="inlineStr">
        <is>
          <t>market</t>
        </is>
      </c>
      <c r="C744" s="2" t="inlineStr">
        <is>
          <t>market_fact</t>
        </is>
      </c>
      <c r="D744" s="3" t="inlineStr">
        <is>
          <t>Market: size, growth, share, competitor capacity, regulation (source named)</t>
        </is>
      </c>
      <c r="E744" s="2" t="n"/>
      <c r="F744" s="2" t="n"/>
      <c r="G744" s="2" t="n"/>
      <c r="H744" s="3" t="inlineStr">
        <is>
          <t>company statement: Dallmann's sage cough drops lead German pharmacies by number of bags sold.</t>
        </is>
      </c>
      <c r="I744" s="2" t="inlineStr">
        <is>
          <t>S3</t>
        </is>
      </c>
      <c r="J744" s="2" t="n">
        <v>19</v>
      </c>
      <c r="K744" s="3" t="inlineStr">
        <is>
          <t>is the leader in German pharmacies in terms of number of bags sold.</t>
        </is>
      </c>
      <c r="L744" s="2" t="inlineStr">
        <is>
          <t>ok</t>
        </is>
      </c>
      <c r="M744" s="2" t="inlineStr">
        <is>
          <t>demo reviewer</t>
        </is>
      </c>
      <c r="N744" s="2" t="n"/>
      <c r="O744" s="3" t="inlineStr">
        <is>
          <t>https://vanillabonds.com/dossier-data/pdf/katjes/katjes-2025-annual-report.pdf#page=19</t>
        </is>
      </c>
      <c r="P744" s="3" t="inlineStr">
        <is>
          <t>https://vanillabonds.com/dossier.html?c=katjes&amp;viewer=1&amp;item=F743</t>
        </is>
      </c>
      <c r="Q744" s="2" t="inlineStr"/>
    </row>
    <row r="745">
      <c r="A745" s="2" t="inlineStr">
        <is>
          <t>F744</t>
        </is>
      </c>
      <c r="B745" s="2" t="inlineStr">
        <is>
          <t>market</t>
        </is>
      </c>
      <c r="C745" s="2" t="inlineStr">
        <is>
          <t>market_fact</t>
        </is>
      </c>
      <c r="D745" s="3" t="inlineStr">
        <is>
          <t>Market: size, growth, share, competitor capacity, regulation (source named)</t>
        </is>
      </c>
      <c r="E745" s="2" t="n"/>
      <c r="F745" s="2" t="n"/>
      <c r="G745" s="2" t="n"/>
      <c r="H745" s="3" t="inlineStr">
        <is>
          <t>company statement: Harlekijntjes produces the best-selling liquorice product in the Netherlands by volume.</t>
        </is>
      </c>
      <c r="I745" s="2" t="inlineStr">
        <is>
          <t>S3</t>
        </is>
      </c>
      <c r="J745" s="2" t="n">
        <v>19</v>
      </c>
      <c r="K745" s="3" t="inlineStr">
        <is>
          <t>which produces the best-selling liquorice product in the Netherlands by volume.</t>
        </is>
      </c>
      <c r="L745" s="2" t="inlineStr">
        <is>
          <t>ok</t>
        </is>
      </c>
      <c r="M745" s="2" t="inlineStr">
        <is>
          <t>demo reviewer</t>
        </is>
      </c>
      <c r="N745" s="2" t="n"/>
      <c r="O745" s="3" t="inlineStr">
        <is>
          <t>https://vanillabonds.com/dossier-data/pdf/katjes/katjes-2025-annual-report.pdf#page=19</t>
        </is>
      </c>
      <c r="P745" s="3" t="inlineStr">
        <is>
          <t>https://vanillabonds.com/dossier.html?c=katjes&amp;viewer=1&amp;item=F744</t>
        </is>
      </c>
      <c r="Q745" s="2" t="inlineStr"/>
    </row>
    <row r="746">
      <c r="A746" s="2" t="inlineStr">
        <is>
          <t>F745</t>
        </is>
      </c>
      <c r="B746" s="2" t="inlineStr">
        <is>
          <t>market</t>
        </is>
      </c>
      <c r="C746" s="2" t="inlineStr">
        <is>
          <t>market_fact</t>
        </is>
      </c>
      <c r="D746" s="3" t="inlineStr">
        <is>
          <t>Market: size, growth, share, competitor capacity, regulation (source named)</t>
        </is>
      </c>
      <c r="E746" s="2" t="n"/>
      <c r="F746" s="2" t="n"/>
      <c r="G746" s="2" t="n"/>
      <c r="H746" s="3" t="inlineStr">
        <is>
          <t>company statement: Sperlari is one of the largest suppliers in the Italian sugar confectionery market and market leader in seasonal products, sweeteners and sugar-free candies.</t>
        </is>
      </c>
      <c r="I746" s="2" t="inlineStr">
        <is>
          <t>S3</t>
        </is>
      </c>
      <c r="J746" s="2" t="n">
        <v>19</v>
      </c>
      <c r="K746" s="3" t="inlineStr">
        <is>
          <t>Sperlari is one of the largest supplier in the Italian sugar confectionery market and the market leader in the segment for seasonal products, sweeteners and sugar-free candies.</t>
        </is>
      </c>
      <c r="L746" s="2" t="inlineStr">
        <is>
          <t>ok</t>
        </is>
      </c>
      <c r="M746" s="2" t="inlineStr">
        <is>
          <t>demo reviewer</t>
        </is>
      </c>
      <c r="N746" s="2" t="n"/>
      <c r="O746" s="3" t="inlineStr">
        <is>
          <t>https://vanillabonds.com/dossier-data/pdf/katjes/katjes-2025-annual-report.pdf#page=19</t>
        </is>
      </c>
      <c r="P746" s="3" t="inlineStr">
        <is>
          <t>https://vanillabonds.com/dossier.html?c=katjes&amp;viewer=1&amp;item=F745</t>
        </is>
      </c>
      <c r="Q746" s="2" t="inlineStr"/>
    </row>
    <row r="747">
      <c r="A747" s="2" t="inlineStr">
        <is>
          <t>F746</t>
        </is>
      </c>
      <c r="B747" s="2" t="inlineStr">
        <is>
          <t>market</t>
        </is>
      </c>
      <c r="C747" s="2" t="inlineStr">
        <is>
          <t>market_fact</t>
        </is>
      </c>
      <c r="D747" s="3" t="inlineStr">
        <is>
          <t>Market: size, growth, share, competitor capacity, regulation (source named)</t>
        </is>
      </c>
      <c r="E747" s="2" t="n"/>
      <c r="F747" s="2" t="n"/>
      <c r="G747" s="2" t="n"/>
      <c r="H747" s="3" t="inlineStr">
        <is>
          <t>company statement: Vademecum is the number 1 organic toothpaste in France by sales volume; Oral Care brands present mainly in Germany, Italy, France and Spain.</t>
        </is>
      </c>
      <c r="I747" s="2" t="inlineStr">
        <is>
          <t>S3</t>
        </is>
      </c>
      <c r="J747" s="2" t="n">
        <v>19</v>
      </c>
      <c r="K747" s="3" t="inlineStr">
        <is>
          <t>For example, Vademecum is the number 1 organic too- thpaste in France in terms of sales volume.</t>
        </is>
      </c>
      <c r="L747" s="2" t="inlineStr">
        <is>
          <t>ok</t>
        </is>
      </c>
      <c r="M747" s="2" t="inlineStr">
        <is>
          <t>demo reviewer</t>
        </is>
      </c>
      <c r="N747" s="2" t="n"/>
      <c r="O747" s="3" t="inlineStr">
        <is>
          <t>https://vanillabonds.com/dossier-data/pdf/katjes/katjes-2025-annual-report.pdf#page=19</t>
        </is>
      </c>
      <c r="P747" s="3" t="inlineStr">
        <is>
          <t>https://vanillabonds.com/dossier.html?c=katjes&amp;viewer=1&amp;item=F746</t>
        </is>
      </c>
      <c r="Q747" s="2" t="inlineStr"/>
    </row>
    <row r="748">
      <c r="A748" s="2" t="inlineStr">
        <is>
          <t>F747</t>
        </is>
      </c>
      <c r="B748" s="2" t="inlineStr">
        <is>
          <t>market</t>
        </is>
      </c>
      <c r="C748" s="2" t="inlineStr">
        <is>
          <t>market_fact</t>
        </is>
      </c>
      <c r="D748" s="3" t="inlineStr">
        <is>
          <t>Market: size, growth, share, competitor capacity, regulation (source named)</t>
        </is>
      </c>
      <c r="E748" s="2" t="n"/>
      <c r="F748" s="2" t="n"/>
      <c r="G748" s="2" t="n"/>
      <c r="H748" s="3" t="inlineStr">
        <is>
          <t>company statement: Candy Kittens is one of the UK's fastest growing gourmet fruit gum brands (majority stake approximately 88%).</t>
        </is>
      </c>
      <c r="I748" s="2" t="inlineStr">
        <is>
          <t>S3</t>
        </is>
      </c>
      <c r="J748" s="2" t="n">
        <v>19</v>
      </c>
      <c r="K748" s="3" t="inlineStr">
        <is>
          <t>With Candy Kittens, Katjes International holds a majority stake in one of the UK’s fastest growing gourmet fruit gum brands.</t>
        </is>
      </c>
      <c r="L748" s="2" t="inlineStr">
        <is>
          <t>ok</t>
        </is>
      </c>
      <c r="M748" s="2" t="inlineStr">
        <is>
          <t>demo reviewer</t>
        </is>
      </c>
      <c r="N748" s="2" t="n"/>
      <c r="O748" s="3" t="inlineStr">
        <is>
          <t>https://vanillabonds.com/dossier-data/pdf/katjes/katjes-2025-annual-report.pdf#page=19</t>
        </is>
      </c>
      <c r="P748" s="3" t="inlineStr">
        <is>
          <t>https://vanillabonds.com/dossier.html?c=katjes&amp;viewer=1&amp;item=F747</t>
        </is>
      </c>
      <c r="Q748" s="2" t="inlineStr"/>
    </row>
    <row r="749">
      <c r="A749" s="2" t="inlineStr">
        <is>
          <t>F748</t>
        </is>
      </c>
      <c r="B749" s="2" t="inlineStr">
        <is>
          <t>market</t>
        </is>
      </c>
      <c r="C749" s="2" t="inlineStr">
        <is>
          <t>market_fact</t>
        </is>
      </c>
      <c r="D749" s="3" t="inlineStr">
        <is>
          <t>Market: size, growth, share, competitor capacity, regulation (source named)</t>
        </is>
      </c>
      <c r="E749" s="2" t="n"/>
      <c r="F749" s="2" t="n"/>
      <c r="G749" s="2" t="n"/>
      <c r="H749" s="3" t="inlineStr">
        <is>
          <t>company statement: the Bogner Group is the largest family-owned luxury apparel brand in Germany; core markets Germany, Austria, Switzerland and the United States, growth regions China, Japan and other European markets.</t>
        </is>
      </c>
      <c r="I749" s="2" t="inlineStr">
        <is>
          <t>S3</t>
        </is>
      </c>
      <c r="J749" s="2" t="n">
        <v>20</v>
      </c>
      <c r="K749" s="3" t="inlineStr">
        <is>
          <t>The internationally active Bogner Group is the largest family-owned luxury apparel brand in Germany.</t>
        </is>
      </c>
      <c r="L749" s="2" t="inlineStr">
        <is>
          <t>ok</t>
        </is>
      </c>
      <c r="M749" s="2" t="inlineStr">
        <is>
          <t>demo reviewer</t>
        </is>
      </c>
      <c r="N749" s="2" t="n"/>
      <c r="O749" s="3" t="inlineStr">
        <is>
          <t>https://vanillabonds.com/dossier-data/pdf/katjes/katjes-2025-annual-report.pdf#page=20</t>
        </is>
      </c>
      <c r="P749" s="3" t="inlineStr">
        <is>
          <t>https://vanillabonds.com/dossier.html?c=katjes&amp;viewer=1&amp;item=F748</t>
        </is>
      </c>
      <c r="Q749" s="2" t="inlineStr"/>
    </row>
    <row r="750">
      <c r="A750" s="2" t="inlineStr">
        <is>
          <t>F749</t>
        </is>
      </c>
      <c r="B750" s="2" t="inlineStr">
        <is>
          <t>market</t>
        </is>
      </c>
      <c r="C750" s="2" t="inlineStr">
        <is>
          <t>market_fact</t>
        </is>
      </c>
      <c r="D750" s="3" t="inlineStr">
        <is>
          <t>Market: size, growth, share, competitor capacity, regulation (source named)</t>
        </is>
      </c>
      <c r="E750" s="2" t="n"/>
      <c r="F750" s="2" t="n"/>
      <c r="G750" s="2" t="n"/>
      <c r="H750" s="3" t="inlineStr">
        <is>
          <t>company statement: consumer goods sales markets are characterised by low cyclicality and high economic resilience; 2025 confectionery growth driven by normalised in-store buying and manufacturer price increases, chocolate strongest on cocoa-driven prices.</t>
        </is>
      </c>
      <c r="I750" s="2" t="inlineStr">
        <is>
          <t>S3</t>
        </is>
      </c>
      <c r="J750" s="2" t="n">
        <v>21</v>
      </c>
      <c r="K750" s="3" t="inlineStr">
        <is>
          <t>The sales markets for consumer goods that are material for the Group are generally characterised by low cyclicality and high economic resilience, which was also observed in 2025.</t>
        </is>
      </c>
      <c r="L750" s="2" t="inlineStr">
        <is>
          <t>ok</t>
        </is>
      </c>
      <c r="M750" s="2" t="inlineStr">
        <is>
          <t>demo reviewer</t>
        </is>
      </c>
      <c r="N750" s="2" t="n"/>
      <c r="O750" s="3" t="inlineStr">
        <is>
          <t>https://vanillabonds.com/dossier-data/pdf/katjes/katjes-2025-annual-report.pdf#page=21</t>
        </is>
      </c>
      <c r="P750" s="3" t="inlineStr">
        <is>
          <t>https://vanillabonds.com/dossier.html?c=katjes&amp;viewer=1&amp;item=F749</t>
        </is>
      </c>
      <c r="Q750" s="2" t="inlineStr"/>
    </row>
    <row r="751">
      <c r="A751" s="2" t="inlineStr">
        <is>
          <t>F750</t>
        </is>
      </c>
      <c r="B751" s="2" t="inlineStr">
        <is>
          <t>market</t>
        </is>
      </c>
      <c r="C751" s="2" t="inlineStr">
        <is>
          <t>market_fact</t>
        </is>
      </c>
      <c r="D751" s="3" t="inlineStr">
        <is>
          <t>Market: size, growth, share, competitor capacity, regulation (source named)</t>
        </is>
      </c>
      <c r="E751" s="2" t="n"/>
      <c r="F751" s="2" t="n"/>
      <c r="G751" s="2" t="n"/>
      <c r="H751" s="3" t="inlineStr">
        <is>
          <t>cites McKinsey 'The State of Fashion 2025': Europe and the United States expected to offer the greatest luxury growth potential in 2025, driven by declining inflation and higher disposable income; management says Bogner is positioned in the 'accessible and affordable luxury segment'.</t>
        </is>
      </c>
      <c r="I751" s="2" t="inlineStr">
        <is>
          <t>S3</t>
        </is>
      </c>
      <c r="J751" s="2" t="n">
        <v>23</v>
      </c>
      <c r="K751" s="3" t="inlineStr">
        <is>
          <t>Europe and the United States are expected to offer the greatest growth potential in the luxury segment in 2025, driven by declining inflation and higher disposable income.</t>
        </is>
      </c>
      <c r="L751" s="2" t="inlineStr">
        <is>
          <t>ok</t>
        </is>
      </c>
      <c r="M751" s="2" t="inlineStr">
        <is>
          <t>demo reviewer</t>
        </is>
      </c>
      <c r="N751" s="2" t="n"/>
      <c r="O751" s="3" t="inlineStr">
        <is>
          <t>https://vanillabonds.com/dossier-data/pdf/katjes/katjes-2025-annual-report.pdf#page=23</t>
        </is>
      </c>
      <c r="P751" s="3" t="inlineStr">
        <is>
          <t>https://vanillabonds.com/dossier.html?c=katjes&amp;viewer=1&amp;item=F750</t>
        </is>
      </c>
      <c r="Q751" s="2" t="inlineStr"/>
    </row>
    <row r="752">
      <c r="A752" s="2" t="inlineStr">
        <is>
          <t>F751</t>
        </is>
      </c>
      <c r="B752" s="2" t="inlineStr">
        <is>
          <t>market</t>
        </is>
      </c>
      <c r="C752" s="2" t="inlineStr">
        <is>
          <t>concentration</t>
        </is>
      </c>
      <c r="D752" s="3" t="inlineStr">
        <is>
          <t>Concentration: top customers / suppliers share, key contracts, sites</t>
        </is>
      </c>
      <c r="E752" s="2" t="n"/>
      <c r="F752" s="2" t="n"/>
      <c r="G752" s="2" t="n"/>
      <c r="H752" s="3" t="inlineStr">
        <is>
          <t>Management names concentration risk from major customers, particularly in food retail, and dependence on certain suppliers.</t>
        </is>
      </c>
      <c r="I752" s="2" t="inlineStr">
        <is>
          <t>S3</t>
        </is>
      </c>
      <c r="J752" s="2" t="n">
        <v>31</v>
      </c>
      <c r="K752" s="3" t="inlineStr">
        <is>
          <t>Concentration risks may arise from major customers, particularly in the food retail sector.</t>
        </is>
      </c>
      <c r="L752" s="2" t="inlineStr">
        <is>
          <t>ok</t>
        </is>
      </c>
      <c r="M752" s="2" t="inlineStr">
        <is>
          <t>demo reviewer</t>
        </is>
      </c>
      <c r="N752" s="2" t="n"/>
      <c r="O752" s="3" t="inlineStr">
        <is>
          <t>https://vanillabonds.com/dossier-data/pdf/katjes/katjes-2025-annual-report.pdf#page=31</t>
        </is>
      </c>
      <c r="P752" s="3" t="inlineStr">
        <is>
          <t>https://vanillabonds.com/dossier.html?c=katjes&amp;viewer=1&amp;item=F751</t>
        </is>
      </c>
      <c r="Q752" s="2" t="inlineStr"/>
    </row>
    <row r="753">
      <c r="A753" s="2" t="inlineStr">
        <is>
          <t>F752</t>
        </is>
      </c>
      <c r="B753" s="2" t="inlineStr">
        <is>
          <t>market</t>
        </is>
      </c>
      <c r="C753" s="2" t="inlineStr">
        <is>
          <t>concentration</t>
        </is>
      </c>
      <c r="D753" s="3" t="inlineStr">
        <is>
          <t>Concentration: top customers / suppliers share, key contracts, sites</t>
        </is>
      </c>
      <c r="E753" s="2" t="n"/>
      <c r="F753" s="2" t="n"/>
      <c r="G753" s="2" t="n"/>
      <c r="H753" s="3" t="inlineStr">
        <is>
          <t>Lifestyle segment (Bogner): key parts of production concentrated on various suppliers; sourcing of fabrics, leather, down and functional materials.</t>
        </is>
      </c>
      <c r="I753" s="2" t="inlineStr">
        <is>
          <t>S3</t>
        </is>
      </c>
      <c r="J753" s="2" t="n">
        <v>31</v>
      </c>
      <c r="K753" s="3" t="inlineStr">
        <is>
          <t>and from dependencies on various suppliers, on whom key parts of production are concentrated.</t>
        </is>
      </c>
      <c r="L753" s="2" t="inlineStr">
        <is>
          <t>ok</t>
        </is>
      </c>
      <c r="M753" s="2" t="inlineStr">
        <is>
          <t>demo reviewer</t>
        </is>
      </c>
      <c r="N753" s="2" t="n"/>
      <c r="O753" s="3" t="inlineStr">
        <is>
          <t>https://vanillabonds.com/dossier-data/pdf/katjes/katjes-2025-annual-report.pdf#page=31</t>
        </is>
      </c>
      <c r="P753" s="3" t="inlineStr">
        <is>
          <t>https://vanillabonds.com/dossier.html?c=katjes&amp;viewer=1&amp;item=F752</t>
        </is>
      </c>
      <c r="Q753" s="2" t="inlineStr"/>
    </row>
    <row r="754">
      <c r="A754" s="2" t="inlineStr">
        <is>
          <t>F753</t>
        </is>
      </c>
      <c r="B754" s="2" t="inlineStr">
        <is>
          <t>market</t>
        </is>
      </c>
      <c r="C754" s="2" t="inlineStr">
        <is>
          <t>concentration</t>
        </is>
      </c>
      <c r="D754" s="3" t="inlineStr">
        <is>
          <t>Concentration: top customers / suppliers share, key contracts, sites</t>
        </is>
      </c>
      <c r="E754" s="2" t="n"/>
      <c r="F754" s="2" t="n"/>
      <c r="G754" s="2" t="n"/>
      <c r="H754" s="3" t="inlineStr">
        <is>
          <t>Credit risk: no significant concentrations at the reporting date; maximum default exposure equals receivables carrying amount 100.6 (2024: 59.2); customer relationships described as long-standing.</t>
        </is>
      </c>
      <c r="I754" s="2" t="inlineStr">
        <is>
          <t>S3</t>
        </is>
      </c>
      <c r="J754" s="2" t="n">
        <v>56</v>
      </c>
      <c r="K754" s="3" t="inlineStr">
        <is>
          <t>As at the reporting date, there were no significant concentrations of risk.</t>
        </is>
      </c>
      <c r="L754" s="2" t="inlineStr">
        <is>
          <t>ok</t>
        </is>
      </c>
      <c r="M754" s="2" t="inlineStr">
        <is>
          <t>demo reviewer</t>
        </is>
      </c>
      <c r="N754" s="2" t="n"/>
      <c r="O754" s="3" t="inlineStr">
        <is>
          <t>https://vanillabonds.com/dossier-data/pdf/katjes/katjes-2025-annual-report.pdf#page=56</t>
        </is>
      </c>
      <c r="P754" s="3" t="inlineStr">
        <is>
          <t>https://vanillabonds.com/dossier.html?c=katjes&amp;viewer=1&amp;item=F753</t>
        </is>
      </c>
      <c r="Q754" s="2" t="inlineStr"/>
    </row>
    <row r="755">
      <c r="A755" s="2" t="inlineStr">
        <is>
          <t>F754</t>
        </is>
      </c>
      <c r="B755" s="2" t="inlineStr">
        <is>
          <t>plan</t>
        </is>
      </c>
      <c r="C755" s="2" t="inlineStr">
        <is>
          <t>debt_maturing</t>
        </is>
      </c>
      <c r="D755" s="2" t="inlineStr">
        <is>
          <t>Debt principal falling due in the period</t>
        </is>
      </c>
      <c r="E755" s="2" t="inlineStr">
        <is>
          <t>FY2026E</t>
        </is>
      </c>
      <c r="F755" s="2" t="n">
        <v>74.3</v>
      </c>
      <c r="G755" s="2" t="inlineStr">
        <is>
          <t>EUR m</t>
        </is>
      </c>
      <c r="H755" s="3" t="inlineStr">
        <is>
          <t>Current financial liabilities due within one year at 31 Dec 2025 incl. lease liabilities 16.7 and interest liabilities 3.8 (maturity table, partly undiscounted)</t>
        </is>
      </c>
      <c r="I755" s="2" t="inlineStr">
        <is>
          <t>S3</t>
        </is>
      </c>
      <c r="J755" s="2" t="n">
        <v>57</v>
      </c>
      <c r="K755" s="3" t="inlineStr">
        <is>
          <t>Current financial liabilities (incl. liabilities from leases) 74.3 0.0 0.0 0.0 74.3 74.3</t>
        </is>
      </c>
      <c r="L755" s="2" t="inlineStr">
        <is>
          <t>pend</t>
        </is>
      </c>
      <c r="M755" s="2" t="n"/>
      <c r="N755" s="3" t="inlineStr">
        <is>
          <t>conflict: S2·p59 12.3 vs S3·p57 74.3; primary per fact agent: S3 p57 - S3's maturity table at 31 Dec 2025 is the later audited measurement of amounts due in 2026; S2's 12.3 is the one-to-two-year band at 31 Dec 2024.</t>
        </is>
      </c>
      <c r="O755" s="3" t="inlineStr">
        <is>
          <t>https://vanillabonds.com/dossier-data/pdf/katjes/katjes-2025-annual-report.pdf#page=57</t>
        </is>
      </c>
      <c r="P755" s="3" t="inlineStr">
        <is>
          <t>https://vanillabonds.com/dossier.html?c=katjes&amp;viewer=1&amp;item=F754</t>
        </is>
      </c>
      <c r="Q755" s="2" t="inlineStr">
        <is>
          <t>yes</t>
        </is>
      </c>
    </row>
    <row r="756">
      <c r="A756" s="2" t="inlineStr">
        <is>
          <t>F755</t>
        </is>
      </c>
      <c r="B756" s="2" t="inlineStr">
        <is>
          <t>plan</t>
        </is>
      </c>
      <c r="C756" s="2" t="inlineStr">
        <is>
          <t>debt_maturing</t>
        </is>
      </c>
      <c r="D756" s="2" t="inlineStr">
        <is>
          <t>Debt principal falling due in the period</t>
        </is>
      </c>
      <c r="E756" s="2" t="inlineStr">
        <is>
          <t>FY2027E</t>
        </is>
      </c>
      <c r="F756" s="2" t="n">
        <v>30.7</v>
      </c>
      <c r="G756" s="2" t="inlineStr">
        <is>
          <t>EUR m</t>
        </is>
      </c>
      <c r="H756" s="3" t="inlineStr">
        <is>
          <t>Non-current financial liabilities due in one to two years at 31 Dec 2025 incl. lease liabilities 15.8 (maturity table, partly undiscounted)</t>
        </is>
      </c>
      <c r="I756" s="2" t="inlineStr">
        <is>
          <t>S3</t>
        </is>
      </c>
      <c r="J756" s="2" t="n">
        <v>57</v>
      </c>
      <c r="K756" s="3" t="inlineStr">
        <is>
          <t>As of 31 Dec 2025 Non-current financial liabilities (incl. liabilities from leases) 0.0 30.7 232.6 15.2 278.5 278.5</t>
        </is>
      </c>
      <c r="L756" s="2" t="inlineStr">
        <is>
          <t>ok</t>
        </is>
      </c>
      <c r="M756" s="2" t="inlineStr">
        <is>
          <t>demo reviewer</t>
        </is>
      </c>
      <c r="N756" s="2" t="n"/>
      <c r="O756" s="3" t="inlineStr">
        <is>
          <t>https://vanillabonds.com/dossier-data/pdf/katjes/katjes-2025-annual-report.pdf#page=57</t>
        </is>
      </c>
      <c r="P756" s="3" t="inlineStr">
        <is>
          <t>https://vanillabonds.com/dossier.html?c=katjes&amp;viewer=1&amp;item=F755</t>
        </is>
      </c>
      <c r="Q756" s="2" t="inlineStr"/>
    </row>
    <row r="757">
      <c r="A757" s="2" t="inlineStr">
        <is>
          <t>F756</t>
        </is>
      </c>
      <c r="B757" s="2" t="inlineStr">
        <is>
          <t>plan</t>
        </is>
      </c>
      <c r="C757" s="2" t="inlineStr">
        <is>
          <t>debt_maturing</t>
        </is>
      </c>
      <c r="D757" s="2" t="inlineStr">
        <is>
          <t>Debt principal falling due in the period</t>
        </is>
      </c>
      <c r="E757" s="2" t="inlineStr">
        <is>
          <t>FY2028E</t>
        </is>
      </c>
      <c r="F757" s="2" t="n">
        <v>185</v>
      </c>
      <c r="G757" s="2" t="inlineStr">
        <is>
          <t>EUR m</t>
        </is>
      </c>
      <c r="H757" s="3" t="inlineStr">
        <is>
          <t>2023/2028 corporate bond outstanding 185.0 at 31 Dec 2025 due 2028 (increased to 200.0 in March 2026); maturity table shows 232.6 of non-current financial liabilities incl. leases due in two to five years</t>
        </is>
      </c>
      <c r="I757" s="2" t="inlineStr">
        <is>
          <t>S3</t>
        </is>
      </c>
      <c r="J757" s="2" t="n">
        <v>57</v>
      </c>
      <c r="K757" s="3" t="inlineStr">
        <is>
          <t>As of 31 Dec 2025 Non-current financial liabilities (incl. liabilities from leases) 0.0 30.7 232.6 15.2 278.5 278.5</t>
        </is>
      </c>
      <c r="L757" s="2" t="inlineStr">
        <is>
          <t>ok</t>
        </is>
      </c>
      <c r="M757" s="2" t="inlineStr">
        <is>
          <t>demo reviewer</t>
        </is>
      </c>
      <c r="N757" s="2" t="inlineStr">
        <is>
          <t>conflict: S3·p57 185.0 vs S13·p26 115.0</t>
        </is>
      </c>
      <c r="O757" s="3" t="inlineStr">
        <is>
          <t>https://vanillabonds.com/dossier-data/pdf/katjes/katjes-2025-annual-report.pdf#page=57</t>
        </is>
      </c>
      <c r="P757" s="3" t="inlineStr">
        <is>
          <t>https://vanillabonds.com/dossier.html?c=katjes&amp;viewer=1&amp;item=F756</t>
        </is>
      </c>
      <c r="Q757" s="2" t="inlineStr">
        <is>
          <t>yes</t>
        </is>
      </c>
    </row>
    <row r="758">
      <c r="A758" s="2" t="inlineStr">
        <is>
          <t>F757</t>
        </is>
      </c>
      <c r="B758" s="2" t="inlineStr">
        <is>
          <t>plan</t>
        </is>
      </c>
      <c r="C758" s="2" t="inlineStr">
        <is>
          <t>bank_line</t>
        </is>
      </c>
      <c r="D758" s="3" t="inlineStr">
        <is>
          <t>Bank facility: lender, amount, maturity, renewal history</t>
        </is>
      </c>
      <c r="E758" s="2" t="n"/>
      <c r="F758" s="2" t="n">
        <v>40</v>
      </c>
      <c r="G758" s="2" t="n"/>
      <c r="H758" s="3" t="inlineStr">
        <is>
          <t>Revolving line of up to kEUR 40,000 at 6.65%, drawn EUR 16.3m at 31 Dec 2025 (2024: undrawn); lender and maturity not named.</t>
        </is>
      </c>
      <c r="I758" s="2" t="inlineStr">
        <is>
          <t>S3</t>
        </is>
      </c>
      <c r="J758" s="2" t="n">
        <v>63</v>
      </c>
      <c r="K758" s="3" t="inlineStr">
        <is>
          <t>Revolving line up kEUR 40.000 6.65 16.3 0.0</t>
        </is>
      </c>
      <c r="L758" s="2" t="inlineStr">
        <is>
          <t>ok</t>
        </is>
      </c>
      <c r="M758" s="2" t="inlineStr">
        <is>
          <t>demo reviewer</t>
        </is>
      </c>
      <c r="N758" s="2" t="n"/>
      <c r="O758" s="3" t="inlineStr">
        <is>
          <t>https://vanillabonds.com/dossier-data/pdf/katjes/katjes-2025-annual-report.pdf#page=63</t>
        </is>
      </c>
      <c r="P758" s="3" t="inlineStr">
        <is>
          <t>https://vanillabonds.com/dossier.html?c=katjes&amp;viewer=1&amp;item=F757</t>
        </is>
      </c>
      <c r="Q758" s="2" t="inlineStr"/>
    </row>
    <row r="759">
      <c r="A759" s="2" t="inlineStr">
        <is>
          <t>F758</t>
        </is>
      </c>
      <c r="B759" s="2" t="inlineStr">
        <is>
          <t>governance</t>
        </is>
      </c>
      <c r="C759" s="2" t="inlineStr">
        <is>
          <t>group_entity</t>
        </is>
      </c>
      <c r="D759" s="3" t="inlineStr">
        <is>
          <t>Group entity: entity; jurisdiction; revenue; ebitda; assets; debt; guarantor (yes / no)</t>
        </is>
      </c>
      <c r="E759" s="2" t="n"/>
      <c r="F759" s="2" t="n">
        <v>200</v>
      </c>
      <c r="G759" s="2" t="n"/>
      <c r="H759" s="3" t="inlineStr">
        <is>
          <t>entity: Willy Bogner GmbH, München (Bogner Group, 60% since 1 Sep 2025, fully consolidated); jurisdiction: DE; revenue: approximately 200 for FY2025 (profitable); debt: financial liabilities 98.9 at acquisition</t>
        </is>
      </c>
      <c r="I759" s="2" t="inlineStr">
        <is>
          <t>S3</t>
        </is>
      </c>
      <c r="J759" s="2" t="n">
        <v>53</v>
      </c>
      <c r="K759" s="3" t="inlineStr">
        <is>
          <t>In the financial year 2025, the Bogner Group generated revenue of approximately EUR 200 million and was profitable.</t>
        </is>
      </c>
      <c r="L759" s="2" t="inlineStr">
        <is>
          <t>ok</t>
        </is>
      </c>
      <c r="M759" s="2" t="inlineStr">
        <is>
          <t>demo reviewer</t>
        </is>
      </c>
      <c r="N759" s="2" t="n"/>
      <c r="O759" s="3" t="inlineStr">
        <is>
          <t>https://vanillabonds.com/dossier-data/pdf/katjes/katjes-2025-annual-report.pdf#page=53</t>
        </is>
      </c>
      <c r="P759" s="3" t="inlineStr">
        <is>
          <t>https://vanillabonds.com/dossier.html?c=katjes&amp;viewer=1&amp;item=F758</t>
        </is>
      </c>
      <c r="Q759" s="2" t="inlineStr"/>
    </row>
    <row r="760">
      <c r="A760" s="2" t="inlineStr">
        <is>
          <t>F759</t>
        </is>
      </c>
      <c r="B760" s="2" t="inlineStr">
        <is>
          <t>governance</t>
        </is>
      </c>
      <c r="C760" s="2" t="inlineStr">
        <is>
          <t>group_entity</t>
        </is>
      </c>
      <c r="D760" s="3" t="inlineStr">
        <is>
          <t>Group entity: entity; jurisdiction; revenue; ebitda; assets; debt; guarantor (yes / no)</t>
        </is>
      </c>
      <c r="E760" s="2" t="n"/>
      <c r="F760" s="2" t="n"/>
      <c r="G760" s="2" t="n"/>
      <c r="H760" s="3" t="inlineStr">
        <is>
          <t>entity: Katjes Quiet Luxury GmbH, Düsseldorf (acquisition vehicle for Bogner, new in 2025); jurisdiction: DE; share 100%</t>
        </is>
      </c>
      <c r="I760" s="2" t="inlineStr">
        <is>
          <t>S3</t>
        </is>
      </c>
      <c r="J760" s="2" t="n">
        <v>83</v>
      </c>
      <c r="K760" s="3" t="inlineStr">
        <is>
          <t>Katjes Quiet Luxury GmbH, Düsseldorf 100 A</t>
        </is>
      </c>
      <c r="L760" s="2" t="inlineStr">
        <is>
          <t>ok</t>
        </is>
      </c>
      <c r="M760" s="2" t="inlineStr">
        <is>
          <t>demo reviewer</t>
        </is>
      </c>
      <c r="N760" s="2" t="n"/>
      <c r="O760" s="3" t="inlineStr">
        <is>
          <t>https://vanillabonds.com/dossier-data/pdf/katjes/katjes-2025-annual-report.pdf#page=83</t>
        </is>
      </c>
      <c r="P760" s="3" t="inlineStr">
        <is>
          <t>https://vanillabonds.com/dossier.html?c=katjes&amp;viewer=1&amp;item=F759</t>
        </is>
      </c>
      <c r="Q760" s="2" t="inlineStr"/>
    </row>
    <row r="761">
      <c r="A761" s="2" t="inlineStr">
        <is>
          <t>F760</t>
        </is>
      </c>
      <c r="B761" s="2" t="inlineStr">
        <is>
          <t>governance</t>
        </is>
      </c>
      <c r="C761" s="2" t="inlineStr">
        <is>
          <t>group_entity</t>
        </is>
      </c>
      <c r="D761" s="3" t="inlineStr">
        <is>
          <t>Group entity: entity; jurisdiction; revenue; ebitda; assets; debt; guarantor (yes / no)</t>
        </is>
      </c>
      <c r="E761" s="2" t="n"/>
      <c r="F761" s="2" t="n"/>
      <c r="G761" s="2" t="n"/>
      <c r="H761" s="3" t="inlineStr">
        <is>
          <t>entity: Piasten GmbH, Forchheim (with Treets GmbH and CCV-Vertriebs-GmbH); jurisdiction: DE; share 100%, fully consolidated; uses Section 264 (3) HGB exemption</t>
        </is>
      </c>
      <c r="I761" s="2" t="inlineStr">
        <is>
          <t>S3</t>
        </is>
      </c>
      <c r="J761" s="2" t="n">
        <v>83</v>
      </c>
      <c r="K761" s="2" t="inlineStr">
        <is>
          <t>Piasten GmbH, Forchheim 100 A</t>
        </is>
      </c>
      <c r="L761" s="2" t="inlineStr">
        <is>
          <t>ok</t>
        </is>
      </c>
      <c r="M761" s="2" t="inlineStr">
        <is>
          <t>demo reviewer</t>
        </is>
      </c>
      <c r="N761" s="2" t="n"/>
      <c r="O761" s="3" t="inlineStr">
        <is>
          <t>https://vanillabonds.com/dossier-data/pdf/katjes/katjes-2025-annual-report.pdf#page=83</t>
        </is>
      </c>
      <c r="P761" s="3" t="inlineStr">
        <is>
          <t>https://vanillabonds.com/dossier.html?c=katjes&amp;viewer=1&amp;item=F760</t>
        </is>
      </c>
      <c r="Q761" s="2" t="inlineStr"/>
    </row>
    <row r="762">
      <c r="A762" s="2" t="inlineStr">
        <is>
          <t>F761</t>
        </is>
      </c>
      <c r="B762" s="2" t="inlineStr">
        <is>
          <t>governance</t>
        </is>
      </c>
      <c r="C762" s="2" t="inlineStr">
        <is>
          <t>group_entity</t>
        </is>
      </c>
      <c r="D762" s="3" t="inlineStr">
        <is>
          <t>Group entity: entity; jurisdiction; revenue; ebitda; assets; debt; guarantor (yes / no)</t>
        </is>
      </c>
      <c r="E762" s="2" t="n"/>
      <c r="F762" s="2" t="n"/>
      <c r="G762" s="2" t="n"/>
      <c r="H762" s="3" t="inlineStr">
        <is>
          <t>entity: Dallmann's Pharma Candy GmbH, Hofheim am Taunus; jurisdiction: DE; share 100%, fully consolidated</t>
        </is>
      </c>
      <c r="I762" s="2" t="inlineStr">
        <is>
          <t>S3</t>
        </is>
      </c>
      <c r="J762" s="2" t="n">
        <v>83</v>
      </c>
      <c r="K762" s="3" t="inlineStr">
        <is>
          <t>Dallmann’s Pharma Candy GmbH, Hofheim am Taunus 100 A</t>
        </is>
      </c>
      <c r="L762" s="2" t="inlineStr">
        <is>
          <t>ok</t>
        </is>
      </c>
      <c r="M762" s="2" t="inlineStr">
        <is>
          <t>demo reviewer</t>
        </is>
      </c>
      <c r="N762" s="2" t="n"/>
      <c r="O762" s="3" t="inlineStr">
        <is>
          <t>https://vanillabonds.com/dossier-data/pdf/katjes/katjes-2025-annual-report.pdf#page=83</t>
        </is>
      </c>
      <c r="P762" s="3" t="inlineStr">
        <is>
          <t>https://vanillabonds.com/dossier.html?c=katjes&amp;viewer=1&amp;item=F761</t>
        </is>
      </c>
      <c r="Q762" s="2" t="inlineStr"/>
    </row>
    <row r="763">
      <c r="A763" s="2" t="inlineStr">
        <is>
          <t>F762</t>
        </is>
      </c>
      <c r="B763" s="2" t="inlineStr">
        <is>
          <t>governance</t>
        </is>
      </c>
      <c r="C763" s="2" t="inlineStr">
        <is>
          <t>group_entity</t>
        </is>
      </c>
      <c r="D763" s="3" t="inlineStr">
        <is>
          <t>Group entity: entity; jurisdiction; revenue; ebitda; assets; debt; guarantor (yes / no)</t>
        </is>
      </c>
      <c r="E763" s="2" t="n"/>
      <c r="F763" s="2" t="n"/>
      <c r="G763" s="2" t="n"/>
      <c r="H763" s="3" t="inlineStr">
        <is>
          <t>entity: Bübchen Skincare GmbH (former Dallmann's Pharma GmbH), Hofheim am Taunus, with Bübchen-Werk Ewald Hermes Pharmazeutische Fabrik GmbH, Soest; jurisdiction: DE; share 100%</t>
        </is>
      </c>
      <c r="I763" s="2" t="inlineStr">
        <is>
          <t>S3</t>
        </is>
      </c>
      <c r="J763" s="2" t="n">
        <v>83</v>
      </c>
      <c r="K763" s="3" t="inlineStr">
        <is>
          <t>Bübchen Skincare GmbH (former: Dallmann’s Pharma GmbH), Hofheim am Taunus 100 A</t>
        </is>
      </c>
      <c r="L763" s="2" t="inlineStr">
        <is>
          <t>ok</t>
        </is>
      </c>
      <c r="M763" s="2" t="inlineStr">
        <is>
          <t>demo reviewer</t>
        </is>
      </c>
      <c r="N763" s="2" t="n"/>
      <c r="O763" s="3" t="inlineStr">
        <is>
          <t>https://vanillabonds.com/dossier-data/pdf/katjes/katjes-2025-annual-report.pdf#page=83</t>
        </is>
      </c>
      <c r="P763" s="3" t="inlineStr">
        <is>
          <t>https://vanillabonds.com/dossier.html?c=katjes&amp;viewer=1&amp;item=F762</t>
        </is>
      </c>
      <c r="Q763" s="2" t="inlineStr"/>
    </row>
    <row r="764">
      <c r="A764" s="2" t="inlineStr">
        <is>
          <t>F763</t>
        </is>
      </c>
      <c r="B764" s="2" t="inlineStr">
        <is>
          <t>governance</t>
        </is>
      </c>
      <c r="C764" s="2" t="inlineStr">
        <is>
          <t>group_entity</t>
        </is>
      </c>
      <c r="D764" s="3" t="inlineStr">
        <is>
          <t>Group entity: entity; jurisdiction; revenue; ebitda; assets; debt; guarantor (yes / no)</t>
        </is>
      </c>
      <c r="E764" s="2" t="n"/>
      <c r="F764" s="2" t="n"/>
      <c r="G764" s="2" t="n"/>
      <c r="H764" s="3" t="inlineStr">
        <is>
          <t>entity: Bübchen Bodycare GmbH, Düsseldorf (oral care competence centre, site Viersen; with Theramed, Smile Cosmetics, Antica Erboristeria, Laboratoires Vademecum, Licor del Polo, Barnängen GmbHs); jurisdiction: DE; share 100%</t>
        </is>
      </c>
      <c r="I764" s="2" t="inlineStr">
        <is>
          <t>S3</t>
        </is>
      </c>
      <c r="J764" s="2" t="n">
        <v>83</v>
      </c>
      <c r="K764" s="2" t="inlineStr">
        <is>
          <t>Bübchen Bodycare GmbH, Düsseldorf 100 A</t>
        </is>
      </c>
      <c r="L764" s="2" t="inlineStr">
        <is>
          <t>ok</t>
        </is>
      </c>
      <c r="M764" s="2" t="inlineStr">
        <is>
          <t>demo reviewer</t>
        </is>
      </c>
      <c r="N764" s="2" t="n"/>
      <c r="O764" s="3" t="inlineStr">
        <is>
          <t>https://vanillabonds.com/dossier-data/pdf/katjes/katjes-2025-annual-report.pdf#page=83</t>
        </is>
      </c>
      <c r="P764" s="3" t="inlineStr">
        <is>
          <t>https://vanillabonds.com/dossier.html?c=katjes&amp;viewer=1&amp;item=F763</t>
        </is>
      </c>
      <c r="Q764" s="2" t="inlineStr"/>
    </row>
    <row r="765">
      <c r="A765" s="2" t="inlineStr">
        <is>
          <t>F764</t>
        </is>
      </c>
      <c r="B765" s="2" t="inlineStr">
        <is>
          <t>governance</t>
        </is>
      </c>
      <c r="C765" s="2" t="inlineStr">
        <is>
          <t>group_entity</t>
        </is>
      </c>
      <c r="D765" s="3" t="inlineStr">
        <is>
          <t>Group entity: entity; jurisdiction; revenue; ebitda; assets; debt; guarantor (yes / no)</t>
        </is>
      </c>
      <c r="E765" s="2" t="n"/>
      <c r="F765" s="2" t="n"/>
      <c r="G765" s="2" t="n"/>
      <c r="H765" s="3" t="inlineStr">
        <is>
          <t>entity: Bogner GCA IP Management GmbH and Bogner GCA IP GmbH &amp; Co. KG, Grünwald (brand IP holding entities); jurisdiction: DE; share 60%</t>
        </is>
      </c>
      <c r="I765" s="2" t="inlineStr">
        <is>
          <t>S3</t>
        </is>
      </c>
      <c r="J765" s="2" t="n">
        <v>83</v>
      </c>
      <c r="K765" s="3" t="inlineStr">
        <is>
          <t>Bogner GCA IP GmbH &amp; Co. KG, Grünwald 60 A</t>
        </is>
      </c>
      <c r="L765" s="2" t="inlineStr">
        <is>
          <t>ok</t>
        </is>
      </c>
      <c r="M765" s="2" t="inlineStr">
        <is>
          <t>demo reviewer</t>
        </is>
      </c>
      <c r="N765" s="2" t="n"/>
      <c r="O765" s="3" t="inlineStr">
        <is>
          <t>https://vanillabonds.com/dossier-data/pdf/katjes/katjes-2025-annual-report.pdf#page=83</t>
        </is>
      </c>
      <c r="P765" s="3" t="inlineStr">
        <is>
          <t>https://vanillabonds.com/dossier.html?c=katjes&amp;viewer=1&amp;item=F764</t>
        </is>
      </c>
      <c r="Q765" s="2" t="inlineStr"/>
    </row>
    <row r="766">
      <c r="A766" s="2" t="inlineStr">
        <is>
          <t>F765</t>
        </is>
      </c>
      <c r="B766" s="2" t="inlineStr">
        <is>
          <t>governance</t>
        </is>
      </c>
      <c r="C766" s="2" t="inlineStr">
        <is>
          <t>group_entity</t>
        </is>
      </c>
      <c r="D766" s="3" t="inlineStr">
        <is>
          <t>Group entity: entity; jurisdiction; revenue; ebitda; assets; debt; guarantor (yes / no)</t>
        </is>
      </c>
      <c r="E766" s="2" t="n"/>
      <c r="F766" s="2" t="n"/>
      <c r="G766" s="2" t="n"/>
      <c r="H766" s="3" t="inlineStr">
        <is>
          <t>entity: Shirin Beauty GmbH, Düsseldorf (joint venture IFRS 11); jurisdiction: DE; share 50%; share of profit 0.8 in 2025</t>
        </is>
      </c>
      <c r="I766" s="2" t="inlineStr">
        <is>
          <t>S3</t>
        </is>
      </c>
      <c r="J766" s="2" t="n">
        <v>83</v>
      </c>
      <c r="K766" s="2" t="inlineStr">
        <is>
          <t>Shirin Beauty GmbH, Düsseldorf 50 C</t>
        </is>
      </c>
      <c r="L766" s="2" t="inlineStr">
        <is>
          <t>ok</t>
        </is>
      </c>
      <c r="M766" s="2" t="inlineStr">
        <is>
          <t>demo reviewer</t>
        </is>
      </c>
      <c r="N766" s="2" t="n"/>
      <c r="O766" s="3" t="inlineStr">
        <is>
          <t>https://vanillabonds.com/dossier-data/pdf/katjes/katjes-2025-annual-report.pdf#page=83</t>
        </is>
      </c>
      <c r="P766" s="3" t="inlineStr">
        <is>
          <t>https://vanillabonds.com/dossier.html?c=katjes&amp;viewer=1&amp;item=F765</t>
        </is>
      </c>
      <c r="Q766" s="2" t="inlineStr"/>
    </row>
    <row r="767">
      <c r="A767" s="2" t="inlineStr">
        <is>
          <t>F766</t>
        </is>
      </c>
      <c r="B767" s="2" t="inlineStr">
        <is>
          <t>governance</t>
        </is>
      </c>
      <c r="C767" s="2" t="inlineStr">
        <is>
          <t>group_entity</t>
        </is>
      </c>
      <c r="D767" s="3" t="inlineStr">
        <is>
          <t>Group entity: entity; jurisdiction; revenue; ebitda; assets; debt; guarantor (yes / no)</t>
        </is>
      </c>
      <c r="E767" s="2" t="n"/>
      <c r="F767" s="2" t="n"/>
      <c r="G767" s="2" t="n"/>
      <c r="H767" s="3" t="inlineStr">
        <is>
          <t>entity: Sperlari S.r.l., Cremona (incl. brands Sperlari, Saila, Dietorelle); jurisdiction: IT; share 100%, fully consolidated</t>
        </is>
      </c>
      <c r="I767" s="2" t="inlineStr">
        <is>
          <t>S3</t>
        </is>
      </c>
      <c r="J767" s="2" t="n">
        <v>84</v>
      </c>
      <c r="K767" s="2" t="inlineStr">
        <is>
          <t>Sperlari S.r.l., Cremona, Italy 100 A</t>
        </is>
      </c>
      <c r="L767" s="2" t="inlineStr">
        <is>
          <t>ok</t>
        </is>
      </c>
      <c r="M767" s="2" t="inlineStr">
        <is>
          <t>demo reviewer</t>
        </is>
      </c>
      <c r="N767" s="2" t="n"/>
      <c r="O767" s="3" t="inlineStr">
        <is>
          <t>https://vanillabonds.com/dossier-data/pdf/katjes/katjes-2025-annual-report.pdf#page=84</t>
        </is>
      </c>
      <c r="P767" s="3" t="inlineStr">
        <is>
          <t>https://vanillabonds.com/dossier.html?c=katjes&amp;viewer=1&amp;item=F766</t>
        </is>
      </c>
      <c r="Q767" s="2" t="inlineStr"/>
    </row>
    <row r="768">
      <c r="A768" s="2" t="inlineStr">
        <is>
          <t>F767</t>
        </is>
      </c>
      <c r="B768" s="2" t="inlineStr">
        <is>
          <t>governance</t>
        </is>
      </c>
      <c r="C768" s="2" t="inlineStr">
        <is>
          <t>group_entity</t>
        </is>
      </c>
      <c r="D768" s="3" t="inlineStr">
        <is>
          <t>Group entity: entity; jurisdiction; revenue; ebitda; assets; debt; guarantor (yes / no)</t>
        </is>
      </c>
      <c r="E768" s="2" t="n"/>
      <c r="F768" s="2" t="n"/>
      <c r="G768" s="2" t="n"/>
      <c r="H768" s="3" t="inlineStr">
        <is>
          <t>entity: Dulcioliva S.r.l., Borgo San Dalmazzo; jurisdiction: IT; share 75% with option on the remaining 25%, fully consolidated</t>
        </is>
      </c>
      <c r="I768" s="2" t="inlineStr">
        <is>
          <t>S3</t>
        </is>
      </c>
      <c r="J768" s="2" t="n">
        <v>84</v>
      </c>
      <c r="K768" s="3" t="inlineStr">
        <is>
          <t>Dulcioliva S.r.l., Borgo San Dalmazzo, Italy 75 A</t>
        </is>
      </c>
      <c r="L768" s="2" t="inlineStr">
        <is>
          <t>ok</t>
        </is>
      </c>
      <c r="M768" s="2" t="inlineStr">
        <is>
          <t>demo reviewer</t>
        </is>
      </c>
      <c r="N768" s="2" t="n"/>
      <c r="O768" s="3" t="inlineStr">
        <is>
          <t>https://vanillabonds.com/dossier-data/pdf/katjes/katjes-2025-annual-report.pdf#page=84</t>
        </is>
      </c>
      <c r="P768" s="3" t="inlineStr">
        <is>
          <t>https://vanillabonds.com/dossier.html?c=katjes&amp;viewer=1&amp;item=F767</t>
        </is>
      </c>
      <c r="Q768" s="2" t="inlineStr"/>
    </row>
    <row r="769">
      <c r="A769" s="2" t="inlineStr">
        <is>
          <t>F768</t>
        </is>
      </c>
      <c r="B769" s="2" t="inlineStr">
        <is>
          <t>governance</t>
        </is>
      </c>
      <c r="C769" s="2" t="inlineStr">
        <is>
          <t>group_entity</t>
        </is>
      </c>
      <c r="D769" s="3" t="inlineStr">
        <is>
          <t>Group entity: entity; jurisdiction; revenue; ebitda; assets; debt; guarantor (yes / no)</t>
        </is>
      </c>
      <c r="E769" s="2" t="n"/>
      <c r="F769" s="2" t="n"/>
      <c r="G769" s="2" t="n"/>
      <c r="H769" s="3" t="inlineStr">
        <is>
          <t>entity: Paluani 1921 S.r.l., Verona; jurisdiction: IT; share 100%, fully consolidated</t>
        </is>
      </c>
      <c r="I769" s="2" t="inlineStr">
        <is>
          <t>S3</t>
        </is>
      </c>
      <c r="J769" s="2" t="n">
        <v>84</v>
      </c>
      <c r="K769" s="2" t="inlineStr">
        <is>
          <t>Paluani 1921 S.r.l., Verona, Italy 100 A</t>
        </is>
      </c>
      <c r="L769" s="2" t="inlineStr">
        <is>
          <t>ok</t>
        </is>
      </c>
      <c r="M769" s="2" t="inlineStr">
        <is>
          <t>demo reviewer</t>
        </is>
      </c>
      <c r="N769" s="2" t="n"/>
      <c r="O769" s="3" t="inlineStr">
        <is>
          <t>https://vanillabonds.com/dossier-data/pdf/katjes/katjes-2025-annual-report.pdf#page=84</t>
        </is>
      </c>
      <c r="P769" s="3" t="inlineStr">
        <is>
          <t>https://vanillabonds.com/dossier.html?c=katjes&amp;viewer=1&amp;item=F768</t>
        </is>
      </c>
      <c r="Q769" s="2" t="inlineStr"/>
    </row>
    <row r="770">
      <c r="A770" s="2" t="inlineStr">
        <is>
          <t>F769</t>
        </is>
      </c>
      <c r="B770" s="2" t="inlineStr">
        <is>
          <t>governance</t>
        </is>
      </c>
      <c r="C770" s="2" t="inlineStr">
        <is>
          <t>group_entity</t>
        </is>
      </c>
      <c r="D770" s="3" t="inlineStr">
        <is>
          <t>Group entity: entity; jurisdiction; revenue; ebitda; assets; debt; guarantor (yes / no)</t>
        </is>
      </c>
      <c r="E770" s="2" t="n"/>
      <c r="F770" s="2" t="n"/>
      <c r="G770" s="2" t="n"/>
      <c r="H770" s="3" t="inlineStr">
        <is>
          <t>entity: Candy Kittens Ltd., London (with Longaim Ltd 88% and Tuckshop Ltd 75%); jurisdiction: UK; share 88.0%, fully consolidated</t>
        </is>
      </c>
      <c r="I770" s="2" t="inlineStr">
        <is>
          <t>S3</t>
        </is>
      </c>
      <c r="J770" s="2" t="n">
        <v>84</v>
      </c>
      <c r="K770" s="2" t="inlineStr">
        <is>
          <t>Candy Kittens Ltd., London, UK 88.0 A</t>
        </is>
      </c>
      <c r="L770" s="2" t="inlineStr">
        <is>
          <t>ok</t>
        </is>
      </c>
      <c r="M770" s="2" t="inlineStr">
        <is>
          <t>demo reviewer</t>
        </is>
      </c>
      <c r="N770" s="2" t="n"/>
      <c r="O770" s="3" t="inlineStr">
        <is>
          <t>https://vanillabonds.com/dossier-data/pdf/katjes/katjes-2025-annual-report.pdf#page=84</t>
        </is>
      </c>
      <c r="P770" s="3" t="inlineStr">
        <is>
          <t>https://vanillabonds.com/dossier.html?c=katjes&amp;viewer=1&amp;item=F769</t>
        </is>
      </c>
      <c r="Q770" s="2" t="inlineStr"/>
    </row>
    <row r="771">
      <c r="A771" s="2" t="inlineStr">
        <is>
          <t>F770</t>
        </is>
      </c>
      <c r="B771" s="2" t="inlineStr">
        <is>
          <t>governance</t>
        </is>
      </c>
      <c r="C771" s="2" t="inlineStr">
        <is>
          <t>group_entity</t>
        </is>
      </c>
      <c r="D771" s="3" t="inlineStr">
        <is>
          <t>Group entity: entity; jurisdiction; revenue; ebitda; assets; debt; guarantor (yes / no)</t>
        </is>
      </c>
      <c r="E771" s="2" t="n"/>
      <c r="F771" s="2" t="n"/>
      <c r="G771" s="2" t="n"/>
      <c r="H771" s="3" t="inlineStr">
        <is>
          <t>entity: Harlekijntjes B.V., Nijkerk (with Heel Veel Snoepjes B.V.); jurisdiction: NL; share 100%, fully consolidated</t>
        </is>
      </c>
      <c r="I771" s="2" t="inlineStr">
        <is>
          <t>S3</t>
        </is>
      </c>
      <c r="J771" s="2" t="n">
        <v>84</v>
      </c>
      <c r="K771" s="3" t="inlineStr">
        <is>
          <t>Harlekĳntjes B.V., Nĳkerk, Netherlands 100 A</t>
        </is>
      </c>
      <c r="L771" s="2" t="inlineStr">
        <is>
          <t>ok</t>
        </is>
      </c>
      <c r="M771" s="2" t="inlineStr">
        <is>
          <t>demo reviewer</t>
        </is>
      </c>
      <c r="N771" s="2" t="n"/>
      <c r="O771" s="3" t="inlineStr">
        <is>
          <t>https://vanillabonds.com/dossier-data/pdf/katjes/katjes-2025-annual-report.pdf#page=84</t>
        </is>
      </c>
      <c r="P771" s="3" t="inlineStr">
        <is>
          <t>https://vanillabonds.com/dossier.html?c=katjes&amp;viewer=1&amp;item=F770</t>
        </is>
      </c>
      <c r="Q771" s="2" t="inlineStr"/>
    </row>
    <row r="772">
      <c r="A772" s="2" t="inlineStr">
        <is>
          <t>F771</t>
        </is>
      </c>
      <c r="B772" s="2" t="inlineStr">
        <is>
          <t>governance</t>
        </is>
      </c>
      <c r="C772" s="2" t="inlineStr">
        <is>
          <t>group_entity</t>
        </is>
      </c>
      <c r="D772" s="3" t="inlineStr">
        <is>
          <t>Group entity: entity; jurisdiction; revenue; ebitda; assets; debt; guarantor (yes / no)</t>
        </is>
      </c>
      <c r="E772" s="2" t="n"/>
      <c r="F772" s="2" t="n"/>
      <c r="G772" s="2" t="n"/>
      <c r="H772" s="3" t="inlineStr">
        <is>
          <t>entity: Bogner Sport AG, Zürich; jurisdiction: CH; share 60%, fully consolidated since 2025</t>
        </is>
      </c>
      <c r="I772" s="2" t="inlineStr">
        <is>
          <t>S3</t>
        </is>
      </c>
      <c r="J772" s="2" t="n">
        <v>84</v>
      </c>
      <c r="K772" s="3" t="inlineStr">
        <is>
          <t>Bogner Sport AG, Zürich, Switzerland 60 A</t>
        </is>
      </c>
      <c r="L772" s="2" t="inlineStr">
        <is>
          <t>ok</t>
        </is>
      </c>
      <c r="M772" s="2" t="inlineStr">
        <is>
          <t>demo reviewer</t>
        </is>
      </c>
      <c r="N772" s="2" t="n"/>
      <c r="O772" s="3" t="inlineStr">
        <is>
          <t>https://vanillabonds.com/dossier-data/pdf/katjes/katjes-2025-annual-report.pdf#page=84</t>
        </is>
      </c>
      <c r="P772" s="3" t="inlineStr">
        <is>
          <t>https://vanillabonds.com/dossier.html?c=katjes&amp;viewer=1&amp;item=F771</t>
        </is>
      </c>
      <c r="Q772" s="2" t="inlineStr"/>
    </row>
    <row r="773">
      <c r="A773" s="2" t="inlineStr">
        <is>
          <t>F772</t>
        </is>
      </c>
      <c r="B773" s="2" t="inlineStr">
        <is>
          <t>governance</t>
        </is>
      </c>
      <c r="C773" s="2" t="inlineStr">
        <is>
          <t>group_entity</t>
        </is>
      </c>
      <c r="D773" s="3" t="inlineStr">
        <is>
          <t>Group entity: entity; jurisdiction; revenue; ebitda; assets; debt; guarantor (yes / no)</t>
        </is>
      </c>
      <c r="E773" s="2" t="n"/>
      <c r="F773" s="2" t="n"/>
      <c r="G773" s="2" t="n"/>
      <c r="H773" s="3" t="inlineStr">
        <is>
          <t>entity: Bogner of America Inc., New York City; jurisdiction: US; share 60%, fully consolidated since 2025 (plus Bogner du Canada LLC, Cowansville, 60%)</t>
        </is>
      </c>
      <c r="I773" s="2" t="inlineStr">
        <is>
          <t>S3</t>
        </is>
      </c>
      <c r="J773" s="2" t="n">
        <v>84</v>
      </c>
      <c r="K773" s="3" t="inlineStr">
        <is>
          <t>Bogner of America Inc., New York City, USA 60 A</t>
        </is>
      </c>
      <c r="L773" s="2" t="inlineStr">
        <is>
          <t>ok</t>
        </is>
      </c>
      <c r="M773" s="2" t="inlineStr">
        <is>
          <t>demo reviewer</t>
        </is>
      </c>
      <c r="N773" s="2" t="n"/>
      <c r="O773" s="3" t="inlineStr">
        <is>
          <t>https://vanillabonds.com/dossier-data/pdf/katjes/katjes-2025-annual-report.pdf#page=84</t>
        </is>
      </c>
      <c r="P773" s="3" t="inlineStr">
        <is>
          <t>https://vanillabonds.com/dossier.html?c=katjes&amp;viewer=1&amp;item=F772</t>
        </is>
      </c>
      <c r="Q773" s="2" t="inlineStr"/>
    </row>
    <row r="774">
      <c r="A774" s="2" t="inlineStr">
        <is>
          <t>F773</t>
        </is>
      </c>
      <c r="B774" s="2" t="inlineStr">
        <is>
          <t>governance</t>
        </is>
      </c>
      <c r="C774" s="2" t="inlineStr">
        <is>
          <t>group_entity</t>
        </is>
      </c>
      <c r="D774" s="3" t="inlineStr">
        <is>
          <t>Group entity: entity; jurisdiction; revenue; ebitda; assets; debt; guarantor (yes / no)</t>
        </is>
      </c>
      <c r="E774" s="2" t="n"/>
      <c r="F774" s="2" t="n"/>
      <c r="G774" s="2" t="n"/>
      <c r="H774" s="3" t="inlineStr">
        <is>
          <t>entity: Bogner Vertriebsgesellschaft GmbH, Salzburg; jurisdiction: AT; share 60%, fully consolidated since 2025</t>
        </is>
      </c>
      <c r="I774" s="2" t="inlineStr">
        <is>
          <t>S3</t>
        </is>
      </c>
      <c r="J774" s="2" t="n">
        <v>84</v>
      </c>
      <c r="K774" s="3" t="inlineStr">
        <is>
          <t>Bogner Vertriebsgesellschaft GmbH, Salzburg, Austria 60 A</t>
        </is>
      </c>
      <c r="L774" s="2" t="inlineStr">
        <is>
          <t>ok</t>
        </is>
      </c>
      <c r="M774" s="2" t="inlineStr">
        <is>
          <t>demo reviewer</t>
        </is>
      </c>
      <c r="N774" s="2" t="n"/>
      <c r="O774" s="3" t="inlineStr">
        <is>
          <t>https://vanillabonds.com/dossier-data/pdf/katjes/katjes-2025-annual-report.pdf#page=84</t>
        </is>
      </c>
      <c r="P774" s="3" t="inlineStr">
        <is>
          <t>https://vanillabonds.com/dossier.html?c=katjes&amp;viewer=1&amp;item=F773</t>
        </is>
      </c>
      <c r="Q774" s="2" t="inlineStr"/>
    </row>
    <row r="775">
      <c r="A775" s="2" t="inlineStr">
        <is>
          <t>F774</t>
        </is>
      </c>
      <c r="B775" s="2" t="inlineStr">
        <is>
          <t>governance</t>
        </is>
      </c>
      <c r="C775" s="2" t="inlineStr">
        <is>
          <t>group_entity</t>
        </is>
      </c>
      <c r="D775" s="3" t="inlineStr">
        <is>
          <t>Group entity: entity; jurisdiction; revenue; ebitda; assets; debt; guarantor (yes / no)</t>
        </is>
      </c>
      <c r="E775" s="2" t="n"/>
      <c r="F775" s="2" t="n"/>
      <c r="G775" s="2" t="n"/>
      <c r="H775" s="3" t="inlineStr">
        <is>
          <t>entity: Bogner Eastern Europe LLC, Moscow; jurisdiction: RU; share 60%, fully consolidated since 2025</t>
        </is>
      </c>
      <c r="I775" s="2" t="inlineStr">
        <is>
          <t>S3</t>
        </is>
      </c>
      <c r="J775" s="2" t="n">
        <v>84</v>
      </c>
      <c r="K775" s="3" t="inlineStr">
        <is>
          <t>Bogner Eastern Europe LLC, Moscow, Russia 60 A</t>
        </is>
      </c>
      <c r="L775" s="2" t="inlineStr">
        <is>
          <t>ok</t>
        </is>
      </c>
      <c r="M775" s="2" t="inlineStr">
        <is>
          <t>demo reviewer</t>
        </is>
      </c>
      <c r="N775" s="2" t="n"/>
      <c r="O775" s="3" t="inlineStr">
        <is>
          <t>https://vanillabonds.com/dossier-data/pdf/katjes/katjes-2025-annual-report.pdf#page=84</t>
        </is>
      </c>
      <c r="P775" s="3" t="inlineStr">
        <is>
          <t>https://vanillabonds.com/dossier.html?c=katjes&amp;viewer=1&amp;item=F774</t>
        </is>
      </c>
      <c r="Q775" s="2" t="inlineStr"/>
    </row>
    <row r="776">
      <c r="A776" s="2" t="inlineStr">
        <is>
          <t>F775</t>
        </is>
      </c>
      <c r="B776" s="2" t="inlineStr">
        <is>
          <t>governance</t>
        </is>
      </c>
      <c r="C776" s="2" t="inlineStr">
        <is>
          <t>group_entity</t>
        </is>
      </c>
      <c r="D776" s="3" t="inlineStr">
        <is>
          <t>Group entity: entity; jurisdiction; revenue; ebitda; assets; debt; guarantor (yes / no)</t>
        </is>
      </c>
      <c r="E776" s="2" t="n"/>
      <c r="F776" s="2" t="n"/>
      <c r="G776" s="2" t="n"/>
      <c r="H776" s="3" t="inlineStr">
        <is>
          <t>entity: Bogner Asia, Ltd., Hong Kong/China and Bogner France SARL, La Bâthie; jurisdiction: HK / FR; share 60%, fully consolidated since 2025</t>
        </is>
      </c>
      <c r="I776" s="2" t="inlineStr">
        <is>
          <t>S3</t>
        </is>
      </c>
      <c r="J776" s="2" t="n">
        <v>84</v>
      </c>
      <c r="K776" s="2" t="inlineStr">
        <is>
          <t>Bogner Asia, Ltd., Hong Kong/China 60 A</t>
        </is>
      </c>
      <c r="L776" s="2" t="inlineStr">
        <is>
          <t>ok</t>
        </is>
      </c>
      <c r="M776" s="2" t="inlineStr">
        <is>
          <t>demo reviewer</t>
        </is>
      </c>
      <c r="N776" s="2" t="n"/>
      <c r="O776" s="3" t="inlineStr">
        <is>
          <t>https://vanillabonds.com/dossier-data/pdf/katjes/katjes-2025-annual-report.pdf#page=84</t>
        </is>
      </c>
      <c r="P776" s="3" t="inlineStr">
        <is>
          <t>https://vanillabonds.com/dossier.html?c=katjes&amp;viewer=1&amp;item=F775</t>
        </is>
      </c>
      <c r="Q776" s="2" t="inlineStr"/>
    </row>
    <row r="777">
      <c r="A777" s="2" t="inlineStr">
        <is>
          <t>F776</t>
        </is>
      </c>
      <c r="B777" s="2" t="inlineStr">
        <is>
          <t>governance</t>
        </is>
      </c>
      <c r="C777" s="2" t="inlineStr">
        <is>
          <t>group_entity</t>
        </is>
      </c>
      <c r="D777" s="3" t="inlineStr">
        <is>
          <t>Group entity: entity; jurisdiction; revenue; ebitda; assets; debt; guarantor (yes / no)</t>
        </is>
      </c>
      <c r="E777" s="2" t="n"/>
      <c r="F777" s="2" t="n"/>
      <c r="G777" s="2" t="n"/>
      <c r="H777" s="3" t="inlineStr">
        <is>
          <t>entity: Future Snacks Ltd., London (vehicle for the Graze acquisition Feb 2026); jurisdiction: UK; share 100%, fully consolidated</t>
        </is>
      </c>
      <c r="I777" s="2" t="inlineStr">
        <is>
          <t>S3</t>
        </is>
      </c>
      <c r="J777" s="2" t="n">
        <v>84</v>
      </c>
      <c r="K777" s="2" t="inlineStr">
        <is>
          <t>Future Snacks Ltd., London, UK 100 A</t>
        </is>
      </c>
      <c r="L777" s="2" t="inlineStr">
        <is>
          <t>ok</t>
        </is>
      </c>
      <c r="M777" s="2" t="inlineStr">
        <is>
          <t>demo reviewer</t>
        </is>
      </c>
      <c r="N777" s="2" t="n"/>
      <c r="O777" s="3" t="inlineStr">
        <is>
          <t>https://vanillabonds.com/dossier-data/pdf/katjes/katjes-2025-annual-report.pdf#page=84</t>
        </is>
      </c>
      <c r="P777" s="3" t="inlineStr">
        <is>
          <t>https://vanillabonds.com/dossier.html?c=katjes&amp;viewer=1&amp;item=F776</t>
        </is>
      </c>
      <c r="Q777" s="2" t="inlineStr"/>
    </row>
    <row r="778">
      <c r="A778" s="2" t="inlineStr">
        <is>
          <t>F777</t>
        </is>
      </c>
      <c r="B778" s="2" t="inlineStr">
        <is>
          <t>governance</t>
        </is>
      </c>
      <c r="C778" s="2" t="inlineStr">
        <is>
          <t>group_entity</t>
        </is>
      </c>
      <c r="D778" s="3" t="inlineStr">
        <is>
          <t>Group entity: entity; jurisdiction; revenue; ebitda; assets; debt; guarantor (yes / no)</t>
        </is>
      </c>
      <c r="E778" s="2" t="n"/>
      <c r="F778" s="2" t="n">
        <v>4.3</v>
      </c>
      <c r="G778" s="2" t="n"/>
      <c r="H778" s="3" t="inlineStr">
        <is>
          <t>entity: Bogner GCA Holding PTE. Ltd., Singapore (associate, equity method); jurisdiction: SG; share 45%; revenue: 4.3 (summarised 2025 information); share of loss -1.8 in 2025</t>
        </is>
      </c>
      <c r="I778" s="2" t="inlineStr">
        <is>
          <t>S3</t>
        </is>
      </c>
      <c r="J778" s="2" t="n">
        <v>84</v>
      </c>
      <c r="K778" s="3" t="inlineStr">
        <is>
          <t>Bogner GCA Holding PTE. Ltd., Singapore 45 B</t>
        </is>
      </c>
      <c r="L778" s="2" t="inlineStr">
        <is>
          <t>ok</t>
        </is>
      </c>
      <c r="M778" s="2" t="inlineStr">
        <is>
          <t>demo reviewer</t>
        </is>
      </c>
      <c r="N778" s="2" t="n"/>
      <c r="O778" s="3" t="inlineStr">
        <is>
          <t>https://vanillabonds.com/dossier-data/pdf/katjes/katjes-2025-annual-report.pdf#page=84</t>
        </is>
      </c>
      <c r="P778" s="3" t="inlineStr">
        <is>
          <t>https://vanillabonds.com/dossier.html?c=katjes&amp;viewer=1&amp;item=F777</t>
        </is>
      </c>
      <c r="Q778" s="2" t="inlineStr"/>
    </row>
    <row r="779">
      <c r="A779" s="2" t="inlineStr">
        <is>
          <t>F778</t>
        </is>
      </c>
      <c r="B779" s="2" t="inlineStr">
        <is>
          <t>governance</t>
        </is>
      </c>
      <c r="C779" s="2" t="inlineStr">
        <is>
          <t>group_entity</t>
        </is>
      </c>
      <c r="D779" s="3" t="inlineStr">
        <is>
          <t>Group entity: entity; jurisdiction; revenue; ebitda; assets; debt; guarantor (yes / no)</t>
        </is>
      </c>
      <c r="E779" s="2" t="n"/>
      <c r="F779" s="2" t="n"/>
      <c r="G779" s="2" t="n"/>
      <c r="H779" s="3" t="inlineStr">
        <is>
          <t>entity: Shades Snacks Ltd., London (joint venture IFRS 11); jurisdiction: UK; share 49%; share of profit 0.5 in 2025</t>
        </is>
      </c>
      <c r="I779" s="2" t="inlineStr">
        <is>
          <t>S3</t>
        </is>
      </c>
      <c r="J779" s="2" t="n">
        <v>84</v>
      </c>
      <c r="K779" s="2" t="inlineStr">
        <is>
          <t>Shades Snacks Ltd., London, UK 49 C</t>
        </is>
      </c>
      <c r="L779" s="2" t="inlineStr">
        <is>
          <t>ok</t>
        </is>
      </c>
      <c r="M779" s="2" t="inlineStr">
        <is>
          <t>demo reviewer</t>
        </is>
      </c>
      <c r="N779" s="2" t="n"/>
      <c r="O779" s="3" t="inlineStr">
        <is>
          <t>https://vanillabonds.com/dossier-data/pdf/katjes/katjes-2025-annual-report.pdf#page=84</t>
        </is>
      </c>
      <c r="P779" s="3" t="inlineStr">
        <is>
          <t>https://vanillabonds.com/dossier.html?c=katjes&amp;viewer=1&amp;item=F778</t>
        </is>
      </c>
      <c r="Q779" s="2" t="inlineStr"/>
    </row>
    <row r="780">
      <c r="A780" s="2" t="inlineStr">
        <is>
          <t>F779</t>
        </is>
      </c>
      <c r="B780" s="2" t="inlineStr">
        <is>
          <t>governance</t>
        </is>
      </c>
      <c r="C780" s="2" t="inlineStr">
        <is>
          <t>group_entity</t>
        </is>
      </c>
      <c r="D780" s="3" t="inlineStr">
        <is>
          <t>Group entity: entity; jurisdiction; revenue; ebitda; assets; debt; guarantor (yes / no)</t>
        </is>
      </c>
      <c r="E780" s="2" t="n"/>
      <c r="F780" s="2" t="n"/>
      <c r="G780" s="2" t="n"/>
      <c r="H780" s="3" t="inlineStr">
        <is>
          <t>entity: Nuud Snacks Ltd., London (minority interest, not consolidated); jurisdiction: UK; share 8%</t>
        </is>
      </c>
      <c r="I780" s="2" t="inlineStr">
        <is>
          <t>S3</t>
        </is>
      </c>
      <c r="J780" s="2" t="n">
        <v>84</v>
      </c>
      <c r="K780" s="2" t="inlineStr">
        <is>
          <t>Nuud Snacks Ltd., London, UK 8</t>
        </is>
      </c>
      <c r="L780" s="2" t="inlineStr">
        <is>
          <t>ok</t>
        </is>
      </c>
      <c r="M780" s="2" t="inlineStr">
        <is>
          <t>demo reviewer</t>
        </is>
      </c>
      <c r="N780" s="2" t="n"/>
      <c r="O780" s="3" t="inlineStr">
        <is>
          <t>https://vanillabonds.com/dossier-data/pdf/katjes/katjes-2025-annual-report.pdf#page=84</t>
        </is>
      </c>
      <c r="P780" s="3" t="inlineStr">
        <is>
          <t>https://vanillabonds.com/dossier.html?c=katjes&amp;viewer=1&amp;item=F779</t>
        </is>
      </c>
      <c r="Q780" s="2" t="inlineStr"/>
    </row>
    <row r="781">
      <c r="A781" s="2" t="inlineStr">
        <is>
          <t>F780</t>
        </is>
      </c>
      <c r="B781" s="2" t="inlineStr">
        <is>
          <t>governance</t>
        </is>
      </c>
      <c r="C781" s="2" t="inlineStr">
        <is>
          <t>group_entity</t>
        </is>
      </c>
      <c r="D781" s="3" t="inlineStr">
        <is>
          <t>Group entity: entity; jurisdiction; revenue; ebitda; assets; debt; guarantor (yes / no)</t>
        </is>
      </c>
      <c r="E781" s="2" t="n"/>
      <c r="F781" s="2" t="n"/>
      <c r="G781" s="2" t="n"/>
      <c r="H781" s="3" t="inlineStr">
        <is>
          <t>entity: CPK S.A.S., Paris (23% associate in 2024, disposed in Q4 2025); jurisdiction: FR; share 0% at 31 Dec 2025</t>
        </is>
      </c>
      <c r="I781" s="2" t="inlineStr">
        <is>
          <t>S3</t>
        </is>
      </c>
      <c r="J781" s="2" t="n">
        <v>84</v>
      </c>
      <c r="K781" s="2" t="inlineStr">
        <is>
          <t>CPK S.A.S., Paris, France - - 23 B</t>
        </is>
      </c>
      <c r="L781" s="2" t="inlineStr">
        <is>
          <t>ok</t>
        </is>
      </c>
      <c r="M781" s="2" t="inlineStr">
        <is>
          <t>demo reviewer</t>
        </is>
      </c>
      <c r="N781" s="2" t="n"/>
      <c r="O781" s="3" t="inlineStr">
        <is>
          <t>https://vanillabonds.com/dossier-data/pdf/katjes/katjes-2025-annual-report.pdf#page=84</t>
        </is>
      </c>
      <c r="P781" s="3" t="inlineStr">
        <is>
          <t>https://vanillabonds.com/dossier.html?c=katjes&amp;viewer=1&amp;item=F780</t>
        </is>
      </c>
      <c r="Q781" s="2" t="inlineStr"/>
    </row>
    <row r="782">
      <c r="A782" s="2" t="inlineStr">
        <is>
          <t>F781</t>
        </is>
      </c>
      <c r="B782" s="2" t="inlineStr">
        <is>
          <t>governance</t>
        </is>
      </c>
      <c r="C782" s="2" t="inlineStr">
        <is>
          <t>board_member</t>
        </is>
      </c>
      <c r="D782" s="3" t="inlineStr">
        <is>
          <t>Board member: name; body (management / supervisory); role; since; independent (yes / no); committees</t>
        </is>
      </c>
      <c r="E782" s="2" t="n"/>
      <c r="F782" s="2" t="n"/>
      <c r="G782" s="2" t="n"/>
      <c r="H782" s="3" t="inlineStr">
        <is>
          <t>name: Tobias Bachmüller; body: management; role: Managing Shareholder, shareholder of the general partner and limited partner; since: 1996; independent: no</t>
        </is>
      </c>
      <c r="I782" s="2" t="inlineStr">
        <is>
          <t>S3</t>
        </is>
      </c>
      <c r="J782" s="2" t="n">
        <v>6</v>
      </c>
      <c r="K782" s="3" t="inlineStr">
        <is>
          <t>since 1996 – Managing Shareholder of Katjes International</t>
        </is>
      </c>
      <c r="L782" s="2" t="inlineStr">
        <is>
          <t>ok</t>
        </is>
      </c>
      <c r="M782" s="2" t="inlineStr">
        <is>
          <t>demo reviewer</t>
        </is>
      </c>
      <c r="N782" s="2" t="n"/>
      <c r="O782" s="3" t="inlineStr">
        <is>
          <t>https://vanillabonds.com/dossier-data/pdf/katjes/katjes-2025-annual-report.pdf#page=6</t>
        </is>
      </c>
      <c r="P782" s="3" t="inlineStr">
        <is>
          <t>https://vanillabonds.com/dossier.html?c=katjes&amp;viewer=1&amp;item=F781</t>
        </is>
      </c>
      <c r="Q782" s="2" t="inlineStr"/>
    </row>
    <row r="783">
      <c r="A783" s="2" t="inlineStr">
        <is>
          <t>F782</t>
        </is>
      </c>
      <c r="B783" s="2" t="inlineStr">
        <is>
          <t>governance</t>
        </is>
      </c>
      <c r="C783" s="2" t="inlineStr">
        <is>
          <t>board_member</t>
        </is>
      </c>
      <c r="D783" s="3" t="inlineStr">
        <is>
          <t>Board member: name; body (management / supervisory); role; since; independent (yes / no); committees</t>
        </is>
      </c>
      <c r="E783" s="2" t="n"/>
      <c r="F783" s="2" t="n"/>
      <c r="G783" s="2" t="n"/>
      <c r="H783" s="3" t="inlineStr">
        <is>
          <t>name: Stephan Milde; body: management; role: CFO, managing director of the general partner; since: 2012; independent: no</t>
        </is>
      </c>
      <c r="I783" s="2" t="inlineStr">
        <is>
          <t>S3</t>
        </is>
      </c>
      <c r="J783" s="2" t="n">
        <v>44</v>
      </c>
      <c r="K783" s="3" t="inlineStr">
        <is>
          <t>In addition to the two shareholders, Stephan Milde is also appointed as managing</t>
        </is>
      </c>
      <c r="L783" s="2" t="inlineStr">
        <is>
          <t>ok</t>
        </is>
      </c>
      <c r="M783" s="2" t="inlineStr">
        <is>
          <t>demo reviewer</t>
        </is>
      </c>
      <c r="N783" s="2" t="n"/>
      <c r="O783" s="3" t="inlineStr">
        <is>
          <t>https://vanillabonds.com/dossier-data/pdf/katjes/katjes-2025-annual-report.pdf#page=44</t>
        </is>
      </c>
      <c r="P783" s="3" t="inlineStr">
        <is>
          <t>https://vanillabonds.com/dossier.html?c=katjes&amp;viewer=1&amp;item=F782</t>
        </is>
      </c>
      <c r="Q783" s="2" t="inlineStr"/>
    </row>
    <row r="784">
      <c r="A784" s="2" t="inlineStr">
        <is>
          <t>F783</t>
        </is>
      </c>
      <c r="B784" s="2" t="inlineStr">
        <is>
          <t>governance</t>
        </is>
      </c>
      <c r="C784" s="2" t="inlineStr">
        <is>
          <t>board_member</t>
        </is>
      </c>
      <c r="D784" s="3" t="inlineStr">
        <is>
          <t>Board member: name; body (management / supervisory); role; since; independent (yes / no); committees</t>
        </is>
      </c>
      <c r="E784" s="2" t="n"/>
      <c r="F784" s="2" t="n"/>
      <c r="G784" s="2" t="n"/>
      <c r="H784" s="3" t="inlineStr">
        <is>
          <t>name: Bastian Fassin; body: management; role: Managing Shareholder, shareholder of the general partner Xaver Fassin International GmbH and limited partner; since: 2004; independent: no</t>
        </is>
      </c>
      <c r="I784" s="2" t="inlineStr">
        <is>
          <t>S3</t>
        </is>
      </c>
      <c r="J784" s="2" t="n">
        <v>80</v>
      </c>
      <c r="K784" s="3" t="inlineStr">
        <is>
          <t>The management of the parent company is carried out by the general partner, Xaver Fassin International GmbH, whose shareholders are Mr Bastian Fassin and Mr Tobias Bachmüller.</t>
        </is>
      </c>
      <c r="L784" s="2" t="inlineStr">
        <is>
          <t>ok</t>
        </is>
      </c>
      <c r="M784" s="2" t="inlineStr">
        <is>
          <t>demo reviewer</t>
        </is>
      </c>
      <c r="N784" s="2" t="n"/>
      <c r="O784" s="3" t="inlineStr">
        <is>
          <t>https://vanillabonds.com/dossier-data/pdf/katjes/katjes-2025-annual-report.pdf#page=80</t>
        </is>
      </c>
      <c r="P784" s="3" t="inlineStr">
        <is>
          <t>https://vanillabonds.com/dossier.html?c=katjes&amp;viewer=1&amp;item=F783</t>
        </is>
      </c>
      <c r="Q784" s="2" t="inlineStr"/>
    </row>
    <row r="785">
      <c r="A785" s="2" t="inlineStr">
        <is>
          <t>F784</t>
        </is>
      </c>
      <c r="B785" s="2" t="inlineStr">
        <is>
          <t>governance</t>
        </is>
      </c>
      <c r="C785" s="2" t="inlineStr">
        <is>
          <t>related_party_flow</t>
        </is>
      </c>
      <c r="D785" s="3" t="inlineStr">
        <is>
          <t>Related-party flow: counterparty; kind (fee, rent, dividend, buyback, loan); amount; year; terms</t>
        </is>
      </c>
      <c r="E785" s="2" t="n"/>
      <c r="F785" s="2" t="n">
        <v>20</v>
      </c>
      <c r="G785" s="2" t="n"/>
      <c r="H785" s="3" t="inlineStr">
        <is>
          <t>counterparty: related parties (Katjes Group sister companies and shareholders); kind: purchase of goods and services; amount: 20.0; year: 2025; terms: arm's length, not secured</t>
        </is>
      </c>
      <c r="I785" s="2" t="inlineStr">
        <is>
          <t>S3</t>
        </is>
      </c>
      <c r="J785" s="2" t="n">
        <v>80</v>
      </c>
      <c r="K785" s="3" t="inlineStr">
        <is>
          <t>Purchase of goods and services from related parties 20.0 13.1</t>
        </is>
      </c>
      <c r="L785" s="2" t="inlineStr">
        <is>
          <t>ok</t>
        </is>
      </c>
      <c r="M785" s="2" t="inlineStr">
        <is>
          <t>demo reviewer</t>
        </is>
      </c>
      <c r="N785" s="2" t="n"/>
      <c r="O785" s="3" t="inlineStr">
        <is>
          <t>https://vanillabonds.com/dossier-data/pdf/katjes/katjes-2025-annual-report.pdf#page=80</t>
        </is>
      </c>
      <c r="P785" s="3" t="inlineStr">
        <is>
          <t>https://vanillabonds.com/dossier.html?c=katjes&amp;viewer=1&amp;item=F784</t>
        </is>
      </c>
      <c r="Q785" s="2" t="inlineStr"/>
    </row>
    <row r="786">
      <c r="A786" s="2" t="inlineStr">
        <is>
          <t>F785</t>
        </is>
      </c>
      <c r="B786" s="2" t="inlineStr">
        <is>
          <t>governance</t>
        </is>
      </c>
      <c r="C786" s="2" t="inlineStr">
        <is>
          <t>related_party_flow</t>
        </is>
      </c>
      <c r="D786" s="3" t="inlineStr">
        <is>
          <t>Related-party flow: counterparty; kind (fee, rent, dividend, buyback, loan); amount; year; terms</t>
        </is>
      </c>
      <c r="E786" s="2" t="n"/>
      <c r="F786" s="2" t="n">
        <v>13.1</v>
      </c>
      <c r="G786" s="2" t="n"/>
      <c r="H786" s="3" t="inlineStr">
        <is>
          <t>counterparty: related parties; kind: purchase of goods and services; amount: 13.1; year: 2024; terms: arm's length, not secured</t>
        </is>
      </c>
      <c r="I786" s="2" t="inlineStr">
        <is>
          <t>S3</t>
        </is>
      </c>
      <c r="J786" s="2" t="n">
        <v>80</v>
      </c>
      <c r="K786" s="3" t="inlineStr">
        <is>
          <t>Purchase of goods and services from related parties 20.0 13.1</t>
        </is>
      </c>
      <c r="L786" s="2" t="inlineStr">
        <is>
          <t>ok</t>
        </is>
      </c>
      <c r="M786" s="2" t="inlineStr">
        <is>
          <t>demo reviewer</t>
        </is>
      </c>
      <c r="N786" s="2" t="n"/>
      <c r="O786" s="3" t="inlineStr">
        <is>
          <t>https://vanillabonds.com/dossier-data/pdf/katjes/katjes-2025-annual-report.pdf#page=80</t>
        </is>
      </c>
      <c r="P786" s="3" t="inlineStr">
        <is>
          <t>https://vanillabonds.com/dossier.html?c=katjes&amp;viewer=1&amp;item=F785</t>
        </is>
      </c>
      <c r="Q786" s="2" t="inlineStr"/>
    </row>
    <row r="787">
      <c r="A787" s="2" t="inlineStr">
        <is>
          <t>F786</t>
        </is>
      </c>
      <c r="B787" s="2" t="inlineStr">
        <is>
          <t>governance</t>
        </is>
      </c>
      <c r="C787" s="2" t="inlineStr">
        <is>
          <t>related_party_flow</t>
        </is>
      </c>
      <c r="D787" s="3" t="inlineStr">
        <is>
          <t>Related-party flow: counterparty; kind (fee, rent, dividend, buyback, loan); amount; year; terms</t>
        </is>
      </c>
      <c r="E787" s="2" t="n"/>
      <c r="F787" s="2" t="n">
        <v>7.4</v>
      </c>
      <c r="G787" s="2" t="n"/>
      <c r="H787" s="3" t="inlineStr">
        <is>
          <t>counterparty: related parties; kind: sale of goods; amount: 7.4; year: 2025 (2024: 0.0); terms: arm's length</t>
        </is>
      </c>
      <c r="I787" s="2" t="inlineStr">
        <is>
          <t>S3</t>
        </is>
      </c>
      <c r="J787" s="2" t="n">
        <v>80</v>
      </c>
      <c r="K787" s="2" t="inlineStr">
        <is>
          <t>Sale of goods to related parties 7.4 0.0</t>
        </is>
      </c>
      <c r="L787" s="2" t="inlineStr">
        <is>
          <t>ok</t>
        </is>
      </c>
      <c r="M787" s="2" t="inlineStr">
        <is>
          <t>demo reviewer</t>
        </is>
      </c>
      <c r="N787" s="2" t="n"/>
      <c r="O787" s="3" t="inlineStr">
        <is>
          <t>https://vanillabonds.com/dossier-data/pdf/katjes/katjes-2025-annual-report.pdf#page=80</t>
        </is>
      </c>
      <c r="P787" s="3" t="inlineStr">
        <is>
          <t>https://vanillabonds.com/dossier.html?c=katjes&amp;viewer=1&amp;item=F786</t>
        </is>
      </c>
      <c r="Q787" s="2" t="inlineStr"/>
    </row>
    <row r="788">
      <c r="A788" s="2" t="inlineStr">
        <is>
          <t>F787</t>
        </is>
      </c>
      <c r="B788" s="2" t="inlineStr">
        <is>
          <t>governance</t>
        </is>
      </c>
      <c r="C788" s="2" t="inlineStr">
        <is>
          <t>related_party_flow</t>
        </is>
      </c>
      <c r="D788" s="3" t="inlineStr">
        <is>
          <t>Related-party flow: counterparty; kind (fee, rent, dividend, buyback, loan); amount; year; terms</t>
        </is>
      </c>
      <c r="E788" s="2" t="n"/>
      <c r="F788" s="2" t="n">
        <v>6</v>
      </c>
      <c r="G788" s="2" t="n"/>
      <c r="H788" s="3" t="inlineStr">
        <is>
          <t>counterparty: related parties; kind: trade payable for goods and services at year end; amount: 6.0; year: 2025 (2024: 2.7)</t>
        </is>
      </c>
      <c r="I788" s="2" t="inlineStr">
        <is>
          <t>S3</t>
        </is>
      </c>
      <c r="J788" s="2" t="n">
        <v>80</v>
      </c>
      <c r="K788" s="3" t="inlineStr">
        <is>
          <t>Trade payable for goods and services to related parties 6.0 2.7</t>
        </is>
      </c>
      <c r="L788" s="2" t="inlineStr">
        <is>
          <t>ok</t>
        </is>
      </c>
      <c r="M788" s="2" t="inlineStr">
        <is>
          <t>demo reviewer</t>
        </is>
      </c>
      <c r="N788" s="2" t="n"/>
      <c r="O788" s="3" t="inlineStr">
        <is>
          <t>https://vanillabonds.com/dossier-data/pdf/katjes/katjes-2025-annual-report.pdf#page=80</t>
        </is>
      </c>
      <c r="P788" s="3" t="inlineStr">
        <is>
          <t>https://vanillabonds.com/dossier.html?c=katjes&amp;viewer=1&amp;item=F787</t>
        </is>
      </c>
      <c r="Q788" s="2" t="inlineStr"/>
    </row>
    <row r="789">
      <c r="A789" s="2" t="inlineStr">
        <is>
          <t>F788</t>
        </is>
      </c>
      <c r="B789" s="2" t="inlineStr">
        <is>
          <t>governance</t>
        </is>
      </c>
      <c r="C789" s="2" t="inlineStr">
        <is>
          <t>related_party_flow</t>
        </is>
      </c>
      <c r="D789" s="3" t="inlineStr">
        <is>
          <t>Related-party flow: counterparty; kind (fee, rent, dividend, buyback, loan); amount; year; terms</t>
        </is>
      </c>
      <c r="E789" s="2" t="n"/>
      <c r="F789" s="2" t="n">
        <v>0.4</v>
      </c>
      <c r="G789" s="2" t="n"/>
      <c r="H789" s="3" t="inlineStr">
        <is>
          <t>counterparty: related parties; kind: trade receivables at year end; amount: 0.4; year: 2025 (2024: 0.0)</t>
        </is>
      </c>
      <c r="I789" s="2" t="inlineStr">
        <is>
          <t>S3</t>
        </is>
      </c>
      <c r="J789" s="2" t="n">
        <v>80</v>
      </c>
      <c r="K789" s="3" t="inlineStr">
        <is>
          <t>Trade receivables to related parties 0.4 0.0</t>
        </is>
      </c>
      <c r="L789" s="2" t="inlineStr">
        <is>
          <t>ok</t>
        </is>
      </c>
      <c r="M789" s="2" t="inlineStr">
        <is>
          <t>demo reviewer</t>
        </is>
      </c>
      <c r="N789" s="2" t="n"/>
      <c r="O789" s="3" t="inlineStr">
        <is>
          <t>https://vanillabonds.com/dossier-data/pdf/katjes/katjes-2025-annual-report.pdf#page=80</t>
        </is>
      </c>
      <c r="P789" s="3" t="inlineStr">
        <is>
          <t>https://vanillabonds.com/dossier.html?c=katjes&amp;viewer=1&amp;item=F788</t>
        </is>
      </c>
      <c r="Q789" s="2" t="inlineStr"/>
    </row>
    <row r="790">
      <c r="A790" s="2" t="inlineStr">
        <is>
          <t>F789</t>
        </is>
      </c>
      <c r="B790" s="2" t="inlineStr">
        <is>
          <t>governance</t>
        </is>
      </c>
      <c r="C790" s="2" t="inlineStr">
        <is>
          <t>related_party_flow</t>
        </is>
      </c>
      <c r="D790" s="3" t="inlineStr">
        <is>
          <t>Related-party flow: counterparty; kind (fee, rent, dividend, buyback, loan); amount; year; terms</t>
        </is>
      </c>
      <c r="E790" s="2" t="n"/>
      <c r="F790" s="2" t="n">
        <v>4.8</v>
      </c>
      <c r="G790" s="2" t="n"/>
      <c r="H790" s="3" t="inlineStr">
        <is>
          <t>counterparty: related companies; kind: loan (granted by the Group); amount: 4.8; year: 2025; terms: interest income 0.3, not secured</t>
        </is>
      </c>
      <c r="I790" s="2" t="inlineStr">
        <is>
          <t>S3</t>
        </is>
      </c>
      <c r="J790" s="2" t="n">
        <v>80</v>
      </c>
      <c r="K790" s="2" t="inlineStr">
        <is>
          <t>Loans to related companies 4.8 4.2</t>
        </is>
      </c>
      <c r="L790" s="2" t="inlineStr">
        <is>
          <t>ok</t>
        </is>
      </c>
      <c r="M790" s="2" t="inlineStr">
        <is>
          <t>demo reviewer</t>
        </is>
      </c>
      <c r="N790" s="2" t="n"/>
      <c r="O790" s="3" t="inlineStr">
        <is>
          <t>https://vanillabonds.com/dossier-data/pdf/katjes/katjes-2025-annual-report.pdf#page=80</t>
        </is>
      </c>
      <c r="P790" s="3" t="inlineStr">
        <is>
          <t>https://vanillabonds.com/dossier.html?c=katjes&amp;viewer=1&amp;item=F789</t>
        </is>
      </c>
      <c r="Q790" s="2" t="inlineStr"/>
    </row>
    <row r="791">
      <c r="A791" s="2" t="inlineStr">
        <is>
          <t>F790</t>
        </is>
      </c>
      <c r="B791" s="2" t="inlineStr">
        <is>
          <t>governance</t>
        </is>
      </c>
      <c r="C791" s="2" t="inlineStr">
        <is>
          <t>related_party_flow</t>
        </is>
      </c>
      <c r="D791" s="3" t="inlineStr">
        <is>
          <t>Related-party flow: counterparty; kind (fee, rent, dividend, buyback, loan); amount; year; terms</t>
        </is>
      </c>
      <c r="E791" s="2" t="n"/>
      <c r="F791" s="2" t="n">
        <v>4.2</v>
      </c>
      <c r="G791" s="2" t="n"/>
      <c r="H791" s="3" t="inlineStr">
        <is>
          <t>counterparty: related companies; kind: loan (granted by the Group); amount: 4.2; year: 2024; terms: interest income 0.1</t>
        </is>
      </c>
      <c r="I791" s="2" t="inlineStr">
        <is>
          <t>S3</t>
        </is>
      </c>
      <c r="J791" s="2" t="n">
        <v>80</v>
      </c>
      <c r="K791" s="2" t="inlineStr">
        <is>
          <t>Loans to related companies 4.8 4.2</t>
        </is>
      </c>
      <c r="L791" s="2" t="inlineStr">
        <is>
          <t>ok</t>
        </is>
      </c>
      <c r="M791" s="2" t="inlineStr">
        <is>
          <t>demo reviewer</t>
        </is>
      </c>
      <c r="N791" s="2" t="n"/>
      <c r="O791" s="3" t="inlineStr">
        <is>
          <t>https://vanillabonds.com/dossier-data/pdf/katjes/katjes-2025-annual-report.pdf#page=80</t>
        </is>
      </c>
      <c r="P791" s="3" t="inlineStr">
        <is>
          <t>https://vanillabonds.com/dossier.html?c=katjes&amp;viewer=1&amp;item=F790</t>
        </is>
      </c>
      <c r="Q791" s="2" t="inlineStr"/>
    </row>
    <row r="792">
      <c r="A792" s="2" t="inlineStr">
        <is>
          <t>F791</t>
        </is>
      </c>
      <c r="B792" s="2" t="inlineStr">
        <is>
          <t>governance</t>
        </is>
      </c>
      <c r="C792" s="2" t="inlineStr">
        <is>
          <t>related_party_flow</t>
        </is>
      </c>
      <c r="D792" s="3" t="inlineStr">
        <is>
          <t>Related-party flow: counterparty; kind (fee, rent, dividend, buyback, loan); amount; year; terms</t>
        </is>
      </c>
      <c r="E792" s="2" t="n"/>
      <c r="F792" s="2" t="n">
        <v>0.3</v>
      </c>
      <c r="G792" s="2" t="n"/>
      <c r="H792" s="3" t="inlineStr">
        <is>
          <t>counterparty: related parties; kind: interest income on loans; amount: 0.3; year: 2025 (2024: 0.1)</t>
        </is>
      </c>
      <c r="I792" s="2" t="inlineStr">
        <is>
          <t>S3</t>
        </is>
      </c>
      <c r="J792" s="2" t="n">
        <v>80</v>
      </c>
      <c r="K792" s="3" t="inlineStr">
        <is>
          <t>Interest income from loans to related parties 0.3 0.1</t>
        </is>
      </c>
      <c r="L792" s="2" t="inlineStr">
        <is>
          <t>ok</t>
        </is>
      </c>
      <c r="M792" s="2" t="inlineStr">
        <is>
          <t>demo reviewer</t>
        </is>
      </c>
      <c r="N792" s="2" t="n"/>
      <c r="O792" s="3" t="inlineStr">
        <is>
          <t>https://vanillabonds.com/dossier-data/pdf/katjes/katjes-2025-annual-report.pdf#page=80</t>
        </is>
      </c>
      <c r="P792" s="3" t="inlineStr">
        <is>
          <t>https://vanillabonds.com/dossier.html?c=katjes&amp;viewer=1&amp;item=F791</t>
        </is>
      </c>
      <c r="Q792" s="2" t="inlineStr"/>
    </row>
    <row r="793">
      <c r="A793" s="2" t="inlineStr">
        <is>
          <t>F792</t>
        </is>
      </c>
      <c r="B793" s="2" t="inlineStr">
        <is>
          <t>governance</t>
        </is>
      </c>
      <c r="C793" s="2" t="inlineStr">
        <is>
          <t>shareholder_loan</t>
        </is>
      </c>
      <c r="D793" s="3" t="inlineStr">
        <is>
          <t>Shareholder loan: lender; amount; rate; maturity; subordinated (yes / no)</t>
        </is>
      </c>
      <c r="E793" s="2" t="n"/>
      <c r="F793" s="2" t="n"/>
      <c r="G793" s="2" t="n"/>
      <c r="H793" s="3" t="inlineStr">
        <is>
          <t>lender: limited partners Bastian Fassin and Tobias Bachmüller (interest-bearing current accounts); amount: not stated; rate: 5.0% (2024: 5.0%); subordinated: not stated</t>
        </is>
      </c>
      <c r="I793" s="2" t="inlineStr">
        <is>
          <t>S3</t>
        </is>
      </c>
      <c r="J793" s="2" t="n">
        <v>80</v>
      </c>
      <c r="K793" s="3" t="inlineStr">
        <is>
          <t>The interest-bearing current accounts of the limited partners bear interest at 5.0% (2024: 5.0%).</t>
        </is>
      </c>
      <c r="L793" s="2" t="inlineStr">
        <is>
          <t>ok</t>
        </is>
      </c>
      <c r="M793" s="2" t="inlineStr">
        <is>
          <t>demo reviewer</t>
        </is>
      </c>
      <c r="N793" s="2" t="n"/>
      <c r="O793" s="3" t="inlineStr">
        <is>
          <t>https://vanillabonds.com/dossier-data/pdf/katjes/katjes-2025-annual-report.pdf#page=80</t>
        </is>
      </c>
      <c r="P793" s="3" t="inlineStr">
        <is>
          <t>https://vanillabonds.com/dossier.html?c=katjes&amp;viewer=1&amp;item=F792</t>
        </is>
      </c>
      <c r="Q793" s="2" t="inlineStr"/>
    </row>
    <row r="794">
      <c r="A794" s="2" t="inlineStr">
        <is>
          <t>F793</t>
        </is>
      </c>
      <c r="B794" s="2" t="inlineStr">
        <is>
          <t>market</t>
        </is>
      </c>
      <c r="C794" s="2" t="inlineStr">
        <is>
          <t>market_series</t>
        </is>
      </c>
      <c r="D794" s="3" t="inlineStr">
        <is>
          <t>Market variable: variable; year; value; unit; source (a distribution adds n; median; spread; p10; p25; p75; p90)</t>
        </is>
      </c>
      <c r="E794" s="2" t="n"/>
      <c r="F794" s="2" t="n">
        <v>12.2</v>
      </c>
      <c r="G794" s="2" t="n"/>
      <c r="H794" s="3" t="inlineStr">
        <is>
          <t>variable: European confectionery market growth Western Europe; year: 2025; value: 12.2; unit: % yoy; source: company statement in the group management report (Eastern Europe 6.9%)</t>
        </is>
      </c>
      <c r="I794" s="2" t="inlineStr">
        <is>
          <t>S3</t>
        </is>
      </c>
      <c r="J794" s="2" t="n">
        <v>21</v>
      </c>
      <c r="K794" s="3" t="inlineStr">
        <is>
          <t>In 2025, Western Europe recorded an increase of 12.2% compared to the previous year, while Eastern Europe recorded an increase of 6.9%.</t>
        </is>
      </c>
      <c r="L794" s="2" t="inlineStr">
        <is>
          <t>ok</t>
        </is>
      </c>
      <c r="M794" s="2" t="inlineStr">
        <is>
          <t>demo reviewer</t>
        </is>
      </c>
      <c r="N794" s="2" t="n"/>
      <c r="O794" s="3" t="inlineStr">
        <is>
          <t>https://vanillabonds.com/dossier-data/pdf/katjes/katjes-2025-annual-report.pdf#page=21</t>
        </is>
      </c>
      <c r="P794" s="3" t="inlineStr">
        <is>
          <t>https://vanillabonds.com/dossier.html?c=katjes&amp;viewer=1&amp;item=F793</t>
        </is>
      </c>
      <c r="Q794" s="2" t="inlineStr"/>
    </row>
    <row r="795">
      <c r="A795" s="2" t="inlineStr">
        <is>
          <t>F794</t>
        </is>
      </c>
      <c r="B795" s="2" t="inlineStr">
        <is>
          <t>market</t>
        </is>
      </c>
      <c r="C795" s="2" t="inlineStr">
        <is>
          <t>market_series</t>
        </is>
      </c>
      <c r="D795" s="3" t="inlineStr">
        <is>
          <t>Market variable: variable; year; value; unit; source (a distribution adds n; median; spread; p10; p25; p75; p90)</t>
        </is>
      </c>
      <c r="E795" s="2" t="n"/>
      <c r="F795" s="2" t="n">
        <v>110</v>
      </c>
      <c r="G795" s="2" t="n"/>
      <c r="H795" s="3" t="inlineStr">
        <is>
          <t>variable: European confectionery market volume forecast (sugar confectionery and chocolate); year: 2030; value: 110; unit: EUR bn; source: Euromonitor International forecast as cited</t>
        </is>
      </c>
      <c r="I795" s="2" t="inlineStr">
        <is>
          <t>S3</t>
        </is>
      </c>
      <c r="J795" s="2" t="n">
        <v>21</v>
      </c>
      <c r="K795" s="3" t="inlineStr">
        <is>
          <t>Expert (Euromonitor International) forecasts expect the Euro- pean confectionery market (sugar confectionery and chocolate products) to grow to a volume of approximately EUR 110 billion by 2030.</t>
        </is>
      </c>
      <c r="L795" s="2" t="inlineStr">
        <is>
          <t>ok</t>
        </is>
      </c>
      <c r="M795" s="2" t="inlineStr">
        <is>
          <t>demo reviewer</t>
        </is>
      </c>
      <c r="N795" s="2" t="n"/>
      <c r="O795" s="3" t="inlineStr">
        <is>
          <t>https://vanillabonds.com/dossier-data/pdf/katjes/katjes-2025-annual-report.pdf#page=21</t>
        </is>
      </c>
      <c r="P795" s="3" t="inlineStr">
        <is>
          <t>https://vanillabonds.com/dossier.html?c=katjes&amp;viewer=1&amp;item=F794</t>
        </is>
      </c>
      <c r="Q795" s="2" t="inlineStr"/>
    </row>
    <row r="796">
      <c r="A796" s="2" t="inlineStr">
        <is>
          <t>F795</t>
        </is>
      </c>
      <c r="B796" s="2" t="inlineStr">
        <is>
          <t>market</t>
        </is>
      </c>
      <c r="C796" s="2" t="inlineStr">
        <is>
          <t>market_series</t>
        </is>
      </c>
      <c r="D796" s="3" t="inlineStr">
        <is>
          <t>Market variable: variable; year; value; unit; source (a distribution adds n; median; spread; p10; p25; p75; p90)</t>
        </is>
      </c>
      <c r="E796" s="2" t="n"/>
      <c r="F796" s="2" t="n">
        <v>1.4</v>
      </c>
      <c r="G796" s="2" t="n"/>
      <c r="H796" s="3" t="inlineStr">
        <is>
          <t>variable: GDP growth euro area; year: 2025; value: 1.4; unit: % (2024: 0.8); source: OECD Economic Outlook December 2025, updated March 2026 (as cited)</t>
        </is>
      </c>
      <c r="I796" s="2" t="inlineStr">
        <is>
          <t>S3</t>
        </is>
      </c>
      <c r="J796" s="2" t="n">
        <v>21</v>
      </c>
      <c r="K796" s="3" t="inlineStr">
        <is>
          <t>Gross domestic product (GDP) increased by 1.4% (2024: 0.8%)</t>
        </is>
      </c>
      <c r="L796" s="2" t="inlineStr">
        <is>
          <t>ok</t>
        </is>
      </c>
      <c r="M796" s="2" t="inlineStr">
        <is>
          <t>demo reviewer</t>
        </is>
      </c>
      <c r="N796" s="2" t="n"/>
      <c r="O796" s="3" t="inlineStr">
        <is>
          <t>https://vanillabonds.com/dossier-data/pdf/katjes/katjes-2025-annual-report.pdf#page=21</t>
        </is>
      </c>
      <c r="P796" s="3" t="inlineStr">
        <is>
          <t>https://vanillabonds.com/dossier.html?c=katjes&amp;viewer=1&amp;item=F795</t>
        </is>
      </c>
      <c r="Q796" s="2" t="inlineStr"/>
    </row>
    <row r="797">
      <c r="A797" s="2" t="inlineStr">
        <is>
          <t>F796</t>
        </is>
      </c>
      <c r="B797" s="2" t="inlineStr">
        <is>
          <t>market</t>
        </is>
      </c>
      <c r="C797" s="2" t="inlineStr">
        <is>
          <t>market_series</t>
        </is>
      </c>
      <c r="D797" s="3" t="inlineStr">
        <is>
          <t>Market variable: variable; year; value; unit; source (a distribution adds n; median; spread; p10; p25; p75; p90)</t>
        </is>
      </c>
      <c r="E797" s="2" t="n"/>
      <c r="F797" s="2" t="n">
        <v>0.4</v>
      </c>
      <c r="G797" s="2" t="n"/>
      <c r="H797" s="3" t="inlineStr">
        <is>
          <t>variable: GDP growth Germany; year: 2025; value: 0.4; unit: % (2024: -0.5); source: OECD Economic Outlook December 2025, updated March 2026 (as cited)</t>
        </is>
      </c>
      <c r="I797" s="2" t="inlineStr">
        <is>
          <t>S3</t>
        </is>
      </c>
      <c r="J797" s="2" t="n">
        <v>21</v>
      </c>
      <c r="K797" s="3" t="inlineStr">
        <is>
          <t>The German economy recorded a sideways trend, with growth of 0.4% (2024: -0.5%).</t>
        </is>
      </c>
      <c r="L797" s="2" t="inlineStr">
        <is>
          <t>ok</t>
        </is>
      </c>
      <c r="M797" s="2" t="inlineStr">
        <is>
          <t>demo reviewer</t>
        </is>
      </c>
      <c r="N797" s="2" t="n"/>
      <c r="O797" s="3" t="inlineStr">
        <is>
          <t>https://vanillabonds.com/dossier-data/pdf/katjes/katjes-2025-annual-report.pdf#page=21</t>
        </is>
      </c>
      <c r="P797" s="3" t="inlineStr">
        <is>
          <t>https://vanillabonds.com/dossier.html?c=katjes&amp;viewer=1&amp;item=F796</t>
        </is>
      </c>
      <c r="Q797" s="2" t="inlineStr"/>
    </row>
    <row r="798">
      <c r="A798" s="2" t="inlineStr">
        <is>
          <t>F797</t>
        </is>
      </c>
      <c r="B798" s="2" t="inlineStr">
        <is>
          <t>market</t>
        </is>
      </c>
      <c r="C798" s="2" t="inlineStr">
        <is>
          <t>market_series</t>
        </is>
      </c>
      <c r="D798" s="3" t="inlineStr">
        <is>
          <t>Market variable: variable; year; value; unit; source (a distribution adds n; median; spread; p10; p25; p75; p90)</t>
        </is>
      </c>
      <c r="E798" s="2" t="n"/>
      <c r="F798" s="2" t="n">
        <v>0.5</v>
      </c>
      <c r="G798" s="2" t="n"/>
      <c r="H798" s="3" t="inlineStr">
        <is>
          <t>variable: GDP growth Italy; year: 2025; value: 0.5; unit: % (2024: 0.7; France 0.9); source: OECD Economic Outlook December 2025, updated March 2026 (as cited)</t>
        </is>
      </c>
      <c r="I798" s="2" t="inlineStr">
        <is>
          <t>S3</t>
        </is>
      </c>
      <c r="J798" s="2" t="n">
        <v>21</v>
      </c>
      <c r="K798" s="3" t="inlineStr">
        <is>
          <t>Economic growth in Italy amounted to 0.5% (2024: 0.7%), while France, the second-largest economy in the euro area, recorded growth of 0.9% (2024: 1.1%).</t>
        </is>
      </c>
      <c r="L798" s="2" t="inlineStr">
        <is>
          <t>ok</t>
        </is>
      </c>
      <c r="M798" s="2" t="inlineStr">
        <is>
          <t>demo reviewer</t>
        </is>
      </c>
      <c r="N798" s="2" t="n"/>
      <c r="O798" s="3" t="inlineStr">
        <is>
          <t>https://vanillabonds.com/dossier-data/pdf/katjes/katjes-2025-annual-report.pdf#page=21</t>
        </is>
      </c>
      <c r="P798" s="3" t="inlineStr">
        <is>
          <t>https://vanillabonds.com/dossier.html?c=katjes&amp;viewer=1&amp;item=F797</t>
        </is>
      </c>
      <c r="Q798" s="2" t="inlineStr"/>
    </row>
    <row r="799">
      <c r="A799" s="2" t="inlineStr">
        <is>
          <t>F798</t>
        </is>
      </c>
      <c r="B799" s="2" t="inlineStr">
        <is>
          <t>market</t>
        </is>
      </c>
      <c r="C799" s="2" t="inlineStr">
        <is>
          <t>market_series</t>
        </is>
      </c>
      <c r="D799" s="3" t="inlineStr">
        <is>
          <t>Market variable: variable; year; value; unit; source (a distribution adds n; median; spread; p10; p25; p75; p90)</t>
        </is>
      </c>
      <c r="E799" s="2" t="n"/>
      <c r="F799" s="2" t="n">
        <v>1.3</v>
      </c>
      <c r="G799" s="2" t="n"/>
      <c r="H799" s="3" t="inlineStr">
        <is>
          <t>variable: GDP growth United Kingdom; year: 2025; value: 1.3; unit: % (2024: 1.1); Netherlands 1.7 (2024: 1.1); source: OECD Economic Outlook December 2025, updated March 2026 (as cited)</t>
        </is>
      </c>
      <c r="I799" s="2" t="inlineStr">
        <is>
          <t>S3</t>
        </is>
      </c>
      <c r="J799" s="2" t="n">
        <v>21</v>
      </c>
      <c r="K799" s="3" t="inlineStr">
        <is>
          <t>The United Kingdom developed positively, with growth of 1.3% (2024: 1.1%), while GDP growth in the Netherlands amounted to 1.7% (2024: 1.1%).</t>
        </is>
      </c>
      <c r="L799" s="2" t="inlineStr">
        <is>
          <t>ok</t>
        </is>
      </c>
      <c r="M799" s="2" t="inlineStr">
        <is>
          <t>demo reviewer</t>
        </is>
      </c>
      <c r="N799" s="2" t="n"/>
      <c r="O799" s="3" t="inlineStr">
        <is>
          <t>https://vanillabonds.com/dossier-data/pdf/katjes/katjes-2025-annual-report.pdf#page=21</t>
        </is>
      </c>
      <c r="P799" s="3" t="inlineStr">
        <is>
          <t>https://vanillabonds.com/dossier.html?c=katjes&amp;viewer=1&amp;item=F798</t>
        </is>
      </c>
      <c r="Q799" s="2" t="inlineStr"/>
    </row>
    <row r="800">
      <c r="A800" s="2" t="inlineStr">
        <is>
          <t>F799</t>
        </is>
      </c>
      <c r="B800" s="2" t="inlineStr">
        <is>
          <t>market</t>
        </is>
      </c>
      <c r="C800" s="2" t="inlineStr">
        <is>
          <t>market_series</t>
        </is>
      </c>
      <c r="D800" s="3" t="inlineStr">
        <is>
          <t>Market variable: variable; year; value; unit; source (a distribution adds n; median; spread; p10; p25; p75; p90)</t>
        </is>
      </c>
      <c r="E800" s="2" t="n"/>
      <c r="F800" s="2" t="n">
        <v>1.1</v>
      </c>
      <c r="G800" s="2" t="n"/>
      <c r="H800" s="3" t="inlineStr">
        <is>
          <t>variable: GDP growth Switzerland; year: 2025; value: 1.1; unit: % (2024: 1.4); Austria 0.3 (2024: -0.8); source: OECD Economic Outlook December 2025, updated March 2026 (as cited)</t>
        </is>
      </c>
      <c r="I800" s="2" t="inlineStr">
        <is>
          <t>S3</t>
        </is>
      </c>
      <c r="J800" s="2" t="n">
        <v>21</v>
      </c>
      <c r="K800" s="3" t="inlineStr">
        <is>
          <t>The Swiss economy grew by 1.1%, representing a slight decline (2024: 1.4%).</t>
        </is>
      </c>
      <c r="L800" s="2" t="inlineStr">
        <is>
          <t>ok</t>
        </is>
      </c>
      <c r="M800" s="2" t="inlineStr">
        <is>
          <t>demo reviewer</t>
        </is>
      </c>
      <c r="N800" s="2" t="n"/>
      <c r="O800" s="3" t="inlineStr">
        <is>
          <t>https://vanillabonds.com/dossier-data/pdf/katjes/katjes-2025-annual-report.pdf#page=21</t>
        </is>
      </c>
      <c r="P800" s="3" t="inlineStr">
        <is>
          <t>https://vanillabonds.com/dossier.html?c=katjes&amp;viewer=1&amp;item=F799</t>
        </is>
      </c>
      <c r="Q800" s="2" t="inlineStr"/>
    </row>
    <row r="801">
      <c r="A801" s="2" t="inlineStr">
        <is>
          <t>F800</t>
        </is>
      </c>
      <c r="B801" s="2" t="inlineStr">
        <is>
          <t>market</t>
        </is>
      </c>
      <c r="C801" s="2" t="inlineStr">
        <is>
          <t>market_series</t>
        </is>
      </c>
      <c r="D801" s="3" t="inlineStr">
        <is>
          <t>Market variable: variable; year; value; unit; source (a distribution adds n; median; spread; p10; p25; p75; p90)</t>
        </is>
      </c>
      <c r="E801" s="2" t="n"/>
      <c r="F801" s="2" t="n">
        <v>2.1</v>
      </c>
      <c r="G801" s="2" t="n"/>
      <c r="H801" s="3" t="inlineStr">
        <is>
          <t>variable: GDP growth United States; year: 2025; value: 2.1; unit: % (2024: 2.8); source: OECD Economic Outlook December 2025, updated March 2026 (as cited)</t>
        </is>
      </c>
      <c r="I801" s="2" t="inlineStr">
        <is>
          <t>S3</t>
        </is>
      </c>
      <c r="J801" s="2" t="n">
        <v>21</v>
      </c>
      <c r="K801" s="3" t="inlineStr">
        <is>
          <t>The United States recorded GDP growth of 2.1%, representing solid growth, albeit slightly below the prior year (2024: 2.8%).</t>
        </is>
      </c>
      <c r="L801" s="2" t="inlineStr">
        <is>
          <t>ok</t>
        </is>
      </c>
      <c r="M801" s="2" t="inlineStr">
        <is>
          <t>demo reviewer</t>
        </is>
      </c>
      <c r="N801" s="2" t="n"/>
      <c r="O801" s="3" t="inlineStr">
        <is>
          <t>https://vanillabonds.com/dossier-data/pdf/katjes/katjes-2025-annual-report.pdf#page=21</t>
        </is>
      </c>
      <c r="P801" s="3" t="inlineStr">
        <is>
          <t>https://vanillabonds.com/dossier.html?c=katjes&amp;viewer=1&amp;item=F800</t>
        </is>
      </c>
      <c r="Q801" s="2" t="inlineStr"/>
    </row>
    <row r="802">
      <c r="A802" s="2" t="inlineStr">
        <is>
          <t>F801</t>
        </is>
      </c>
      <c r="B802" s="2" t="inlineStr">
        <is>
          <t>market</t>
        </is>
      </c>
      <c r="C802" s="2" t="inlineStr">
        <is>
          <t>market_series</t>
        </is>
      </c>
      <c r="D802" s="3" t="inlineStr">
        <is>
          <t>Market variable: variable; year; value; unit; source (a distribution adds n; median; spread; p10; p25; p75; p90)</t>
        </is>
      </c>
      <c r="E802" s="2" t="n"/>
      <c r="F802" s="2" t="n">
        <v>15.4</v>
      </c>
      <c r="G802" s="2" t="n"/>
      <c r="H802" s="3" t="inlineStr">
        <is>
          <t>variable: confectionery market volume Germany; year: 2025; value: 15.4; unit: EUR bn; source: Euromonitor International (as cited in the group management report)</t>
        </is>
      </c>
      <c r="I802" s="2" t="inlineStr">
        <is>
          <t>S3</t>
        </is>
      </c>
      <c r="J802" s="2" t="n">
        <v>22</v>
      </c>
      <c r="K802" s="2" t="inlineStr">
        <is>
          <t>Germany 15.4 13.7</t>
        </is>
      </c>
      <c r="L802" s="2" t="inlineStr">
        <is>
          <t>ok</t>
        </is>
      </c>
      <c r="M802" s="2" t="inlineStr">
        <is>
          <t>demo reviewer</t>
        </is>
      </c>
      <c r="N802" s="2" t="n"/>
      <c r="O802" s="3" t="inlineStr">
        <is>
          <t>https://vanillabonds.com/dossier-data/pdf/katjes/katjes-2025-annual-report.pdf#page=22</t>
        </is>
      </c>
      <c r="P802" s="3" t="inlineStr">
        <is>
          <t>https://vanillabonds.com/dossier.html?c=katjes&amp;viewer=1&amp;item=F801</t>
        </is>
      </c>
      <c r="Q802" s="2" t="inlineStr"/>
    </row>
    <row r="803">
      <c r="A803" s="2" t="inlineStr">
        <is>
          <t>F802</t>
        </is>
      </c>
      <c r="B803" s="2" t="inlineStr">
        <is>
          <t>market</t>
        </is>
      </c>
      <c r="C803" s="2" t="inlineStr">
        <is>
          <t>market_series</t>
        </is>
      </c>
      <c r="D803" s="3" t="inlineStr">
        <is>
          <t>Market variable: variable; year; value; unit; source (a distribution adds n; median; spread; p10; p25; p75; p90)</t>
        </is>
      </c>
      <c r="E803" s="2" t="n"/>
      <c r="F803" s="2" t="n">
        <v>13.7</v>
      </c>
      <c r="G803" s="2" t="n"/>
      <c r="H803" s="3" t="inlineStr">
        <is>
          <t>variable: confectionery market volume Germany; year: 2024; value: 13.7; unit: EUR bn; source: Euromonitor International (as cited in the group management report)</t>
        </is>
      </c>
      <c r="I803" s="2" t="inlineStr">
        <is>
          <t>S3</t>
        </is>
      </c>
      <c r="J803" s="2" t="n">
        <v>22</v>
      </c>
      <c r="K803" s="2" t="inlineStr">
        <is>
          <t>Germany 15.4 13.7</t>
        </is>
      </c>
      <c r="L803" s="2" t="inlineStr">
        <is>
          <t>ok</t>
        </is>
      </c>
      <c r="M803" s="2" t="inlineStr">
        <is>
          <t>demo reviewer</t>
        </is>
      </c>
      <c r="N803" s="2" t="n"/>
      <c r="O803" s="3" t="inlineStr">
        <is>
          <t>https://vanillabonds.com/dossier-data/pdf/katjes/katjes-2025-annual-report.pdf#page=22</t>
        </is>
      </c>
      <c r="P803" s="3" t="inlineStr">
        <is>
          <t>https://vanillabonds.com/dossier.html?c=katjes&amp;viewer=1&amp;item=F802</t>
        </is>
      </c>
      <c r="Q803" s="2" t="inlineStr"/>
    </row>
    <row r="804">
      <c r="A804" s="2" t="inlineStr">
        <is>
          <t>F803</t>
        </is>
      </c>
      <c r="B804" s="2" t="inlineStr">
        <is>
          <t>market</t>
        </is>
      </c>
      <c r="C804" s="2" t="inlineStr">
        <is>
          <t>market_series</t>
        </is>
      </c>
      <c r="D804" s="3" t="inlineStr">
        <is>
          <t>Market variable: variable; year; value; unit; source (a distribution adds n; median; spread; p10; p25; p75; p90)</t>
        </is>
      </c>
      <c r="E804" s="2" t="n"/>
      <c r="F804" s="2" t="n">
        <v>13.9</v>
      </c>
      <c r="G804" s="2" t="n"/>
      <c r="H804" s="3" t="inlineStr">
        <is>
          <t>variable: confectionery market volume United Kingdom; year: 2025; value: 13.9; unit: EUR bn; source: Euromonitor International (as cited in the group management report)</t>
        </is>
      </c>
      <c r="I804" s="2" t="inlineStr">
        <is>
          <t>S3</t>
        </is>
      </c>
      <c r="J804" s="2" t="n">
        <v>22</v>
      </c>
      <c r="K804" s="2" t="inlineStr">
        <is>
          <t>United Kingdom 13.9 12.6</t>
        </is>
      </c>
      <c r="L804" s="2" t="inlineStr">
        <is>
          <t>ok</t>
        </is>
      </c>
      <c r="M804" s="2" t="inlineStr">
        <is>
          <t>demo reviewer</t>
        </is>
      </c>
      <c r="N804" s="2" t="n"/>
      <c r="O804" s="3" t="inlineStr">
        <is>
          <t>https://vanillabonds.com/dossier-data/pdf/katjes/katjes-2025-annual-report.pdf#page=22</t>
        </is>
      </c>
      <c r="P804" s="3" t="inlineStr">
        <is>
          <t>https://vanillabonds.com/dossier.html?c=katjes&amp;viewer=1&amp;item=F803</t>
        </is>
      </c>
      <c r="Q804" s="2" t="inlineStr"/>
    </row>
    <row r="805">
      <c r="A805" s="2" t="inlineStr">
        <is>
          <t>F804</t>
        </is>
      </c>
      <c r="B805" s="2" t="inlineStr">
        <is>
          <t>market</t>
        </is>
      </c>
      <c r="C805" s="2" t="inlineStr">
        <is>
          <t>market_series</t>
        </is>
      </c>
      <c r="D805" s="3" t="inlineStr">
        <is>
          <t>Market variable: variable; year; value; unit; source (a distribution adds n; median; spread; p10; p25; p75; p90)</t>
        </is>
      </c>
      <c r="E805" s="2" t="n"/>
      <c r="F805" s="2" t="n">
        <v>12.6</v>
      </c>
      <c r="G805" s="2" t="n"/>
      <c r="H805" s="3" t="inlineStr">
        <is>
          <t>variable: confectionery market volume United Kingdom; year: 2024; value: 12.6; unit: EUR bn; source: Euromonitor International (as cited in the group management report)</t>
        </is>
      </c>
      <c r="I805" s="2" t="inlineStr">
        <is>
          <t>S3</t>
        </is>
      </c>
      <c r="J805" s="2" t="n">
        <v>22</v>
      </c>
      <c r="K805" s="2" t="inlineStr">
        <is>
          <t>United Kingdom 13.9 12.6</t>
        </is>
      </c>
      <c r="L805" s="2" t="inlineStr">
        <is>
          <t>ok</t>
        </is>
      </c>
      <c r="M805" s="2" t="inlineStr">
        <is>
          <t>demo reviewer</t>
        </is>
      </c>
      <c r="N805" s="2" t="n"/>
      <c r="O805" s="3" t="inlineStr">
        <is>
          <t>https://vanillabonds.com/dossier-data/pdf/katjes/katjes-2025-annual-report.pdf#page=22</t>
        </is>
      </c>
      <c r="P805" s="3" t="inlineStr">
        <is>
          <t>https://vanillabonds.com/dossier.html?c=katjes&amp;viewer=1&amp;item=F804</t>
        </is>
      </c>
      <c r="Q805" s="2" t="inlineStr"/>
    </row>
    <row r="806">
      <c r="A806" s="2" t="inlineStr">
        <is>
          <t>F805</t>
        </is>
      </c>
      <c r="B806" s="2" t="inlineStr">
        <is>
          <t>market</t>
        </is>
      </c>
      <c r="C806" s="2" t="inlineStr">
        <is>
          <t>market_series</t>
        </is>
      </c>
      <c r="D806" s="3" t="inlineStr">
        <is>
          <t>Market variable: variable; year; value; unit; source (a distribution adds n; median; spread; p10; p25; p75; p90)</t>
        </is>
      </c>
      <c r="E806" s="2" t="n"/>
      <c r="F806" s="2" t="n">
        <v>9</v>
      </c>
      <c r="G806" s="2" t="n"/>
      <c r="H806" s="3" t="inlineStr">
        <is>
          <t>variable: confectionery market volume France; year: 2025; value: 9.0; unit: EUR bn; source: Euromonitor International (as cited in the group management report)</t>
        </is>
      </c>
      <c r="I806" s="2" t="inlineStr">
        <is>
          <t>S3</t>
        </is>
      </c>
      <c r="J806" s="2" t="n">
        <v>22</v>
      </c>
      <c r="K806" s="2" t="inlineStr">
        <is>
          <t>France 9.0 7.8</t>
        </is>
      </c>
      <c r="L806" s="2" t="inlineStr">
        <is>
          <t>ok</t>
        </is>
      </c>
      <c r="M806" s="2" t="inlineStr">
        <is>
          <t>demo reviewer</t>
        </is>
      </c>
      <c r="N806" s="2" t="n"/>
      <c r="O806" s="3" t="inlineStr">
        <is>
          <t>https://vanillabonds.com/dossier-data/pdf/katjes/katjes-2025-annual-report.pdf#page=22</t>
        </is>
      </c>
      <c r="P806" s="3" t="inlineStr">
        <is>
          <t>https://vanillabonds.com/dossier.html?c=katjes&amp;viewer=1&amp;item=F805</t>
        </is>
      </c>
      <c r="Q806" s="2" t="inlineStr"/>
    </row>
    <row r="807">
      <c r="A807" s="2" t="inlineStr">
        <is>
          <t>F806</t>
        </is>
      </c>
      <c r="B807" s="2" t="inlineStr">
        <is>
          <t>market</t>
        </is>
      </c>
      <c r="C807" s="2" t="inlineStr">
        <is>
          <t>market_series</t>
        </is>
      </c>
      <c r="D807" s="3" t="inlineStr">
        <is>
          <t>Market variable: variable; year; value; unit; source (a distribution adds n; median; spread; p10; p25; p75; p90)</t>
        </is>
      </c>
      <c r="E807" s="2" t="n"/>
      <c r="F807" s="2" t="n">
        <v>7.8</v>
      </c>
      <c r="G807" s="2" t="n"/>
      <c r="H807" s="3" t="inlineStr">
        <is>
          <t>variable: confectionery market volume France; year: 2024; value: 7.8; unit: EUR bn; source: Euromonitor International (as cited in the group management report)</t>
        </is>
      </c>
      <c r="I807" s="2" t="inlineStr">
        <is>
          <t>S3</t>
        </is>
      </c>
      <c r="J807" s="2" t="n">
        <v>22</v>
      </c>
      <c r="K807" s="2" t="inlineStr">
        <is>
          <t>France 9.0 7.8</t>
        </is>
      </c>
      <c r="L807" s="2" t="inlineStr">
        <is>
          <t>ok</t>
        </is>
      </c>
      <c r="M807" s="2" t="inlineStr">
        <is>
          <t>demo reviewer</t>
        </is>
      </c>
      <c r="N807" s="2" t="n"/>
      <c r="O807" s="3" t="inlineStr">
        <is>
          <t>https://vanillabonds.com/dossier-data/pdf/katjes/katjes-2025-annual-report.pdf#page=22</t>
        </is>
      </c>
      <c r="P807" s="3" t="inlineStr">
        <is>
          <t>https://vanillabonds.com/dossier.html?c=katjes&amp;viewer=1&amp;item=F806</t>
        </is>
      </c>
      <c r="Q807" s="2" t="inlineStr"/>
    </row>
    <row r="808">
      <c r="A808" s="2" t="inlineStr">
        <is>
          <t>F807</t>
        </is>
      </c>
      <c r="B808" s="2" t="inlineStr">
        <is>
          <t>market</t>
        </is>
      </c>
      <c r="C808" s="2" t="inlineStr">
        <is>
          <t>market_series</t>
        </is>
      </c>
      <c r="D808" s="3" t="inlineStr">
        <is>
          <t>Market variable: variable; year; value; unit; source (a distribution adds n; median; spread; p10; p25; p75; p90)</t>
        </is>
      </c>
      <c r="E808" s="2" t="n"/>
      <c r="F808" s="2" t="n">
        <v>4.2</v>
      </c>
      <c r="G808" s="2" t="n"/>
      <c r="H808" s="3" t="inlineStr">
        <is>
          <t>variable: confectionery market volume Italy; year: 2025; value: 4.2; unit: EUR bn; source: Euromonitor International (as cited in the group management report)</t>
        </is>
      </c>
      <c r="I808" s="2" t="inlineStr">
        <is>
          <t>S3</t>
        </is>
      </c>
      <c r="J808" s="2" t="n">
        <v>22</v>
      </c>
      <c r="K808" s="2" t="inlineStr">
        <is>
          <t>Italy 4.2 3.8</t>
        </is>
      </c>
      <c r="L808" s="2" t="inlineStr">
        <is>
          <t>ok</t>
        </is>
      </c>
      <c r="M808" s="2" t="inlineStr">
        <is>
          <t>demo reviewer</t>
        </is>
      </c>
      <c r="N808" s="2" t="n"/>
      <c r="O808" s="3" t="inlineStr">
        <is>
          <t>https://vanillabonds.com/dossier-data/pdf/katjes/katjes-2025-annual-report.pdf#page=22</t>
        </is>
      </c>
      <c r="P808" s="3" t="inlineStr">
        <is>
          <t>https://vanillabonds.com/dossier.html?c=katjes&amp;viewer=1&amp;item=F807</t>
        </is>
      </c>
      <c r="Q808" s="2" t="inlineStr"/>
    </row>
    <row r="809">
      <c r="A809" s="2" t="inlineStr">
        <is>
          <t>F808</t>
        </is>
      </c>
      <c r="B809" s="2" t="inlineStr">
        <is>
          <t>market</t>
        </is>
      </c>
      <c r="C809" s="2" t="inlineStr">
        <is>
          <t>market_series</t>
        </is>
      </c>
      <c r="D809" s="3" t="inlineStr">
        <is>
          <t>Market variable: variable; year; value; unit; source (a distribution adds n; median; spread; p10; p25; p75; p90)</t>
        </is>
      </c>
      <c r="E809" s="2" t="n"/>
      <c r="F809" s="2" t="n">
        <v>3.8</v>
      </c>
      <c r="G809" s="2" t="n"/>
      <c r="H809" s="3" t="inlineStr">
        <is>
          <t>variable: confectionery market volume Italy; year: 2024; value: 3.8; unit: EUR bn; source: Euromonitor International (as cited in the group management report)</t>
        </is>
      </c>
      <c r="I809" s="2" t="inlineStr">
        <is>
          <t>S3</t>
        </is>
      </c>
      <c r="J809" s="2" t="n">
        <v>22</v>
      </c>
      <c r="K809" s="2" t="inlineStr">
        <is>
          <t>Italy 4.2 3.8</t>
        </is>
      </c>
      <c r="L809" s="2" t="inlineStr">
        <is>
          <t>ok</t>
        </is>
      </c>
      <c r="M809" s="2" t="inlineStr">
        <is>
          <t>demo reviewer</t>
        </is>
      </c>
      <c r="N809" s="2" t="n"/>
      <c r="O809" s="3" t="inlineStr">
        <is>
          <t>https://vanillabonds.com/dossier-data/pdf/katjes/katjes-2025-annual-report.pdf#page=22</t>
        </is>
      </c>
      <c r="P809" s="3" t="inlineStr">
        <is>
          <t>https://vanillabonds.com/dossier.html?c=katjes&amp;viewer=1&amp;item=F808</t>
        </is>
      </c>
      <c r="Q809" s="2" t="inlineStr"/>
    </row>
    <row r="810">
      <c r="A810" s="2" t="inlineStr">
        <is>
          <t>F809</t>
        </is>
      </c>
      <c r="B810" s="2" t="inlineStr">
        <is>
          <t>market</t>
        </is>
      </c>
      <c r="C810" s="2" t="inlineStr">
        <is>
          <t>market_series</t>
        </is>
      </c>
      <c r="D810" s="3" t="inlineStr">
        <is>
          <t>Market variable: variable; year; value; unit; source (a distribution adds n; median; spread; p10; p25; p75; p90)</t>
        </is>
      </c>
      <c r="E810" s="2" t="n"/>
      <c r="F810" s="2" t="n">
        <v>2.3</v>
      </c>
      <c r="G810" s="2" t="n"/>
      <c r="H810" s="3" t="inlineStr">
        <is>
          <t>variable: confectionery market volume Netherlands; year: 2025; value: 2.3; unit: EUR bn; source: Euromonitor International (as cited in the group management report)</t>
        </is>
      </c>
      <c r="I810" s="2" t="inlineStr">
        <is>
          <t>S3</t>
        </is>
      </c>
      <c r="J810" s="2" t="n">
        <v>22</v>
      </c>
      <c r="K810" s="2" t="inlineStr">
        <is>
          <t>Netherlands 2.3 2.1</t>
        </is>
      </c>
      <c r="L810" s="2" t="inlineStr">
        <is>
          <t>ok</t>
        </is>
      </c>
      <c r="M810" s="2" t="inlineStr">
        <is>
          <t>demo reviewer</t>
        </is>
      </c>
      <c r="N810" s="2" t="n"/>
      <c r="O810" s="3" t="inlineStr">
        <is>
          <t>https://vanillabonds.com/dossier-data/pdf/katjes/katjes-2025-annual-report.pdf#page=22</t>
        </is>
      </c>
      <c r="P810" s="3" t="inlineStr">
        <is>
          <t>https://vanillabonds.com/dossier.html?c=katjes&amp;viewer=1&amp;item=F809</t>
        </is>
      </c>
      <c r="Q810" s="2" t="inlineStr"/>
    </row>
    <row r="811">
      <c r="A811" s="2" t="inlineStr">
        <is>
          <t>F810</t>
        </is>
      </c>
      <c r="B811" s="2" t="inlineStr">
        <is>
          <t>market</t>
        </is>
      </c>
      <c r="C811" s="2" t="inlineStr">
        <is>
          <t>market_series</t>
        </is>
      </c>
      <c r="D811" s="3" t="inlineStr">
        <is>
          <t>Market variable: variable; year; value; unit; source (a distribution adds n; median; spread; p10; p25; p75; p90)</t>
        </is>
      </c>
      <c r="E811" s="2" t="n"/>
      <c r="F811" s="2" t="n">
        <v>2.1</v>
      </c>
      <c r="G811" s="2" t="n"/>
      <c r="H811" s="3" t="inlineStr">
        <is>
          <t>variable: confectionery market volume Netherlands; year: 2024; value: 2.1; unit: EUR bn; source: Euromonitor International (as cited in the group management report)</t>
        </is>
      </c>
      <c r="I811" s="2" t="inlineStr">
        <is>
          <t>S3</t>
        </is>
      </c>
      <c r="J811" s="2" t="n">
        <v>22</v>
      </c>
      <c r="K811" s="2" t="inlineStr">
        <is>
          <t>Netherlands 2.3 2.1</t>
        </is>
      </c>
      <c r="L811" s="2" t="inlineStr">
        <is>
          <t>ok</t>
        </is>
      </c>
      <c r="M811" s="2" t="inlineStr">
        <is>
          <t>demo reviewer</t>
        </is>
      </c>
      <c r="N811" s="2" t="n"/>
      <c r="O811" s="3" t="inlineStr">
        <is>
          <t>https://vanillabonds.com/dossier-data/pdf/katjes/katjes-2025-annual-report.pdf#page=22</t>
        </is>
      </c>
      <c r="P811" s="3" t="inlineStr">
        <is>
          <t>https://vanillabonds.com/dossier.html?c=katjes&amp;viewer=1&amp;item=F810</t>
        </is>
      </c>
      <c r="Q811" s="2" t="inlineStr"/>
    </row>
    <row r="812">
      <c r="A812" s="2" t="inlineStr">
        <is>
          <t>F811</t>
        </is>
      </c>
      <c r="B812" s="2" t="inlineStr">
        <is>
          <t>market</t>
        </is>
      </c>
      <c r="C812" s="2" t="inlineStr">
        <is>
          <t>market_series</t>
        </is>
      </c>
      <c r="D812" s="3" t="inlineStr">
        <is>
          <t>Market variable: variable; year; value; unit; source (a distribution adds n; median; spread; p10; p25; p75; p90)</t>
        </is>
      </c>
      <c r="E812" s="2" t="n"/>
      <c r="F812" s="2" t="n">
        <v>566</v>
      </c>
      <c r="G812" s="2" t="n"/>
      <c r="H812" s="3" t="inlineStr">
        <is>
          <t>variable: baby and children's care market volume Germany; year: 2025; value: 566; unit: EUR m; source: Nielsen (as cited); -1.4% vs 2024, sales volume -3.7%</t>
        </is>
      </c>
      <c r="I812" s="2" t="inlineStr">
        <is>
          <t>S3</t>
        </is>
      </c>
      <c r="J812" s="2" t="n">
        <v>22</v>
      </c>
      <c r="K812" s="3" t="inlineStr">
        <is>
          <t>According to Nielsen data, the market volume in Germany amounted to EUR 566 million in 2025 (2024: EUR 574 million).</t>
        </is>
      </c>
      <c r="L812" s="2" t="inlineStr">
        <is>
          <t>ok</t>
        </is>
      </c>
      <c r="M812" s="2" t="inlineStr">
        <is>
          <t>demo reviewer</t>
        </is>
      </c>
      <c r="N812" s="2" t="n"/>
      <c r="O812" s="3" t="inlineStr">
        <is>
          <t>https://vanillabonds.com/dossier-data/pdf/katjes/katjes-2025-annual-report.pdf#page=22</t>
        </is>
      </c>
      <c r="P812" s="3" t="inlineStr">
        <is>
          <t>https://vanillabonds.com/dossier.html?c=katjes&amp;viewer=1&amp;item=F811</t>
        </is>
      </c>
      <c r="Q812" s="2" t="inlineStr"/>
    </row>
    <row r="813">
      <c r="A813" s="2" t="inlineStr">
        <is>
          <t>F812</t>
        </is>
      </c>
      <c r="B813" s="2" t="inlineStr">
        <is>
          <t>market</t>
        </is>
      </c>
      <c r="C813" s="2" t="inlineStr">
        <is>
          <t>market_series</t>
        </is>
      </c>
      <c r="D813" s="3" t="inlineStr">
        <is>
          <t>Market variable: variable; year; value; unit; source (a distribution adds n; median; spread; p10; p25; p75; p90)</t>
        </is>
      </c>
      <c r="E813" s="2" t="n"/>
      <c r="F813" s="2" t="n">
        <v>574</v>
      </c>
      <c r="G813" s="2" t="n"/>
      <c r="H813" s="3" t="inlineStr">
        <is>
          <t>variable: baby and children's care market volume Germany; year: 2024; value: 574; unit: EUR m; source: Nielsen (as cited); +1.0% vs 2023</t>
        </is>
      </c>
      <c r="I813" s="2" t="inlineStr">
        <is>
          <t>S3</t>
        </is>
      </c>
      <c r="J813" s="2" t="n">
        <v>22</v>
      </c>
      <c r="K813" s="3" t="inlineStr">
        <is>
          <t>According to Nielsen data, the market volume in Germany amounted to EUR 566 million in 2025 (2024: EUR 574 million).</t>
        </is>
      </c>
      <c r="L813" s="2" t="inlineStr">
        <is>
          <t>ok</t>
        </is>
      </c>
      <c r="M813" s="2" t="inlineStr">
        <is>
          <t>demo reviewer</t>
        </is>
      </c>
      <c r="N813" s="2" t="n"/>
      <c r="O813" s="3" t="inlineStr">
        <is>
          <t>https://vanillabonds.com/dossier-data/pdf/katjes/katjes-2025-annual-report.pdf#page=22</t>
        </is>
      </c>
      <c r="P813" s="3" t="inlineStr">
        <is>
          <t>https://vanillabonds.com/dossier.html?c=katjes&amp;viewer=1&amp;item=F812</t>
        </is>
      </c>
      <c r="Q813" s="2" t="inlineStr"/>
    </row>
    <row r="814">
      <c r="A814" s="2" t="inlineStr">
        <is>
          <t>F813</t>
        </is>
      </c>
      <c r="B814" s="2" t="inlineStr">
        <is>
          <t>market</t>
        </is>
      </c>
      <c r="C814" s="2" t="inlineStr">
        <is>
          <t>market_series</t>
        </is>
      </c>
      <c r="D814" s="3" t="inlineStr">
        <is>
          <t>Market variable: variable; year; value; unit; source (a distribution adds n; median; spread; p10; p25; p75; p90)</t>
        </is>
      </c>
      <c r="E814" s="2" t="n"/>
      <c r="F814" s="2" t="n">
        <v>2080</v>
      </c>
      <c r="G814" s="2" t="n"/>
      <c r="H814" s="3" t="inlineStr">
        <is>
          <t>variable: dental and oral care revenue Germany; year: 2025; value: 2,080; unit: EUR m; source: Circana (as cited); +2.8% yoy</t>
        </is>
      </c>
      <c r="I814" s="2" t="inlineStr">
        <is>
          <t>S3</t>
        </is>
      </c>
      <c r="J814" s="2" t="n">
        <v>23</v>
      </c>
      <c r="K814" s="3" t="inlineStr">
        <is>
          <t>Revenue generated with products in this segment amounted to approximately EUR 2.08 billion in 2025 and, according to Circana data, increased by +2.8% compared to the previous year.</t>
        </is>
      </c>
      <c r="L814" s="2" t="inlineStr">
        <is>
          <t>ok</t>
        </is>
      </c>
      <c r="M814" s="2" t="inlineStr">
        <is>
          <t>demo reviewer</t>
        </is>
      </c>
      <c r="N814" s="2" t="n"/>
      <c r="O814" s="3" t="inlineStr">
        <is>
          <t>https://vanillabonds.com/dossier-data/pdf/katjes/katjes-2025-annual-report.pdf#page=23</t>
        </is>
      </c>
      <c r="P814" s="3" t="inlineStr">
        <is>
          <t>https://vanillabonds.com/dossier.html?c=katjes&amp;viewer=1&amp;item=F813</t>
        </is>
      </c>
      <c r="Q814" s="2" t="inlineStr"/>
    </row>
    <row r="815">
      <c r="A815" s="2" t="inlineStr">
        <is>
          <t>F814</t>
        </is>
      </c>
      <c r="B815" s="2" t="inlineStr">
        <is>
          <t>market</t>
        </is>
      </c>
      <c r="C815" s="2" t="inlineStr">
        <is>
          <t>market_series</t>
        </is>
      </c>
      <c r="D815" s="3" t="inlineStr">
        <is>
          <t>Market variable: variable; year; value; unit; source (a distribution adds n; median; spread; p10; p25; p75; p90)</t>
        </is>
      </c>
      <c r="E815" s="2" t="n"/>
      <c r="F815" s="2" t="n">
        <v>4.7</v>
      </c>
      <c r="G815" s="2" t="n"/>
      <c r="H815" s="3" t="inlineStr">
        <is>
          <t>variable: confectionery market volume growth forecast Western Europe; year: 2026; value: 4.7; unit: %; source: group management report forecast (Eastern Europe 2.6%)</t>
        </is>
      </c>
      <c r="I815" s="2" t="inlineStr">
        <is>
          <t>S3</t>
        </is>
      </c>
      <c r="J815" s="2" t="n">
        <v>35</v>
      </c>
      <c r="K815" s="3" t="inlineStr">
        <is>
          <t>In the confectionery segment, the market volume in Western Europe is expected to increase by approximately 4.7% in 2026, while Eastern Europe is expected to grow by 2.6%</t>
        </is>
      </c>
      <c r="L815" s="2" t="inlineStr">
        <is>
          <t>ok</t>
        </is>
      </c>
      <c r="M815" s="2" t="inlineStr">
        <is>
          <t>demo reviewer</t>
        </is>
      </c>
      <c r="N815" s="2" t="n"/>
      <c r="O815" s="3" t="inlineStr">
        <is>
          <t>https://vanillabonds.com/dossier-data/pdf/katjes/katjes-2025-annual-report.pdf#page=35</t>
        </is>
      </c>
      <c r="P815" s="3" t="inlineStr">
        <is>
          <t>https://vanillabonds.com/dossier.html?c=katjes&amp;viewer=1&amp;item=F814</t>
        </is>
      </c>
      <c r="Q815" s="2" t="inlineStr"/>
    </row>
    <row r="816">
      <c r="A816" s="2" t="inlineStr">
        <is>
          <t>F815</t>
        </is>
      </c>
      <c r="B816" s="2" t="inlineStr">
        <is>
          <t>market</t>
        </is>
      </c>
      <c r="C816" s="2" t="inlineStr">
        <is>
          <t>market_series</t>
        </is>
      </c>
      <c r="D816" s="3" t="inlineStr">
        <is>
          <t>Market variable: variable; year; value; unit; source (a distribution adds n; median; spread; p10; p25; p75; p90)</t>
        </is>
      </c>
      <c r="E816" s="2" t="n"/>
      <c r="F816" s="2" t="n">
        <v>1.7</v>
      </c>
      <c r="G816" s="2" t="n"/>
      <c r="H816" s="3" t="inlineStr">
        <is>
          <t>variable: baby and children's care market growth forecast Germany; year: 2026; value: 1.7; unit: %; source: Euromonitor International (as cited in the group management report)</t>
        </is>
      </c>
      <c r="I816" s="2" t="inlineStr">
        <is>
          <t>S3</t>
        </is>
      </c>
      <c r="J816" s="2" t="n">
        <v>35</v>
      </c>
      <c r="K816" s="3" t="inlineStr">
        <is>
          <t>According to Euromonitor data, the market for baby and children’s care products in Germany is also expected to grow by 1.7% in 2026.</t>
        </is>
      </c>
      <c r="L816" s="2" t="inlineStr">
        <is>
          <t>ok</t>
        </is>
      </c>
      <c r="M816" s="2" t="inlineStr">
        <is>
          <t>demo reviewer</t>
        </is>
      </c>
      <c r="N816" s="2" t="n"/>
      <c r="O816" s="3" t="inlineStr">
        <is>
          <t>https://vanillabonds.com/dossier-data/pdf/katjes/katjes-2025-annual-report.pdf#page=35</t>
        </is>
      </c>
      <c r="P816" s="3" t="inlineStr">
        <is>
          <t>https://vanillabonds.com/dossier.html?c=katjes&amp;viewer=1&amp;item=F815</t>
        </is>
      </c>
      <c r="Q816" s="2" t="inlineStr"/>
    </row>
    <row r="817">
      <c r="A817" s="2" t="inlineStr">
        <is>
          <t>F816</t>
        </is>
      </c>
      <c r="B817" s="2" t="inlineStr">
        <is>
          <t>market</t>
        </is>
      </c>
      <c r="C817" s="2" t="inlineStr">
        <is>
          <t>market_series</t>
        </is>
      </c>
      <c r="D817" s="3" t="inlineStr">
        <is>
          <t>Market variable: variable; year; value; unit; source (a distribution adds n; median; spread; p10; p25; p75; p90)</t>
        </is>
      </c>
      <c r="E817" s="2" t="n"/>
      <c r="F817" s="2" t="n">
        <v>4</v>
      </c>
      <c r="G817" s="2" t="n"/>
      <c r="H817" s="3" t="inlineStr">
        <is>
          <t>variable: oral care market growth forecast Germany; year: 2026; value: nearly 4; unit: %; source: Euromonitor International (as cited in the group management report)</t>
        </is>
      </c>
      <c r="I817" s="2" t="inlineStr">
        <is>
          <t>S3</t>
        </is>
      </c>
      <c r="J817" s="2" t="n">
        <v>35</v>
      </c>
      <c r="K817" s="3" t="inlineStr">
        <is>
          <t>The oral care market in Germany is expected to grow by nearly 4% in 2026, according to Euromonitor data.</t>
        </is>
      </c>
      <c r="L817" s="2" t="inlineStr">
        <is>
          <t>ok</t>
        </is>
      </c>
      <c r="M817" s="2" t="inlineStr">
        <is>
          <t>demo reviewer</t>
        </is>
      </c>
      <c r="N817" s="2" t="n"/>
      <c r="O817" s="3" t="inlineStr">
        <is>
          <t>https://vanillabonds.com/dossier-data/pdf/katjes/katjes-2025-annual-report.pdf#page=35</t>
        </is>
      </c>
      <c r="P817" s="3" t="inlineStr">
        <is>
          <t>https://vanillabonds.com/dossier.html?c=katjes&amp;viewer=1&amp;item=F816</t>
        </is>
      </c>
      <c r="Q817" s="2" t="inlineStr"/>
    </row>
    <row r="818">
      <c r="A818" s="2" t="inlineStr">
        <is>
          <t>F817</t>
        </is>
      </c>
      <c r="B818" s="2" t="inlineStr">
        <is>
          <t>market</t>
        </is>
      </c>
      <c r="C818" s="2" t="inlineStr">
        <is>
          <t>market_series</t>
        </is>
      </c>
      <c r="D818" s="3" t="inlineStr">
        <is>
          <t>Market variable: variable; year; value; unit; source (a distribution adds n; median; spread; p10; p25; p75; p90)</t>
        </is>
      </c>
      <c r="E818" s="2" t="n"/>
      <c r="F818" s="2" t="n">
        <v>2</v>
      </c>
      <c r="G818" s="2" t="n"/>
      <c r="H818" s="3" t="inlineStr">
        <is>
          <t>variable: designer apparel market growth forecast Germany; year: 2026; value: nearly 2; unit: %; source: Euromonitor International (as cited in the group management report)</t>
        </is>
      </c>
      <c r="I818" s="2" t="inlineStr">
        <is>
          <t>S3</t>
        </is>
      </c>
      <c r="J818" s="2" t="n">
        <v>35</v>
      </c>
      <c r="K818" s="3" t="inlineStr">
        <is>
          <t>The designer apparel market in Germany is expected to grow by nearly 2% in 2026, according to Euromonitor data.</t>
        </is>
      </c>
      <c r="L818" s="2" t="inlineStr">
        <is>
          <t>ok</t>
        </is>
      </c>
      <c r="M818" s="2" t="inlineStr">
        <is>
          <t>demo reviewer</t>
        </is>
      </c>
      <c r="N818" s="2" t="n"/>
      <c r="O818" s="3" t="inlineStr">
        <is>
          <t>https://vanillabonds.com/dossier-data/pdf/katjes/katjes-2025-annual-report.pdf#page=35</t>
        </is>
      </c>
      <c r="P818" s="3" t="inlineStr">
        <is>
          <t>https://vanillabonds.com/dossier.html?c=katjes&amp;viewer=1&amp;item=F817</t>
        </is>
      </c>
      <c r="Q818" s="2" t="inlineStr"/>
    </row>
    <row r="819">
      <c r="A819" s="2" t="inlineStr">
        <is>
          <t>F818</t>
        </is>
      </c>
      <c r="B819" s="2" t="inlineStr">
        <is>
          <t>market</t>
        </is>
      </c>
      <c r="C819" s="2" t="inlineStr">
        <is>
          <t>market_series</t>
        </is>
      </c>
      <c r="D819" s="3" t="inlineStr">
        <is>
          <t>Market variable: variable; year; value; unit; source (a distribution adds n; median; spread; p10; p25; p75; p90)</t>
        </is>
      </c>
      <c r="E819" s="2" t="n"/>
      <c r="F819" s="2" t="n">
        <v>0.8</v>
      </c>
      <c r="G819" s="2" t="n"/>
      <c r="H819" s="3" t="inlineStr">
        <is>
          <t>variable: GDP growth forecast euro area; year: 2026; value: 0.8; unit: %; Germany 0.8, Netherlands 1.4; source: OECD Economic Outlook December 2025, updated March 2026 (as cited)</t>
        </is>
      </c>
      <c r="I819" s="2" t="inlineStr">
        <is>
          <t>S3</t>
        </is>
      </c>
      <c r="J819" s="2" t="n">
        <v>35</v>
      </c>
      <c r="K819" s="3" t="inlineStr">
        <is>
          <t>The OECD expects gross domestic product (GDP) in the euro area to increase by 0.8% in 2026. Growth of 0.8% is expected for the Federal Republic of Germany and 1.4% for the Netherlands.</t>
        </is>
      </c>
      <c r="L819" s="2" t="inlineStr">
        <is>
          <t>ok</t>
        </is>
      </c>
      <c r="M819" s="2" t="inlineStr">
        <is>
          <t>demo reviewer</t>
        </is>
      </c>
      <c r="N819" s="2" t="n"/>
      <c r="O819" s="3" t="inlineStr">
        <is>
          <t>https://vanillabonds.com/dossier-data/pdf/katjes/katjes-2025-annual-report.pdf#page=35</t>
        </is>
      </c>
      <c r="P819" s="3" t="inlineStr">
        <is>
          <t>https://vanillabonds.com/dossier.html?c=katjes&amp;viewer=1&amp;item=F818</t>
        </is>
      </c>
      <c r="Q819" s="2" t="inlineStr"/>
    </row>
    <row r="820">
      <c r="A820" s="2" t="inlineStr">
        <is>
          <t>F819</t>
        </is>
      </c>
      <c r="B820" s="2" t="inlineStr">
        <is>
          <t>market</t>
        </is>
      </c>
      <c r="C820" s="2" t="inlineStr">
        <is>
          <t>market_series</t>
        </is>
      </c>
      <c r="D820" s="3" t="inlineStr">
        <is>
          <t>Market variable: variable; year; value; unit; source (a distribution adds n; median; spread; p10; p25; p75; p90)</t>
        </is>
      </c>
      <c r="E820" s="2" t="n"/>
      <c r="F820" s="2" t="n">
        <v>0.4</v>
      </c>
      <c r="G820" s="2" t="n"/>
      <c r="H820" s="3" t="inlineStr">
        <is>
          <t>variable: GDP growth forecast Italy; year: 2026; value: 0.4; unit: %; France 0.8, United Kingdom 0.7; source: OECD Economic Outlook December 2025, updated March 2026 (as cited)</t>
        </is>
      </c>
      <c r="I820" s="2" t="inlineStr">
        <is>
          <t>S3</t>
        </is>
      </c>
      <c r="J820" s="2" t="n">
        <v>35</v>
      </c>
      <c r="K820" s="3" t="inlineStr">
        <is>
          <t>Economic output in Italy is expected to increase by 0.4%. Growth of 0.8% is forecast for France, while GDP in the United Kingdom is expected to rise by 0.7%.</t>
        </is>
      </c>
      <c r="L820" s="2" t="inlineStr">
        <is>
          <t>ok</t>
        </is>
      </c>
      <c r="M820" s="2" t="inlineStr">
        <is>
          <t>demo reviewer</t>
        </is>
      </c>
      <c r="N820" s="2" t="n"/>
      <c r="O820" s="3" t="inlineStr">
        <is>
          <t>https://vanillabonds.com/dossier-data/pdf/katjes/katjes-2025-annual-report.pdf#page=35</t>
        </is>
      </c>
      <c r="P820" s="3" t="inlineStr">
        <is>
          <t>https://vanillabonds.com/dossier.html?c=katjes&amp;viewer=1&amp;item=F819</t>
        </is>
      </c>
      <c r="Q820" s="2" t="inlineStr"/>
    </row>
    <row r="821">
      <c r="A821" s="2" t="inlineStr">
        <is>
          <t>F820</t>
        </is>
      </c>
      <c r="B821" s="2" t="inlineStr">
        <is>
          <t>market</t>
        </is>
      </c>
      <c r="C821" s="2" t="inlineStr">
        <is>
          <t>market_series</t>
        </is>
      </c>
      <c r="D821" s="3" t="inlineStr">
        <is>
          <t>Market variable: variable; year; value; unit; source (a distribution adds n; median; spread; p10; p25; p75; p90)</t>
        </is>
      </c>
      <c r="E821" s="2" t="n"/>
      <c r="F821" s="2" t="n">
        <v>2</v>
      </c>
      <c r="G821" s="2" t="n"/>
      <c r="H821" s="3" t="inlineStr">
        <is>
          <t>variable: GDP growth forecast United States; year: 2026; value: 2.0; unit: %; Switzerland 1.2, Austria 0.9; source: OECD Economic Outlook December 2025, updated March 2026 (as cited)</t>
        </is>
      </c>
      <c r="I821" s="2" t="inlineStr">
        <is>
          <t>S3</t>
        </is>
      </c>
      <c r="J821" s="2" t="n">
        <v>35</v>
      </c>
      <c r="K821" s="3" t="inlineStr">
        <is>
          <t>GDP growth of 1.2% is expected for Switzerland and 0.9% for Austria. For the United States, growth of 2.0% is forecast.</t>
        </is>
      </c>
      <c r="L821" s="2" t="inlineStr">
        <is>
          <t>ok</t>
        </is>
      </c>
      <c r="M821" s="2" t="inlineStr">
        <is>
          <t>demo reviewer</t>
        </is>
      </c>
      <c r="N821" s="2" t="n"/>
      <c r="O821" s="3" t="inlineStr">
        <is>
          <t>https://vanillabonds.com/dossier-data/pdf/katjes/katjes-2025-annual-report.pdf#page=35</t>
        </is>
      </c>
      <c r="P821" s="3" t="inlineStr">
        <is>
          <t>https://vanillabonds.com/dossier.html?c=katjes&amp;viewer=1&amp;item=F820</t>
        </is>
      </c>
      <c r="Q821" s="2" t="inlineStr"/>
    </row>
    <row r="822">
      <c r="A822" s="2" t="inlineStr">
        <is>
          <t>F821</t>
        </is>
      </c>
      <c r="B822" s="2" t="inlineStr">
        <is>
          <t>market</t>
        </is>
      </c>
      <c r="C822" s="2" t="inlineStr">
        <is>
          <t>regulation_item</t>
        </is>
      </c>
      <c r="D822" s="3" t="inlineStr">
        <is>
          <t>Regulation: measure; effective; effect on the company as stated; source</t>
        </is>
      </c>
      <c r="E822" s="2" t="n"/>
      <c r="F822" s="2" t="n"/>
      <c r="G822" s="2" t="n"/>
      <c r="H822" s="3" t="inlineStr">
        <is>
          <t>measure: gradual reduction of the German corporate income tax rate resolved in July 2025 (tax investment programme); effective: from 2025 enactment onward; effect on the company as stated: deferred taxes affected, tax rate change income of 3.3 in 2025; source: group management report</t>
        </is>
      </c>
      <c r="I822" s="2" t="inlineStr">
        <is>
          <t>S3</t>
        </is>
      </c>
      <c r="J822" s="2" t="n">
        <v>28</v>
      </c>
      <c r="K822" s="3" t="inlineStr">
        <is>
          <t>the gradual reduction of the corporate income tax rate resolved in July 2025 as part of the German tax investment programme</t>
        </is>
      </c>
      <c r="L822" s="2" t="inlineStr">
        <is>
          <t>ok</t>
        </is>
      </c>
      <c r="M822" s="2" t="inlineStr">
        <is>
          <t>demo reviewer</t>
        </is>
      </c>
      <c r="N822" s="2" t="n"/>
      <c r="O822" s="3" t="inlineStr">
        <is>
          <t>https://vanillabonds.com/dossier-data/pdf/katjes/katjes-2025-annual-report.pdf#page=28</t>
        </is>
      </c>
      <c r="P822" s="3" t="inlineStr">
        <is>
          <t>https://vanillabonds.com/dossier.html?c=katjes&amp;viewer=1&amp;item=F821</t>
        </is>
      </c>
      <c r="Q822" s="2" t="inlineStr"/>
    </row>
    <row r="823">
      <c r="A823" s="2" t="inlineStr">
        <is>
          <t>F822</t>
        </is>
      </c>
      <c r="B823" s="2" t="inlineStr">
        <is>
          <t>market</t>
        </is>
      </c>
      <c r="C823" s="2" t="inlineStr">
        <is>
          <t>regulation_item</t>
        </is>
      </c>
      <c r="D823" s="3" t="inlineStr">
        <is>
          <t>Regulation: measure; effective; effect on the company as stated; source</t>
        </is>
      </c>
      <c r="E823" s="2" t="n"/>
      <c r="F823" s="2" t="n"/>
      <c r="G823" s="2" t="n"/>
      <c r="H823" s="3" t="inlineStr">
        <is>
          <t>measure: changes in legal frameworks or regulatory interventions; effect on the company as stated: may restrict production or sale of products in their current form or volume; source: opportunities and risks report</t>
        </is>
      </c>
      <c r="I823" s="2" t="inlineStr">
        <is>
          <t>S3</t>
        </is>
      </c>
      <c r="J823" s="2" t="n">
        <v>31</v>
      </c>
      <c r="K823" s="3" t="inlineStr">
        <is>
          <t>Changes in legal frameworks or other regulatory interventions may restrict the production or sale of products in their current form or volume.</t>
        </is>
      </c>
      <c r="L823" s="2" t="inlineStr">
        <is>
          <t>ok</t>
        </is>
      </c>
      <c r="M823" s="2" t="inlineStr">
        <is>
          <t>demo reviewer</t>
        </is>
      </c>
      <c r="N823" s="2" t="n"/>
      <c r="O823" s="3" t="inlineStr">
        <is>
          <t>https://vanillabonds.com/dossier-data/pdf/katjes/katjes-2025-annual-report.pdf#page=31</t>
        </is>
      </c>
      <c r="P823" s="3" t="inlineStr">
        <is>
          <t>https://vanillabonds.com/dossier.html?c=katjes&amp;viewer=1&amp;item=F822</t>
        </is>
      </c>
      <c r="Q823" s="2" t="inlineStr"/>
    </row>
    <row r="824">
      <c r="A824" s="2" t="inlineStr">
        <is>
          <t>F823</t>
        </is>
      </c>
      <c r="B824" s="2" t="inlineStr">
        <is>
          <t>market</t>
        </is>
      </c>
      <c r="C824" s="2" t="inlineStr">
        <is>
          <t>regulation_item</t>
        </is>
      </c>
      <c r="D824" s="3" t="inlineStr">
        <is>
          <t>Regulation: measure; effective; effect on the company as stated; source</t>
        </is>
      </c>
      <c r="E824" s="2" t="n"/>
      <c r="F824" s="2" t="n"/>
      <c r="G824" s="2" t="n"/>
      <c r="H824" s="3" t="inlineStr">
        <is>
          <t>measure: IFRS 18 and IFRS 19; effective: financial years from January 1, 2027 (IFRS 9/IFRS 7 amendments from 2026); effect on the company as stated: presentation changes under IFRS 18, otherwise no material impact; source: notes 2.2</t>
        </is>
      </c>
      <c r="I824" s="2" t="inlineStr">
        <is>
          <t>S3</t>
        </is>
      </c>
      <c r="J824" s="2" t="n">
        <v>46</v>
      </c>
      <c r="K824" s="3" t="inlineStr">
        <is>
          <t>Except for the presentation changes required by IFRS 18, no material impact on the consolidated financial statements</t>
        </is>
      </c>
      <c r="L824" s="2" t="inlineStr">
        <is>
          <t>ok</t>
        </is>
      </c>
      <c r="M824" s="2" t="inlineStr">
        <is>
          <t>demo reviewer</t>
        </is>
      </c>
      <c r="N824" s="2" t="n"/>
      <c r="O824" s="3" t="inlineStr">
        <is>
          <t>https://vanillabonds.com/dossier-data/pdf/katjes/katjes-2025-annual-report.pdf#page=46</t>
        </is>
      </c>
      <c r="P824" s="3" t="inlineStr">
        <is>
          <t>https://vanillabonds.com/dossier.html?c=katjes&amp;viewer=1&amp;item=F823</t>
        </is>
      </c>
      <c r="Q824" s="2" t="inlineStr"/>
    </row>
    <row r="825">
      <c r="A825" s="2" t="inlineStr">
        <is>
          <t>F824</t>
        </is>
      </c>
      <c r="B825" s="2" t="inlineStr">
        <is>
          <t>market</t>
        </is>
      </c>
      <c r="C825" s="2" t="inlineStr">
        <is>
          <t>regulation_item</t>
        </is>
      </c>
      <c r="D825" s="3" t="inlineStr">
        <is>
          <t>Regulation: measure; effective; effect on the company as stated; source</t>
        </is>
      </c>
      <c r="E825" s="2" t="n"/>
      <c r="F825" s="2" t="n"/>
      <c r="G825" s="2" t="n"/>
      <c r="H825" s="3" t="inlineStr">
        <is>
          <t>measure: OECD BEPS Pillar II global minimum tax (GloBE Rules); effective: 2025; effect on the company as stated: not applicable as revenue thresholds not exceeded; source: notes 2.3</t>
        </is>
      </c>
      <c r="I825" s="2" t="inlineStr">
        <is>
          <t>S3</t>
        </is>
      </c>
      <c r="J825" s="2" t="n">
        <v>50</v>
      </c>
      <c r="K825" s="3" t="inlineStr">
        <is>
          <t>The rules on global minimum taxation under OECD BEPS Pillar II (GloBE Rules) are not applicable to the Katjes International Group in the financial year 2025</t>
        </is>
      </c>
      <c r="L825" s="2" t="inlineStr">
        <is>
          <t>ok</t>
        </is>
      </c>
      <c r="M825" s="2" t="inlineStr">
        <is>
          <t>demo reviewer</t>
        </is>
      </c>
      <c r="N825" s="2" t="n"/>
      <c r="O825" s="3" t="inlineStr">
        <is>
          <t>https://vanillabonds.com/dossier-data/pdf/katjes/katjes-2025-annual-report.pdf#page=50</t>
        </is>
      </c>
      <c r="P825" s="3" t="inlineStr">
        <is>
          <t>https://vanillabonds.com/dossier.html?c=katjes&amp;viewer=1&amp;item=F824</t>
        </is>
      </c>
      <c r="Q825" s="2" t="inlineStr"/>
    </row>
    <row r="826">
      <c r="A826" s="2" t="inlineStr">
        <is>
          <t>F825</t>
        </is>
      </c>
      <c r="B826" s="2" t="inlineStr">
        <is>
          <t>market</t>
        </is>
      </c>
      <c r="C826" s="2" t="inlineStr">
        <is>
          <t>industry_assessment</t>
        </is>
      </c>
      <c r="D826" s="3" t="inlineStr">
        <is>
          <t>Third-party industry assessment, quoted verbatim: source; date; text; licence (T)</t>
        </is>
      </c>
      <c r="E826" s="2" t="n"/>
      <c r="F826" s="2" t="n"/>
      <c r="G826" s="2" t="n"/>
      <c r="H826" s="3" t="inlineStr">
        <is>
          <t>source: McKinsey report 'The State of Fashion 2025'; date: 2025; text: 'the luxury fashion market is facing significant global challenges. For the coming years, a neutral to positive development with growth between 0% and 5% is expected.'; licence: not stated</t>
        </is>
      </c>
      <c r="I826" s="2" t="inlineStr">
        <is>
          <t>S3</t>
        </is>
      </c>
      <c r="J826" s="2" t="n">
        <v>23</v>
      </c>
      <c r="K826" s="3" t="inlineStr">
        <is>
          <t>For the coming years, a neutral to positive development with growth between 0% and 5% is expected.</t>
        </is>
      </c>
      <c r="L826" s="2" t="inlineStr">
        <is>
          <t>ok</t>
        </is>
      </c>
      <c r="M826" s="2" t="inlineStr">
        <is>
          <t>demo reviewer</t>
        </is>
      </c>
      <c r="N826" s="2" t="n"/>
      <c r="O826" s="3" t="inlineStr">
        <is>
          <t>https://vanillabonds.com/dossier-data/pdf/katjes/katjes-2025-annual-report.pdf#page=23</t>
        </is>
      </c>
      <c r="P826" s="3" t="inlineStr">
        <is>
          <t>https://vanillabonds.com/dossier.html?c=katjes&amp;viewer=1&amp;item=F825</t>
        </is>
      </c>
      <c r="Q826" s="2" t="inlineStr"/>
    </row>
    <row r="827">
      <c r="A827" s="2" t="inlineStr">
        <is>
          <t>F826</t>
        </is>
      </c>
      <c r="B827" s="2" t="inlineStr">
        <is>
          <t>market</t>
        </is>
      </c>
      <c r="C827" s="2" t="inlineStr">
        <is>
          <t>contract_term</t>
        </is>
      </c>
      <c r="D827" s="3" t="inlineStr">
        <is>
          <t>Key contract: counterparty; share (of revenue or purchases, 0-1); duration; termination; indexation</t>
        </is>
      </c>
      <c r="E827" s="2" t="n"/>
      <c r="F827" s="2" t="n"/>
      <c r="G827" s="2" t="n"/>
      <c r="H827" s="3" t="inlineStr">
        <is>
          <t>counterparty: BBC (licensing partnership for the brand Bluey, Bübchen); duration: first products in retail since November 2025</t>
        </is>
      </c>
      <c r="I827" s="2" t="inlineStr">
        <is>
          <t>S3</t>
        </is>
      </c>
      <c r="J827" s="2" t="n">
        <v>13</v>
      </c>
      <c r="K827" s="3" t="inlineStr">
        <is>
          <t>Through a new licensing partnership with the BBC for the internationally successful brand Bluey, Bübchen is bringing fresh momentum to the toddler segment.</t>
        </is>
      </c>
      <c r="L827" s="2" t="inlineStr">
        <is>
          <t>ok</t>
        </is>
      </c>
      <c r="M827" s="2" t="inlineStr">
        <is>
          <t>demo reviewer</t>
        </is>
      </c>
      <c r="N827" s="2" t="n"/>
      <c r="O827" s="3" t="inlineStr">
        <is>
          <t>https://vanillabonds.com/dossier-data/pdf/katjes/katjes-2025-annual-report.pdf#page=13</t>
        </is>
      </c>
      <c r="P827" s="3" t="inlineStr">
        <is>
          <t>https://vanillabonds.com/dossier.html?c=katjes&amp;viewer=1&amp;item=F826</t>
        </is>
      </c>
      <c r="Q827" s="2" t="inlineStr"/>
    </row>
    <row r="828">
      <c r="A828" s="2" t="inlineStr">
        <is>
          <t>F827</t>
        </is>
      </c>
      <c r="B828" s="2" t="inlineStr">
        <is>
          <t>market</t>
        </is>
      </c>
      <c r="C828" s="2" t="inlineStr">
        <is>
          <t>contract_term</t>
        </is>
      </c>
      <c r="D828" s="3" t="inlineStr">
        <is>
          <t>Key contract: counterparty; share (of revenue or purchases, 0-1); duration; termination; indexation</t>
        </is>
      </c>
      <c r="E828" s="2" t="n"/>
      <c r="F828" s="2" t="n"/>
      <c r="G828" s="2" t="n"/>
      <c r="H828" s="3" t="inlineStr">
        <is>
          <t>counterparty: Hasbro (Peppa Pig licence, Theramed children's toothpaste); duration: launched September 2025</t>
        </is>
      </c>
      <c r="I828" s="2" t="inlineStr">
        <is>
          <t>S3</t>
        </is>
      </c>
      <c r="J828" s="2" t="n">
        <v>14</v>
      </c>
      <c r="K828" s="3" t="inlineStr">
        <is>
          <t>As part of a licensing partnership with Hasbro, Theramed launched a children’s toothpaste featuring the popular Peppa Pig licence in September.</t>
        </is>
      </c>
      <c r="L828" s="2" t="inlineStr">
        <is>
          <t>ok</t>
        </is>
      </c>
      <c r="M828" s="2" t="inlineStr">
        <is>
          <t>demo reviewer</t>
        </is>
      </c>
      <c r="N828" s="2" t="n"/>
      <c r="O828" s="3" t="inlineStr">
        <is>
          <t>https://vanillabonds.com/dossier-data/pdf/katjes/katjes-2025-annual-report.pdf#page=14</t>
        </is>
      </c>
      <c r="P828" s="3" t="inlineStr">
        <is>
          <t>https://vanillabonds.com/dossier.html?c=katjes&amp;viewer=1&amp;item=F827</t>
        </is>
      </c>
      <c r="Q828" s="2" t="inlineStr"/>
    </row>
    <row r="829">
      <c r="A829" s="2" t="inlineStr">
        <is>
          <t>F828</t>
        </is>
      </c>
      <c r="B829" s="2" t="inlineStr">
        <is>
          <t>market</t>
        </is>
      </c>
      <c r="C829" s="2" t="inlineStr">
        <is>
          <t>contract_term</t>
        </is>
      </c>
      <c r="D829" s="3" t="inlineStr">
        <is>
          <t>Key contract: counterparty; share (of revenue or purchases, 0-1); duration; termination; indexation</t>
        </is>
      </c>
      <c r="E829" s="2" t="n"/>
      <c r="F829" s="2" t="n"/>
      <c r="G829" s="2" t="n"/>
      <c r="H829" s="3" t="inlineStr">
        <is>
          <t>counterparty: Marks &amp; Spencer (first branded confectionery listing, exclusive range of three SKUs for Candy Kittens)</t>
        </is>
      </c>
      <c r="I829" s="2" t="inlineStr">
        <is>
          <t>S3</t>
        </is>
      </c>
      <c r="J829" s="2" t="n">
        <v>15</v>
      </c>
      <c r="K829" s="3" t="inlineStr">
        <is>
          <t>Candy Kittens became the first branded confectionery product to be listed by Marks &amp; Spencer</t>
        </is>
      </c>
      <c r="L829" s="2" t="inlineStr">
        <is>
          <t>ok</t>
        </is>
      </c>
      <c r="M829" s="2" t="inlineStr">
        <is>
          <t>demo reviewer</t>
        </is>
      </c>
      <c r="N829" s="2" t="n"/>
      <c r="O829" s="3" t="inlineStr">
        <is>
          <t>https://vanillabonds.com/dossier-data/pdf/katjes/katjes-2025-annual-report.pdf#page=15</t>
        </is>
      </c>
      <c r="P829" s="3" t="inlineStr">
        <is>
          <t>https://vanillabonds.com/dossier.html?c=katjes&amp;viewer=1&amp;item=F828</t>
        </is>
      </c>
      <c r="Q829" s="2" t="inlineStr"/>
    </row>
    <row r="830">
      <c r="A830" s="2" t="inlineStr">
        <is>
          <t>F829</t>
        </is>
      </c>
      <c r="B830" s="2" t="inlineStr">
        <is>
          <t>market</t>
        </is>
      </c>
      <c r="C830" s="2" t="inlineStr">
        <is>
          <t>contract_term</t>
        </is>
      </c>
      <c r="D830" s="3" t="inlineStr">
        <is>
          <t>Key contract: counterparty; share (of revenue or purchases, 0-1); duration; termination; indexation</t>
        </is>
      </c>
      <c r="E830" s="2" t="n"/>
      <c r="F830" s="2" t="n"/>
      <c r="G830" s="2" t="n"/>
      <c r="H830" s="3" t="inlineStr">
        <is>
          <t>counterparty: German Ski Association (Bogner equips World Cup athletes); duration: more than 70 years</t>
        </is>
      </c>
      <c r="I830" s="2" t="inlineStr">
        <is>
          <t>S3</t>
        </is>
      </c>
      <c r="J830" s="2" t="n">
        <v>16</v>
      </c>
      <c r="K830" s="3" t="inlineStr">
        <is>
          <t>For more than 70 years, BOGNER has equipped athletes of the German Ski Association for the World Cup season</t>
        </is>
      </c>
      <c r="L830" s="2" t="inlineStr">
        <is>
          <t>ok</t>
        </is>
      </c>
      <c r="M830" s="2" t="inlineStr">
        <is>
          <t>demo reviewer</t>
        </is>
      </c>
      <c r="N830" s="2" t="n"/>
      <c r="O830" s="3" t="inlineStr">
        <is>
          <t>https://vanillabonds.com/dossier-data/pdf/katjes/katjes-2025-annual-report.pdf#page=16</t>
        </is>
      </c>
      <c r="P830" s="3" t="inlineStr">
        <is>
          <t>https://vanillabonds.com/dossier.html?c=katjes&amp;viewer=1&amp;item=F829</t>
        </is>
      </c>
      <c r="Q830" s="2" t="inlineStr"/>
    </row>
    <row r="831">
      <c r="A831" s="2" t="inlineStr">
        <is>
          <t>F830</t>
        </is>
      </c>
      <c r="B831" s="2" t="inlineStr">
        <is>
          <t>market</t>
        </is>
      </c>
      <c r="C831" s="2" t="inlineStr">
        <is>
          <t>contract_term</t>
        </is>
      </c>
      <c r="D831" s="3" t="inlineStr">
        <is>
          <t>Key contract: counterparty; share (of revenue or purchases, 0-1); duration; termination; indexation</t>
        </is>
      </c>
      <c r="E831" s="2" t="n"/>
      <c r="F831" s="2" t="n"/>
      <c r="G831" s="2" t="n"/>
      <c r="H831" s="3" t="inlineStr">
        <is>
          <t>counterparty: raw material suppliers (sugar, glucose, cocoa, nuts, panthenol, energy); duration: contracts typically 3 to 24 months; indexation: fixed-price agreements used short term</t>
        </is>
      </c>
      <c r="I831" s="2" t="inlineStr">
        <is>
          <t>S3</t>
        </is>
      </c>
      <c r="J831" s="2" t="n">
        <v>55</v>
      </c>
      <c r="K831" s="3" t="inlineStr">
        <is>
          <t>The Group addresses this risk by entering into contracts with suppliers, which typically have terms of between 3 and 24 months.</t>
        </is>
      </c>
      <c r="L831" s="2" t="inlineStr">
        <is>
          <t>ok</t>
        </is>
      </c>
      <c r="M831" s="2" t="inlineStr">
        <is>
          <t>demo reviewer</t>
        </is>
      </c>
      <c r="N831" s="2" t="n"/>
      <c r="O831" s="3" t="inlineStr">
        <is>
          <t>https://vanillabonds.com/dossier-data/pdf/katjes/katjes-2025-annual-report.pdf#page=55</t>
        </is>
      </c>
      <c r="P831" s="3" t="inlineStr">
        <is>
          <t>https://vanillabonds.com/dossier.html?c=katjes&amp;viewer=1&amp;item=F830</t>
        </is>
      </c>
      <c r="Q831" s="2" t="inlineStr"/>
    </row>
    <row r="832">
      <c r="A832" s="2" t="inlineStr">
        <is>
          <t>F831</t>
        </is>
      </c>
      <c r="B832" s="2" t="inlineStr">
        <is>
          <t>market</t>
        </is>
      </c>
      <c r="C832" s="2" t="inlineStr">
        <is>
          <t>price_cost_series</t>
        </is>
      </c>
      <c r="D832" s="3" t="inlineStr">
        <is>
          <t>Price or input-cost series: variable; year; value; unit; source</t>
        </is>
      </c>
      <c r="E832" s="2" t="n"/>
      <c r="F832" s="2" t="n"/>
      <c r="G832" s="2" t="n"/>
      <c r="H832" s="3" t="inlineStr">
        <is>
          <t>variable: cocoa price; year: 2025; value: record high in H1 2025, declined in H2, sugar prices stabilised; unit: n/a; source: company statement in the group management report</t>
        </is>
      </c>
      <c r="I832" s="2" t="inlineStr">
        <is>
          <t>S3</t>
        </is>
      </c>
      <c r="J832" s="2" t="n">
        <v>21</v>
      </c>
      <c r="K832" s="3" t="inlineStr">
        <is>
          <t>While sugar prices stabilised over the course of the year, cocoa prices remained volatile and rose to a record high in the first half of the year before declining in the second half.</t>
        </is>
      </c>
      <c r="L832" s="2" t="inlineStr">
        <is>
          <t>ok</t>
        </is>
      </c>
      <c r="M832" s="2" t="inlineStr">
        <is>
          <t>demo reviewer</t>
        </is>
      </c>
      <c r="N832" s="2" t="n"/>
      <c r="O832" s="3" t="inlineStr">
        <is>
          <t>https://vanillabonds.com/dossier-data/pdf/katjes/katjes-2025-annual-report.pdf#page=21</t>
        </is>
      </c>
      <c r="P832" s="3" t="inlineStr">
        <is>
          <t>https://vanillabonds.com/dossier.html?c=katjes&amp;viewer=1&amp;item=F831</t>
        </is>
      </c>
      <c r="Q832" s="2" t="inlineStr"/>
    </row>
    <row r="833">
      <c r="A833" s="2" t="inlineStr">
        <is>
          <t>F832</t>
        </is>
      </c>
      <c r="B833" s="2" t="inlineStr">
        <is>
          <t>market</t>
        </is>
      </c>
      <c r="C833" s="2" t="inlineStr">
        <is>
          <t>price_cost_series</t>
        </is>
      </c>
      <c r="D833" s="3" t="inlineStr">
        <is>
          <t>Price or input-cost series: variable; year; value; unit; source</t>
        </is>
      </c>
      <c r="E833" s="2" t="n"/>
      <c r="F833" s="2" t="n"/>
      <c r="G833" s="2" t="n"/>
      <c r="H833" s="3" t="inlineStr">
        <is>
          <t>variable: raw materials named as price-volatile inputs (sugar, cocoa, nuts, glucose, panthenol, packaging); year: 2025; source: opportunities and risks report; the company 'may not be able to fully or partially offset such increases or pass them on to customers'</t>
        </is>
      </c>
      <c r="I833" s="2" t="inlineStr">
        <is>
          <t>S3</t>
        </is>
      </c>
      <c r="J833" s="2" t="n">
        <v>31</v>
      </c>
      <c r="K833" s="3" t="inlineStr">
        <is>
          <t>Katjes International may not be able to fully or partially offset such increases or pass them on to customers.</t>
        </is>
      </c>
      <c r="L833" s="2" t="inlineStr">
        <is>
          <t>ok</t>
        </is>
      </c>
      <c r="M833" s="2" t="inlineStr">
        <is>
          <t>demo reviewer</t>
        </is>
      </c>
      <c r="N833" s="2" t="n"/>
      <c r="O833" s="3" t="inlineStr">
        <is>
          <t>https://vanillabonds.com/dossier-data/pdf/katjes/katjes-2025-annual-report.pdf#page=31</t>
        </is>
      </c>
      <c r="P833" s="3" t="inlineStr">
        <is>
          <t>https://vanillabonds.com/dossier.html?c=katjes&amp;viewer=1&amp;item=F832</t>
        </is>
      </c>
      <c r="Q833" s="2" t="inlineStr"/>
    </row>
    <row r="834">
      <c r="A834" s="2" t="inlineStr">
        <is>
          <t>F833</t>
        </is>
      </c>
      <c r="B834" s="2" t="inlineStr">
        <is>
          <t>market</t>
        </is>
      </c>
      <c r="C834" s="2" t="inlineStr">
        <is>
          <t>price_cost_series</t>
        </is>
      </c>
      <c r="D834" s="3" t="inlineStr">
        <is>
          <t>Price or input-cost series: variable; year; value; unit; source</t>
        </is>
      </c>
      <c r="E834" s="2" t="n"/>
      <c r="F834" s="2" t="n">
        <v>246.2</v>
      </c>
      <c r="G834" s="2" t="n"/>
      <c r="H834" s="3" t="inlineStr">
        <is>
          <t>variable: raw materials, consumables and goods purchased in cost of sales; year: 2025; value: 246.2 (2024: 192.3); unit: EUR m; source: notes 7.2</t>
        </is>
      </c>
      <c r="I834" s="2" t="inlineStr">
        <is>
          <t>S3</t>
        </is>
      </c>
      <c r="J834" s="2" t="n">
        <v>74</v>
      </c>
      <c r="K834" s="3" t="inlineStr">
        <is>
          <t>as well as goods purchased in the amount of EUR 246.2 million (2024: EUR 192.3 million)</t>
        </is>
      </c>
      <c r="L834" s="2" t="inlineStr">
        <is>
          <t>ok</t>
        </is>
      </c>
      <c r="M834" s="2" t="inlineStr">
        <is>
          <t>demo reviewer</t>
        </is>
      </c>
      <c r="N834" s="2" t="n"/>
      <c r="O834" s="3" t="inlineStr">
        <is>
          <t>https://vanillabonds.com/dossier-data/pdf/katjes/katjes-2025-annual-report.pdf#page=74</t>
        </is>
      </c>
      <c r="P834" s="3" t="inlineStr">
        <is>
          <t>https://vanillabonds.com/dossier.html?c=katjes&amp;viewer=1&amp;item=F833</t>
        </is>
      </c>
      <c r="Q834" s="2" t="inlineStr"/>
    </row>
    <row r="835">
      <c r="A835" s="2" t="inlineStr">
        <is>
          <t>F834</t>
        </is>
      </c>
      <c r="B835" s="2" t="inlineStr">
        <is>
          <t>market</t>
        </is>
      </c>
      <c r="C835" s="2" t="inlineStr">
        <is>
          <t>permit</t>
        </is>
      </c>
      <c r="D835" s="3" t="inlineStr">
        <is>
          <t>Certification, licence, permit or patent: item; issuer; expiry; register</t>
        </is>
      </c>
      <c r="E835" s="2" t="n"/>
      <c r="F835" s="2" t="n"/>
      <c r="G835" s="2" t="n"/>
      <c r="H835" s="3" t="inlineStr">
        <is>
          <t>item: IFS (International Featured Standards) or BRC (British Retail Consortium) food production certification plus quality, hygiene and occupational safety certifications at production sites; issuer: IFS / BRC</t>
        </is>
      </c>
      <c r="I835" s="2" t="inlineStr">
        <is>
          <t>S3</t>
        </is>
      </c>
      <c r="J835" s="2" t="n">
        <v>29</v>
      </c>
      <c r="K835" s="3" t="inlineStr">
        <is>
          <t>the key investments in the confectionery and personal care segments regularly undergo food and quality</t>
        </is>
      </c>
      <c r="L835" s="2" t="inlineStr">
        <is>
          <t>ok</t>
        </is>
      </c>
      <c r="M835" s="2" t="inlineStr">
        <is>
          <t>demo reviewer</t>
        </is>
      </c>
      <c r="N835" s="2" t="n"/>
      <c r="O835" s="3" t="inlineStr">
        <is>
          <t>https://vanillabonds.com/dossier-data/pdf/katjes/katjes-2025-annual-report.pdf#page=29</t>
        </is>
      </c>
      <c r="P835" s="3" t="inlineStr">
        <is>
          <t>https://vanillabonds.com/dossier.html?c=katjes&amp;viewer=1&amp;item=F834</t>
        </is>
      </c>
      <c r="Q835" s="2" t="inlineStr"/>
    </row>
    <row r="836">
      <c r="A836" s="2" t="inlineStr">
        <is>
          <t>F835</t>
        </is>
      </c>
      <c r="B836" s="2" t="inlineStr">
        <is>
          <t>financials</t>
        </is>
      </c>
      <c r="C836" s="2" t="inlineStr">
        <is>
          <t>one_off</t>
        </is>
      </c>
      <c r="D836" s="3" t="inlineStr">
        <is>
          <t>One-off item: item; amount; recurrence (years in which it recurred)</t>
        </is>
      </c>
      <c r="E836" s="2" t="inlineStr">
        <is>
          <t>FY2024</t>
        </is>
      </c>
      <c r="F836" s="2" t="n">
        <v>6.9</v>
      </c>
      <c r="G836" s="2" t="n"/>
      <c r="H836" s="3" t="inlineStr">
        <is>
          <t>item: non-recurring deferred tax expense from exercising the corporate income tax option; amount: -6.9 tax expense; recurrence: none (0.0 in 2025)</t>
        </is>
      </c>
      <c r="I836" s="2" t="inlineStr">
        <is>
          <t>S3</t>
        </is>
      </c>
      <c r="J836" s="2" t="n">
        <v>37</v>
      </c>
      <c r="K836" s="3" t="inlineStr">
        <is>
          <t>Thereof non-recurring due to the exercise of the corporate income tax option: EUR 0.0 million (previous year: EUR -6.9 million)</t>
        </is>
      </c>
      <c r="L836" s="2" t="inlineStr">
        <is>
          <t>ok</t>
        </is>
      </c>
      <c r="M836" s="2" t="inlineStr">
        <is>
          <t>demo reviewer</t>
        </is>
      </c>
      <c r="N836" s="2" t="n"/>
      <c r="O836" s="3" t="inlineStr">
        <is>
          <t>https://vanillabonds.com/dossier-data/pdf/katjes/katjes-2025-annual-report.pdf#page=37</t>
        </is>
      </c>
      <c r="P836" s="3" t="inlineStr">
        <is>
          <t>https://vanillabonds.com/dossier.html?c=katjes&amp;viewer=1&amp;item=F835</t>
        </is>
      </c>
      <c r="Q836" s="2" t="inlineStr"/>
    </row>
    <row r="837">
      <c r="A837" s="2" t="inlineStr">
        <is>
          <t>F836</t>
        </is>
      </c>
      <c r="B837" s="2" t="inlineStr">
        <is>
          <t>financials</t>
        </is>
      </c>
      <c r="C837" s="2" t="inlineStr">
        <is>
          <t>one_off</t>
        </is>
      </c>
      <c r="D837" s="3" t="inlineStr">
        <is>
          <t>One-off item: item; amount; recurrence (years in which it recurred)</t>
        </is>
      </c>
      <c r="E837" s="2" t="inlineStr">
        <is>
          <t>FY2024</t>
        </is>
      </c>
      <c r="F837" s="2" t="n"/>
      <c r="G837" s="2" t="n"/>
      <c r="H837" s="3" t="inlineStr">
        <is>
          <t>item: income from a legal case decided in the Group's favour (other operating income, other); amount: not stated; recurrence: none</t>
        </is>
      </c>
      <c r="I837" s="2" t="inlineStr">
        <is>
          <t>S3</t>
        </is>
      </c>
      <c r="J837" s="2" t="n">
        <v>75</v>
      </c>
      <c r="K837" s="3" t="inlineStr">
        <is>
          <t>In the previous year, the line item “Other” included, among other things, income from a legal case that was decided in the Group’s favor.</t>
        </is>
      </c>
      <c r="L837" s="2" t="inlineStr">
        <is>
          <t>ok</t>
        </is>
      </c>
      <c r="M837" s="2" t="inlineStr">
        <is>
          <t>demo reviewer</t>
        </is>
      </c>
      <c r="N837" s="2" t="n"/>
      <c r="O837" s="3" t="inlineStr">
        <is>
          <t>https://vanillabonds.com/dossier-data/pdf/katjes/katjes-2025-annual-report.pdf#page=75</t>
        </is>
      </c>
      <c r="P837" s="3" t="inlineStr">
        <is>
          <t>https://vanillabonds.com/dossier.html?c=katjes&amp;viewer=1&amp;item=F836</t>
        </is>
      </c>
      <c r="Q837" s="2" t="inlineStr"/>
    </row>
    <row r="838">
      <c r="A838" s="2" t="inlineStr">
        <is>
          <t>F837</t>
        </is>
      </c>
      <c r="B838" s="2" t="inlineStr">
        <is>
          <t>financials</t>
        </is>
      </c>
      <c r="C838" s="2" t="inlineStr">
        <is>
          <t>one_off</t>
        </is>
      </c>
      <c r="D838" s="3" t="inlineStr">
        <is>
          <t>One-off item: item; amount; recurrence (years in which it recurred)</t>
        </is>
      </c>
      <c r="E838" s="2" t="inlineStr">
        <is>
          <t>FY2025</t>
        </is>
      </c>
      <c r="F838" s="2" t="n">
        <v>35.1</v>
      </c>
      <c r="G838" s="2" t="n"/>
      <c r="H838" s="3" t="inlineStr">
        <is>
          <t>item: badwill from initial consolidation of Bogner (other operating income); amount: 35.1; recurrence: none</t>
        </is>
      </c>
      <c r="I838" s="2" t="inlineStr">
        <is>
          <t>S3</t>
        </is>
      </c>
      <c r="J838" s="2" t="n">
        <v>75</v>
      </c>
      <c r="K838" s="2" t="inlineStr">
        <is>
          <t>Income from badwill 35.1 0.0</t>
        </is>
      </c>
      <c r="L838" s="2" t="inlineStr">
        <is>
          <t>ok</t>
        </is>
      </c>
      <c r="M838" s="2" t="inlineStr">
        <is>
          <t>demo reviewer</t>
        </is>
      </c>
      <c r="N838" s="2" t="n"/>
      <c r="O838" s="3" t="inlineStr">
        <is>
          <t>https://vanillabonds.com/dossier-data/pdf/katjes/katjes-2025-annual-report.pdf#page=75</t>
        </is>
      </c>
      <c r="P838" s="3" t="inlineStr">
        <is>
          <t>https://vanillabonds.com/dossier.html?c=katjes&amp;viewer=1&amp;item=F837</t>
        </is>
      </c>
      <c r="Q838" s="2" t="inlineStr"/>
    </row>
    <row r="839">
      <c r="A839" s="2" t="inlineStr">
        <is>
          <t>F838</t>
        </is>
      </c>
      <c r="B839" s="2" t="inlineStr">
        <is>
          <t>financials</t>
        </is>
      </c>
      <c r="C839" s="2" t="inlineStr">
        <is>
          <t>one_off</t>
        </is>
      </c>
      <c r="D839" s="3" t="inlineStr">
        <is>
          <t>One-off item: item; amount; recurrence (years in which it recurred)</t>
        </is>
      </c>
      <c r="E839" s="2" t="inlineStr">
        <is>
          <t>FY2025</t>
        </is>
      </c>
      <c r="F839" s="2" t="n">
        <v>20.1</v>
      </c>
      <c r="G839" s="2" t="n"/>
      <c r="H839" s="3" t="inlineStr">
        <is>
          <t>item: gain on disposal of the 23% CPK minority interest (other operating income); amount: 20.1; recurrence: none</t>
        </is>
      </c>
      <c r="I839" s="2" t="inlineStr">
        <is>
          <t>S3</t>
        </is>
      </c>
      <c r="J839" s="2" t="n">
        <v>75</v>
      </c>
      <c r="K839" s="3" t="inlineStr">
        <is>
          <t>Gains on disposal of fixed assets 20.1 0.0</t>
        </is>
      </c>
      <c r="L839" s="2" t="inlineStr">
        <is>
          <t>ok</t>
        </is>
      </c>
      <c r="M839" s="2" t="inlineStr">
        <is>
          <t>demo reviewer</t>
        </is>
      </c>
      <c r="N839" s="2" t="n"/>
      <c r="O839" s="3" t="inlineStr">
        <is>
          <t>https://vanillabonds.com/dossier-data/pdf/katjes/katjes-2025-annual-report.pdf#page=75</t>
        </is>
      </c>
      <c r="P839" s="3" t="inlineStr">
        <is>
          <t>https://vanillabonds.com/dossier.html?c=katjes&amp;viewer=1&amp;item=F838</t>
        </is>
      </c>
      <c r="Q839" s="2" t="inlineStr"/>
    </row>
    <row r="840">
      <c r="A840" s="2" t="inlineStr">
        <is>
          <t>F839</t>
        </is>
      </c>
      <c r="B840" s="2" t="inlineStr">
        <is>
          <t>financials</t>
        </is>
      </c>
      <c r="C840" s="2" t="inlineStr">
        <is>
          <t>one_off</t>
        </is>
      </c>
      <c r="D840" s="3" t="inlineStr">
        <is>
          <t>One-off item: item; amount; recurrence (years in which it recurred)</t>
        </is>
      </c>
      <c r="E840" s="2" t="inlineStr">
        <is>
          <t>FY2025</t>
        </is>
      </c>
      <c r="F840" s="2" t="n">
        <v>1.3</v>
      </c>
      <c r="G840" s="2" t="n"/>
      <c r="H840" s="3" t="inlineStr">
        <is>
          <t>item: fees in connection with the repayment of loans (financial expenses, other); amount: 1.3; recurrence: none</t>
        </is>
      </c>
      <c r="I840" s="2" t="inlineStr">
        <is>
          <t>S3</t>
        </is>
      </c>
      <c r="J840" s="2" t="n">
        <v>75</v>
      </c>
      <c r="K840" s="3" t="inlineStr">
        <is>
          <t>fees in connection with the repayment of loans in the reporting year (EUR 1.3 million)</t>
        </is>
      </c>
      <c r="L840" s="2" t="inlineStr">
        <is>
          <t>ok</t>
        </is>
      </c>
      <c r="M840" s="2" t="inlineStr">
        <is>
          <t>demo reviewer</t>
        </is>
      </c>
      <c r="N840" s="2" t="n"/>
      <c r="O840" s="3" t="inlineStr">
        <is>
          <t>https://vanillabonds.com/dossier-data/pdf/katjes/katjes-2025-annual-report.pdf#page=75</t>
        </is>
      </c>
      <c r="P840" s="3" t="inlineStr">
        <is>
          <t>https://vanillabonds.com/dossier.html?c=katjes&amp;viewer=1&amp;item=F839</t>
        </is>
      </c>
      <c r="Q840" s="2" t="inlineStr"/>
    </row>
    <row r="841">
      <c r="A841" s="2" t="inlineStr">
        <is>
          <t>F840</t>
        </is>
      </c>
      <c r="B841" s="2" t="inlineStr">
        <is>
          <t>financials</t>
        </is>
      </c>
      <c r="C841" s="2" t="inlineStr">
        <is>
          <t>one_off</t>
        </is>
      </c>
      <c r="D841" s="3" t="inlineStr">
        <is>
          <t>One-off item: item; amount; recurrence (years in which it recurred)</t>
        </is>
      </c>
      <c r="E841" s="2" t="inlineStr">
        <is>
          <t>FY2025</t>
        </is>
      </c>
      <c r="F841" s="2" t="n">
        <v>1.5</v>
      </c>
      <c r="G841" s="2" t="n"/>
      <c r="H841" s="3" t="inlineStr">
        <is>
          <t>item: expenses from changes in fair value of stand-alone derivatives (financial expenses, other); amount: 1.5; recurrence: none</t>
        </is>
      </c>
      <c r="I841" s="2" t="inlineStr">
        <is>
          <t>S3</t>
        </is>
      </c>
      <c r="J841" s="2" t="n">
        <v>75</v>
      </c>
      <c r="K841" s="3" t="inlineStr">
        <is>
          <t>the fair value of stand-alone derivatives (EUR 1.5</t>
        </is>
      </c>
      <c r="L841" s="2" t="inlineStr">
        <is>
          <t>ok</t>
        </is>
      </c>
      <c r="M841" s="2" t="inlineStr">
        <is>
          <t>demo reviewer</t>
        </is>
      </c>
      <c r="N841" s="2" t="n"/>
      <c r="O841" s="3" t="inlineStr">
        <is>
          <t>https://vanillabonds.com/dossier-data/pdf/katjes/katjes-2025-annual-report.pdf#page=75</t>
        </is>
      </c>
      <c r="P841" s="3" t="inlineStr">
        <is>
          <t>https://vanillabonds.com/dossier.html?c=katjes&amp;viewer=1&amp;item=F840</t>
        </is>
      </c>
      <c r="Q841" s="2" t="inlineStr"/>
    </row>
    <row r="842">
      <c r="A842" s="2" t="inlineStr">
        <is>
          <t>F841</t>
        </is>
      </c>
      <c r="B842" s="2" t="inlineStr">
        <is>
          <t>financials</t>
        </is>
      </c>
      <c r="C842" s="2" t="inlineStr">
        <is>
          <t>one_off</t>
        </is>
      </c>
      <c r="D842" s="3" t="inlineStr">
        <is>
          <t>One-off item: item; amount; recurrence (years in which it recurred)</t>
        </is>
      </c>
      <c r="E842" s="2" t="inlineStr">
        <is>
          <t>FY2025</t>
        </is>
      </c>
      <c r="F842" s="2" t="n">
        <v>0.6</v>
      </c>
      <c r="G842" s="2" t="n"/>
      <c r="H842" s="3" t="inlineStr">
        <is>
          <t>item: severance payments; amount: 0.6 (2024: 0.8); recurrence: 2024</t>
        </is>
      </c>
      <c r="I842" s="2" t="inlineStr">
        <is>
          <t>S3</t>
        </is>
      </c>
      <c r="J842" s="2" t="n">
        <v>75</v>
      </c>
      <c r="K842" s="3" t="inlineStr">
        <is>
          <t>ments amounted to EUR 0.6 million (2024: EUR 0.8 million).</t>
        </is>
      </c>
      <c r="L842" s="2" t="inlineStr">
        <is>
          <t>ok</t>
        </is>
      </c>
      <c r="M842" s="2" t="inlineStr">
        <is>
          <t>demo reviewer</t>
        </is>
      </c>
      <c r="N842" s="2" t="n"/>
      <c r="O842" s="3" t="inlineStr">
        <is>
          <t>https://vanillabonds.com/dossier-data/pdf/katjes/katjes-2025-annual-report.pdf#page=75</t>
        </is>
      </c>
      <c r="P842" s="3" t="inlineStr">
        <is>
          <t>https://vanillabonds.com/dossier.html?c=katjes&amp;viewer=1&amp;item=F841</t>
        </is>
      </c>
      <c r="Q842" s="2" t="inlineStr"/>
    </row>
    <row r="843">
      <c r="A843" s="2" t="inlineStr">
        <is>
          <t>F842</t>
        </is>
      </c>
      <c r="B843" s="2" t="inlineStr">
        <is>
          <t>financials</t>
        </is>
      </c>
      <c r="C843" s="2" t="inlineStr">
        <is>
          <t>offbalance_item</t>
        </is>
      </c>
      <c r="D843" s="3" t="inlineStr">
        <is>
          <t>Off-balance item: kind (lease, factoring, guarantee given, pension deficit, earn-out, litigation provision); amount; counterparty</t>
        </is>
      </c>
      <c r="E843" s="2" t="inlineStr">
        <is>
          <t>FY2024</t>
        </is>
      </c>
      <c r="F843" s="2" t="n">
        <v>8.9</v>
      </c>
      <c r="G843" s="2" t="n"/>
      <c r="H843" s="3" t="inlineStr">
        <is>
          <t>kind: pension deficit; amount: 8.9 provision for pensions and similar obligations at 31 Dec 2024; counterparty: defined benefit plans in Germany, Italy and Switzerland</t>
        </is>
      </c>
      <c r="I843" s="2" t="inlineStr">
        <is>
          <t>S3</t>
        </is>
      </c>
      <c r="J843" s="2" t="n">
        <v>40</v>
      </c>
      <c r="K843" s="3" t="inlineStr">
        <is>
          <t>Provisions for pensions and similar obligations 6.12 16.1 8.9</t>
        </is>
      </c>
      <c r="L843" s="2" t="inlineStr">
        <is>
          <t>ok</t>
        </is>
      </c>
      <c r="M843" s="2" t="inlineStr">
        <is>
          <t>demo reviewer</t>
        </is>
      </c>
      <c r="N843" s="2" t="n"/>
      <c r="O843" s="3" t="inlineStr">
        <is>
          <t>https://vanillabonds.com/dossier-data/pdf/katjes/katjes-2025-annual-report.pdf#page=40</t>
        </is>
      </c>
      <c r="P843" s="3" t="inlineStr">
        <is>
          <t>https://vanillabonds.com/dossier.html?c=katjes&amp;viewer=1&amp;item=F842</t>
        </is>
      </c>
      <c r="Q843" s="2" t="inlineStr"/>
    </row>
    <row r="844">
      <c r="A844" s="2" t="inlineStr">
        <is>
          <t>F843</t>
        </is>
      </c>
      <c r="B844" s="2" t="inlineStr">
        <is>
          <t>financials</t>
        </is>
      </c>
      <c r="C844" s="2" t="inlineStr">
        <is>
          <t>offbalance_item</t>
        </is>
      </c>
      <c r="D844" s="3" t="inlineStr">
        <is>
          <t>Off-balance item: kind (lease, factoring, guarantee given, pension deficit, earn-out, litigation provision); amount; counterparty</t>
        </is>
      </c>
      <c r="E844" s="2" t="inlineStr">
        <is>
          <t>FY2025</t>
        </is>
      </c>
      <c r="F844" s="2" t="n">
        <v>16.1</v>
      </c>
      <c r="G844" s="2" t="n"/>
      <c r="H844" s="3" t="inlineStr">
        <is>
          <t>kind: pension deficit; amount: 16.1 provision for pensions and similar obligations (2024: 8.9), funded DBO 17.2 less plan assets 14.8 plus unfunded obligations; counterparty: defined benefit plans in Germany, Italy and Switzerland, 8.6 added from Bogner</t>
        </is>
      </c>
      <c r="I844" s="2" t="inlineStr">
        <is>
          <t>S3</t>
        </is>
      </c>
      <c r="J844" s="2" t="n">
        <v>40</v>
      </c>
      <c r="K844" s="3" t="inlineStr">
        <is>
          <t>Provisions for pensions and similar obligations 6.12 16.1 8.9</t>
        </is>
      </c>
      <c r="L844" s="2" t="inlineStr">
        <is>
          <t>ok</t>
        </is>
      </c>
      <c r="M844" s="2" t="inlineStr">
        <is>
          <t>demo reviewer</t>
        </is>
      </c>
      <c r="N844" s="2" t="n"/>
      <c r="O844" s="3" t="inlineStr">
        <is>
          <t>https://vanillabonds.com/dossier-data/pdf/katjes/katjes-2025-annual-report.pdf#page=40</t>
        </is>
      </c>
      <c r="P844" s="3" t="inlineStr">
        <is>
          <t>https://vanillabonds.com/dossier.html?c=katjes&amp;viewer=1&amp;item=F843</t>
        </is>
      </c>
      <c r="Q844" s="2" t="inlineStr"/>
    </row>
    <row r="845">
      <c r="A845" s="2" t="inlineStr">
        <is>
          <t>F844</t>
        </is>
      </c>
      <c r="B845" s="2" t="inlineStr">
        <is>
          <t>financials</t>
        </is>
      </c>
      <c r="C845" s="2" t="inlineStr">
        <is>
          <t>offbalance_item</t>
        </is>
      </c>
      <c r="D845" s="3" t="inlineStr">
        <is>
          <t>Off-balance item: kind (lease, factoring, guarantee given, pension deficit, earn-out, litigation provision); amount; counterparty</t>
        </is>
      </c>
      <c r="E845" s="2" t="inlineStr">
        <is>
          <t>FY2025</t>
        </is>
      </c>
      <c r="F845" s="2" t="n">
        <v>7.1</v>
      </c>
      <c r="G845" s="2" t="n"/>
      <c r="H845" s="3" t="inlineStr">
        <is>
          <t>kind: earn-out (minority option liabilities); amount: 7.1 other financial liabilities at fair value (Dulcioliva purchase option 1.6 and Bogner put option 5.5); counterparty: Dulcioliva and Bogner minority shareholders</t>
        </is>
      </c>
      <c r="I845" s="2" t="inlineStr">
        <is>
          <t>S3</t>
        </is>
      </c>
      <c r="J845" s="2" t="n">
        <v>62</v>
      </c>
      <c r="K845" s="3" t="inlineStr">
        <is>
          <t>Other financial liabilities³ 7.1 7.1** FV PL | FV OCI</t>
        </is>
      </c>
      <c r="L845" s="2" t="inlineStr">
        <is>
          <t>ok</t>
        </is>
      </c>
      <c r="M845" s="2" t="inlineStr">
        <is>
          <t>demo reviewer</t>
        </is>
      </c>
      <c r="N845" s="2" t="n"/>
      <c r="O845" s="3" t="inlineStr">
        <is>
          <t>https://vanillabonds.com/dossier-data/pdf/katjes/katjes-2025-annual-report.pdf#page=62</t>
        </is>
      </c>
      <c r="P845" s="3" t="inlineStr">
        <is>
          <t>https://vanillabonds.com/dossier.html?c=katjes&amp;viewer=1&amp;item=F844</t>
        </is>
      </c>
      <c r="Q845" s="2" t="inlineStr"/>
    </row>
    <row r="846">
      <c r="A846" s="2" t="inlineStr">
        <is>
          <t>F845</t>
        </is>
      </c>
      <c r="B846" s="2" t="inlineStr">
        <is>
          <t>financials</t>
        </is>
      </c>
      <c r="C846" s="2" t="inlineStr">
        <is>
          <t>offbalance_item</t>
        </is>
      </c>
      <c r="D846" s="3" t="inlineStr">
        <is>
          <t>Off-balance item: kind (lease, factoring, guarantee given, pension deficit, earn-out, litigation provision); amount; counterparty</t>
        </is>
      </c>
      <c r="E846" s="2" t="inlineStr">
        <is>
          <t>FY2025</t>
        </is>
      </c>
      <c r="F846" s="2" t="n"/>
      <c r="G846" s="2" t="n"/>
      <c r="H846" s="3" t="inlineStr">
        <is>
          <t>kind: factoring; amount: not stated (69% of Piasten's, around 50% of Sperlari's and 43% of Bübchen Skincare's trade receivables sold and derecognised under IFRS 9.3.2.3); counterparty: factoring companies or similar service providers; finance expense for factoring 0.7</t>
        </is>
      </c>
      <c r="I846" s="2" t="inlineStr">
        <is>
          <t>S3</t>
        </is>
      </c>
      <c r="J846" s="2" t="n">
        <v>66</v>
      </c>
      <c r="K846" s="3" t="inlineStr">
        <is>
          <t>In the reporting year, 69% of Piasten’s trade receivables, around 50% of Sperlari’s and 43% of Bübchen Skincare’s were sold to factoring companies or similar service providers.</t>
        </is>
      </c>
      <c r="L846" s="2" t="inlineStr">
        <is>
          <t>ok</t>
        </is>
      </c>
      <c r="M846" s="2" t="inlineStr">
        <is>
          <t>demo reviewer</t>
        </is>
      </c>
      <c r="N846" s="2" t="n"/>
      <c r="O846" s="3" t="inlineStr">
        <is>
          <t>https://vanillabonds.com/dossier-data/pdf/katjes/katjes-2025-annual-report.pdf#page=66</t>
        </is>
      </c>
      <c r="P846" s="3" t="inlineStr">
        <is>
          <t>https://vanillabonds.com/dossier.html?c=katjes&amp;viewer=1&amp;item=F845</t>
        </is>
      </c>
      <c r="Q846" s="2" t="inlineStr"/>
    </row>
    <row r="847">
      <c r="A847" s="2" t="inlineStr">
        <is>
          <t>F846</t>
        </is>
      </c>
      <c r="B847" s="2" t="inlineStr">
        <is>
          <t>financials</t>
        </is>
      </c>
      <c r="C847" s="2" t="inlineStr">
        <is>
          <t>offbalance_item</t>
        </is>
      </c>
      <c r="D847" s="3" t="inlineStr">
        <is>
          <t>Off-balance item: kind (lease, factoring, guarantee given, pension deficit, earn-out, litigation provision); amount; counterparty</t>
        </is>
      </c>
      <c r="E847" s="2" t="inlineStr">
        <is>
          <t>FY2025</t>
        </is>
      </c>
      <c r="F847" s="2" t="n">
        <v>2.1</v>
      </c>
      <c r="G847" s="2" t="n"/>
      <c r="H847" s="3" t="inlineStr">
        <is>
          <t>kind: supplier financing (reverse factoring); amount: 2.1 recognised as liabilities to banks (2024: 3.0), of which 2.1 already paid to suppliers; counterparty: bank; average payment term approximately 60 days</t>
        </is>
      </c>
      <c r="I847" s="2" t="inlineStr">
        <is>
          <t>S3</t>
        </is>
      </c>
      <c r="J847" s="2" t="n">
        <v>69</v>
      </c>
      <c r="K847" s="3" t="inlineStr">
        <is>
          <t>As at December 31, 2025, an amount of EUR 2.1 million</t>
        </is>
      </c>
      <c r="L847" s="2" t="inlineStr">
        <is>
          <t>ok</t>
        </is>
      </c>
      <c r="M847" s="2" t="inlineStr">
        <is>
          <t>demo reviewer</t>
        </is>
      </c>
      <c r="N847" s="2" t="n"/>
      <c r="O847" s="3" t="inlineStr">
        <is>
          <t>https://vanillabonds.com/dossier-data/pdf/katjes/katjes-2025-annual-report.pdf#page=69</t>
        </is>
      </c>
      <c r="P847" s="3" t="inlineStr">
        <is>
          <t>https://vanillabonds.com/dossier.html?c=katjes&amp;viewer=1&amp;item=F846</t>
        </is>
      </c>
      <c r="Q847" s="2" t="inlineStr"/>
    </row>
    <row r="848">
      <c r="A848" s="2" t="inlineStr">
        <is>
          <t>F847</t>
        </is>
      </c>
      <c r="B848" s="2" t="inlineStr">
        <is>
          <t>financials</t>
        </is>
      </c>
      <c r="C848" s="2" t="inlineStr">
        <is>
          <t>audit_adjustment</t>
        </is>
      </c>
      <c r="D848" s="3" t="inlineStr">
        <is>
          <t>Audit facts: adjustments (number); management_letter_points (number); restatements; key_audit_matters</t>
        </is>
      </c>
      <c r="E848" s="2" t="inlineStr">
        <is>
          <t>FY2025</t>
        </is>
      </c>
      <c r="F848" s="2" t="n"/>
      <c r="G848" s="2" t="n"/>
      <c r="H848" s="3" t="inlineStr">
        <is>
          <t>adjustments: not stated; restatements: prior-year regional revenue figures adjusted in certain areas to reflect the Bogner entities; key_audit_matters: none presented in the reproduced auditor's report; Bogner purchase price allocation preliminary regarding deferred taxes</t>
        </is>
      </c>
      <c r="I848" s="2" t="inlineStr">
        <is>
          <t>S3</t>
        </is>
      </c>
      <c r="J848" s="2" t="n">
        <v>77</v>
      </c>
      <c r="K848" s="3" t="inlineStr">
        <is>
          <t>To reflect the inclusion of the Bogner entities, prior year figures have been adjusted in certain areas.</t>
        </is>
      </c>
      <c r="L848" s="2" t="inlineStr">
        <is>
          <t>ok</t>
        </is>
      </c>
      <c r="M848" s="2" t="inlineStr">
        <is>
          <t>demo reviewer</t>
        </is>
      </c>
      <c r="N848" s="2" t="n"/>
      <c r="O848" s="3" t="inlineStr">
        <is>
          <t>https://vanillabonds.com/dossier-data/pdf/katjes/katjes-2025-annual-report.pdf#page=77</t>
        </is>
      </c>
      <c r="P848" s="3" t="inlineStr">
        <is>
          <t>https://vanillabonds.com/dossier.html?c=katjes&amp;viewer=1&amp;item=F847</t>
        </is>
      </c>
      <c r="Q848" s="2" t="inlineStr"/>
    </row>
    <row r="849">
      <c r="A849" s="2" t="inlineStr">
        <is>
          <t>F848</t>
        </is>
      </c>
      <c r="B849" s="2" t="inlineStr">
        <is>
          <t>financials</t>
        </is>
      </c>
      <c r="C849" s="2" t="inlineStr">
        <is>
          <t>filing_days</t>
        </is>
      </c>
      <c r="D849" s="3" t="inlineStr">
        <is>
          <t>Days from year end to filing of the accounts</t>
        </is>
      </c>
      <c r="E849" s="2" t="inlineStr">
        <is>
          <t>FY2025</t>
        </is>
      </c>
      <c r="F849" s="2" t="n">
        <v>92</v>
      </c>
      <c r="G849" s="2" t="n"/>
      <c r="H849" s="3" t="inlineStr">
        <is>
          <t>Year end 31 Dec 2025 to auditor's report dated April 2, 2026 (consolidated statements approved for publication the same day)</t>
        </is>
      </c>
      <c r="I849" s="2" t="inlineStr">
        <is>
          <t>S3</t>
        </is>
      </c>
      <c r="J849" s="2" t="n">
        <v>91</v>
      </c>
      <c r="K849" s="2" t="inlineStr">
        <is>
          <t>Köln, April 2, 2026 EY GmbH &amp; Co. KG</t>
        </is>
      </c>
      <c r="L849" s="2" t="inlineStr">
        <is>
          <t>ok</t>
        </is>
      </c>
      <c r="M849" s="2" t="inlineStr">
        <is>
          <t>demo reviewer</t>
        </is>
      </c>
      <c r="N849" s="2" t="n"/>
      <c r="O849" s="3" t="inlineStr">
        <is>
          <t>https://vanillabonds.com/dossier-data/pdf/katjes/katjes-2025-annual-report.pdf#page=91</t>
        </is>
      </c>
      <c r="P849" s="3" t="inlineStr">
        <is>
          <t>https://vanillabonds.com/dossier.html?c=katjes&amp;viewer=1&amp;item=F848</t>
        </is>
      </c>
      <c r="Q849" s="2" t="inlineStr"/>
    </row>
    <row r="850">
      <c r="A850" s="2" t="inlineStr">
        <is>
          <t>F849</t>
        </is>
      </c>
      <c r="B850" s="2" t="inlineStr">
        <is>
          <t>financials</t>
        </is>
      </c>
      <c r="C850" s="2" t="inlineStr">
        <is>
          <t>tax_item</t>
        </is>
      </c>
      <c r="D850" s="3" t="inlineStr">
        <is>
          <t>Tax item: position, open assessment, dispute, ruling, payment-behaviour statement</t>
        </is>
      </c>
      <c r="E850" s="2" t="n"/>
      <c r="F850" s="2" t="n"/>
      <c r="G850" s="2" t="n"/>
      <c r="H850" s="3" t="inlineStr">
        <is>
          <t>The partnership exercised the corporate income tax option with effect from January 1, 2025 (taxed as a corporation); management expects a 'more predictable and stable tax burden'.</t>
        </is>
      </c>
      <c r="I850" s="2" t="inlineStr">
        <is>
          <t>S3</t>
        </is>
      </c>
      <c r="J850" s="2" t="n">
        <v>24</v>
      </c>
      <c r="K850" s="3" t="inlineStr">
        <is>
          <t>exercised the so-called corporate income tax option with effect from January 1, 2025</t>
        </is>
      </c>
      <c r="L850" s="2" t="inlineStr">
        <is>
          <t>ok</t>
        </is>
      </c>
      <c r="M850" s="2" t="inlineStr">
        <is>
          <t>demo reviewer</t>
        </is>
      </c>
      <c r="N850" s="2" t="n"/>
      <c r="O850" s="3" t="inlineStr">
        <is>
          <t>https://vanillabonds.com/dossier-data/pdf/katjes/katjes-2025-annual-report.pdf#page=24</t>
        </is>
      </c>
      <c r="P850" s="3" t="inlineStr">
        <is>
          <t>https://vanillabonds.com/dossier.html?c=katjes&amp;viewer=1&amp;item=F849</t>
        </is>
      </c>
      <c r="Q850" s="2" t="inlineStr"/>
    </row>
    <row r="851">
      <c r="A851" s="2" t="inlineStr">
        <is>
          <t>F850</t>
        </is>
      </c>
      <c r="B851" s="2" t="inlineStr">
        <is>
          <t>financials</t>
        </is>
      </c>
      <c r="C851" s="2" t="inlineStr">
        <is>
          <t>tax_item</t>
        </is>
      </c>
      <c r="D851" s="3" t="inlineStr">
        <is>
          <t>Tax item: position, open assessment, dispute, ruling, payment-behaviour statement</t>
        </is>
      </c>
      <c r="E851" s="2" t="n"/>
      <c r="F851" s="2" t="n">
        <v>52.4</v>
      </c>
      <c r="G851" s="2" t="n"/>
      <c r="H851" s="3" t="inlineStr">
        <is>
          <t>Deferred tax liabilities EUR 52.4m at 31 Dec 2025 (2024: 31.1), increase mainly from the Bogner purchase price allocation; deferred tax assets 13.2 (3.5).</t>
        </is>
      </c>
      <c r="I851" s="2" t="inlineStr">
        <is>
          <t>S3</t>
        </is>
      </c>
      <c r="J851" s="2" t="n">
        <v>40</v>
      </c>
      <c r="K851" s="2" t="inlineStr">
        <is>
          <t>Deferred tax liabilities 6.11 52.4 31.1</t>
        </is>
      </c>
      <c r="L851" s="2" t="inlineStr">
        <is>
          <t>ok</t>
        </is>
      </c>
      <c r="M851" s="2" t="inlineStr">
        <is>
          <t>demo reviewer</t>
        </is>
      </c>
      <c r="N851" s="2" t="n"/>
      <c r="O851" s="3" t="inlineStr">
        <is>
          <t>https://vanillabonds.com/dossier-data/pdf/katjes/katjes-2025-annual-report.pdf#page=40</t>
        </is>
      </c>
      <c r="P851" s="3" t="inlineStr">
        <is>
          <t>https://vanillabonds.com/dossier.html?c=katjes&amp;viewer=1&amp;item=F850</t>
        </is>
      </c>
      <c r="Q851" s="2" t="inlineStr"/>
    </row>
    <row r="852">
      <c r="A852" s="2" t="inlineStr">
        <is>
          <t>F851</t>
        </is>
      </c>
      <c r="B852" s="2" t="inlineStr">
        <is>
          <t>financials</t>
        </is>
      </c>
      <c r="C852" s="2" t="inlineStr">
        <is>
          <t>tax_item</t>
        </is>
      </c>
      <c r="D852" s="3" t="inlineStr">
        <is>
          <t>Tax item: position, open assessment, dispute, ruling, payment-behaviour statement</t>
        </is>
      </c>
      <c r="E852" s="2" t="n"/>
      <c r="F852" s="2" t="n">
        <v>43.6</v>
      </c>
      <c r="G852" s="2" t="n"/>
      <c r="H852" s="3" t="inlineStr">
        <is>
          <t>No deferred tax assets on corporate income tax loss carryforwards of EUR 43.6m (2024: 33.7), trade tax loss carryforwards 8.0 (7.5) and other unrecognised loss carryforwards 8.6 (8.7); six-year planning horizon for recognised losses.</t>
        </is>
      </c>
      <c r="I852" s="2" t="inlineStr">
        <is>
          <t>S3</t>
        </is>
      </c>
      <c r="J852" s="2" t="n">
        <v>70</v>
      </c>
      <c r="K852" s="3" t="inlineStr">
        <is>
          <t>No deferred taxes were recognised on corporate income tax loss carryforwards amounting to EUR 43.6 million (2024: EUR 33.7 million) and on trade tax loss carryforwards amounting to EUR 8.0 million</t>
        </is>
      </c>
      <c r="L852" s="2" t="inlineStr">
        <is>
          <t>ok</t>
        </is>
      </c>
      <c r="M852" s="2" t="inlineStr">
        <is>
          <t>demo reviewer</t>
        </is>
      </c>
      <c r="N852" s="2" t="n"/>
      <c r="O852" s="3" t="inlineStr">
        <is>
          <t>https://vanillabonds.com/dossier-data/pdf/katjes/katjes-2025-annual-report.pdf#page=70</t>
        </is>
      </c>
      <c r="P852" s="3" t="inlineStr">
        <is>
          <t>https://vanillabonds.com/dossier.html?c=katjes&amp;viewer=1&amp;item=F851</t>
        </is>
      </c>
      <c r="Q852" s="2" t="inlineStr"/>
    </row>
    <row r="853">
      <c r="A853" s="2" t="inlineStr">
        <is>
          <t>F852</t>
        </is>
      </c>
      <c r="B853" s="2" t="inlineStr">
        <is>
          <t>financials</t>
        </is>
      </c>
      <c r="C853" s="2" t="inlineStr">
        <is>
          <t>tax_item</t>
        </is>
      </c>
      <c r="D853" s="3" t="inlineStr">
        <is>
          <t>Tax item: position, open assessment, dispute, ruling, payment-behaviour statement</t>
        </is>
      </c>
      <c r="E853" s="2" t="n"/>
      <c r="F853" s="2" t="n">
        <v>0.3</v>
      </c>
      <c r="G853" s="2" t="n"/>
      <c r="H853" s="3" t="inlineStr">
        <is>
          <t>Dutch corporate income tax loss carryforwards of EUR 0.3m (2024: 0.8) expire within one year; other loss carryforwards available indefinitely.</t>
        </is>
      </c>
      <c r="I853" s="2" t="inlineStr">
        <is>
          <t>S3</t>
        </is>
      </c>
      <c r="J853" s="2" t="n">
        <v>70</v>
      </c>
      <c r="K853" s="3" t="inlineStr">
        <is>
          <t>Dutch corporate income tax loss carryforwards amounting to EUR 0.3 million (2024: EUR 0.8 million) expire within one year.</t>
        </is>
      </c>
      <c r="L853" s="2" t="inlineStr">
        <is>
          <t>ok</t>
        </is>
      </c>
      <c r="M853" s="2" t="inlineStr">
        <is>
          <t>demo reviewer</t>
        </is>
      </c>
      <c r="N853" s="2" t="n"/>
      <c r="O853" s="3" t="inlineStr">
        <is>
          <t>https://vanillabonds.com/dossier-data/pdf/katjes/katjes-2025-annual-report.pdf#page=70</t>
        </is>
      </c>
      <c r="P853" s="3" t="inlineStr">
        <is>
          <t>https://vanillabonds.com/dossier.html?c=katjes&amp;viewer=1&amp;item=F852</t>
        </is>
      </c>
      <c r="Q853" s="2" t="inlineStr"/>
    </row>
    <row r="854">
      <c r="A854" s="2" t="inlineStr">
        <is>
          <t>F853</t>
        </is>
      </c>
      <c r="B854" s="2" t="inlineStr">
        <is>
          <t>financials</t>
        </is>
      </c>
      <c r="C854" s="2" t="inlineStr">
        <is>
          <t>tax_item</t>
        </is>
      </c>
      <c r="D854" s="3" t="inlineStr">
        <is>
          <t>Tax item: position, open assessment, dispute, ruling, payment-behaviour statement</t>
        </is>
      </c>
      <c r="E854" s="2" t="n"/>
      <c r="F854" s="2" t="n"/>
      <c r="G854" s="2" t="n"/>
      <c r="H854" s="3" t="inlineStr">
        <is>
          <t>Expected group tax rate 28.9% (2024: 12.9%), the average long-term rate of the German parent; different rates applied to deferred taxes after the enacted gradual CIT rate reduction.</t>
        </is>
      </c>
      <c r="I854" s="2" t="inlineStr">
        <is>
          <t>S3</t>
        </is>
      </c>
      <c r="J854" s="2" t="n">
        <v>76</v>
      </c>
      <c r="K854" s="3" t="inlineStr">
        <is>
          <t>The expected tax rate of 28.9% (2024: 12.9%) represents the average long-term tax rate of the German parent company.</t>
        </is>
      </c>
      <c r="L854" s="2" t="inlineStr">
        <is>
          <t>ok</t>
        </is>
      </c>
      <c r="M854" s="2" t="inlineStr">
        <is>
          <t>demo reviewer</t>
        </is>
      </c>
      <c r="N854" s="2" t="n"/>
      <c r="O854" s="3" t="inlineStr">
        <is>
          <t>https://vanillabonds.com/dossier-data/pdf/katjes/katjes-2025-annual-report.pdf#page=76</t>
        </is>
      </c>
      <c r="P854" s="3" t="inlineStr">
        <is>
          <t>https://vanillabonds.com/dossier.html?c=katjes&amp;viewer=1&amp;item=F853</t>
        </is>
      </c>
      <c r="Q854" s="2" t="inlineStr"/>
    </row>
    <row r="855">
      <c r="A855" s="2" t="inlineStr">
        <is>
          <t>F854</t>
        </is>
      </c>
      <c r="B855" s="2" t="inlineStr">
        <is>
          <t>financials</t>
        </is>
      </c>
      <c r="C855" s="2" t="inlineStr">
        <is>
          <t>tax_item</t>
        </is>
      </c>
      <c r="D855" s="3" t="inlineStr">
        <is>
          <t>Tax item: position, open assessment, dispute, ruling, payment-behaviour statement</t>
        </is>
      </c>
      <c r="E855" s="2" t="n"/>
      <c r="F855" s="2" t="n">
        <v>1.3</v>
      </c>
      <c r="G855" s="2" t="n"/>
      <c r="H855" s="3" t="inlineStr">
        <is>
          <t>2025 tax income EUR 1.3m (2024: expense 10.2): current tax expense 3.5 (Germany 2.2, other 1.3; 2024: 3.3) and deferred tax income -4.8 (2024: expense 6.9); reconciliation includes tax rate changes -3.3 and initial consolidation -9.7.</t>
        </is>
      </c>
      <c r="I855" s="2" t="inlineStr">
        <is>
          <t>S3</t>
        </is>
      </c>
      <c r="J855" s="2" t="n">
        <v>76</v>
      </c>
      <c r="K855" s="3" t="inlineStr">
        <is>
          <t>Current tax expense/(income): Germany 2.2 2.7 Other countries 1.3 0.6 3.5 3.3</t>
        </is>
      </c>
      <c r="L855" s="2" t="inlineStr">
        <is>
          <t>ok</t>
        </is>
      </c>
      <c r="M855" s="2" t="inlineStr">
        <is>
          <t>demo reviewer</t>
        </is>
      </c>
      <c r="N855" s="2" t="n"/>
      <c r="O855" s="3" t="inlineStr">
        <is>
          <t>https://vanillabonds.com/dossier-data/pdf/katjes/katjes-2025-annual-report.pdf#page=76</t>
        </is>
      </c>
      <c r="P855" s="3" t="inlineStr">
        <is>
          <t>https://vanillabonds.com/dossier.html?c=katjes&amp;viewer=1&amp;item=F854</t>
        </is>
      </c>
      <c r="Q855" s="2" t="inlineStr"/>
    </row>
    <row r="856">
      <c r="A856" s="2" t="inlineStr">
        <is>
          <t>F855</t>
        </is>
      </c>
      <c r="B856" s="2" t="inlineStr">
        <is>
          <t>financials</t>
        </is>
      </c>
      <c r="C856" s="2" t="inlineStr">
        <is>
          <t>tax_item</t>
        </is>
      </c>
      <c r="D856" s="3" t="inlineStr">
        <is>
          <t>Tax item: position, open assessment, dispute, ruling, payment-behaviour statement</t>
        </is>
      </c>
      <c r="E856" s="2" t="n"/>
      <c r="F856" s="2" t="n">
        <v>851.9</v>
      </c>
      <c r="G856" s="2" t="n"/>
      <c r="H856" s="3" t="inlineStr">
        <is>
          <t>No deferred tax liabilities on taxable temporary differences of EUR 851.9m (2024: 671.1) relating to investments in subsidiaries, as reversal is controlled and not expected.</t>
        </is>
      </c>
      <c r="I856" s="2" t="inlineStr">
        <is>
          <t>S3</t>
        </is>
      </c>
      <c r="J856" s="2" t="n">
        <v>76</v>
      </c>
      <c r="K856" s="3" t="inlineStr">
        <is>
          <t>No deferred taxes were recognised as at December 31, 2025 for taxable temporary differences in connection with investments in subsidiaries amounting to EUR 851.9 million (2024: EUR 671.1</t>
        </is>
      </c>
      <c r="L856" s="2" t="inlineStr">
        <is>
          <t>ok</t>
        </is>
      </c>
      <c r="M856" s="2" t="inlineStr">
        <is>
          <t>demo reviewer</t>
        </is>
      </c>
      <c r="N856" s="2" t="n"/>
      <c r="O856" s="3" t="inlineStr">
        <is>
          <t>https://vanillabonds.com/dossier-data/pdf/katjes/katjes-2025-annual-report.pdf#page=76</t>
        </is>
      </c>
      <c r="P856" s="3" t="inlineStr">
        <is>
          <t>https://vanillabonds.com/dossier.html?c=katjes&amp;viewer=1&amp;item=F855</t>
        </is>
      </c>
      <c r="Q856" s="2" t="inlineStr"/>
    </row>
    <row r="857">
      <c r="A857" s="2" t="inlineStr">
        <is>
          <t>F856</t>
        </is>
      </c>
      <c r="B857" s="2" t="inlineStr">
        <is>
          <t>financials</t>
        </is>
      </c>
      <c r="C857" s="2" t="inlineStr">
        <is>
          <t>segment</t>
        </is>
      </c>
      <c r="D857" s="3" t="inlineStr">
        <is>
          <t>Segment: segment; revenue; ebitda; assets</t>
        </is>
      </c>
      <c r="E857" s="2" t="inlineStr">
        <is>
          <t>FY2024</t>
        </is>
      </c>
      <c r="F857" s="2" t="n">
        <v>160</v>
      </c>
      <c r="G857" s="2" t="n"/>
      <c r="H857" s="3" t="inlineStr">
        <is>
          <t>segment: Confectionery (business line, revenue only; single IFRS 8 operating segment); revenue: 160.0</t>
        </is>
      </c>
      <c r="I857" s="2" t="inlineStr">
        <is>
          <t>S3</t>
        </is>
      </c>
      <c r="J857" s="2" t="n">
        <v>74</v>
      </c>
      <c r="K857" s="2" t="inlineStr">
        <is>
          <t>Confectionery 174.9 160.0</t>
        </is>
      </c>
      <c r="L857" s="2" t="inlineStr">
        <is>
          <t>ok</t>
        </is>
      </c>
      <c r="M857" s="2" t="inlineStr">
        <is>
          <t>demo reviewer</t>
        </is>
      </c>
      <c r="N857" s="2" t="n"/>
      <c r="O857" s="3" t="inlineStr">
        <is>
          <t>https://vanillabonds.com/dossier-data/pdf/katjes/katjes-2025-annual-report.pdf#page=74</t>
        </is>
      </c>
      <c r="P857" s="3" t="inlineStr">
        <is>
          <t>https://vanillabonds.com/dossier.html?c=katjes&amp;viewer=1&amp;item=F856</t>
        </is>
      </c>
      <c r="Q857" s="2" t="inlineStr"/>
    </row>
    <row r="858">
      <c r="A858" s="2" t="inlineStr">
        <is>
          <t>F857</t>
        </is>
      </c>
      <c r="B858" s="2" t="inlineStr">
        <is>
          <t>financials</t>
        </is>
      </c>
      <c r="C858" s="2" t="inlineStr">
        <is>
          <t>segment</t>
        </is>
      </c>
      <c r="D858" s="3" t="inlineStr">
        <is>
          <t>Segment: segment; revenue; ebitda; assets</t>
        </is>
      </c>
      <c r="E858" s="2" t="inlineStr">
        <is>
          <t>FY2024</t>
        </is>
      </c>
      <c r="F858" s="2" t="n">
        <v>54.7</v>
      </c>
      <c r="G858" s="2" t="n"/>
      <c r="H858" s="3" t="inlineStr">
        <is>
          <t>segment: Seasonals (business line, revenue only; single IFRS 8 operating segment); revenue: 54.7</t>
        </is>
      </c>
      <c r="I858" s="2" t="inlineStr">
        <is>
          <t>S3</t>
        </is>
      </c>
      <c r="J858" s="2" t="n">
        <v>74</v>
      </c>
      <c r="K858" s="2" t="inlineStr">
        <is>
          <t>Seasonals 145.1 54.7</t>
        </is>
      </c>
      <c r="L858" s="2" t="inlineStr">
        <is>
          <t>ok</t>
        </is>
      </c>
      <c r="M858" s="2" t="inlineStr">
        <is>
          <t>demo reviewer</t>
        </is>
      </c>
      <c r="N858" s="2" t="n"/>
      <c r="O858" s="3" t="inlineStr">
        <is>
          <t>https://vanillabonds.com/dossier-data/pdf/katjes/katjes-2025-annual-report.pdf#page=74</t>
        </is>
      </c>
      <c r="P858" s="3" t="inlineStr">
        <is>
          <t>https://vanillabonds.com/dossier.html?c=katjes&amp;viewer=1&amp;item=F857</t>
        </is>
      </c>
      <c r="Q858" s="2" t="inlineStr"/>
    </row>
    <row r="859">
      <c r="A859" s="2" t="inlineStr">
        <is>
          <t>F858</t>
        </is>
      </c>
      <c r="B859" s="2" t="inlineStr">
        <is>
          <t>financials</t>
        </is>
      </c>
      <c r="C859" s="2" t="inlineStr">
        <is>
          <t>segment</t>
        </is>
      </c>
      <c r="D859" s="3" t="inlineStr">
        <is>
          <t>Segment: segment; revenue; ebitda; assets</t>
        </is>
      </c>
      <c r="E859" s="2" t="inlineStr">
        <is>
          <t>FY2024</t>
        </is>
      </c>
      <c r="F859" s="2" t="n">
        <v>90.40000000000001</v>
      </c>
      <c r="G859" s="2" t="n"/>
      <c r="H859" s="3" t="inlineStr">
        <is>
          <t>segment: Body care products (business line, revenue only; single IFRS 8 operating segment); revenue: 90.4</t>
        </is>
      </c>
      <c r="I859" s="2" t="inlineStr">
        <is>
          <t>S3</t>
        </is>
      </c>
      <c r="J859" s="2" t="n">
        <v>74</v>
      </c>
      <c r="K859" s="2" t="inlineStr">
        <is>
          <t>Body care products 97.1 90.4</t>
        </is>
      </c>
      <c r="L859" s="2" t="inlineStr">
        <is>
          <t>ok</t>
        </is>
      </c>
      <c r="M859" s="2" t="inlineStr">
        <is>
          <t>demo reviewer</t>
        </is>
      </c>
      <c r="N859" s="2" t="n"/>
      <c r="O859" s="3" t="inlineStr">
        <is>
          <t>https://vanillabonds.com/dossier-data/pdf/katjes/katjes-2025-annual-report.pdf#page=74</t>
        </is>
      </c>
      <c r="P859" s="3" t="inlineStr">
        <is>
          <t>https://vanillabonds.com/dossier.html?c=katjes&amp;viewer=1&amp;item=F858</t>
        </is>
      </c>
      <c r="Q859" s="2" t="inlineStr"/>
    </row>
    <row r="860">
      <c r="A860" s="2" t="inlineStr">
        <is>
          <t>F859</t>
        </is>
      </c>
      <c r="B860" s="2" t="inlineStr">
        <is>
          <t>financials</t>
        </is>
      </c>
      <c r="C860" s="2" t="inlineStr">
        <is>
          <t>segment</t>
        </is>
      </c>
      <c r="D860" s="3" t="inlineStr">
        <is>
          <t>Segment: segment; revenue; ebitda; assets</t>
        </is>
      </c>
      <c r="E860" s="2" t="inlineStr">
        <is>
          <t>FY2024</t>
        </is>
      </c>
      <c r="F860" s="2" t="n">
        <v>57.8</v>
      </c>
      <c r="G860" s="2" t="n"/>
      <c r="H860" s="3" t="inlineStr">
        <is>
          <t>segment: Chocolate (business line, revenue only; single IFRS 8 operating segment); revenue: 57.8</t>
        </is>
      </c>
      <c r="I860" s="2" t="inlineStr">
        <is>
          <t>S3</t>
        </is>
      </c>
      <c r="J860" s="2" t="n">
        <v>74</v>
      </c>
      <c r="K860" s="2" t="inlineStr">
        <is>
          <t>Chocolate 57.3 57.8</t>
        </is>
      </c>
      <c r="L860" s="2" t="inlineStr">
        <is>
          <t>ok</t>
        </is>
      </c>
      <c r="M860" s="2" t="inlineStr">
        <is>
          <t>demo reviewer</t>
        </is>
      </c>
      <c r="N860" s="2" t="n"/>
      <c r="O860" s="3" t="inlineStr">
        <is>
          <t>https://vanillabonds.com/dossier-data/pdf/katjes/katjes-2025-annual-report.pdf#page=74</t>
        </is>
      </c>
      <c r="P860" s="3" t="inlineStr">
        <is>
          <t>https://vanillabonds.com/dossier.html?c=katjes&amp;viewer=1&amp;item=F859</t>
        </is>
      </c>
      <c r="Q860" s="2" t="inlineStr"/>
    </row>
    <row r="861">
      <c r="A861" s="2" t="inlineStr">
        <is>
          <t>F860</t>
        </is>
      </c>
      <c r="B861" s="2" t="inlineStr">
        <is>
          <t>financials</t>
        </is>
      </c>
      <c r="C861" s="2" t="inlineStr">
        <is>
          <t>segment</t>
        </is>
      </c>
      <c r="D861" s="3" t="inlineStr">
        <is>
          <t>Segment: segment; revenue; ebitda; assets</t>
        </is>
      </c>
      <c r="E861" s="2" t="inlineStr">
        <is>
          <t>FY2024</t>
        </is>
      </c>
      <c r="F861" s="2" t="n">
        <v>29.7</v>
      </c>
      <c r="G861" s="2" t="n"/>
      <c r="H861" s="3" t="inlineStr">
        <is>
          <t>segment: Other (business line, revenue only; single IFRS 8 operating segment); revenue: 29.7</t>
        </is>
      </c>
      <c r="I861" s="2" t="inlineStr">
        <is>
          <t>S3</t>
        </is>
      </c>
      <c r="J861" s="2" t="n">
        <v>74</v>
      </c>
      <c r="K861" s="2" t="inlineStr">
        <is>
          <t>Other 28.6 29.7</t>
        </is>
      </c>
      <c r="L861" s="2" t="inlineStr">
        <is>
          <t>ok</t>
        </is>
      </c>
      <c r="M861" s="2" t="inlineStr">
        <is>
          <t>demo reviewer</t>
        </is>
      </c>
      <c r="N861" s="2" t="n"/>
      <c r="O861" s="3" t="inlineStr">
        <is>
          <t>https://vanillabonds.com/dossier-data/pdf/katjes/katjes-2025-annual-report.pdf#page=74</t>
        </is>
      </c>
      <c r="P861" s="3" t="inlineStr">
        <is>
          <t>https://vanillabonds.com/dossier.html?c=katjes&amp;viewer=1&amp;item=F860</t>
        </is>
      </c>
      <c r="Q861" s="2" t="inlineStr"/>
    </row>
    <row r="862">
      <c r="A862" s="2" t="inlineStr">
        <is>
          <t>F861</t>
        </is>
      </c>
      <c r="B862" s="2" t="inlineStr">
        <is>
          <t>financials</t>
        </is>
      </c>
      <c r="C862" s="2" t="inlineStr">
        <is>
          <t>segment</t>
        </is>
      </c>
      <c r="D862" s="3" t="inlineStr">
        <is>
          <t>Segment: segment; revenue; ebitda; assets</t>
        </is>
      </c>
      <c r="E862" s="2" t="inlineStr">
        <is>
          <t>FY2024</t>
        </is>
      </c>
      <c r="F862" s="2" t="n">
        <v>106.8</v>
      </c>
      <c r="G862" s="2" t="n"/>
      <c r="H862" s="3" t="inlineStr">
        <is>
          <t>segment: Germany (region, revenue; prior-year figures adjusted for Bogner inclusion); revenue: 106.8</t>
        </is>
      </c>
      <c r="I862" s="2" t="inlineStr">
        <is>
          <t>S3</t>
        </is>
      </c>
      <c r="J862" s="2" t="n">
        <v>77</v>
      </c>
      <c r="K862" s="2" t="inlineStr">
        <is>
          <t>Germany 158.1 106.8</t>
        </is>
      </c>
      <c r="L862" s="2" t="inlineStr">
        <is>
          <t>ok</t>
        </is>
      </c>
      <c r="M862" s="2" t="inlineStr">
        <is>
          <t>demo reviewer</t>
        </is>
      </c>
      <c r="N862" s="2" t="n"/>
      <c r="O862" s="3" t="inlineStr">
        <is>
          <t>https://vanillabonds.com/dossier-data/pdf/katjes/katjes-2025-annual-report.pdf#page=77</t>
        </is>
      </c>
      <c r="P862" s="3" t="inlineStr">
        <is>
          <t>https://vanillabonds.com/dossier.html?c=katjes&amp;viewer=1&amp;item=F861</t>
        </is>
      </c>
      <c r="Q862" s="2" t="inlineStr"/>
    </row>
    <row r="863">
      <c r="A863" s="2" t="inlineStr">
        <is>
          <t>F862</t>
        </is>
      </c>
      <c r="B863" s="2" t="inlineStr">
        <is>
          <t>financials</t>
        </is>
      </c>
      <c r="C863" s="2" t="inlineStr">
        <is>
          <t>segment</t>
        </is>
      </c>
      <c r="D863" s="3" t="inlineStr">
        <is>
          <t>Segment: segment; revenue; ebitda; assets</t>
        </is>
      </c>
      <c r="E863" s="2" t="inlineStr">
        <is>
          <t>FY2024</t>
        </is>
      </c>
      <c r="F863" s="2" t="n">
        <v>122.8</v>
      </c>
      <c r="G863" s="2" t="n"/>
      <c r="H863" s="3" t="inlineStr">
        <is>
          <t>segment: Italy (region, revenue; prior-year figures adjusted for Bogner inclusion); revenue: 122.8</t>
        </is>
      </c>
      <c r="I863" s="2" t="inlineStr">
        <is>
          <t>S3</t>
        </is>
      </c>
      <c r="J863" s="2" t="n">
        <v>77</v>
      </c>
      <c r="K863" s="2" t="inlineStr">
        <is>
          <t>Italy 119.1 122.8</t>
        </is>
      </c>
      <c r="L863" s="2" t="inlineStr">
        <is>
          <t>ok</t>
        </is>
      </c>
      <c r="M863" s="2" t="inlineStr">
        <is>
          <t>demo reviewer</t>
        </is>
      </c>
      <c r="N863" s="2" t="n"/>
      <c r="O863" s="3" t="inlineStr">
        <is>
          <t>https://vanillabonds.com/dossier-data/pdf/katjes/katjes-2025-annual-report.pdf#page=77</t>
        </is>
      </c>
      <c r="P863" s="3" t="inlineStr">
        <is>
          <t>https://vanillabonds.com/dossier.html?c=katjes&amp;viewer=1&amp;item=F862</t>
        </is>
      </c>
      <c r="Q863" s="2" t="inlineStr"/>
    </row>
    <row r="864">
      <c r="A864" s="2" t="inlineStr">
        <is>
          <t>F863</t>
        </is>
      </c>
      <c r="B864" s="2" t="inlineStr">
        <is>
          <t>financials</t>
        </is>
      </c>
      <c r="C864" s="2" t="inlineStr">
        <is>
          <t>segment</t>
        </is>
      </c>
      <c r="D864" s="3" t="inlineStr">
        <is>
          <t>Segment: segment; revenue; ebitda; assets</t>
        </is>
      </c>
      <c r="E864" s="2" t="inlineStr">
        <is>
          <t>FY2024</t>
        </is>
      </c>
      <c r="F864" s="2" t="n">
        <v>24.4</v>
      </c>
      <c r="G864" s="2" t="n"/>
      <c r="H864" s="3" t="inlineStr">
        <is>
          <t>segment: Switzerland (region, revenue; prior-year figures adjusted for Bogner inclusion); revenue: 24.4</t>
        </is>
      </c>
      <c r="I864" s="2" t="inlineStr">
        <is>
          <t>S3</t>
        </is>
      </c>
      <c r="J864" s="2" t="n">
        <v>77</v>
      </c>
      <c r="K864" s="2" t="inlineStr">
        <is>
          <t>Switzerland 41.5 24.4</t>
        </is>
      </c>
      <c r="L864" s="2" t="inlineStr">
        <is>
          <t>ok</t>
        </is>
      </c>
      <c r="M864" s="2" t="inlineStr">
        <is>
          <t>demo reviewer</t>
        </is>
      </c>
      <c r="N864" s="2" t="n"/>
      <c r="O864" s="3" t="inlineStr">
        <is>
          <t>https://vanillabonds.com/dossier-data/pdf/katjes/katjes-2025-annual-report.pdf#page=77</t>
        </is>
      </c>
      <c r="P864" s="3" t="inlineStr">
        <is>
          <t>https://vanillabonds.com/dossier.html?c=katjes&amp;viewer=1&amp;item=F863</t>
        </is>
      </c>
      <c r="Q864" s="2" t="inlineStr"/>
    </row>
    <row r="865">
      <c r="A865" s="2" t="inlineStr">
        <is>
          <t>F864</t>
        </is>
      </c>
      <c r="B865" s="2" t="inlineStr">
        <is>
          <t>financials</t>
        </is>
      </c>
      <c r="C865" s="2" t="inlineStr">
        <is>
          <t>segment</t>
        </is>
      </c>
      <c r="D865" s="3" t="inlineStr">
        <is>
          <t>Segment: segment; revenue; ebitda; assets</t>
        </is>
      </c>
      <c r="E865" s="2" t="inlineStr">
        <is>
          <t>FY2024</t>
        </is>
      </c>
      <c r="F865" s="2" t="n">
        <v>18.7</v>
      </c>
      <c r="G865" s="2" t="n"/>
      <c r="H865" s="3" t="inlineStr">
        <is>
          <t>segment: UK (region, revenue; prior-year figures adjusted for Bogner inclusion); revenue: 18.7</t>
        </is>
      </c>
      <c r="I865" s="2" t="inlineStr">
        <is>
          <t>S3</t>
        </is>
      </c>
      <c r="J865" s="2" t="n">
        <v>77</v>
      </c>
      <c r="K865" s="2" t="inlineStr">
        <is>
          <t>UK 31.5 18.7</t>
        </is>
      </c>
      <c r="L865" s="2" t="inlineStr">
        <is>
          <t>ok</t>
        </is>
      </c>
      <c r="M865" s="2" t="inlineStr">
        <is>
          <t>demo reviewer</t>
        </is>
      </c>
      <c r="N865" s="2" t="n"/>
      <c r="O865" s="3" t="inlineStr">
        <is>
          <t>https://vanillabonds.com/dossier-data/pdf/katjes/katjes-2025-annual-report.pdf#page=77</t>
        </is>
      </c>
      <c r="P865" s="3" t="inlineStr">
        <is>
          <t>https://vanillabonds.com/dossier.html?c=katjes&amp;viewer=1&amp;item=F864</t>
        </is>
      </c>
      <c r="Q865" s="2" t="inlineStr"/>
    </row>
    <row r="866">
      <c r="A866" s="2" t="inlineStr">
        <is>
          <t>F865</t>
        </is>
      </c>
      <c r="B866" s="2" t="inlineStr">
        <is>
          <t>financials</t>
        </is>
      </c>
      <c r="C866" s="2" t="inlineStr">
        <is>
          <t>segment</t>
        </is>
      </c>
      <c r="D866" s="3" t="inlineStr">
        <is>
          <t>Segment: segment; revenue; ebitda; assets</t>
        </is>
      </c>
      <c r="E866" s="2" t="inlineStr">
        <is>
          <t>FY2024</t>
        </is>
      </c>
      <c r="F866" s="2" t="n">
        <v>5.3</v>
      </c>
      <c r="G866" s="2" t="n"/>
      <c r="H866" s="3" t="inlineStr">
        <is>
          <t>segment: North America (region, revenue; prior-year figures adjusted for Bogner inclusion); revenue: 5.3</t>
        </is>
      </c>
      <c r="I866" s="2" t="inlineStr">
        <is>
          <t>S3</t>
        </is>
      </c>
      <c r="J866" s="2" t="n">
        <v>77</v>
      </c>
      <c r="K866" s="2" t="inlineStr">
        <is>
          <t>North America 22.0 5.3</t>
        </is>
      </c>
      <c r="L866" s="2" t="inlineStr">
        <is>
          <t>ok</t>
        </is>
      </c>
      <c r="M866" s="2" t="inlineStr">
        <is>
          <t>demo reviewer</t>
        </is>
      </c>
      <c r="N866" s="2" t="n"/>
      <c r="O866" s="3" t="inlineStr">
        <is>
          <t>https://vanillabonds.com/dossier-data/pdf/katjes/katjes-2025-annual-report.pdf#page=77</t>
        </is>
      </c>
      <c r="P866" s="3" t="inlineStr">
        <is>
          <t>https://vanillabonds.com/dossier.html?c=katjes&amp;viewer=1&amp;item=F865</t>
        </is>
      </c>
      <c r="Q866" s="2" t="inlineStr"/>
    </row>
    <row r="867">
      <c r="A867" s="2" t="inlineStr">
        <is>
          <t>F866</t>
        </is>
      </c>
      <c r="B867" s="2" t="inlineStr">
        <is>
          <t>financials</t>
        </is>
      </c>
      <c r="C867" s="2" t="inlineStr">
        <is>
          <t>segment</t>
        </is>
      </c>
      <c r="D867" s="3" t="inlineStr">
        <is>
          <t>Segment: segment; revenue; ebitda; assets</t>
        </is>
      </c>
      <c r="E867" s="2" t="inlineStr">
        <is>
          <t>FY2024</t>
        </is>
      </c>
      <c r="F867" s="2" t="n">
        <v>16.1</v>
      </c>
      <c r="G867" s="2" t="n"/>
      <c r="H867" s="3" t="inlineStr">
        <is>
          <t>segment: Netherlands (region, revenue; prior-year figures adjusted for Bogner inclusion); revenue: 16.1</t>
        </is>
      </c>
      <c r="I867" s="2" t="inlineStr">
        <is>
          <t>S3</t>
        </is>
      </c>
      <c r="J867" s="2" t="n">
        <v>77</v>
      </c>
      <c r="K867" s="2" t="inlineStr">
        <is>
          <t>Netherlands 19.1 16.1</t>
        </is>
      </c>
      <c r="L867" s="2" t="inlineStr">
        <is>
          <t>ok</t>
        </is>
      </c>
      <c r="M867" s="2" t="inlineStr">
        <is>
          <t>demo reviewer</t>
        </is>
      </c>
      <c r="N867" s="2" t="n"/>
      <c r="O867" s="3" t="inlineStr">
        <is>
          <t>https://vanillabonds.com/dossier-data/pdf/katjes/katjes-2025-annual-report.pdf#page=77</t>
        </is>
      </c>
      <c r="P867" s="3" t="inlineStr">
        <is>
          <t>https://vanillabonds.com/dossier.html?c=katjes&amp;viewer=1&amp;item=F866</t>
        </is>
      </c>
      <c r="Q867" s="2" t="inlineStr"/>
    </row>
    <row r="868">
      <c r="A868" s="2" t="inlineStr">
        <is>
          <t>F867</t>
        </is>
      </c>
      <c r="B868" s="2" t="inlineStr">
        <is>
          <t>financials</t>
        </is>
      </c>
      <c r="C868" s="2" t="inlineStr">
        <is>
          <t>segment</t>
        </is>
      </c>
      <c r="D868" s="3" t="inlineStr">
        <is>
          <t>Segment: segment; revenue; ebitda; assets</t>
        </is>
      </c>
      <c r="E868" s="2" t="inlineStr">
        <is>
          <t>FY2024</t>
        </is>
      </c>
      <c r="F868" s="2" t="n">
        <v>81.2</v>
      </c>
      <c r="G868" s="2" t="n"/>
      <c r="H868" s="3" t="inlineStr">
        <is>
          <t>segment: Other EU countries (region, revenue; prior-year figures adjusted for Bogner inclusion); revenue: 81.2</t>
        </is>
      </c>
      <c r="I868" s="2" t="inlineStr">
        <is>
          <t>S3</t>
        </is>
      </c>
      <c r="J868" s="2" t="n">
        <v>77</v>
      </c>
      <c r="K868" s="2" t="inlineStr">
        <is>
          <t>Other EU countries 91.3 81.2</t>
        </is>
      </c>
      <c r="L868" s="2" t="inlineStr">
        <is>
          <t>ok</t>
        </is>
      </c>
      <c r="M868" s="2" t="inlineStr">
        <is>
          <t>demo reviewer</t>
        </is>
      </c>
      <c r="N868" s="2" t="n"/>
      <c r="O868" s="3" t="inlineStr">
        <is>
          <t>https://vanillabonds.com/dossier-data/pdf/katjes/katjes-2025-annual-report.pdf#page=77</t>
        </is>
      </c>
      <c r="P868" s="3" t="inlineStr">
        <is>
          <t>https://vanillabonds.com/dossier.html?c=katjes&amp;viewer=1&amp;item=F867</t>
        </is>
      </c>
      <c r="Q868" s="2" t="inlineStr"/>
    </row>
    <row r="869">
      <c r="A869" s="2" t="inlineStr">
        <is>
          <t>F868</t>
        </is>
      </c>
      <c r="B869" s="2" t="inlineStr">
        <is>
          <t>financials</t>
        </is>
      </c>
      <c r="C869" s="2" t="inlineStr">
        <is>
          <t>segment</t>
        </is>
      </c>
      <c r="D869" s="3" t="inlineStr">
        <is>
          <t>Segment: segment; revenue; ebitda; assets</t>
        </is>
      </c>
      <c r="E869" s="2" t="inlineStr">
        <is>
          <t>FY2024</t>
        </is>
      </c>
      <c r="F869" s="2" t="n">
        <v>17.3</v>
      </c>
      <c r="G869" s="2" t="n"/>
      <c r="H869" s="3" t="inlineStr">
        <is>
          <t>segment: Non-EU countries (region, revenue; prior-year figures adjusted for Bogner inclusion); revenue: 17.3</t>
        </is>
      </c>
      <c r="I869" s="2" t="inlineStr">
        <is>
          <t>S3</t>
        </is>
      </c>
      <c r="J869" s="2" t="n">
        <v>77</v>
      </c>
      <c r="K869" s="2" t="inlineStr">
        <is>
          <t>Non-EU countries 20.4 17.3</t>
        </is>
      </c>
      <c r="L869" s="2" t="inlineStr">
        <is>
          <t>ok</t>
        </is>
      </c>
      <c r="M869" s="2" t="inlineStr">
        <is>
          <t>demo reviewer</t>
        </is>
      </c>
      <c r="N869" s="2" t="n"/>
      <c r="O869" s="3" t="inlineStr">
        <is>
          <t>https://vanillabonds.com/dossier-data/pdf/katjes/katjes-2025-annual-report.pdf#page=77</t>
        </is>
      </c>
      <c r="P869" s="3" t="inlineStr">
        <is>
          <t>https://vanillabonds.com/dossier.html?c=katjes&amp;viewer=1&amp;item=F868</t>
        </is>
      </c>
      <c r="Q869" s="2" t="inlineStr"/>
    </row>
    <row r="870">
      <c r="A870" s="2" t="inlineStr">
        <is>
          <t>F869</t>
        </is>
      </c>
      <c r="B870" s="2" t="inlineStr">
        <is>
          <t>financials</t>
        </is>
      </c>
      <c r="C870" s="2" t="inlineStr">
        <is>
          <t>segment</t>
        </is>
      </c>
      <c r="D870" s="3" t="inlineStr">
        <is>
          <t>Segment: segment; revenue; ebitda; assets</t>
        </is>
      </c>
      <c r="E870" s="2" t="inlineStr">
        <is>
          <t>FY2024</t>
        </is>
      </c>
      <c r="F870" s="2" t="n">
        <v>141.4</v>
      </c>
      <c r="G870" s="2" t="n"/>
      <c r="H870" s="3" t="inlineStr">
        <is>
          <t>segment: Germany (region, non-current assets); assets: 141.4</t>
        </is>
      </c>
      <c r="I870" s="2" t="inlineStr">
        <is>
          <t>S3</t>
        </is>
      </c>
      <c r="J870" s="2" t="n">
        <v>78</v>
      </c>
      <c r="K870" s="2" t="inlineStr">
        <is>
          <t>Germany 200.5 141.4</t>
        </is>
      </c>
      <c r="L870" s="2" t="inlineStr">
        <is>
          <t>ok</t>
        </is>
      </c>
      <c r="M870" s="2" t="inlineStr">
        <is>
          <t>demo reviewer</t>
        </is>
      </c>
      <c r="N870" s="2" t="n"/>
      <c r="O870" s="3" t="inlineStr">
        <is>
          <t>https://vanillabonds.com/dossier-data/pdf/katjes/katjes-2025-annual-report.pdf#page=78</t>
        </is>
      </c>
      <c r="P870" s="3" t="inlineStr">
        <is>
          <t>https://vanillabonds.com/dossier.html?c=katjes&amp;viewer=1&amp;item=F869</t>
        </is>
      </c>
      <c r="Q870" s="2" t="inlineStr"/>
    </row>
    <row r="871">
      <c r="A871" s="2" t="inlineStr">
        <is>
          <t>F870</t>
        </is>
      </c>
      <c r="B871" s="2" t="inlineStr">
        <is>
          <t>financials</t>
        </is>
      </c>
      <c r="C871" s="2" t="inlineStr">
        <is>
          <t>segment</t>
        </is>
      </c>
      <c r="D871" s="3" t="inlineStr">
        <is>
          <t>Segment: segment; revenue; ebitda; assets</t>
        </is>
      </c>
      <c r="E871" s="2" t="inlineStr">
        <is>
          <t>FY2024</t>
        </is>
      </c>
      <c r="F871" s="2" t="n">
        <v>95.59999999999999</v>
      </c>
      <c r="G871" s="2" t="n"/>
      <c r="H871" s="3" t="inlineStr">
        <is>
          <t>segment: Italy (region, non-current assets); assets: 95.6</t>
        </is>
      </c>
      <c r="I871" s="2" t="inlineStr">
        <is>
          <t>S3</t>
        </is>
      </c>
      <c r="J871" s="2" t="n">
        <v>78</v>
      </c>
      <c r="K871" s="2" t="inlineStr">
        <is>
          <t>Italy 93.5 95.6</t>
        </is>
      </c>
      <c r="L871" s="2" t="inlineStr">
        <is>
          <t>ok</t>
        </is>
      </c>
      <c r="M871" s="2" t="inlineStr">
        <is>
          <t>demo reviewer</t>
        </is>
      </c>
      <c r="N871" s="2" t="n"/>
      <c r="O871" s="3" t="inlineStr">
        <is>
          <t>https://vanillabonds.com/dossier-data/pdf/katjes/katjes-2025-annual-report.pdf#page=78</t>
        </is>
      </c>
      <c r="P871" s="3" t="inlineStr">
        <is>
          <t>https://vanillabonds.com/dossier.html?c=katjes&amp;viewer=1&amp;item=F870</t>
        </is>
      </c>
      <c r="Q871" s="2" t="inlineStr"/>
    </row>
    <row r="872">
      <c r="A872" s="2" t="inlineStr">
        <is>
          <t>F871</t>
        </is>
      </c>
      <c r="B872" s="2" t="inlineStr">
        <is>
          <t>financials</t>
        </is>
      </c>
      <c r="C872" s="2" t="inlineStr">
        <is>
          <t>segment</t>
        </is>
      </c>
      <c r="D872" s="3" t="inlineStr">
        <is>
          <t>Segment: segment; revenue; ebitda; assets</t>
        </is>
      </c>
      <c r="E872" s="2" t="inlineStr">
        <is>
          <t>FY2024</t>
        </is>
      </c>
      <c r="F872" s="2" t="n">
        <v>72.3</v>
      </c>
      <c r="G872" s="2" t="n"/>
      <c r="H872" s="3" t="inlineStr">
        <is>
          <t>segment: Netherlands (region, non-current assets); assets: 72.3</t>
        </is>
      </c>
      <c r="I872" s="2" t="inlineStr">
        <is>
          <t>S3</t>
        </is>
      </c>
      <c r="J872" s="2" t="n">
        <v>78</v>
      </c>
      <c r="K872" s="2" t="inlineStr">
        <is>
          <t>Netherlands 12.3 72.3</t>
        </is>
      </c>
      <c r="L872" s="2" t="inlineStr">
        <is>
          <t>ok</t>
        </is>
      </c>
      <c r="M872" s="2" t="inlineStr">
        <is>
          <t>demo reviewer</t>
        </is>
      </c>
      <c r="N872" s="2" t="n"/>
      <c r="O872" s="3" t="inlineStr">
        <is>
          <t>https://vanillabonds.com/dossier-data/pdf/katjes/katjes-2025-annual-report.pdf#page=78</t>
        </is>
      </c>
      <c r="P872" s="3" t="inlineStr">
        <is>
          <t>https://vanillabonds.com/dossier.html?c=katjes&amp;viewer=1&amp;item=F871</t>
        </is>
      </c>
      <c r="Q872" s="2" t="inlineStr"/>
    </row>
    <row r="873">
      <c r="A873" s="2" t="inlineStr">
        <is>
          <t>F872</t>
        </is>
      </c>
      <c r="B873" s="2" t="inlineStr">
        <is>
          <t>financials</t>
        </is>
      </c>
      <c r="C873" s="2" t="inlineStr">
        <is>
          <t>segment</t>
        </is>
      </c>
      <c r="D873" s="3" t="inlineStr">
        <is>
          <t>Segment: segment; revenue; ebitda; assets</t>
        </is>
      </c>
      <c r="E873" s="2" t="inlineStr">
        <is>
          <t>FY2024</t>
        </is>
      </c>
      <c r="F873" s="2" t="n">
        <v>0</v>
      </c>
      <c r="G873" s="2" t="n"/>
      <c r="H873" s="3" t="inlineStr">
        <is>
          <t>segment: Switzerland (region, non-current assets); assets: 0.0</t>
        </is>
      </c>
      <c r="I873" s="2" t="inlineStr">
        <is>
          <t>S3</t>
        </is>
      </c>
      <c r="J873" s="2" t="n">
        <v>78</v>
      </c>
      <c r="K873" s="2" t="inlineStr">
        <is>
          <t>Switzerland 12.2 0.0</t>
        </is>
      </c>
      <c r="L873" s="2" t="inlineStr">
        <is>
          <t>ok</t>
        </is>
      </c>
      <c r="M873" s="2" t="inlineStr">
        <is>
          <t>demo reviewer</t>
        </is>
      </c>
      <c r="N873" s="2" t="n"/>
      <c r="O873" s="3" t="inlineStr">
        <is>
          <t>https://vanillabonds.com/dossier-data/pdf/katjes/katjes-2025-annual-report.pdf#page=78</t>
        </is>
      </c>
      <c r="P873" s="3" t="inlineStr">
        <is>
          <t>https://vanillabonds.com/dossier.html?c=katjes&amp;viewer=1&amp;item=F872</t>
        </is>
      </c>
      <c r="Q873" s="2" t="inlineStr"/>
    </row>
    <row r="874">
      <c r="A874" s="2" t="inlineStr">
        <is>
          <t>F873</t>
        </is>
      </c>
      <c r="B874" s="2" t="inlineStr">
        <is>
          <t>financials</t>
        </is>
      </c>
      <c r="C874" s="2" t="inlineStr">
        <is>
          <t>segment</t>
        </is>
      </c>
      <c r="D874" s="3" t="inlineStr">
        <is>
          <t>Segment: segment; revenue; ebitda; assets</t>
        </is>
      </c>
      <c r="E874" s="2" t="inlineStr">
        <is>
          <t>FY2024</t>
        </is>
      </c>
      <c r="F874" s="2" t="n">
        <v>11.4</v>
      </c>
      <c r="G874" s="2" t="n"/>
      <c r="H874" s="3" t="inlineStr">
        <is>
          <t>segment: UK (region, non-current assets); assets: 11.4</t>
        </is>
      </c>
      <c r="I874" s="2" t="inlineStr">
        <is>
          <t>S3</t>
        </is>
      </c>
      <c r="J874" s="2" t="n">
        <v>78</v>
      </c>
      <c r="K874" s="2" t="inlineStr">
        <is>
          <t>UK 10.9 11.4</t>
        </is>
      </c>
      <c r="L874" s="2" t="inlineStr">
        <is>
          <t>ok</t>
        </is>
      </c>
      <c r="M874" s="2" t="inlineStr">
        <is>
          <t>demo reviewer</t>
        </is>
      </c>
      <c r="N874" s="2" t="n"/>
      <c r="O874" s="3" t="inlineStr">
        <is>
          <t>https://vanillabonds.com/dossier-data/pdf/katjes/katjes-2025-annual-report.pdf#page=78</t>
        </is>
      </c>
      <c r="P874" s="3" t="inlineStr">
        <is>
          <t>https://vanillabonds.com/dossier.html?c=katjes&amp;viewer=1&amp;item=F873</t>
        </is>
      </c>
      <c r="Q874" s="2" t="inlineStr"/>
    </row>
    <row r="875">
      <c r="A875" s="2" t="inlineStr">
        <is>
          <t>F874</t>
        </is>
      </c>
      <c r="B875" s="2" t="inlineStr">
        <is>
          <t>financials</t>
        </is>
      </c>
      <c r="C875" s="2" t="inlineStr">
        <is>
          <t>segment</t>
        </is>
      </c>
      <c r="D875" s="3" t="inlineStr">
        <is>
          <t>Segment: segment; revenue; ebitda; assets</t>
        </is>
      </c>
      <c r="E875" s="2" t="inlineStr">
        <is>
          <t>FY2024</t>
        </is>
      </c>
      <c r="F875" s="2" t="n">
        <v>0</v>
      </c>
      <c r="G875" s="2" t="n"/>
      <c r="H875" s="3" t="inlineStr">
        <is>
          <t>segment: North America (region, non-current assets); assets: 0.0</t>
        </is>
      </c>
      <c r="I875" s="2" t="inlineStr">
        <is>
          <t>S3</t>
        </is>
      </c>
      <c r="J875" s="2" t="n">
        <v>78</v>
      </c>
      <c r="K875" s="2" t="inlineStr">
        <is>
          <t>North America 9.7 0.0</t>
        </is>
      </c>
      <c r="L875" s="2" t="inlineStr">
        <is>
          <t>ok</t>
        </is>
      </c>
      <c r="M875" s="2" t="inlineStr">
        <is>
          <t>demo reviewer</t>
        </is>
      </c>
      <c r="N875" s="2" t="n"/>
      <c r="O875" s="3" t="inlineStr">
        <is>
          <t>https://vanillabonds.com/dossier-data/pdf/katjes/katjes-2025-annual-report.pdf#page=78</t>
        </is>
      </c>
      <c r="P875" s="3" t="inlineStr">
        <is>
          <t>https://vanillabonds.com/dossier.html?c=katjes&amp;viewer=1&amp;item=F874</t>
        </is>
      </c>
      <c r="Q875" s="2" t="inlineStr"/>
    </row>
    <row r="876">
      <c r="A876" s="2" t="inlineStr">
        <is>
          <t>F875</t>
        </is>
      </c>
      <c r="B876" s="2" t="inlineStr">
        <is>
          <t>financials</t>
        </is>
      </c>
      <c r="C876" s="2" t="inlineStr">
        <is>
          <t>segment</t>
        </is>
      </c>
      <c r="D876" s="3" t="inlineStr">
        <is>
          <t>Segment: segment; revenue; ebitda; assets</t>
        </is>
      </c>
      <c r="E876" s="2" t="inlineStr">
        <is>
          <t>FY2024</t>
        </is>
      </c>
      <c r="F876" s="2" t="n">
        <v>0</v>
      </c>
      <c r="G876" s="2" t="n"/>
      <c r="H876" s="3" t="inlineStr">
        <is>
          <t>segment: Austria (region, non-current assets); assets: 0.0</t>
        </is>
      </c>
      <c r="I876" s="2" t="inlineStr">
        <is>
          <t>S3</t>
        </is>
      </c>
      <c r="J876" s="2" t="n">
        <v>78</v>
      </c>
      <c r="K876" s="2" t="inlineStr">
        <is>
          <t>Austria 1.1 0.0</t>
        </is>
      </c>
      <c r="L876" s="2" t="inlineStr">
        <is>
          <t>ok</t>
        </is>
      </c>
      <c r="M876" s="2" t="inlineStr">
        <is>
          <t>demo reviewer</t>
        </is>
      </c>
      <c r="N876" s="2" t="n"/>
      <c r="O876" s="3" t="inlineStr">
        <is>
          <t>https://vanillabonds.com/dossier-data/pdf/katjes/katjes-2025-annual-report.pdf#page=78</t>
        </is>
      </c>
      <c r="P876" s="3" t="inlineStr">
        <is>
          <t>https://vanillabonds.com/dossier.html?c=katjes&amp;viewer=1&amp;item=F875</t>
        </is>
      </c>
      <c r="Q876" s="2" t="inlineStr"/>
    </row>
    <row r="877">
      <c r="A877" s="2" t="inlineStr">
        <is>
          <t>F876</t>
        </is>
      </c>
      <c r="B877" s="2" t="inlineStr">
        <is>
          <t>financials</t>
        </is>
      </c>
      <c r="C877" s="2" t="inlineStr">
        <is>
          <t>segment</t>
        </is>
      </c>
      <c r="D877" s="3" t="inlineStr">
        <is>
          <t>Segment: segment; revenue; ebitda; assets</t>
        </is>
      </c>
      <c r="E877" s="2" t="inlineStr">
        <is>
          <t>FY2024</t>
        </is>
      </c>
      <c r="F877" s="2" t="n">
        <v>320.7</v>
      </c>
      <c r="G877" s="2" t="n"/>
      <c r="H877" s="3" t="inlineStr">
        <is>
          <t>segment: Group total (non-current assets by region); assets: 320.7</t>
        </is>
      </c>
      <c r="I877" s="2" t="inlineStr">
        <is>
          <t>S3</t>
        </is>
      </c>
      <c r="J877" s="2" t="n">
        <v>78</v>
      </c>
      <c r="K877" s="2" t="inlineStr">
        <is>
          <t>Total 340.7 320.7</t>
        </is>
      </c>
      <c r="L877" s="2" t="inlineStr">
        <is>
          <t>ok</t>
        </is>
      </c>
      <c r="M877" s="2" t="inlineStr">
        <is>
          <t>demo reviewer</t>
        </is>
      </c>
      <c r="N877" s="2" t="n"/>
      <c r="O877" s="3" t="inlineStr">
        <is>
          <t>https://vanillabonds.com/dossier-data/pdf/katjes/katjes-2025-annual-report.pdf#page=78</t>
        </is>
      </c>
      <c r="P877" s="3" t="inlineStr">
        <is>
          <t>https://vanillabonds.com/dossier.html?c=katjes&amp;viewer=1&amp;item=F876</t>
        </is>
      </c>
      <c r="Q877" s="2" t="inlineStr"/>
    </row>
    <row r="878">
      <c r="A878" s="2" t="inlineStr">
        <is>
          <t>F877</t>
        </is>
      </c>
      <c r="B878" s="2" t="inlineStr">
        <is>
          <t>financials</t>
        </is>
      </c>
      <c r="C878" s="2" t="inlineStr">
        <is>
          <t>segment</t>
        </is>
      </c>
      <c r="D878" s="3" t="inlineStr">
        <is>
          <t>Segment: segment; revenue; ebitda; assets</t>
        </is>
      </c>
      <c r="E878" s="2" t="inlineStr">
        <is>
          <t>FY2025</t>
        </is>
      </c>
      <c r="F878" s="2" t="n">
        <v>174.9</v>
      </c>
      <c r="G878" s="2" t="n"/>
      <c r="H878" s="3" t="inlineStr">
        <is>
          <t>segment: Confectionery (business line, revenue only; single IFRS 8 operating segment); revenue: 174.9</t>
        </is>
      </c>
      <c r="I878" s="2" t="inlineStr">
        <is>
          <t>S3</t>
        </is>
      </c>
      <c r="J878" s="2" t="n">
        <v>74</v>
      </c>
      <c r="K878" s="2" t="inlineStr">
        <is>
          <t>Confectionery 174.9 160.0</t>
        </is>
      </c>
      <c r="L878" s="2" t="inlineStr">
        <is>
          <t>ok</t>
        </is>
      </c>
      <c r="M878" s="2" t="inlineStr">
        <is>
          <t>demo reviewer</t>
        </is>
      </c>
      <c r="N878" s="2" t="n"/>
      <c r="O878" s="3" t="inlineStr">
        <is>
          <t>https://vanillabonds.com/dossier-data/pdf/katjes/katjes-2025-annual-report.pdf#page=74</t>
        </is>
      </c>
      <c r="P878" s="3" t="inlineStr">
        <is>
          <t>https://vanillabonds.com/dossier.html?c=katjes&amp;viewer=1&amp;item=F877</t>
        </is>
      </c>
      <c r="Q878" s="2" t="inlineStr"/>
    </row>
    <row r="879">
      <c r="A879" s="2" t="inlineStr">
        <is>
          <t>F878</t>
        </is>
      </c>
      <c r="B879" s="2" t="inlineStr">
        <is>
          <t>financials</t>
        </is>
      </c>
      <c r="C879" s="2" t="inlineStr">
        <is>
          <t>segment</t>
        </is>
      </c>
      <c r="D879" s="3" t="inlineStr">
        <is>
          <t>Segment: segment; revenue; ebitda; assets</t>
        </is>
      </c>
      <c r="E879" s="2" t="inlineStr">
        <is>
          <t>FY2025</t>
        </is>
      </c>
      <c r="F879" s="2" t="n">
        <v>145.1</v>
      </c>
      <c r="G879" s="2" t="n"/>
      <c r="H879" s="3" t="inlineStr">
        <is>
          <t>segment: Seasonals (business line, revenue only; single IFRS 8 operating segment); revenue: 145.1</t>
        </is>
      </c>
      <c r="I879" s="2" t="inlineStr">
        <is>
          <t>S3</t>
        </is>
      </c>
      <c r="J879" s="2" t="n">
        <v>74</v>
      </c>
      <c r="K879" s="2" t="inlineStr">
        <is>
          <t>Seasonals 145.1 54.7</t>
        </is>
      </c>
      <c r="L879" s="2" t="inlineStr">
        <is>
          <t>ok</t>
        </is>
      </c>
      <c r="M879" s="2" t="inlineStr">
        <is>
          <t>demo reviewer</t>
        </is>
      </c>
      <c r="N879" s="2" t="n"/>
      <c r="O879" s="3" t="inlineStr">
        <is>
          <t>https://vanillabonds.com/dossier-data/pdf/katjes/katjes-2025-annual-report.pdf#page=74</t>
        </is>
      </c>
      <c r="P879" s="3" t="inlineStr">
        <is>
          <t>https://vanillabonds.com/dossier.html?c=katjes&amp;viewer=1&amp;item=F878</t>
        </is>
      </c>
      <c r="Q879" s="2" t="inlineStr"/>
    </row>
    <row r="880">
      <c r="A880" s="2" t="inlineStr">
        <is>
          <t>F879</t>
        </is>
      </c>
      <c r="B880" s="2" t="inlineStr">
        <is>
          <t>financials</t>
        </is>
      </c>
      <c r="C880" s="2" t="inlineStr">
        <is>
          <t>segment</t>
        </is>
      </c>
      <c r="D880" s="3" t="inlineStr">
        <is>
          <t>Segment: segment; revenue; ebitda; assets</t>
        </is>
      </c>
      <c r="E880" s="2" t="inlineStr">
        <is>
          <t>FY2025</t>
        </is>
      </c>
      <c r="F880" s="2" t="n">
        <v>97.09999999999999</v>
      </c>
      <c r="G880" s="2" t="n"/>
      <c r="H880" s="3" t="inlineStr">
        <is>
          <t>segment: Body care products (business line, revenue only; single IFRS 8 operating segment); revenue: 97.1</t>
        </is>
      </c>
      <c r="I880" s="2" t="inlineStr">
        <is>
          <t>S3</t>
        </is>
      </c>
      <c r="J880" s="2" t="n">
        <v>74</v>
      </c>
      <c r="K880" s="2" t="inlineStr">
        <is>
          <t>Body care products 97.1 90.4</t>
        </is>
      </c>
      <c r="L880" s="2" t="inlineStr">
        <is>
          <t>ok</t>
        </is>
      </c>
      <c r="M880" s="2" t="inlineStr">
        <is>
          <t>demo reviewer</t>
        </is>
      </c>
      <c r="N880" s="2" t="n"/>
      <c r="O880" s="3" t="inlineStr">
        <is>
          <t>https://vanillabonds.com/dossier-data/pdf/katjes/katjes-2025-annual-report.pdf#page=74</t>
        </is>
      </c>
      <c r="P880" s="3" t="inlineStr">
        <is>
          <t>https://vanillabonds.com/dossier.html?c=katjes&amp;viewer=1&amp;item=F879</t>
        </is>
      </c>
      <c r="Q880" s="2" t="inlineStr"/>
    </row>
    <row r="881">
      <c r="A881" s="2" t="inlineStr">
        <is>
          <t>F880</t>
        </is>
      </c>
      <c r="B881" s="2" t="inlineStr">
        <is>
          <t>financials</t>
        </is>
      </c>
      <c r="C881" s="2" t="inlineStr">
        <is>
          <t>segment</t>
        </is>
      </c>
      <c r="D881" s="3" t="inlineStr">
        <is>
          <t>Segment: segment; revenue; ebitda; assets</t>
        </is>
      </c>
      <c r="E881" s="2" t="inlineStr">
        <is>
          <t>FY2025</t>
        </is>
      </c>
      <c r="F881" s="2" t="n">
        <v>57.3</v>
      </c>
      <c r="G881" s="2" t="n"/>
      <c r="H881" s="3" t="inlineStr">
        <is>
          <t>segment: Chocolate (business line, revenue only; single IFRS 8 operating segment); revenue: 57.3</t>
        </is>
      </c>
      <c r="I881" s="2" t="inlineStr">
        <is>
          <t>S3</t>
        </is>
      </c>
      <c r="J881" s="2" t="n">
        <v>74</v>
      </c>
      <c r="K881" s="2" t="inlineStr">
        <is>
          <t>Chocolate 57.3 57.8</t>
        </is>
      </c>
      <c r="L881" s="2" t="inlineStr">
        <is>
          <t>ok</t>
        </is>
      </c>
      <c r="M881" s="2" t="inlineStr">
        <is>
          <t>demo reviewer</t>
        </is>
      </c>
      <c r="N881" s="2" t="n"/>
      <c r="O881" s="3" t="inlineStr">
        <is>
          <t>https://vanillabonds.com/dossier-data/pdf/katjes/katjes-2025-annual-report.pdf#page=74</t>
        </is>
      </c>
      <c r="P881" s="3" t="inlineStr">
        <is>
          <t>https://vanillabonds.com/dossier.html?c=katjes&amp;viewer=1&amp;item=F880</t>
        </is>
      </c>
      <c r="Q881" s="2" t="inlineStr"/>
    </row>
    <row r="882">
      <c r="A882" s="2" t="inlineStr">
        <is>
          <t>F881</t>
        </is>
      </c>
      <c r="B882" s="2" t="inlineStr">
        <is>
          <t>financials</t>
        </is>
      </c>
      <c r="C882" s="2" t="inlineStr">
        <is>
          <t>segment</t>
        </is>
      </c>
      <c r="D882" s="3" t="inlineStr">
        <is>
          <t>Segment: segment; revenue; ebitda; assets</t>
        </is>
      </c>
      <c r="E882" s="2" t="inlineStr">
        <is>
          <t>FY2025</t>
        </is>
      </c>
      <c r="F882" s="2" t="n">
        <v>28.6</v>
      </c>
      <c r="G882" s="2" t="n"/>
      <c r="H882" s="3" t="inlineStr">
        <is>
          <t>segment: Other (business line, revenue only; single IFRS 8 operating segment); revenue: 28.6</t>
        </is>
      </c>
      <c r="I882" s="2" t="inlineStr">
        <is>
          <t>S3</t>
        </is>
      </c>
      <c r="J882" s="2" t="n">
        <v>74</v>
      </c>
      <c r="K882" s="2" t="inlineStr">
        <is>
          <t>Other 28.6 29.7</t>
        </is>
      </c>
      <c r="L882" s="2" t="inlineStr">
        <is>
          <t>ok</t>
        </is>
      </c>
      <c r="M882" s="2" t="inlineStr">
        <is>
          <t>demo reviewer</t>
        </is>
      </c>
      <c r="N882" s="2" t="n"/>
      <c r="O882" s="3" t="inlineStr">
        <is>
          <t>https://vanillabonds.com/dossier-data/pdf/katjes/katjes-2025-annual-report.pdf#page=74</t>
        </is>
      </c>
      <c r="P882" s="3" t="inlineStr">
        <is>
          <t>https://vanillabonds.com/dossier.html?c=katjes&amp;viewer=1&amp;item=F881</t>
        </is>
      </c>
      <c r="Q882" s="2" t="inlineStr"/>
    </row>
    <row r="883">
      <c r="A883" s="2" t="inlineStr">
        <is>
          <t>F882</t>
        </is>
      </c>
      <c r="B883" s="2" t="inlineStr">
        <is>
          <t>financials</t>
        </is>
      </c>
      <c r="C883" s="2" t="inlineStr">
        <is>
          <t>segment</t>
        </is>
      </c>
      <c r="D883" s="3" t="inlineStr">
        <is>
          <t>Segment: segment; revenue; ebitda; assets</t>
        </is>
      </c>
      <c r="E883" s="2" t="inlineStr">
        <is>
          <t>FY2025</t>
        </is>
      </c>
      <c r="F883" s="2" t="n">
        <v>158.1</v>
      </c>
      <c r="G883" s="2" t="n"/>
      <c r="H883" s="3" t="inlineStr">
        <is>
          <t>segment: Germany (region, revenue by customer location); revenue: 158.1</t>
        </is>
      </c>
      <c r="I883" s="2" t="inlineStr">
        <is>
          <t>S3</t>
        </is>
      </c>
      <c r="J883" s="2" t="n">
        <v>77</v>
      </c>
      <c r="K883" s="2" t="inlineStr">
        <is>
          <t>Germany 158.1 106.8</t>
        </is>
      </c>
      <c r="L883" s="2" t="inlineStr">
        <is>
          <t>ok</t>
        </is>
      </c>
      <c r="M883" s="2" t="inlineStr">
        <is>
          <t>demo reviewer</t>
        </is>
      </c>
      <c r="N883" s="2" t="n"/>
      <c r="O883" s="3" t="inlineStr">
        <is>
          <t>https://vanillabonds.com/dossier-data/pdf/katjes/katjes-2025-annual-report.pdf#page=77</t>
        </is>
      </c>
      <c r="P883" s="3" t="inlineStr">
        <is>
          <t>https://vanillabonds.com/dossier.html?c=katjes&amp;viewer=1&amp;item=F882</t>
        </is>
      </c>
      <c r="Q883" s="2" t="inlineStr"/>
    </row>
    <row r="884">
      <c r="A884" s="2" t="inlineStr">
        <is>
          <t>F883</t>
        </is>
      </c>
      <c r="B884" s="2" t="inlineStr">
        <is>
          <t>financials</t>
        </is>
      </c>
      <c r="C884" s="2" t="inlineStr">
        <is>
          <t>segment</t>
        </is>
      </c>
      <c r="D884" s="3" t="inlineStr">
        <is>
          <t>Segment: segment; revenue; ebitda; assets</t>
        </is>
      </c>
      <c r="E884" s="2" t="inlineStr">
        <is>
          <t>FY2025</t>
        </is>
      </c>
      <c r="F884" s="2" t="n">
        <v>119.1</v>
      </c>
      <c r="G884" s="2" t="n"/>
      <c r="H884" s="3" t="inlineStr">
        <is>
          <t>segment: Italy (region, revenue by customer location); revenue: 119.1</t>
        </is>
      </c>
      <c r="I884" s="2" t="inlineStr">
        <is>
          <t>S3</t>
        </is>
      </c>
      <c r="J884" s="2" t="n">
        <v>77</v>
      </c>
      <c r="K884" s="2" t="inlineStr">
        <is>
          <t>Italy 119.1 122.8</t>
        </is>
      </c>
      <c r="L884" s="2" t="inlineStr">
        <is>
          <t>ok</t>
        </is>
      </c>
      <c r="M884" s="2" t="inlineStr">
        <is>
          <t>demo reviewer</t>
        </is>
      </c>
      <c r="N884" s="2" t="n"/>
      <c r="O884" s="3" t="inlineStr">
        <is>
          <t>https://vanillabonds.com/dossier-data/pdf/katjes/katjes-2025-annual-report.pdf#page=77</t>
        </is>
      </c>
      <c r="P884" s="3" t="inlineStr">
        <is>
          <t>https://vanillabonds.com/dossier.html?c=katjes&amp;viewer=1&amp;item=F883</t>
        </is>
      </c>
      <c r="Q884" s="2" t="inlineStr"/>
    </row>
    <row r="885">
      <c r="A885" s="2" t="inlineStr">
        <is>
          <t>F884</t>
        </is>
      </c>
      <c r="B885" s="2" t="inlineStr">
        <is>
          <t>financials</t>
        </is>
      </c>
      <c r="C885" s="2" t="inlineStr">
        <is>
          <t>segment</t>
        </is>
      </c>
      <c r="D885" s="3" t="inlineStr">
        <is>
          <t>Segment: segment; revenue; ebitda; assets</t>
        </is>
      </c>
      <c r="E885" s="2" t="inlineStr">
        <is>
          <t>FY2025</t>
        </is>
      </c>
      <c r="F885" s="2" t="n">
        <v>41.5</v>
      </c>
      <c r="G885" s="2" t="n"/>
      <c r="H885" s="3" t="inlineStr">
        <is>
          <t>segment: Switzerland (region, revenue by customer location); revenue: 41.5</t>
        </is>
      </c>
      <c r="I885" s="2" t="inlineStr">
        <is>
          <t>S3</t>
        </is>
      </c>
      <c r="J885" s="2" t="n">
        <v>77</v>
      </c>
      <c r="K885" s="2" t="inlineStr">
        <is>
          <t>Switzerland 41.5 24.4</t>
        </is>
      </c>
      <c r="L885" s="2" t="inlineStr">
        <is>
          <t>ok</t>
        </is>
      </c>
      <c r="M885" s="2" t="inlineStr">
        <is>
          <t>demo reviewer</t>
        </is>
      </c>
      <c r="N885" s="2" t="n"/>
      <c r="O885" s="3" t="inlineStr">
        <is>
          <t>https://vanillabonds.com/dossier-data/pdf/katjes/katjes-2025-annual-report.pdf#page=77</t>
        </is>
      </c>
      <c r="P885" s="3" t="inlineStr">
        <is>
          <t>https://vanillabonds.com/dossier.html?c=katjes&amp;viewer=1&amp;item=F884</t>
        </is>
      </c>
      <c r="Q885" s="2" t="inlineStr"/>
    </row>
    <row r="886">
      <c r="A886" s="2" t="inlineStr">
        <is>
          <t>F885</t>
        </is>
      </c>
      <c r="B886" s="2" t="inlineStr">
        <is>
          <t>financials</t>
        </is>
      </c>
      <c r="C886" s="2" t="inlineStr">
        <is>
          <t>segment</t>
        </is>
      </c>
      <c r="D886" s="3" t="inlineStr">
        <is>
          <t>Segment: segment; revenue; ebitda; assets</t>
        </is>
      </c>
      <c r="E886" s="2" t="inlineStr">
        <is>
          <t>FY2025</t>
        </is>
      </c>
      <c r="F886" s="2" t="n">
        <v>31.5</v>
      </c>
      <c r="G886" s="2" t="n"/>
      <c r="H886" s="3" t="inlineStr">
        <is>
          <t>segment: UK (region, revenue by customer location); revenue: 31.5</t>
        </is>
      </c>
      <c r="I886" s="2" t="inlineStr">
        <is>
          <t>S3</t>
        </is>
      </c>
      <c r="J886" s="2" t="n">
        <v>77</v>
      </c>
      <c r="K886" s="2" t="inlineStr">
        <is>
          <t>UK 31.5 18.7</t>
        </is>
      </c>
      <c r="L886" s="2" t="inlineStr">
        <is>
          <t>ok</t>
        </is>
      </c>
      <c r="M886" s="2" t="inlineStr">
        <is>
          <t>demo reviewer</t>
        </is>
      </c>
      <c r="N886" s="2" t="n"/>
      <c r="O886" s="3" t="inlineStr">
        <is>
          <t>https://vanillabonds.com/dossier-data/pdf/katjes/katjes-2025-annual-report.pdf#page=77</t>
        </is>
      </c>
      <c r="P886" s="3" t="inlineStr">
        <is>
          <t>https://vanillabonds.com/dossier.html?c=katjes&amp;viewer=1&amp;item=F885</t>
        </is>
      </c>
      <c r="Q886" s="2" t="inlineStr"/>
    </row>
    <row r="887">
      <c r="A887" s="2" t="inlineStr">
        <is>
          <t>F886</t>
        </is>
      </c>
      <c r="B887" s="2" t="inlineStr">
        <is>
          <t>financials</t>
        </is>
      </c>
      <c r="C887" s="2" t="inlineStr">
        <is>
          <t>segment</t>
        </is>
      </c>
      <c r="D887" s="3" t="inlineStr">
        <is>
          <t>Segment: segment; revenue; ebitda; assets</t>
        </is>
      </c>
      <c r="E887" s="2" t="inlineStr">
        <is>
          <t>FY2025</t>
        </is>
      </c>
      <c r="F887" s="2" t="n">
        <v>22</v>
      </c>
      <c r="G887" s="2" t="n"/>
      <c r="H887" s="3" t="inlineStr">
        <is>
          <t>segment: North America (region, revenue by customer location); revenue: 22.0</t>
        </is>
      </c>
      <c r="I887" s="2" t="inlineStr">
        <is>
          <t>S3</t>
        </is>
      </c>
      <c r="J887" s="2" t="n">
        <v>77</v>
      </c>
      <c r="K887" s="2" t="inlineStr">
        <is>
          <t>North America 22.0 5.3</t>
        </is>
      </c>
      <c r="L887" s="2" t="inlineStr">
        <is>
          <t>ok</t>
        </is>
      </c>
      <c r="M887" s="2" t="inlineStr">
        <is>
          <t>demo reviewer</t>
        </is>
      </c>
      <c r="N887" s="2" t="n"/>
      <c r="O887" s="3" t="inlineStr">
        <is>
          <t>https://vanillabonds.com/dossier-data/pdf/katjes/katjes-2025-annual-report.pdf#page=77</t>
        </is>
      </c>
      <c r="P887" s="3" t="inlineStr">
        <is>
          <t>https://vanillabonds.com/dossier.html?c=katjes&amp;viewer=1&amp;item=F886</t>
        </is>
      </c>
      <c r="Q887" s="2" t="inlineStr"/>
    </row>
    <row r="888">
      <c r="A888" s="2" t="inlineStr">
        <is>
          <t>F887</t>
        </is>
      </c>
      <c r="B888" s="2" t="inlineStr">
        <is>
          <t>financials</t>
        </is>
      </c>
      <c r="C888" s="2" t="inlineStr">
        <is>
          <t>segment</t>
        </is>
      </c>
      <c r="D888" s="3" t="inlineStr">
        <is>
          <t>Segment: segment; revenue; ebitda; assets</t>
        </is>
      </c>
      <c r="E888" s="2" t="inlineStr">
        <is>
          <t>FY2025</t>
        </is>
      </c>
      <c r="F888" s="2" t="n">
        <v>19.1</v>
      </c>
      <c r="G888" s="2" t="n"/>
      <c r="H888" s="3" t="inlineStr">
        <is>
          <t>segment: Netherlands (region, revenue by customer location); revenue: 19.1</t>
        </is>
      </c>
      <c r="I888" s="2" t="inlineStr">
        <is>
          <t>S3</t>
        </is>
      </c>
      <c r="J888" s="2" t="n">
        <v>77</v>
      </c>
      <c r="K888" s="2" t="inlineStr">
        <is>
          <t>Netherlands 19.1 16.1</t>
        </is>
      </c>
      <c r="L888" s="2" t="inlineStr">
        <is>
          <t>ok</t>
        </is>
      </c>
      <c r="M888" s="2" t="inlineStr">
        <is>
          <t>demo reviewer</t>
        </is>
      </c>
      <c r="N888" s="2" t="n"/>
      <c r="O888" s="3" t="inlineStr">
        <is>
          <t>https://vanillabonds.com/dossier-data/pdf/katjes/katjes-2025-annual-report.pdf#page=77</t>
        </is>
      </c>
      <c r="P888" s="3" t="inlineStr">
        <is>
          <t>https://vanillabonds.com/dossier.html?c=katjes&amp;viewer=1&amp;item=F887</t>
        </is>
      </c>
      <c r="Q888" s="2" t="inlineStr"/>
    </row>
    <row r="889">
      <c r="A889" s="2" t="inlineStr">
        <is>
          <t>F888</t>
        </is>
      </c>
      <c r="B889" s="2" t="inlineStr">
        <is>
          <t>financials</t>
        </is>
      </c>
      <c r="C889" s="2" t="inlineStr">
        <is>
          <t>segment</t>
        </is>
      </c>
      <c r="D889" s="3" t="inlineStr">
        <is>
          <t>Segment: segment; revenue; ebitda; assets</t>
        </is>
      </c>
      <c r="E889" s="2" t="inlineStr">
        <is>
          <t>FY2025</t>
        </is>
      </c>
      <c r="F889" s="2" t="n">
        <v>91.3</v>
      </c>
      <c r="G889" s="2" t="n"/>
      <c r="H889" s="3" t="inlineStr">
        <is>
          <t>segment: Other EU countries (region, revenue by customer location); revenue: 91.3</t>
        </is>
      </c>
      <c r="I889" s="2" t="inlineStr">
        <is>
          <t>S3</t>
        </is>
      </c>
      <c r="J889" s="2" t="n">
        <v>77</v>
      </c>
      <c r="K889" s="2" t="inlineStr">
        <is>
          <t>Other EU countries 91.3 81.2</t>
        </is>
      </c>
      <c r="L889" s="2" t="inlineStr">
        <is>
          <t>ok</t>
        </is>
      </c>
      <c r="M889" s="2" t="inlineStr">
        <is>
          <t>demo reviewer</t>
        </is>
      </c>
      <c r="N889" s="2" t="n"/>
      <c r="O889" s="3" t="inlineStr">
        <is>
          <t>https://vanillabonds.com/dossier-data/pdf/katjes/katjes-2025-annual-report.pdf#page=77</t>
        </is>
      </c>
      <c r="P889" s="3" t="inlineStr">
        <is>
          <t>https://vanillabonds.com/dossier.html?c=katjes&amp;viewer=1&amp;item=F888</t>
        </is>
      </c>
      <c r="Q889" s="2" t="inlineStr"/>
    </row>
    <row r="890">
      <c r="A890" s="2" t="inlineStr">
        <is>
          <t>F889</t>
        </is>
      </c>
      <c r="B890" s="2" t="inlineStr">
        <is>
          <t>financials</t>
        </is>
      </c>
      <c r="C890" s="2" t="inlineStr">
        <is>
          <t>segment</t>
        </is>
      </c>
      <c r="D890" s="3" t="inlineStr">
        <is>
          <t>Segment: segment; revenue; ebitda; assets</t>
        </is>
      </c>
      <c r="E890" s="2" t="inlineStr">
        <is>
          <t>FY2025</t>
        </is>
      </c>
      <c r="F890" s="2" t="n">
        <v>20.4</v>
      </c>
      <c r="G890" s="2" t="n"/>
      <c r="H890" s="3" t="inlineStr">
        <is>
          <t>segment: Non-EU countries (region, revenue by customer location); revenue: 20.4</t>
        </is>
      </c>
      <c r="I890" s="2" t="inlineStr">
        <is>
          <t>S3</t>
        </is>
      </c>
      <c r="J890" s="2" t="n">
        <v>77</v>
      </c>
      <c r="K890" s="2" t="inlineStr">
        <is>
          <t>Non-EU countries 20.4 17.3</t>
        </is>
      </c>
      <c r="L890" s="2" t="inlineStr">
        <is>
          <t>ok</t>
        </is>
      </c>
      <c r="M890" s="2" t="inlineStr">
        <is>
          <t>demo reviewer</t>
        </is>
      </c>
      <c r="N890" s="2" t="n"/>
      <c r="O890" s="3" t="inlineStr">
        <is>
          <t>https://vanillabonds.com/dossier-data/pdf/katjes/katjes-2025-annual-report.pdf#page=77</t>
        </is>
      </c>
      <c r="P890" s="3" t="inlineStr">
        <is>
          <t>https://vanillabonds.com/dossier.html?c=katjes&amp;viewer=1&amp;item=F889</t>
        </is>
      </c>
      <c r="Q890" s="2" t="inlineStr"/>
    </row>
    <row r="891">
      <c r="A891" s="2" t="inlineStr">
        <is>
          <t>F890</t>
        </is>
      </c>
      <c r="B891" s="2" t="inlineStr">
        <is>
          <t>financials</t>
        </is>
      </c>
      <c r="C891" s="2" t="inlineStr">
        <is>
          <t>segment</t>
        </is>
      </c>
      <c r="D891" s="3" t="inlineStr">
        <is>
          <t>Segment: segment; revenue; ebitda; assets</t>
        </is>
      </c>
      <c r="E891" s="2" t="inlineStr">
        <is>
          <t>FY2025</t>
        </is>
      </c>
      <c r="F891" s="2" t="n">
        <v>200.5</v>
      </c>
      <c r="G891" s="2" t="n"/>
      <c r="H891" s="3" t="inlineStr">
        <is>
          <t>segment: Germany (region, non-current assets: PP&amp;E, intangibles, other financial assets, investments); assets: 200.5</t>
        </is>
      </c>
      <c r="I891" s="2" t="inlineStr">
        <is>
          <t>S3</t>
        </is>
      </c>
      <c r="J891" s="2" t="n">
        <v>78</v>
      </c>
      <c r="K891" s="2" t="inlineStr">
        <is>
          <t>Germany 200.5 141.4</t>
        </is>
      </c>
      <c r="L891" s="2" t="inlineStr">
        <is>
          <t>ok</t>
        </is>
      </c>
      <c r="M891" s="2" t="inlineStr">
        <is>
          <t>demo reviewer</t>
        </is>
      </c>
      <c r="N891" s="2" t="n"/>
      <c r="O891" s="3" t="inlineStr">
        <is>
          <t>https://vanillabonds.com/dossier-data/pdf/katjes/katjes-2025-annual-report.pdf#page=78</t>
        </is>
      </c>
      <c r="P891" s="3" t="inlineStr">
        <is>
          <t>https://vanillabonds.com/dossier.html?c=katjes&amp;viewer=1&amp;item=F890</t>
        </is>
      </c>
      <c r="Q891" s="2" t="inlineStr"/>
    </row>
    <row r="892">
      <c r="A892" s="2" t="inlineStr">
        <is>
          <t>F891</t>
        </is>
      </c>
      <c r="B892" s="2" t="inlineStr">
        <is>
          <t>financials</t>
        </is>
      </c>
      <c r="C892" s="2" t="inlineStr">
        <is>
          <t>segment</t>
        </is>
      </c>
      <c r="D892" s="3" t="inlineStr">
        <is>
          <t>Segment: segment; revenue; ebitda; assets</t>
        </is>
      </c>
      <c r="E892" s="2" t="inlineStr">
        <is>
          <t>FY2025</t>
        </is>
      </c>
      <c r="F892" s="2" t="n">
        <v>93.5</v>
      </c>
      <c r="G892" s="2" t="n"/>
      <c r="H892" s="3" t="inlineStr">
        <is>
          <t>segment: Italy (region, non-current assets: PP&amp;E, intangibles, other financial assets, investments); assets: 93.5</t>
        </is>
      </c>
      <c r="I892" s="2" t="inlineStr">
        <is>
          <t>S3</t>
        </is>
      </c>
      <c r="J892" s="2" t="n">
        <v>78</v>
      </c>
      <c r="K892" s="2" t="inlineStr">
        <is>
          <t>Italy 93.5 95.6</t>
        </is>
      </c>
      <c r="L892" s="2" t="inlineStr">
        <is>
          <t>ok</t>
        </is>
      </c>
      <c r="M892" s="2" t="inlineStr">
        <is>
          <t>demo reviewer</t>
        </is>
      </c>
      <c r="N892" s="2" t="n"/>
      <c r="O892" s="3" t="inlineStr">
        <is>
          <t>https://vanillabonds.com/dossier-data/pdf/katjes/katjes-2025-annual-report.pdf#page=78</t>
        </is>
      </c>
      <c r="P892" s="3" t="inlineStr">
        <is>
          <t>https://vanillabonds.com/dossier.html?c=katjes&amp;viewer=1&amp;item=F891</t>
        </is>
      </c>
      <c r="Q892" s="2" t="inlineStr"/>
    </row>
    <row r="893">
      <c r="A893" s="2" t="inlineStr">
        <is>
          <t>F892</t>
        </is>
      </c>
      <c r="B893" s="2" t="inlineStr">
        <is>
          <t>financials</t>
        </is>
      </c>
      <c r="C893" s="2" t="inlineStr">
        <is>
          <t>segment</t>
        </is>
      </c>
      <c r="D893" s="3" t="inlineStr">
        <is>
          <t>Segment: segment; revenue; ebitda; assets</t>
        </is>
      </c>
      <c r="E893" s="2" t="inlineStr">
        <is>
          <t>FY2025</t>
        </is>
      </c>
      <c r="F893" s="2" t="n">
        <v>12.3</v>
      </c>
      <c r="G893" s="2" t="n"/>
      <c r="H893" s="3" t="inlineStr">
        <is>
          <t>segment: Netherlands (region, non-current assets: PP&amp;E, intangibles, other financial assets, investments); assets: 12.3</t>
        </is>
      </c>
      <c r="I893" s="2" t="inlineStr">
        <is>
          <t>S3</t>
        </is>
      </c>
      <c r="J893" s="2" t="n">
        <v>78</v>
      </c>
      <c r="K893" s="2" t="inlineStr">
        <is>
          <t>Netherlands 12.3 72.3</t>
        </is>
      </c>
      <c r="L893" s="2" t="inlineStr">
        <is>
          <t>ok</t>
        </is>
      </c>
      <c r="M893" s="2" t="inlineStr">
        <is>
          <t>demo reviewer</t>
        </is>
      </c>
      <c r="N893" s="2" t="n"/>
      <c r="O893" s="3" t="inlineStr">
        <is>
          <t>https://vanillabonds.com/dossier-data/pdf/katjes/katjes-2025-annual-report.pdf#page=78</t>
        </is>
      </c>
      <c r="P893" s="3" t="inlineStr">
        <is>
          <t>https://vanillabonds.com/dossier.html?c=katjes&amp;viewer=1&amp;item=F892</t>
        </is>
      </c>
      <c r="Q893" s="2" t="inlineStr"/>
    </row>
    <row r="894">
      <c r="A894" s="2" t="inlineStr">
        <is>
          <t>F893</t>
        </is>
      </c>
      <c r="B894" s="2" t="inlineStr">
        <is>
          <t>financials</t>
        </is>
      </c>
      <c r="C894" s="2" t="inlineStr">
        <is>
          <t>segment</t>
        </is>
      </c>
      <c r="D894" s="3" t="inlineStr">
        <is>
          <t>Segment: segment; revenue; ebitda; assets</t>
        </is>
      </c>
      <c r="E894" s="2" t="inlineStr">
        <is>
          <t>FY2025</t>
        </is>
      </c>
      <c r="F894" s="2" t="n">
        <v>12.2</v>
      </c>
      <c r="G894" s="2" t="n"/>
      <c r="H894" s="3" t="inlineStr">
        <is>
          <t>segment: Switzerland (region, non-current assets: PP&amp;E, intangibles, other financial assets, investments); assets: 12.2</t>
        </is>
      </c>
      <c r="I894" s="2" t="inlineStr">
        <is>
          <t>S3</t>
        </is>
      </c>
      <c r="J894" s="2" t="n">
        <v>78</v>
      </c>
      <c r="K894" s="2" t="inlineStr">
        <is>
          <t>Switzerland 12.2 0.0</t>
        </is>
      </c>
      <c r="L894" s="2" t="inlineStr">
        <is>
          <t>ok</t>
        </is>
      </c>
      <c r="M894" s="2" t="inlineStr">
        <is>
          <t>demo reviewer</t>
        </is>
      </c>
      <c r="N894" s="2" t="n"/>
      <c r="O894" s="3" t="inlineStr">
        <is>
          <t>https://vanillabonds.com/dossier-data/pdf/katjes/katjes-2025-annual-report.pdf#page=78</t>
        </is>
      </c>
      <c r="P894" s="3" t="inlineStr">
        <is>
          <t>https://vanillabonds.com/dossier.html?c=katjes&amp;viewer=1&amp;item=F893</t>
        </is>
      </c>
      <c r="Q894" s="2" t="inlineStr"/>
    </row>
    <row r="895">
      <c r="A895" s="2" t="inlineStr">
        <is>
          <t>F894</t>
        </is>
      </c>
      <c r="B895" s="2" t="inlineStr">
        <is>
          <t>financials</t>
        </is>
      </c>
      <c r="C895" s="2" t="inlineStr">
        <is>
          <t>segment</t>
        </is>
      </c>
      <c r="D895" s="3" t="inlineStr">
        <is>
          <t>Segment: segment; revenue; ebitda; assets</t>
        </is>
      </c>
      <c r="E895" s="2" t="inlineStr">
        <is>
          <t>FY2025</t>
        </is>
      </c>
      <c r="F895" s="2" t="n">
        <v>10.9</v>
      </c>
      <c r="G895" s="2" t="n"/>
      <c r="H895" s="3" t="inlineStr">
        <is>
          <t>segment: UK (region, non-current assets: PP&amp;E, intangibles, other financial assets, investments); assets: 10.9</t>
        </is>
      </c>
      <c r="I895" s="2" t="inlineStr">
        <is>
          <t>S3</t>
        </is>
      </c>
      <c r="J895" s="2" t="n">
        <v>78</v>
      </c>
      <c r="K895" s="2" t="inlineStr">
        <is>
          <t>UK 10.9 11.4</t>
        </is>
      </c>
      <c r="L895" s="2" t="inlineStr">
        <is>
          <t>ok</t>
        </is>
      </c>
      <c r="M895" s="2" t="inlineStr">
        <is>
          <t>demo reviewer</t>
        </is>
      </c>
      <c r="N895" s="2" t="n"/>
      <c r="O895" s="3" t="inlineStr">
        <is>
          <t>https://vanillabonds.com/dossier-data/pdf/katjes/katjes-2025-annual-report.pdf#page=78</t>
        </is>
      </c>
      <c r="P895" s="3" t="inlineStr">
        <is>
          <t>https://vanillabonds.com/dossier.html?c=katjes&amp;viewer=1&amp;item=F894</t>
        </is>
      </c>
      <c r="Q895" s="2" t="inlineStr"/>
    </row>
    <row r="896">
      <c r="A896" s="2" t="inlineStr">
        <is>
          <t>F895</t>
        </is>
      </c>
      <c r="B896" s="2" t="inlineStr">
        <is>
          <t>financials</t>
        </is>
      </c>
      <c r="C896" s="2" t="inlineStr">
        <is>
          <t>segment</t>
        </is>
      </c>
      <c r="D896" s="3" t="inlineStr">
        <is>
          <t>Segment: segment; revenue; ebitda; assets</t>
        </is>
      </c>
      <c r="E896" s="2" t="inlineStr">
        <is>
          <t>FY2025</t>
        </is>
      </c>
      <c r="F896" s="2" t="n">
        <v>9.699999999999999</v>
      </c>
      <c r="G896" s="2" t="n"/>
      <c r="H896" s="3" t="inlineStr">
        <is>
          <t>segment: North America (region, non-current assets: PP&amp;E, intangibles, other financial assets, investments); assets: 9.7</t>
        </is>
      </c>
      <c r="I896" s="2" t="inlineStr">
        <is>
          <t>S3</t>
        </is>
      </c>
      <c r="J896" s="2" t="n">
        <v>78</v>
      </c>
      <c r="K896" s="2" t="inlineStr">
        <is>
          <t>North America 9.7 0.0</t>
        </is>
      </c>
      <c r="L896" s="2" t="inlineStr">
        <is>
          <t>ok</t>
        </is>
      </c>
      <c r="M896" s="2" t="inlineStr">
        <is>
          <t>demo reviewer</t>
        </is>
      </c>
      <c r="N896" s="2" t="n"/>
      <c r="O896" s="3" t="inlineStr">
        <is>
          <t>https://vanillabonds.com/dossier-data/pdf/katjes/katjes-2025-annual-report.pdf#page=78</t>
        </is>
      </c>
      <c r="P896" s="3" t="inlineStr">
        <is>
          <t>https://vanillabonds.com/dossier.html?c=katjes&amp;viewer=1&amp;item=F895</t>
        </is>
      </c>
      <c r="Q896" s="2" t="inlineStr"/>
    </row>
    <row r="897">
      <c r="A897" s="2" t="inlineStr">
        <is>
          <t>F896</t>
        </is>
      </c>
      <c r="B897" s="2" t="inlineStr">
        <is>
          <t>financials</t>
        </is>
      </c>
      <c r="C897" s="2" t="inlineStr">
        <is>
          <t>segment</t>
        </is>
      </c>
      <c r="D897" s="3" t="inlineStr">
        <is>
          <t>Segment: segment; revenue; ebitda; assets</t>
        </is>
      </c>
      <c r="E897" s="2" t="inlineStr">
        <is>
          <t>FY2025</t>
        </is>
      </c>
      <c r="F897" s="2" t="n">
        <v>1.1</v>
      </c>
      <c r="G897" s="2" t="n"/>
      <c r="H897" s="3" t="inlineStr">
        <is>
          <t>segment: Austria (region, non-current assets: PP&amp;E, intangibles, other financial assets, investments); assets: 1.1</t>
        </is>
      </c>
      <c r="I897" s="2" t="inlineStr">
        <is>
          <t>S3</t>
        </is>
      </c>
      <c r="J897" s="2" t="n">
        <v>78</v>
      </c>
      <c r="K897" s="2" t="inlineStr">
        <is>
          <t>Austria 1.1 0.0</t>
        </is>
      </c>
      <c r="L897" s="2" t="inlineStr">
        <is>
          <t>ok</t>
        </is>
      </c>
      <c r="M897" s="2" t="inlineStr">
        <is>
          <t>demo reviewer</t>
        </is>
      </c>
      <c r="N897" s="2" t="n"/>
      <c r="O897" s="3" t="inlineStr">
        <is>
          <t>https://vanillabonds.com/dossier-data/pdf/katjes/katjes-2025-annual-report.pdf#page=78</t>
        </is>
      </c>
      <c r="P897" s="3" t="inlineStr">
        <is>
          <t>https://vanillabonds.com/dossier.html?c=katjes&amp;viewer=1&amp;item=F896</t>
        </is>
      </c>
      <c r="Q897" s="2" t="inlineStr"/>
    </row>
    <row r="898">
      <c r="A898" s="2" t="inlineStr">
        <is>
          <t>F897</t>
        </is>
      </c>
      <c r="B898" s="2" t="inlineStr">
        <is>
          <t>financials</t>
        </is>
      </c>
      <c r="C898" s="2" t="inlineStr">
        <is>
          <t>segment</t>
        </is>
      </c>
      <c r="D898" s="3" t="inlineStr">
        <is>
          <t>Segment: segment; revenue; ebitda; assets</t>
        </is>
      </c>
      <c r="E898" s="2" t="inlineStr">
        <is>
          <t>FY2025</t>
        </is>
      </c>
      <c r="F898" s="2" t="n">
        <v>340.7</v>
      </c>
      <c r="G898" s="2" t="n"/>
      <c r="H898" s="3" t="inlineStr">
        <is>
          <t>segment: Group total (non-current assets by region); assets: 340.7</t>
        </is>
      </c>
      <c r="I898" s="2" t="inlineStr">
        <is>
          <t>S3</t>
        </is>
      </c>
      <c r="J898" s="2" t="n">
        <v>78</v>
      </c>
      <c r="K898" s="2" t="inlineStr">
        <is>
          <t>Total 340.7 320.7</t>
        </is>
      </c>
      <c r="L898" s="2" t="inlineStr">
        <is>
          <t>ok</t>
        </is>
      </c>
      <c r="M898" s="2" t="inlineStr">
        <is>
          <t>demo reviewer</t>
        </is>
      </c>
      <c r="N898" s="2" t="n"/>
      <c r="O898" s="3" t="inlineStr">
        <is>
          <t>https://vanillabonds.com/dossier-data/pdf/katjes/katjes-2025-annual-report.pdf#page=78</t>
        </is>
      </c>
      <c r="P898" s="3" t="inlineStr">
        <is>
          <t>https://vanillabonds.com/dossier.html?c=katjes&amp;viewer=1&amp;item=F897</t>
        </is>
      </c>
      <c r="Q898" s="2" t="inlineStr"/>
    </row>
    <row r="899">
      <c r="A899" s="2" t="inlineStr">
        <is>
          <t>F898</t>
        </is>
      </c>
      <c r="B899" s="2" t="inlineStr">
        <is>
          <t>financials</t>
        </is>
      </c>
      <c r="C899" s="2" t="inlineStr">
        <is>
          <t>tax_paid</t>
        </is>
      </c>
      <c r="D899" s="2" t="inlineStr">
        <is>
          <t>Income taxes paid (cash flow statement)</t>
        </is>
      </c>
      <c r="E899" s="2" t="inlineStr">
        <is>
          <t>FY2024</t>
        </is>
      </c>
      <c r="F899" s="2" t="n">
        <v>2.5</v>
      </c>
      <c r="G899" s="2" t="inlineStr">
        <is>
          <t>EUR m</t>
        </is>
      </c>
      <c r="H899" s="3" t="inlineStr">
        <is>
          <t>Income taxes paid per cash flow statement</t>
        </is>
      </c>
      <c r="I899" s="2" t="inlineStr">
        <is>
          <t>S3</t>
        </is>
      </c>
      <c r="J899" s="2" t="n">
        <v>42</v>
      </c>
      <c r="K899" s="2" t="inlineStr">
        <is>
          <t>Income taxes paid -0.6 -2.5</t>
        </is>
      </c>
      <c r="L899" s="2" t="inlineStr">
        <is>
          <t>ok</t>
        </is>
      </c>
      <c r="M899" s="2" t="inlineStr">
        <is>
          <t>demo reviewer</t>
        </is>
      </c>
      <c r="N899" s="2" t="n"/>
      <c r="O899" s="3" t="inlineStr">
        <is>
          <t>https://vanillabonds.com/dossier-data/pdf/katjes/katjes-2025-annual-report.pdf#page=42</t>
        </is>
      </c>
      <c r="P899" s="3" t="inlineStr">
        <is>
          <t>https://vanillabonds.com/dossier.html?c=katjes&amp;viewer=1&amp;item=F898</t>
        </is>
      </c>
      <c r="Q899" s="2" t="inlineStr">
        <is>
          <t>yes</t>
        </is>
      </c>
    </row>
    <row r="900">
      <c r="A900" s="2" t="inlineStr">
        <is>
          <t>F899</t>
        </is>
      </c>
      <c r="B900" s="2" t="inlineStr">
        <is>
          <t>financials</t>
        </is>
      </c>
      <c r="C900" s="2" t="inlineStr">
        <is>
          <t>tax_paid</t>
        </is>
      </c>
      <c r="D900" s="2" t="inlineStr">
        <is>
          <t>Income taxes paid (cash flow statement)</t>
        </is>
      </c>
      <c r="E900" s="2" t="inlineStr">
        <is>
          <t>FY2025</t>
        </is>
      </c>
      <c r="F900" s="2" t="n">
        <v>0.6</v>
      </c>
      <c r="G900" s="2" t="inlineStr">
        <is>
          <t>EUR m</t>
        </is>
      </c>
      <c r="H900" s="3" t="inlineStr">
        <is>
          <t>Income taxes paid per cash flow statement</t>
        </is>
      </c>
      <c r="I900" s="2" t="inlineStr">
        <is>
          <t>S3</t>
        </is>
      </c>
      <c r="J900" s="2" t="n">
        <v>42</v>
      </c>
      <c r="K900" s="2" t="inlineStr">
        <is>
          <t>Income taxes paid -0.6 -2.5</t>
        </is>
      </c>
      <c r="L900" s="2" t="inlineStr">
        <is>
          <t>ok</t>
        </is>
      </c>
      <c r="M900" s="2" t="inlineStr">
        <is>
          <t>demo reviewer</t>
        </is>
      </c>
      <c r="N900" s="2" t="n"/>
      <c r="O900" s="3" t="inlineStr">
        <is>
          <t>https://vanillabonds.com/dossier-data/pdf/katjes/katjes-2025-annual-report.pdf#page=42</t>
        </is>
      </c>
      <c r="P900" s="3" t="inlineStr">
        <is>
          <t>https://vanillabonds.com/dossier.html?c=katjes&amp;viewer=1&amp;item=F899</t>
        </is>
      </c>
      <c r="Q900" s="2" t="inlineStr"/>
    </row>
    <row r="901">
      <c r="A901" s="2" t="inlineStr">
        <is>
          <t>F900</t>
        </is>
      </c>
      <c r="B901" s="2" t="inlineStr">
        <is>
          <t>debt</t>
        </is>
      </c>
      <c r="C901" s="2" t="inlineStr">
        <is>
          <t>hedge</t>
        </is>
      </c>
      <c r="D901" s="3" t="inlineStr">
        <is>
          <t>Hedge: instrument; counterparty; notional; maturity; hedged item (rate, FX)</t>
        </is>
      </c>
      <c r="E901" s="2" t="n"/>
      <c r="F901" s="2" t="n">
        <v>3.6</v>
      </c>
      <c r="G901" s="2" t="n"/>
      <c r="H901" s="3" t="inlineStr">
        <is>
          <t>instrument: interest rate swap; notional: 3.6 (2024: 3.7); hedged item: rate (increase in variable interest rates); fair value change 0.0</t>
        </is>
      </c>
      <c r="I901" s="2" t="inlineStr">
        <is>
          <t>S3</t>
        </is>
      </c>
      <c r="J901" s="2" t="n">
        <v>63</v>
      </c>
      <c r="K901" s="3" t="inlineStr">
        <is>
          <t>As at December 31, 2025, the Group had one interest rate swap (December 31, 2024: one interest rate swap) with a nominal amount outstanding of EUR 3.6 million (2024: EUR 3.7 million).</t>
        </is>
      </c>
      <c r="L901" s="2" t="inlineStr">
        <is>
          <t>ok</t>
        </is>
      </c>
      <c r="M901" s="2" t="inlineStr">
        <is>
          <t>demo reviewer</t>
        </is>
      </c>
      <c r="N901" s="2" t="n"/>
      <c r="O901" s="3" t="inlineStr">
        <is>
          <t>https://vanillabonds.com/dossier-data/pdf/katjes/katjes-2025-annual-report.pdf#page=63</t>
        </is>
      </c>
      <c r="P901" s="3" t="inlineStr">
        <is>
          <t>https://vanillabonds.com/dossier.html?c=katjes&amp;viewer=1&amp;item=F900</t>
        </is>
      </c>
      <c r="Q901" s="2" t="inlineStr"/>
    </row>
    <row r="902">
      <c r="A902" s="2" t="inlineStr">
        <is>
          <t>F901</t>
        </is>
      </c>
      <c r="B902" s="2" t="inlineStr">
        <is>
          <t>debt</t>
        </is>
      </c>
      <c r="C902" s="2" t="inlineStr">
        <is>
          <t>hedge</t>
        </is>
      </c>
      <c r="D902" s="3" t="inlineStr">
        <is>
          <t>Hedge: instrument; counterparty; notional; maturity; hedged item (rate, FX)</t>
        </is>
      </c>
      <c r="E902" s="2" t="n"/>
      <c r="F902" s="2" t="n">
        <v>0.2</v>
      </c>
      <c r="G902" s="2" t="n"/>
      <c r="H902" s="3" t="inlineStr">
        <is>
          <t>instrument: hedging reserve; notional: 0.2 at 31 Dec 2025; fair value of derivative financial liabilities 1.1 (non-current 0.7, current 0.9 per note 6.2)</t>
        </is>
      </c>
      <c r="I902" s="2" t="inlineStr">
        <is>
          <t>S3</t>
        </is>
      </c>
      <c r="J902" s="2" t="n">
        <v>64</v>
      </c>
      <c r="K902" s="3" t="inlineStr">
        <is>
          <t>As at the reporting date, the hedging reserve amounted to EUR 0.2 million.</t>
        </is>
      </c>
      <c r="L902" s="2" t="inlineStr">
        <is>
          <t>ok</t>
        </is>
      </c>
      <c r="M902" s="2" t="inlineStr">
        <is>
          <t>demo reviewer</t>
        </is>
      </c>
      <c r="N902" s="2" t="n"/>
      <c r="O902" s="3" t="inlineStr">
        <is>
          <t>https://vanillabonds.com/dossier-data/pdf/katjes/katjes-2025-annual-report.pdf#page=64</t>
        </is>
      </c>
      <c r="P902" s="3" t="inlineStr">
        <is>
          <t>https://vanillabonds.com/dossier.html?c=katjes&amp;viewer=1&amp;item=F901</t>
        </is>
      </c>
      <c r="Q902" s="2" t="inlineStr"/>
    </row>
    <row r="903">
      <c r="A903" s="2" t="inlineStr">
        <is>
          <t>F902</t>
        </is>
      </c>
      <c r="B903" s="2" t="inlineStr">
        <is>
          <t>debt</t>
        </is>
      </c>
      <c r="C903" s="2" t="inlineStr">
        <is>
          <t>hedge</t>
        </is>
      </c>
      <c r="D903" s="3" t="inlineStr">
        <is>
          <t>Hedge: instrument; counterparty; notional; maturity; hedged item (rate, FX)</t>
        </is>
      </c>
      <c r="E903" s="2" t="n"/>
      <c r="F903" s="2" t="n">
        <v>92</v>
      </c>
      <c r="G903" s="2" t="n"/>
      <c r="H903" s="3" t="inlineStr">
        <is>
          <t>instrument: foreign exchange forward contracts in cash flow hedges; notional: 92.0 (51.6 within 1 year, 40.4 in 1-2 years); maturity: up to early 2028; hedged item: FX (expected EUR revenues and USD purchases), newly designated at Bogner acquisition 1 Sep 2025</t>
        </is>
      </c>
      <c r="I903" s="2" t="inlineStr">
        <is>
          <t>S3</t>
        </is>
      </c>
      <c r="J903" s="2" t="n">
        <v>65</v>
      </c>
      <c r="K903" s="2" t="inlineStr">
        <is>
          <t>51.6 40.4 0.0 92.0</t>
        </is>
      </c>
      <c r="L903" s="2" t="inlineStr">
        <is>
          <t>ok</t>
        </is>
      </c>
      <c r="M903" s="2" t="inlineStr">
        <is>
          <t>demo reviewer</t>
        </is>
      </c>
      <c r="N903" s="2" t="n"/>
      <c r="O903" s="3" t="inlineStr">
        <is>
          <t>https://vanillabonds.com/dossier-data/pdf/katjes/katjes-2025-annual-report.pdf#page=65</t>
        </is>
      </c>
      <c r="P903" s="3" t="inlineStr">
        <is>
          <t>https://vanillabonds.com/dossier.html?c=katjes&amp;viewer=1&amp;item=F902</t>
        </is>
      </c>
      <c r="Q903" s="2" t="inlineStr"/>
    </row>
    <row r="904">
      <c r="A904" s="2" t="inlineStr">
        <is>
          <t>F903</t>
        </is>
      </c>
      <c r="B904" s="2" t="inlineStr">
        <is>
          <t>debt</t>
        </is>
      </c>
      <c r="C904" s="2" t="inlineStr">
        <is>
          <t>rate_type</t>
        </is>
      </c>
      <c r="D904" s="3" t="inlineStr">
        <is>
          <t>Rate structure of the debt: floating_share (0-1); base rate; fixed_share; fx mismatch revenue vs cost</t>
        </is>
      </c>
      <c r="E904" s="2" t="n"/>
      <c r="F904" s="2" t="n"/>
      <c r="G904" s="2" t="n"/>
      <c r="H904" s="3" t="inlineStr">
        <is>
          <t>base rate: 3-month and 2-month Euribor (factoring agreements), variable liabilities in euro; fixed_share: corporate bond 185.0 at 6.75% fixed and bank loans at fixed rates 2.0-8.5%, other loans variable and fixed; fx mismatch revenue vs cost: USD purchases hedged by forwards; a 1% rate move changes profit after tax by 0.3 (2024: 0.4)</t>
        </is>
      </c>
      <c r="I904" s="2" t="inlineStr">
        <is>
          <t>S3</t>
        </is>
      </c>
      <c r="J904" s="2" t="n">
        <v>55</v>
      </c>
      <c r="K904" s="3" t="inlineStr">
        <is>
          <t>If these interest rates had increased/decreased by 1%, profit after tax in the reporting year would have been EUR 0.3 million lower/EUR 0.3 million higher</t>
        </is>
      </c>
      <c r="L904" s="2" t="inlineStr">
        <is>
          <t>ok</t>
        </is>
      </c>
      <c r="M904" s="2" t="inlineStr">
        <is>
          <t>demo reviewer</t>
        </is>
      </c>
      <c r="N904" s="2" t="n"/>
      <c r="O904" s="3" t="inlineStr">
        <is>
          <t>https://vanillabonds.com/dossier-data/pdf/katjes/katjes-2025-annual-report.pdf#page=55</t>
        </is>
      </c>
      <c r="P904" s="3" t="inlineStr">
        <is>
          <t>https://vanillabonds.com/dossier.html?c=katjes&amp;viewer=1&amp;item=F903</t>
        </is>
      </c>
      <c r="Q904" s="2" t="inlineStr">
        <is>
          <t>yes</t>
        </is>
      </c>
    </row>
    <row r="905">
      <c r="A905" s="2" t="inlineStr">
        <is>
          <t>F904</t>
        </is>
      </c>
      <c r="B905" s="2" t="inlineStr">
        <is>
          <t>debt</t>
        </is>
      </c>
      <c r="C905" s="2" t="inlineStr">
        <is>
          <t>rollover_event</t>
        </is>
      </c>
      <c r="D905" s="3" t="inlineStr">
        <is>
          <t>Past maturity: instrument; amount; due; outcome (repaid, refinanced, extended, waived)</t>
        </is>
      </c>
      <c r="E905" s="2" t="n"/>
      <c r="F905" s="2" t="n">
        <v>115</v>
      </c>
      <c r="G905" s="2" t="n"/>
      <c r="H905" s="3" t="inlineStr">
        <is>
          <t>instrument: 2019/2024 bond; due: 2024; outcome: refinanced early in 2023 at 100.5% by the 2023/2028 bond of EUR 115m at 6.75%</t>
        </is>
      </c>
      <c r="I905" s="2" t="inlineStr">
        <is>
          <t>S3</t>
        </is>
      </c>
      <c r="J905" s="2" t="n">
        <v>68</v>
      </c>
      <c r="K905" s="3" t="inlineStr">
        <is>
          <t>The 2019/2024 bond was refinanced early in 2023 at 100.5%. For this purpose, the 2023/2028 bond bearing interest at 6.75% was issued in September 2023</t>
        </is>
      </c>
      <c r="L905" s="2" t="inlineStr">
        <is>
          <t>ok</t>
        </is>
      </c>
      <c r="M905" s="2" t="inlineStr">
        <is>
          <t>demo reviewer</t>
        </is>
      </c>
      <c r="N905" s="2" t="n"/>
      <c r="O905" s="3" t="inlineStr">
        <is>
          <t>https://vanillabonds.com/dossier-data/pdf/katjes/katjes-2025-annual-report.pdf#page=68</t>
        </is>
      </c>
      <c r="P905" s="3" t="inlineStr">
        <is>
          <t>https://vanillabonds.com/dossier.html?c=katjes&amp;viewer=1&amp;item=F904</t>
        </is>
      </c>
      <c r="Q905" s="2" t="inlineStr"/>
    </row>
    <row r="906">
      <c r="A906" s="2" t="inlineStr">
        <is>
          <t>F905</t>
        </is>
      </c>
      <c r="B906" s="2" t="inlineStr">
        <is>
          <t>management</t>
        </is>
      </c>
      <c r="C906" s="2" t="inlineStr">
        <is>
          <t>project_outcome</t>
        </is>
      </c>
      <c r="D906" s="3" t="inlineStr">
        <is>
          <t>Project or acquisition: name; approved budget; approved timing; realised cost; realised timing; realised result</t>
        </is>
      </c>
      <c r="E906" s="2" t="n"/>
      <c r="F906" s="2" t="n">
        <v>61.2</v>
      </c>
      <c r="G906" s="2" t="n"/>
      <c r="H906" s="3" t="inlineStr">
        <is>
          <t>name: Bogner 60% acquisition; realised cost: 61.2 cash outflow; realised timing: closed 1 Sep 2025, financial year-end aligned to 31 Dec; realised result: badwill 35.1 in other operating income, Bogner contributed revenue in Germany, Switzerland, North America and Austria from September</t>
        </is>
      </c>
      <c r="I906" s="2" t="inlineStr">
        <is>
          <t>S3</t>
        </is>
      </c>
      <c r="J906" s="2" t="n">
        <v>53</v>
      </c>
      <c r="K906" s="3" t="inlineStr">
        <is>
          <t>In the financial year 2025, the Bogner Group generated revenue of approximately EUR 200 million and was profitable.</t>
        </is>
      </c>
      <c r="L906" s="2" t="inlineStr">
        <is>
          <t>ok</t>
        </is>
      </c>
      <c r="M906" s="2" t="inlineStr">
        <is>
          <t>demo reviewer</t>
        </is>
      </c>
      <c r="N906" s="2" t="n"/>
      <c r="O906" s="3" t="inlineStr">
        <is>
          <t>https://vanillabonds.com/dossier-data/pdf/katjes/katjes-2025-annual-report.pdf#page=53</t>
        </is>
      </c>
      <c r="P906" s="3" t="inlineStr">
        <is>
          <t>https://vanillabonds.com/dossier.html?c=katjes&amp;viewer=1&amp;item=F905</t>
        </is>
      </c>
      <c r="Q906" s="2" t="inlineStr"/>
    </row>
    <row r="907">
      <c r="A907" s="2" t="inlineStr">
        <is>
          <t>F906</t>
        </is>
      </c>
      <c r="B907" s="2" t="inlineStr">
        <is>
          <t>management</t>
        </is>
      </c>
      <c r="C907" s="2" t="inlineStr">
        <is>
          <t>strategy_statement</t>
        </is>
      </c>
      <c r="D907" s="3" t="inlineStr">
        <is>
          <t>Stated strategy: year; statement; what happened; source</t>
        </is>
      </c>
      <c r="E907" s="2" t="n"/>
      <c r="F907" s="2" t="n"/>
      <c r="G907" s="2" t="n"/>
      <c r="H907" s="3" t="inlineStr">
        <is>
          <t>year: 2025; statement: the Company generally does not dispose of majority interests; what happened: only the 23% CPK minority was sold in 2025; source: management foreword</t>
        </is>
      </c>
      <c r="I907" s="2" t="inlineStr">
        <is>
          <t>S3</t>
        </is>
      </c>
      <c r="J907" s="2" t="n">
        <v>4</v>
      </c>
      <c r="K907" s="3" t="inlineStr">
        <is>
          <t>While we generally do not dispose of majority interests, this</t>
        </is>
      </c>
      <c r="L907" s="2" t="inlineStr">
        <is>
          <t>ok</t>
        </is>
      </c>
      <c r="M907" s="2" t="inlineStr">
        <is>
          <t>demo reviewer</t>
        </is>
      </c>
      <c r="N907" s="2" t="n"/>
      <c r="O907" s="3" t="inlineStr">
        <is>
          <t>https://vanillabonds.com/dossier-data/pdf/katjes/katjes-2025-annual-report.pdf#page=4</t>
        </is>
      </c>
      <c r="P907" s="3" t="inlineStr">
        <is>
          <t>https://vanillabonds.com/dossier.html?c=katjes&amp;viewer=1&amp;item=F906</t>
        </is>
      </c>
      <c r="Q907" s="2" t="inlineStr"/>
    </row>
    <row r="908">
      <c r="A908" s="2" t="inlineStr">
        <is>
          <t>F907</t>
        </is>
      </c>
      <c r="B908" s="2" t="inlineStr">
        <is>
          <t>management</t>
        </is>
      </c>
      <c r="C908" s="2" t="inlineStr">
        <is>
          <t>strategy_statement</t>
        </is>
      </c>
      <c r="D908" s="3" t="inlineStr">
        <is>
          <t>Stated strategy: year; statement; what happened; source</t>
        </is>
      </c>
      <c r="E908" s="2" t="n"/>
      <c r="F908" s="2" t="n"/>
      <c r="G908" s="2" t="n"/>
      <c r="H908" s="3" t="inlineStr">
        <is>
          <t>year: 2025; statement: brand holding and carve-out investor acquiring 'strong brands' in European consumer goods from large corporations that lost critical size; what happened: Bogner 60% acquired Sep 2025, CPK minority sold, Graze and Missoni signed; source: group management report 1.2</t>
        </is>
      </c>
      <c r="I908" s="2" t="inlineStr">
        <is>
          <t>S3</t>
        </is>
      </c>
      <c r="J908" s="2" t="n">
        <v>18</v>
      </c>
      <c r="K908" s="3" t="inlineStr">
        <is>
          <t>acquiring businesses from large corporations that, for example, have lost critical size within the respective group.</t>
        </is>
      </c>
      <c r="L908" s="2" t="inlineStr">
        <is>
          <t>ok</t>
        </is>
      </c>
      <c r="M908" s="2" t="inlineStr">
        <is>
          <t>demo reviewer</t>
        </is>
      </c>
      <c r="N908" s="3" t="inlineStr">
        <is>
          <t>text: company wording put in quotation marks (reviewer, 20 Oct 2026)</t>
        </is>
      </c>
      <c r="O908" s="3" t="inlineStr">
        <is>
          <t>https://vanillabonds.com/dossier-data/pdf/katjes/katjes-2025-annual-report.pdf#page=18</t>
        </is>
      </c>
      <c r="P908" s="3" t="inlineStr">
        <is>
          <t>https://vanillabonds.com/dossier.html?c=katjes&amp;viewer=1&amp;item=F907</t>
        </is>
      </c>
      <c r="Q908" s="2" t="inlineStr"/>
    </row>
    <row r="909">
      <c r="A909" s="2" t="inlineStr">
        <is>
          <t>F908</t>
        </is>
      </c>
      <c r="B909" s="2" t="inlineStr">
        <is>
          <t>management</t>
        </is>
      </c>
      <c r="C909" s="2" t="inlineStr">
        <is>
          <t>strategy_statement</t>
        </is>
      </c>
      <c r="D909" s="3" t="inlineStr">
        <is>
          <t>Stated strategy: year; statement; what happened; source</t>
        </is>
      </c>
      <c r="E909" s="2" t="n"/>
      <c r="F909" s="2" t="n"/>
      <c r="G909" s="2" t="n"/>
      <c r="H909" s="3" t="inlineStr">
        <is>
          <t>year: 2026; statement: continue the proven strategy of organic growth plus acquisitions with a focus on 'strong consumer goods brands' with a European focus, targets from succession situations, carve-outs and market consolidation; source: forecast report</t>
        </is>
      </c>
      <c r="I909" s="2" t="inlineStr">
        <is>
          <t>S3</t>
        </is>
      </c>
      <c r="J909" s="2" t="n">
        <v>35</v>
      </c>
      <c r="K909" s="3" t="inlineStr">
        <is>
          <t>Katjes International will continue to pursue its proven strategy in 2026.</t>
        </is>
      </c>
      <c r="L909" s="2" t="inlineStr">
        <is>
          <t>ok</t>
        </is>
      </c>
      <c r="M909" s="2" t="inlineStr">
        <is>
          <t>demo reviewer</t>
        </is>
      </c>
      <c r="N909" s="3" t="inlineStr">
        <is>
          <t>text: company wording put in quotation marks (reviewer, 20 Oct 2026)</t>
        </is>
      </c>
      <c r="O909" s="3" t="inlineStr">
        <is>
          <t>https://vanillabonds.com/dossier-data/pdf/katjes/katjes-2025-annual-report.pdf#page=35</t>
        </is>
      </c>
      <c r="P909" s="3" t="inlineStr">
        <is>
          <t>https://vanillabonds.com/dossier.html?c=katjes&amp;viewer=1&amp;item=F908</t>
        </is>
      </c>
      <c r="Q909" s="2" t="inlineStr"/>
    </row>
    <row r="910">
      <c r="A910" s="2" t="inlineStr">
        <is>
          <t>F909</t>
        </is>
      </c>
      <c r="B910" s="2" t="inlineStr">
        <is>
          <t>management</t>
        </is>
      </c>
      <c r="C910" s="2" t="inlineStr">
        <is>
          <t>strategy_statement</t>
        </is>
      </c>
      <c r="D910" s="3" t="inlineStr">
        <is>
          <t>Stated strategy: year; statement; what happened; source</t>
        </is>
      </c>
      <c r="E910" s="2" t="n"/>
      <c r="F910" s="2" t="n">
        <v>10</v>
      </c>
      <c r="G910" s="2" t="n"/>
      <c r="H910" s="3" t="inlineStr">
        <is>
          <t>year: 2026; statement: long-term objective of a sustainable average EBITDA margin of at least 10%; what happened: 19.7% in 2025 incl. badwill and disposal gain, 11.4% in 2024; source: forecast report</t>
        </is>
      </c>
      <c r="I910" s="2" t="inlineStr">
        <is>
          <t>S3</t>
        </is>
      </c>
      <c r="J910" s="2" t="n">
        <v>35</v>
      </c>
      <c r="K910" s="3" t="inlineStr">
        <is>
          <t>The Company’s long-term objective is to sustainably achieve an average EBITDA margin of at least 10%.</t>
        </is>
      </c>
      <c r="L910" s="2" t="inlineStr">
        <is>
          <t>ok</t>
        </is>
      </c>
      <c r="M910" s="2" t="inlineStr">
        <is>
          <t>demo reviewer</t>
        </is>
      </c>
      <c r="N910" s="2" t="n"/>
      <c r="O910" s="3" t="inlineStr">
        <is>
          <t>https://vanillabonds.com/dossier-data/pdf/katjes/katjes-2025-annual-report.pdf#page=35</t>
        </is>
      </c>
      <c r="P910" s="3" t="inlineStr">
        <is>
          <t>https://vanillabonds.com/dossier.html?c=katjes&amp;viewer=1&amp;item=F909</t>
        </is>
      </c>
      <c r="Q910" s="2" t="inlineStr"/>
    </row>
    <row r="911">
      <c r="A911" s="2" t="inlineStr">
        <is>
          <t>F910</t>
        </is>
      </c>
      <c r="B911" s="2" t="inlineStr">
        <is>
          <t>management</t>
        </is>
      </c>
      <c r="C911" s="2" t="inlineStr">
        <is>
          <t>strategy_statement</t>
        </is>
      </c>
      <c r="D911" s="3" t="inlineStr">
        <is>
          <t>Stated strategy: year; statement; what happened; source</t>
        </is>
      </c>
      <c r="E911" s="2" t="n"/>
      <c r="F911" s="2" t="n"/>
      <c r="G911" s="2" t="n"/>
      <c r="H911" s="3" t="inlineStr">
        <is>
          <t>year: 2025; statement: acquired brands remain legally and organisationally independent with local management, steered at Group level; what happened: Bogner family retains 40% and local management; source: notes 8</t>
        </is>
      </c>
      <c r="I911" s="2" t="inlineStr">
        <is>
          <t>S3</t>
        </is>
      </c>
      <c r="J911" s="2" t="n">
        <v>77</v>
      </c>
      <c r="K911" s="3" t="inlineStr">
        <is>
          <t>Even after an acquisition, the brands and their respective companies remain organisationally independent</t>
        </is>
      </c>
      <c r="L911" s="2" t="inlineStr">
        <is>
          <t>ok</t>
        </is>
      </c>
      <c r="M911" s="2" t="inlineStr">
        <is>
          <t>demo reviewer</t>
        </is>
      </c>
      <c r="N911" s="2" t="n"/>
      <c r="O911" s="3" t="inlineStr">
        <is>
          <t>https://vanillabonds.com/dossier-data/pdf/katjes/katjes-2025-annual-report.pdf#page=77</t>
        </is>
      </c>
      <c r="P911" s="3" t="inlineStr">
        <is>
          <t>https://vanillabonds.com/dossier.html?c=katjes&amp;viewer=1&amp;item=F910</t>
        </is>
      </c>
      <c r="Q911" s="2" t="inlineStr"/>
    </row>
    <row r="912">
      <c r="A912" s="2" t="inlineStr">
        <is>
          <t>F911</t>
        </is>
      </c>
      <c r="B912" s="2" t="inlineStr">
        <is>
          <t>management</t>
        </is>
      </c>
      <c r="C912" s="2" t="inlineStr">
        <is>
          <t>risk_policy</t>
        </is>
      </c>
      <c r="D912" s="3" t="inlineStr">
        <is>
          <t>Financial policy, stated and revealed: item (leverage target, dividend, hedging, cash held, acquisition funding); stated; realised; year</t>
        </is>
      </c>
      <c r="E912" s="2" t="n"/>
      <c r="F912" s="2" t="n"/>
      <c r="G912" s="2" t="n"/>
      <c r="H912" s="3" t="inlineStr">
        <is>
          <t>item: acquisition funding; stated: corporate bonds generally used to finance acquisitions, ongoing operations financed through internal financing, factoring, bank loans and credit lines; realised: bond tapped by 70.0 for Bogner in 2025 and by 15.0 for Missoni in 2026; year: 2025</t>
        </is>
      </c>
      <c r="I912" s="2" t="inlineStr">
        <is>
          <t>S3</t>
        </is>
      </c>
      <c r="J912" s="2" t="n">
        <v>26</v>
      </c>
      <c r="K912" s="3" t="inlineStr">
        <is>
          <t>The Company primarily finances its ongoing operations through internal financing, factoring, bank loans and available credit lines.</t>
        </is>
      </c>
      <c r="L912" s="2" t="inlineStr">
        <is>
          <t>ok</t>
        </is>
      </c>
      <c r="M912" s="2" t="inlineStr">
        <is>
          <t>demo reviewer</t>
        </is>
      </c>
      <c r="N912" s="2" t="n"/>
      <c r="O912" s="3" t="inlineStr">
        <is>
          <t>https://vanillabonds.com/dossier-data/pdf/katjes/katjes-2025-annual-report.pdf#page=26</t>
        </is>
      </c>
      <c r="P912" s="3" t="inlineStr">
        <is>
          <t>https://vanillabonds.com/dossier.html?c=katjes&amp;viewer=1&amp;item=F911</t>
        </is>
      </c>
      <c r="Q912" s="2" t="inlineStr"/>
    </row>
    <row r="913">
      <c r="A913" s="2" t="inlineStr">
        <is>
          <t>F912</t>
        </is>
      </c>
      <c r="B913" s="2" t="inlineStr">
        <is>
          <t>management</t>
        </is>
      </c>
      <c r="C913" s="2" t="inlineStr">
        <is>
          <t>risk_policy</t>
        </is>
      </c>
      <c r="D913" s="3" t="inlineStr">
        <is>
          <t>Financial policy, stated and revealed: item (leverage target, dividend, hedging, cash held, acquisition funding); stated; realised; year</t>
        </is>
      </c>
      <c r="E913" s="2" t="n"/>
      <c r="F913" s="2" t="n"/>
      <c r="G913" s="2" t="n"/>
      <c r="H913" s="3" t="inlineStr">
        <is>
          <t>item: hedging; stated: derivatives (interest rate and currency swaps, FX forwards) used to an appropriate extent, hedge accounting where requirements are met, raw material price risk mitigated by fixed-price supplier agreements of 3-24 months, no permanent hedge possible; realised: one swap 3.6 and FX forwards 92.0 at year end; year: 2025</t>
        </is>
      </c>
      <c r="I913" s="2" t="inlineStr">
        <is>
          <t>S3</t>
        </is>
      </c>
      <c r="J913" s="2" t="n">
        <v>55</v>
      </c>
      <c r="K913" s="3" t="inlineStr">
        <is>
          <t>The Group addresses this risk by entering into contracts with suppliers, which typically have terms of between 3 and 24 months.</t>
        </is>
      </c>
      <c r="L913" s="2" t="inlineStr">
        <is>
          <t>ok</t>
        </is>
      </c>
      <c r="M913" s="2" t="inlineStr">
        <is>
          <t>demo reviewer</t>
        </is>
      </c>
      <c r="N913" s="2" t="n"/>
      <c r="O913" s="3" t="inlineStr">
        <is>
          <t>https://vanillabonds.com/dossier-data/pdf/katjes/katjes-2025-annual-report.pdf#page=55</t>
        </is>
      </c>
      <c r="P913" s="3" t="inlineStr">
        <is>
          <t>https://vanillabonds.com/dossier.html?c=katjes&amp;viewer=1&amp;item=F912</t>
        </is>
      </c>
      <c r="Q913" s="2" t="inlineStr"/>
    </row>
    <row r="914">
      <c r="A914" s="2" t="inlineStr">
        <is>
          <t>F913</t>
        </is>
      </c>
      <c r="B914" s="2" t="inlineStr">
        <is>
          <t>management</t>
        </is>
      </c>
      <c r="C914" s="2" t="inlineStr">
        <is>
          <t>risk_policy</t>
        </is>
      </c>
      <c r="D914" s="3" t="inlineStr">
        <is>
          <t>Financial policy, stated and revealed: item (leverage target, dividend, hedging, cash held, acquisition funding); stated; realised; year</t>
        </is>
      </c>
      <c r="E914" s="2" t="n"/>
      <c r="F914" s="2" t="n"/>
      <c r="G914" s="2" t="n"/>
      <c r="H914" s="3" t="inlineStr">
        <is>
          <t>item: cash held; stated: finance non-current assets through long-term funding and keep 'sufficient credit lines' for short-term liquidity, cash planning regularly monitored; realised: cash 146.8 at 31 Dec 2025; year: 2025</t>
        </is>
      </c>
      <c r="I914" s="2" t="inlineStr">
        <is>
          <t>S3</t>
        </is>
      </c>
      <c r="J914" s="2" t="n">
        <v>56</v>
      </c>
      <c r="K914" s="3" t="inlineStr">
        <is>
          <t>The objective is to finance non-current assets through long-term funding and to ensure sufficient credit lines to cover short-term liquidity requirements.</t>
        </is>
      </c>
      <c r="L914" s="2" t="inlineStr">
        <is>
          <t>ok</t>
        </is>
      </c>
      <c r="M914" s="2" t="inlineStr">
        <is>
          <t>demo reviewer</t>
        </is>
      </c>
      <c r="N914" s="3" t="inlineStr">
        <is>
          <t>text: company wording put in quotation marks (reviewer, 20 Oct 2026)</t>
        </is>
      </c>
      <c r="O914" s="3" t="inlineStr">
        <is>
          <t>https://vanillabonds.com/dossier-data/pdf/katjes/katjes-2025-annual-report.pdf#page=56</t>
        </is>
      </c>
      <c r="P914" s="3" t="inlineStr">
        <is>
          <t>https://vanillabonds.com/dossier.html?c=katjes&amp;viewer=1&amp;item=F913</t>
        </is>
      </c>
      <c r="Q914" s="2" t="inlineStr"/>
    </row>
    <row r="915">
      <c r="A915" s="2" t="inlineStr">
        <is>
          <t>F914</t>
        </is>
      </c>
      <c r="B915" s="2" t="inlineStr">
        <is>
          <t>management</t>
        </is>
      </c>
      <c r="C915" s="2" t="inlineStr">
        <is>
          <t>risk_policy</t>
        </is>
      </c>
      <c r="D915" s="3" t="inlineStr">
        <is>
          <t>Financial policy, stated and revealed: item (leverage target, dividend, hedging, cash held, acquisition funding); stated; realised; year</t>
        </is>
      </c>
      <c r="E915" s="2" t="n"/>
      <c r="F915" s="2" t="n">
        <v>0.44</v>
      </c>
      <c r="G915" s="2" t="n"/>
      <c r="H915" s="3" t="inlineStr">
        <is>
          <t>item: leverage target; stated: capital monitored on the leverage ratio net debt to total capital (equity plus net debt), objective an optimal capital structure; realised: 44% at 31 Dec 2025 (2024: 43%); year: 2025</t>
        </is>
      </c>
      <c r="I915" s="2" t="inlineStr">
        <is>
          <t>S3</t>
        </is>
      </c>
      <c r="J915" s="2" t="n">
        <v>58</v>
      </c>
      <c r="K915" s="2" t="inlineStr">
        <is>
          <t>Leverage ratio 44% 43%</t>
        </is>
      </c>
      <c r="L915" s="2" t="inlineStr">
        <is>
          <t>ok</t>
        </is>
      </c>
      <c r="M915" s="2" t="inlineStr">
        <is>
          <t>demo reviewer</t>
        </is>
      </c>
      <c r="N915" s="2" t="n"/>
      <c r="O915" s="3" t="inlineStr">
        <is>
          <t>https://vanillabonds.com/dossier-data/pdf/katjes/katjes-2025-annual-report.pdf#page=58</t>
        </is>
      </c>
      <c r="P915" s="3" t="inlineStr">
        <is>
          <t>https://vanillabonds.com/dossier.html?c=katjes&amp;viewer=1&amp;item=F914</t>
        </is>
      </c>
      <c r="Q915" s="2" t="inlineStr"/>
    </row>
    <row r="916">
      <c r="A916" s="2" t="inlineStr">
        <is>
          <t>F915</t>
        </is>
      </c>
      <c r="B916" s="2" t="inlineStr">
        <is>
          <t>management</t>
        </is>
      </c>
      <c r="C916" s="2" t="inlineStr">
        <is>
          <t>insurance</t>
        </is>
      </c>
      <c r="D916" s="3" t="inlineStr">
        <is>
          <t>Insurance: cover (property, business interruption, key person, cyber, D&amp;O); insurer; sum; expiry</t>
        </is>
      </c>
      <c r="E916" s="2" t="n"/>
      <c r="F916" s="2" t="n"/>
      <c r="G916" s="2" t="n"/>
      <c r="H916" s="3" t="inlineStr">
        <is>
          <t>cover: insurance coverage maintained against relevant risks (quality and other operating risks); insurer: not named; sum: not stated</t>
        </is>
      </c>
      <c r="I916" s="2" t="inlineStr">
        <is>
          <t>S3</t>
        </is>
      </c>
      <c r="J916" s="2" t="n">
        <v>34</v>
      </c>
      <c r="K916" s="3" t="inlineStr">
        <is>
          <t>In addition, insurance coverage is maintained against relevant risks.</t>
        </is>
      </c>
      <c r="L916" s="2" t="inlineStr">
        <is>
          <t>ok</t>
        </is>
      </c>
      <c r="M916" s="2" t="inlineStr">
        <is>
          <t>demo reviewer</t>
        </is>
      </c>
      <c r="N916" s="2" t="n"/>
      <c r="O916" s="3" t="inlineStr">
        <is>
          <t>https://vanillabonds.com/dossier-data/pdf/katjes/katjes-2025-annual-report.pdf#page=34</t>
        </is>
      </c>
      <c r="P916" s="3" t="inlineStr">
        <is>
          <t>https://vanillabonds.com/dossier.html?c=katjes&amp;viewer=1&amp;item=F915</t>
        </is>
      </c>
      <c r="Q916" s="2" t="inlineStr"/>
    </row>
    <row r="917">
      <c r="A917" s="2" t="inlineStr">
        <is>
          <t>F916</t>
        </is>
      </c>
      <c r="B917" s="2" t="inlineStr">
        <is>
          <t>management</t>
        </is>
      </c>
      <c r="C917" s="2" t="inlineStr">
        <is>
          <t>insurance</t>
        </is>
      </c>
      <c r="D917" s="3" t="inlineStr">
        <is>
          <t>Insurance: cover (property, business interruption, key person, cyber, D&amp;O); insurer; sum; expiry</t>
        </is>
      </c>
      <c r="E917" s="2" t="n"/>
      <c r="F917" s="2" t="n"/>
      <c r="G917" s="2" t="n"/>
      <c r="H917" s="3" t="inlineStr">
        <is>
          <t>cover: credit insurance on certain trade receivables; insurer: not named; sum: not stated</t>
        </is>
      </c>
      <c r="I917" s="2" t="inlineStr">
        <is>
          <t>S3</t>
        </is>
      </c>
      <c r="J917" s="2" t="n">
        <v>56</v>
      </c>
      <c r="K917" s="3" t="inlineStr">
        <is>
          <t>In addition, credit insurance is obtained for certain receivables.</t>
        </is>
      </c>
      <c r="L917" s="2" t="inlineStr">
        <is>
          <t>ok</t>
        </is>
      </c>
      <c r="M917" s="2" t="inlineStr">
        <is>
          <t>demo reviewer</t>
        </is>
      </c>
      <c r="N917" s="2" t="n"/>
      <c r="O917" s="3" t="inlineStr">
        <is>
          <t>https://vanillabonds.com/dossier-data/pdf/katjes/katjes-2025-annual-report.pdf#page=56</t>
        </is>
      </c>
      <c r="P917" s="3" t="inlineStr">
        <is>
          <t>https://vanillabonds.com/dossier.html?c=katjes&amp;viewer=1&amp;item=F916</t>
        </is>
      </c>
      <c r="Q917" s="2" t="inlineStr"/>
    </row>
    <row r="918">
      <c r="A918" s="2" t="inlineStr">
        <is>
          <t>F917</t>
        </is>
      </c>
      <c r="B918" s="2" t="inlineStr">
        <is>
          <t>management</t>
        </is>
      </c>
      <c r="C918" s="2" t="inlineStr">
        <is>
          <t>remuneration</t>
        </is>
      </c>
      <c r="D918" s="3" t="inlineStr">
        <is>
          <t>Remuneration as disclosed in the filed accounts: person or body; amount; year</t>
        </is>
      </c>
      <c r="E918" s="2" t="n"/>
      <c r="F918" s="2" t="n">
        <v>0.3</v>
      </c>
      <c r="G918" s="2" t="n"/>
      <c r="H918" s="3" t="inlineStr">
        <is>
          <t>person or body: general partner Xaver Fassin International GmbH (total remuneration paid to the management); amount: 0.3; year: 2025</t>
        </is>
      </c>
      <c r="I918" s="2" t="inlineStr">
        <is>
          <t>S3</t>
        </is>
      </c>
      <c r="J918" s="2" t="n">
        <v>80</v>
      </c>
      <c r="K918" s="3" t="inlineStr">
        <is>
          <t>Total remuneration paid to the ma- nagement* 0.3 0.3</t>
        </is>
      </c>
      <c r="L918" s="2" t="inlineStr">
        <is>
          <t>ok</t>
        </is>
      </c>
      <c r="M918" s="2" t="inlineStr">
        <is>
          <t>demo reviewer</t>
        </is>
      </c>
      <c r="N918" s="2" t="n"/>
      <c r="O918" s="3" t="inlineStr">
        <is>
          <t>https://vanillabonds.com/dossier-data/pdf/katjes/katjes-2025-annual-report.pdf#page=80</t>
        </is>
      </c>
      <c r="P918" s="3" t="inlineStr">
        <is>
          <t>https://vanillabonds.com/dossier.html?c=katjes&amp;viewer=1&amp;item=F917</t>
        </is>
      </c>
      <c r="Q918" s="2" t="inlineStr"/>
    </row>
    <row r="919">
      <c r="A919" s="2" t="inlineStr">
        <is>
          <t>F918</t>
        </is>
      </c>
      <c r="B919" s="2" t="inlineStr">
        <is>
          <t>management</t>
        </is>
      </c>
      <c r="C919" s="2" t="inlineStr">
        <is>
          <t>remuneration</t>
        </is>
      </c>
      <c r="D919" s="3" t="inlineStr">
        <is>
          <t>Remuneration as disclosed in the filed accounts: person or body; amount; year</t>
        </is>
      </c>
      <c r="E919" s="2" t="n"/>
      <c r="F919" s="2" t="n">
        <v>0.3</v>
      </c>
      <c r="G919" s="2" t="n"/>
      <c r="H919" s="3" t="inlineStr">
        <is>
          <t>person or body: general partner Xaver Fassin International GmbH; amount: 0.3; year: 2024</t>
        </is>
      </c>
      <c r="I919" s="2" t="inlineStr">
        <is>
          <t>S3</t>
        </is>
      </c>
      <c r="J919" s="2" t="n">
        <v>80</v>
      </c>
      <c r="K919" s="3" t="inlineStr">
        <is>
          <t>*Remuneration paid to the general partner.</t>
        </is>
      </c>
      <c r="L919" s="2" t="inlineStr">
        <is>
          <t>ok</t>
        </is>
      </c>
      <c r="M919" s="2" t="inlineStr">
        <is>
          <t>demo reviewer</t>
        </is>
      </c>
      <c r="N919" s="2" t="n"/>
      <c r="O919" s="3" t="inlineStr">
        <is>
          <t>https://vanillabonds.com/dossier-data/pdf/katjes/katjes-2025-annual-report.pdf#page=80</t>
        </is>
      </c>
      <c r="P919" s="3" t="inlineStr">
        <is>
          <t>https://vanillabonds.com/dossier.html?c=katjes&amp;viewer=1&amp;item=F918</t>
        </is>
      </c>
      <c r="Q919" s="2" t="inlineStr"/>
    </row>
    <row r="920">
      <c r="A920" s="2" t="inlineStr">
        <is>
          <t>F919</t>
        </is>
      </c>
      <c r="B920" s="2" t="inlineStr">
        <is>
          <t>plan</t>
        </is>
      </c>
      <c r="C920" s="2" t="inlineStr">
        <is>
          <t>plan_variable</t>
        </is>
      </c>
      <c r="D920" s="3" t="inlineStr">
        <is>
          <t>Plan claim as a variable: variable; value; year; reference_class; n; median; spread; percentile; source</t>
        </is>
      </c>
      <c r="E920" s="2" t="n"/>
      <c r="F920" s="2" t="n"/>
      <c r="G920" s="2" t="n"/>
      <c r="H920" s="3" t="inlineStr">
        <is>
          <t>variable: EBITDA margin guidance; value: 9% to 10%; year: 2025; source: forecast report (realised 19.7%)</t>
        </is>
      </c>
      <c r="I920" s="2" t="inlineStr">
        <is>
          <t>S3</t>
        </is>
      </c>
      <c r="J920" s="2" t="n">
        <v>35</v>
      </c>
      <c r="K920" s="3" t="inlineStr">
        <is>
          <t>The EBITDA margin of Katjes International, which had been guided in a range of 9% to 10%, amounted to 19.7%</t>
        </is>
      </c>
      <c r="L920" s="2" t="inlineStr">
        <is>
          <t>ok</t>
        </is>
      </c>
      <c r="M920" s="2" t="inlineStr">
        <is>
          <t>demo reviewer</t>
        </is>
      </c>
      <c r="N920" s="2" t="n"/>
      <c r="O920" s="3" t="inlineStr">
        <is>
          <t>https://vanillabonds.com/dossier-data/pdf/katjes/katjes-2025-annual-report.pdf#page=35</t>
        </is>
      </c>
      <c r="P920" s="3" t="inlineStr">
        <is>
          <t>https://vanillabonds.com/dossier.html?c=katjes&amp;viewer=1&amp;item=F919</t>
        </is>
      </c>
      <c r="Q920" s="2" t="inlineStr"/>
    </row>
    <row r="921">
      <c r="A921" s="2" t="inlineStr">
        <is>
          <t>F920</t>
        </is>
      </c>
      <c r="B921" s="2" t="inlineStr">
        <is>
          <t>plan</t>
        </is>
      </c>
      <c r="C921" s="2" t="inlineStr">
        <is>
          <t>plan_variable</t>
        </is>
      </c>
      <c r="D921" s="3" t="inlineStr">
        <is>
          <t>Plan claim as a variable: variable; value; year; reference_class; n; median; spread; percentile; source</t>
        </is>
      </c>
      <c r="E921" s="2" t="n"/>
      <c r="F921" s="2" t="n"/>
      <c r="G921" s="2" t="n"/>
      <c r="H921" s="3" t="inlineStr">
        <is>
          <t>variable: EBITDA margin guidance; value: 10% to 12%; year: 2026; source: forecast report</t>
        </is>
      </c>
      <c r="I921" s="2" t="inlineStr">
        <is>
          <t>S3</t>
        </is>
      </c>
      <c r="J921" s="2" t="n">
        <v>35</v>
      </c>
      <c r="K921" s="3" t="inlineStr">
        <is>
          <t>Katjes International plans to achieve an EBITDA margin between 10% and 12% in the financial year 2026.</t>
        </is>
      </c>
      <c r="L921" s="2" t="inlineStr">
        <is>
          <t>ok</t>
        </is>
      </c>
      <c r="M921" s="2" t="inlineStr">
        <is>
          <t>demo reviewer</t>
        </is>
      </c>
      <c r="N921" s="2" t="n"/>
      <c r="O921" s="3" t="inlineStr">
        <is>
          <t>https://vanillabonds.com/dossier-data/pdf/katjes/katjes-2025-annual-report.pdf#page=35</t>
        </is>
      </c>
      <c r="P921" s="3" t="inlineStr">
        <is>
          <t>https://vanillabonds.com/dossier.html?c=katjes&amp;viewer=1&amp;item=F920</t>
        </is>
      </c>
      <c r="Q921" s="2" t="inlineStr"/>
    </row>
    <row r="922">
      <c r="A922" s="2" t="inlineStr">
        <is>
          <t>F921</t>
        </is>
      </c>
      <c r="B922" s="2" t="inlineStr">
        <is>
          <t>structure</t>
        </is>
      </c>
      <c r="C922" s="2" t="inlineStr">
        <is>
          <t>appraisal</t>
        </is>
      </c>
      <c r="D922" s="3" t="inlineStr">
        <is>
          <t>Appraisal: asset; date; appraiser; method; value</t>
        </is>
      </c>
      <c r="E922" s="2" t="n"/>
      <c r="F922" s="2" t="n">
        <v>6</v>
      </c>
      <c r="G922" s="2" t="n"/>
      <c r="H922" s="3" t="inlineStr">
        <is>
          <t>asset: brand Piasten; date: initial consolidation 2013/14; method: relief-from-royalty, royalty 2.0%, discount 7.5%, 40 years; value: 6.0</t>
        </is>
      </c>
      <c r="I922" s="2" t="inlineStr">
        <is>
          <t>S3</t>
        </is>
      </c>
      <c r="J922" s="2" t="n">
        <v>60</v>
      </c>
      <c r="K922" s="3" t="inlineStr">
        <is>
          <t>The discount rate was 7.5% and the useful life 40 years. The resul- ting brand value amounted to EUR 6.0 million.</t>
        </is>
      </c>
      <c r="L922" s="2" t="inlineStr">
        <is>
          <t>ok</t>
        </is>
      </c>
      <c r="M922" s="2" t="inlineStr">
        <is>
          <t>demo reviewer</t>
        </is>
      </c>
      <c r="N922" s="2" t="n"/>
      <c r="O922" s="3" t="inlineStr">
        <is>
          <t>https://vanillabonds.com/dossier-data/pdf/katjes/katjes-2025-annual-report.pdf#page=60</t>
        </is>
      </c>
      <c r="P922" s="3" t="inlineStr">
        <is>
          <t>https://vanillabonds.com/dossier.html?c=katjes&amp;viewer=1&amp;item=F921</t>
        </is>
      </c>
      <c r="Q922" s="2" t="inlineStr"/>
    </row>
    <row r="923">
      <c r="A923" s="2" t="inlineStr">
        <is>
          <t>F922</t>
        </is>
      </c>
      <c r="B923" s="2" t="inlineStr">
        <is>
          <t>structure</t>
        </is>
      </c>
      <c r="C923" s="2" t="inlineStr">
        <is>
          <t>appraisal</t>
        </is>
      </c>
      <c r="D923" s="3" t="inlineStr">
        <is>
          <t>Appraisal: asset; date; appraiser; method; value</t>
        </is>
      </c>
      <c r="E923" s="2" t="n"/>
      <c r="F923" s="2" t="n">
        <v>4.9</v>
      </c>
      <c r="G923" s="2" t="n"/>
      <c r="H923" s="3" t="inlineStr">
        <is>
          <t>asset: brand Harlekijntjes; date: initial consolidation 2015/16; method: relief-from-royalty, royalty 6.0%, discount 6.3%, indefinite useful life; value: 4.9</t>
        </is>
      </c>
      <c r="I923" s="2" t="inlineStr">
        <is>
          <t>S3</t>
        </is>
      </c>
      <c r="J923" s="2" t="n">
        <v>60</v>
      </c>
      <c r="K923" s="3" t="inlineStr">
        <is>
          <t>The resulting brand value amounted to EUR 4.9 million.</t>
        </is>
      </c>
      <c r="L923" s="2" t="inlineStr">
        <is>
          <t>ok</t>
        </is>
      </c>
      <c r="M923" s="2" t="inlineStr">
        <is>
          <t>demo reviewer</t>
        </is>
      </c>
      <c r="N923" s="2" t="n"/>
      <c r="O923" s="3" t="inlineStr">
        <is>
          <t>https://vanillabonds.com/dossier-data/pdf/katjes/katjes-2025-annual-report.pdf#page=60</t>
        </is>
      </c>
      <c r="P923" s="3" t="inlineStr">
        <is>
          <t>https://vanillabonds.com/dossier.html?c=katjes&amp;viewer=1&amp;item=F922</t>
        </is>
      </c>
      <c r="Q923" s="2" t="inlineStr"/>
    </row>
    <row r="924">
      <c r="A924" s="2" t="inlineStr">
        <is>
          <t>F923</t>
        </is>
      </c>
      <c r="B924" s="2" t="inlineStr">
        <is>
          <t>structure</t>
        </is>
      </c>
      <c r="C924" s="2" t="inlineStr">
        <is>
          <t>appraisal</t>
        </is>
      </c>
      <c r="D924" s="3" t="inlineStr">
        <is>
          <t>Appraisal: asset; date; appraiser; method; value</t>
        </is>
      </c>
      <c r="E924" s="2" t="n"/>
      <c r="F924" s="2" t="n">
        <v>112.5</v>
      </c>
      <c r="G924" s="2" t="n"/>
      <c r="H924" s="3" t="inlineStr">
        <is>
          <t>asset: brand Bogner; date: initial consolidation 1 Sep 2025; appraiser: company (purchase price allocation); method: relief-from-royalty, royalty rate 7%, discount rate 9.2%, useful life 40 years; value: 112.5</t>
        </is>
      </c>
      <c r="I924" s="2" t="inlineStr">
        <is>
          <t>S3</t>
        </is>
      </c>
      <c r="J924" s="2" t="n">
        <v>61</v>
      </c>
      <c r="K924" s="3" t="inlineStr">
        <is>
          <t>The re- sulting brand value amounted to EUR 112.5 million.</t>
        </is>
      </c>
      <c r="L924" s="2" t="inlineStr">
        <is>
          <t>ok</t>
        </is>
      </c>
      <c r="M924" s="2" t="inlineStr">
        <is>
          <t>demo reviewer</t>
        </is>
      </c>
      <c r="N924" s="2" t="n"/>
      <c r="O924" s="3" t="inlineStr">
        <is>
          <t>https://vanillabonds.com/dossier-data/pdf/katjes/katjes-2025-annual-report.pdf#page=61</t>
        </is>
      </c>
      <c r="P924" s="3" t="inlineStr">
        <is>
          <t>https://vanillabonds.com/dossier.html?c=katjes&amp;viewer=1&amp;item=F923</t>
        </is>
      </c>
      <c r="Q924" s="2" t="inlineStr"/>
    </row>
    <row r="925">
      <c r="A925" s="2" t="inlineStr">
        <is>
          <t>F924</t>
        </is>
      </c>
      <c r="B925" s="2" t="inlineStr">
        <is>
          <t>structure</t>
        </is>
      </c>
      <c r="C925" s="2" t="inlineStr">
        <is>
          <t>appraisal</t>
        </is>
      </c>
      <c r="D925" s="3" t="inlineStr">
        <is>
          <t>Appraisal: asset; date; appraiser; method; value</t>
        </is>
      </c>
      <c r="E925" s="2" t="n"/>
      <c r="F925" s="2" t="n">
        <v>23.8</v>
      </c>
      <c r="G925" s="2" t="n"/>
      <c r="H925" s="3" t="inlineStr">
        <is>
          <t>asset: Oral Care brands (Theramed, Vademecum, Antica Erboristeria, Licor del Polo, Denivit); date: initial consolidation 2022; method: relief-from-royalty, royalty 4.0%, discount 5.7%, 40 years; value: 23.8</t>
        </is>
      </c>
      <c r="I925" s="2" t="inlineStr">
        <is>
          <t>S3</t>
        </is>
      </c>
      <c r="J925" s="2" t="n">
        <v>61</v>
      </c>
      <c r="K925" s="3" t="inlineStr">
        <is>
          <t>The resulting brand value amounted to EUR 23.8 million.</t>
        </is>
      </c>
      <c r="L925" s="2" t="inlineStr">
        <is>
          <t>ok</t>
        </is>
      </c>
      <c r="M925" s="2" t="inlineStr">
        <is>
          <t>demo reviewer</t>
        </is>
      </c>
      <c r="N925" s="2" t="n"/>
      <c r="O925" s="3" t="inlineStr">
        <is>
          <t>https://vanillabonds.com/dossier-data/pdf/katjes/katjes-2025-annual-report.pdf#page=61</t>
        </is>
      </c>
      <c r="P925" s="3" t="inlineStr">
        <is>
          <t>https://vanillabonds.com/dossier.html?c=katjes&amp;viewer=1&amp;item=F924</t>
        </is>
      </c>
      <c r="Q925" s="2" t="inlineStr"/>
    </row>
    <row r="926">
      <c r="A926" s="2" t="inlineStr">
        <is>
          <t>F925</t>
        </is>
      </c>
      <c r="B926" s="2" t="inlineStr">
        <is>
          <t>structure</t>
        </is>
      </c>
      <c r="C926" s="2" t="inlineStr">
        <is>
          <t>appraisal</t>
        </is>
      </c>
      <c r="D926" s="3" t="inlineStr">
        <is>
          <t>Appraisal: asset; date; appraiser; method; value</t>
        </is>
      </c>
      <c r="E926" s="2" t="n"/>
      <c r="F926" s="2" t="n">
        <v>22.9</v>
      </c>
      <c r="G926" s="2" t="n"/>
      <c r="H926" s="3" t="inlineStr">
        <is>
          <t>asset: Sperlari brands; date: initial consolidation 2017; method: relief-from-royalty, royalty 3.5%, discount 6.4%, 40 years; value: 22.9</t>
        </is>
      </c>
      <c r="I926" s="2" t="inlineStr">
        <is>
          <t>S3</t>
        </is>
      </c>
      <c r="J926" s="2" t="n">
        <v>61</v>
      </c>
      <c r="K926" s="3" t="inlineStr">
        <is>
          <t>The resulting brand value amounted to EUR 22.9 million.</t>
        </is>
      </c>
      <c r="L926" s="2" t="inlineStr">
        <is>
          <t>ok</t>
        </is>
      </c>
      <c r="M926" s="2" t="inlineStr">
        <is>
          <t>demo reviewer</t>
        </is>
      </c>
      <c r="N926" s="2" t="n"/>
      <c r="O926" s="3" t="inlineStr">
        <is>
          <t>https://vanillabonds.com/dossier-data/pdf/katjes/katjes-2025-annual-report.pdf#page=61</t>
        </is>
      </c>
      <c r="P926" s="3" t="inlineStr">
        <is>
          <t>https://vanillabonds.com/dossier.html?c=katjes&amp;viewer=1&amp;item=F925</t>
        </is>
      </c>
      <c r="Q926" s="2" t="inlineStr"/>
    </row>
    <row r="927">
      <c r="A927" s="2" t="inlineStr">
        <is>
          <t>F926</t>
        </is>
      </c>
      <c r="B927" s="2" t="inlineStr">
        <is>
          <t>structure</t>
        </is>
      </c>
      <c r="C927" s="2" t="inlineStr">
        <is>
          <t>appraisal</t>
        </is>
      </c>
      <c r="D927" s="3" t="inlineStr">
        <is>
          <t>Appraisal: asset; date; appraiser; method; value</t>
        </is>
      </c>
      <c r="E927" s="2" t="n"/>
      <c r="F927" s="2" t="n">
        <v>22.5</v>
      </c>
      <c r="G927" s="2" t="n"/>
      <c r="H927" s="3" t="inlineStr">
        <is>
          <t>asset: brand Bübchen; date: initial consolidation 2021 (pro rata); method: relief-from-royalty, royalty 4.0%, discount 5.0%, 40 years; value: 22.5</t>
        </is>
      </c>
      <c r="I927" s="2" t="inlineStr">
        <is>
          <t>S3</t>
        </is>
      </c>
      <c r="J927" s="2" t="n">
        <v>61</v>
      </c>
      <c r="K927" s="3" t="inlineStr">
        <is>
          <t>The resulting brand value amounted to EUR 22.5 million.</t>
        </is>
      </c>
      <c r="L927" s="2" t="inlineStr">
        <is>
          <t>ok</t>
        </is>
      </c>
      <c r="M927" s="2" t="inlineStr">
        <is>
          <t>demo reviewer</t>
        </is>
      </c>
      <c r="N927" s="2" t="n"/>
      <c r="O927" s="3" t="inlineStr">
        <is>
          <t>https://vanillabonds.com/dossier-data/pdf/katjes/katjes-2025-annual-report.pdf#page=61</t>
        </is>
      </c>
      <c r="P927" s="3" t="inlineStr">
        <is>
          <t>https://vanillabonds.com/dossier.html?c=katjes&amp;viewer=1&amp;item=F926</t>
        </is>
      </c>
      <c r="Q927" s="2" t="inlineStr"/>
    </row>
    <row r="928">
      <c r="A928" s="2" t="inlineStr">
        <is>
          <t>F927</t>
        </is>
      </c>
      <c r="B928" s="2" t="inlineStr">
        <is>
          <t>structure</t>
        </is>
      </c>
      <c r="C928" s="2" t="inlineStr">
        <is>
          <t>appraisal</t>
        </is>
      </c>
      <c r="D928" s="3" t="inlineStr">
        <is>
          <t>Appraisal: asset; date; appraiser; method; value</t>
        </is>
      </c>
      <c r="E928" s="2" t="n"/>
      <c r="F928" s="2" t="n">
        <v>9.800000000000001</v>
      </c>
      <c r="G928" s="2" t="n"/>
      <c r="H928" s="3" t="inlineStr">
        <is>
          <t>asset: brand Candy Kittens; date: initial consolidation 2021; method: relief-from-royalty, royalty 6%, discount 8.3%, indefinite useful life; value: 9.8</t>
        </is>
      </c>
      <c r="I928" s="2" t="inlineStr">
        <is>
          <t>S3</t>
        </is>
      </c>
      <c r="J928" s="2" t="n">
        <v>61</v>
      </c>
      <c r="K928" s="3" t="inlineStr">
        <is>
          <t>The re- sulting brand value amounted to EUR 9.8 million.</t>
        </is>
      </c>
      <c r="L928" s="2" t="inlineStr">
        <is>
          <t>ok</t>
        </is>
      </c>
      <c r="M928" s="2" t="inlineStr">
        <is>
          <t>demo reviewer</t>
        </is>
      </c>
      <c r="N928" s="2" t="n"/>
      <c r="O928" s="3" t="inlineStr">
        <is>
          <t>https://vanillabonds.com/dossier-data/pdf/katjes/katjes-2025-annual-report.pdf#page=61</t>
        </is>
      </c>
      <c r="P928" s="3" t="inlineStr">
        <is>
          <t>https://vanillabonds.com/dossier.html?c=katjes&amp;viewer=1&amp;item=F927</t>
        </is>
      </c>
      <c r="Q928" s="2" t="inlineStr"/>
    </row>
    <row r="929">
      <c r="A929" s="2" t="inlineStr">
        <is>
          <t>F928</t>
        </is>
      </c>
      <c r="B929" s="2" t="inlineStr">
        <is>
          <t>structure</t>
        </is>
      </c>
      <c r="C929" s="2" t="inlineStr">
        <is>
          <t>appraisal</t>
        </is>
      </c>
      <c r="D929" s="3" t="inlineStr">
        <is>
          <t>Appraisal: asset; date; appraiser; method; value</t>
        </is>
      </c>
      <c r="E929" s="2" t="n"/>
      <c r="F929" s="2" t="n">
        <v>7.7</v>
      </c>
      <c r="G929" s="2" t="n"/>
      <c r="H929" s="3" t="inlineStr">
        <is>
          <t>asset: brand Dallmann's; date: initial consolidation 2011; method: relief-from-royalty, royalty 9.5%, discount 8.4%, indefinite useful life; value: 7.7</t>
        </is>
      </c>
      <c r="I929" s="2" t="inlineStr">
        <is>
          <t>S3</t>
        </is>
      </c>
      <c r="J929" s="2" t="n">
        <v>61</v>
      </c>
      <c r="K929" s="3" t="inlineStr">
        <is>
          <t>The resulting brand value amounted to EUR 7.7 million.</t>
        </is>
      </c>
      <c r="L929" s="2" t="inlineStr">
        <is>
          <t>ok</t>
        </is>
      </c>
      <c r="M929" s="2" t="inlineStr">
        <is>
          <t>demo reviewer</t>
        </is>
      </c>
      <c r="N929" s="2" t="n"/>
      <c r="O929" s="3" t="inlineStr">
        <is>
          <t>https://vanillabonds.com/dossier-data/pdf/katjes/katjes-2025-annual-report.pdf#page=61</t>
        </is>
      </c>
      <c r="P929" s="3" t="inlineStr">
        <is>
          <t>https://vanillabonds.com/dossier.html?c=katjes&amp;viewer=1&amp;item=F928</t>
        </is>
      </c>
      <c r="Q929" s="2" t="inlineStr"/>
    </row>
    <row r="930">
      <c r="A930" s="2" t="inlineStr">
        <is>
          <t>F929</t>
        </is>
      </c>
      <c r="B930" s="2" t="inlineStr">
        <is>
          <t>structure</t>
        </is>
      </c>
      <c r="C930" s="2" t="inlineStr">
        <is>
          <t>appraisal</t>
        </is>
      </c>
      <c r="D930" s="3" t="inlineStr">
        <is>
          <t>Appraisal: asset; date; appraiser; method; value</t>
        </is>
      </c>
      <c r="E930" s="2" t="n"/>
      <c r="F930" s="2" t="n">
        <v>7.6</v>
      </c>
      <c r="G930" s="2" t="n"/>
      <c r="H930" s="3" t="inlineStr">
        <is>
          <t>asset: brand Dulcioliva; date: initial consolidation 2021 (pro rata); method: relief-from-royalty, royalty 5%, discount 4.0%, 40 years; value: 7.6</t>
        </is>
      </c>
      <c r="I930" s="2" t="inlineStr">
        <is>
          <t>S3</t>
        </is>
      </c>
      <c r="J930" s="2" t="n">
        <v>61</v>
      </c>
      <c r="K930" s="3" t="inlineStr">
        <is>
          <t>The resulting brand value amounted to EUR 7.6 million.</t>
        </is>
      </c>
      <c r="L930" s="2" t="inlineStr">
        <is>
          <t>ok</t>
        </is>
      </c>
      <c r="M930" s="2" t="inlineStr">
        <is>
          <t>demo reviewer</t>
        </is>
      </c>
      <c r="N930" s="2" t="n"/>
      <c r="O930" s="3" t="inlineStr">
        <is>
          <t>https://vanillabonds.com/dossier-data/pdf/katjes/katjes-2025-annual-report.pdf#page=61</t>
        </is>
      </c>
      <c r="P930" s="3" t="inlineStr">
        <is>
          <t>https://vanillabonds.com/dossier.html?c=katjes&amp;viewer=1&amp;item=F929</t>
        </is>
      </c>
      <c r="Q930" s="2" t="inlineStr"/>
    </row>
    <row r="931">
      <c r="A931" s="2" t="inlineStr">
        <is>
          <t>F930</t>
        </is>
      </c>
      <c r="B931" s="2" t="inlineStr">
        <is>
          <t>structure</t>
        </is>
      </c>
      <c r="C931" s="2" t="inlineStr">
        <is>
          <t>appraisal</t>
        </is>
      </c>
      <c r="D931" s="3" t="inlineStr">
        <is>
          <t>Appraisal: asset; date; appraiser; method; value</t>
        </is>
      </c>
      <c r="E931" s="2" t="n"/>
      <c r="F931" s="2" t="n">
        <v>7.1</v>
      </c>
      <c r="G931" s="2" t="n"/>
      <c r="H931" s="3" t="inlineStr">
        <is>
          <t>asset: brand Paluani; date: initial consolidation 2022 (pro rata); method: relief-from-royalty, royalty 3.5%, discount 5.9%, 40 years; value: 7.1</t>
        </is>
      </c>
      <c r="I931" s="2" t="inlineStr">
        <is>
          <t>S3</t>
        </is>
      </c>
      <c r="J931" s="2" t="n">
        <v>61</v>
      </c>
      <c r="K931" s="3" t="inlineStr">
        <is>
          <t>The resulting brand value amounted to EUR 7.1 million.</t>
        </is>
      </c>
      <c r="L931" s="2" t="inlineStr">
        <is>
          <t>ok</t>
        </is>
      </c>
      <c r="M931" s="2" t="inlineStr">
        <is>
          <t>demo reviewer</t>
        </is>
      </c>
      <c r="N931" s="2" t="n"/>
      <c r="O931" s="3" t="inlineStr">
        <is>
          <t>https://vanillabonds.com/dossier-data/pdf/katjes/katjes-2025-annual-report.pdf#page=61</t>
        </is>
      </c>
      <c r="P931" s="3" t="inlineStr">
        <is>
          <t>https://vanillabonds.com/dossier.html?c=katjes&amp;viewer=1&amp;item=F930</t>
        </is>
      </c>
      <c r="Q931" s="2" t="inlineStr"/>
    </row>
    <row r="932">
      <c r="A932" s="2" t="inlineStr">
        <is>
          <t>F931</t>
        </is>
      </c>
      <c r="B932" s="2" t="inlineStr">
        <is>
          <t>compliance</t>
        </is>
      </c>
      <c r="C932" s="2" t="inlineStr">
        <is>
          <t>litigation_item</t>
        </is>
      </c>
      <c r="D932" s="3" t="inlineStr">
        <is>
          <t>Litigation, insolvency, fine or tax dispute: register; case; date; amount; status</t>
        </is>
      </c>
      <c r="E932" s="2" t="n"/>
      <c r="F932" s="2" t="n"/>
      <c r="G932" s="2" t="n"/>
      <c r="H932" s="3" t="inlineStr">
        <is>
          <t>case: none; status: Group not a defendant in current or foreseeable legal or arbitration proceedings with significant influence on the economic situation, nor within the last two years; provisions set up for other proceedings</t>
        </is>
      </c>
      <c r="I932" s="2" t="inlineStr">
        <is>
          <t>S3</t>
        </is>
      </c>
      <c r="J932" s="2" t="n">
        <v>79</v>
      </c>
      <c r="K932" s="3" t="inlineStr">
        <is>
          <t>not involved as a defendant in current or foreseeable legal or arbitration proceedings that could have a significant influence on the economic situation</t>
        </is>
      </c>
      <c r="L932" s="2" t="inlineStr">
        <is>
          <t>ok</t>
        </is>
      </c>
      <c r="M932" s="2" t="inlineStr">
        <is>
          <t>demo reviewer</t>
        </is>
      </c>
      <c r="N932" s="2" t="n"/>
      <c r="O932" s="3" t="inlineStr">
        <is>
          <t>https://vanillabonds.com/dossier-data/pdf/katjes/katjes-2025-annual-report.pdf#page=79</t>
        </is>
      </c>
      <c r="P932" s="3" t="inlineStr">
        <is>
          <t>https://vanillabonds.com/dossier.html?c=katjes&amp;viewer=1&amp;item=F931</t>
        </is>
      </c>
      <c r="Q932" s="2" t="inlineStr"/>
    </row>
    <row r="933">
      <c r="A933" s="2" t="inlineStr">
        <is>
          <t>F932</t>
        </is>
      </c>
      <c r="B933" s="2" t="inlineStr">
        <is>
          <t>compliance</t>
        </is>
      </c>
      <c r="C933" s="2" t="inlineStr">
        <is>
          <t>esg_fact</t>
        </is>
      </c>
      <c r="D933" s="3" t="inlineStr">
        <is>
          <t>ESG fact: item (CSRD / VSME status, energy, emissions, taxonomy, permit, incident, labour); value; year; source</t>
        </is>
      </c>
      <c r="E933" s="2" t="n"/>
      <c r="F933" s="2" t="n"/>
      <c r="G933" s="2" t="n"/>
      <c r="H933" s="3" t="inlineStr">
        <is>
          <t>item: product portfolio; value: portfolio expanded with vegan options, Treets converting entirely to a vegan range, sugar-free focus at Dallmann's and Dietorelle; year: 2025; source: group management report 2.2</t>
        </is>
      </c>
      <c r="I933" s="2" t="inlineStr">
        <is>
          <t>S3</t>
        </is>
      </c>
      <c r="J933" s="2" t="n">
        <v>22</v>
      </c>
      <c r="K933" s="3" t="inlineStr">
        <is>
          <t>Where possible, the portfolio is expanded to include vegan options or, as in the case of Treets, gradually converts entirely to a vegan product range.</t>
        </is>
      </c>
      <c r="L933" s="2" t="inlineStr">
        <is>
          <t>ok</t>
        </is>
      </c>
      <c r="M933" s="2" t="inlineStr">
        <is>
          <t>demo reviewer</t>
        </is>
      </c>
      <c r="N933" s="2" t="n"/>
      <c r="O933" s="3" t="inlineStr">
        <is>
          <t>https://vanillabonds.com/dossier-data/pdf/katjes/katjes-2025-annual-report.pdf#page=22</t>
        </is>
      </c>
      <c r="P933" s="3" t="inlineStr">
        <is>
          <t>https://vanillabonds.com/dossier.html?c=katjes&amp;viewer=1&amp;item=F932</t>
        </is>
      </c>
      <c r="Q933" s="2" t="inlineStr"/>
    </row>
    <row r="934">
      <c r="A934" s="2" t="inlineStr">
        <is>
          <t>F933</t>
        </is>
      </c>
      <c r="B934" s="2" t="inlineStr">
        <is>
          <t>compliance</t>
        </is>
      </c>
      <c r="C934" s="2" t="inlineStr">
        <is>
          <t>esg_fact</t>
        </is>
      </c>
      <c r="D934" s="3" t="inlineStr">
        <is>
          <t>ESG fact: item (CSRD / VSME status, energy, emissions, taxonomy, permit, incident, labour); value; year; source</t>
        </is>
      </c>
      <c r="E934" s="2" t="n"/>
      <c r="F934" s="2" t="n">
        <v>1648</v>
      </c>
      <c r="G934" s="2" t="n"/>
      <c r="H934" s="3" t="inlineStr">
        <is>
          <t>item: labour; value: average 1,648 employees in 2025, approximately 69% in Germany, 23% in Italy, 6% rest of Europe, 2% North America; year: 2025; source: group management report 4.4</t>
        </is>
      </c>
      <c r="I934" s="2" t="inlineStr">
        <is>
          <t>S3</t>
        </is>
      </c>
      <c r="J934" s="2" t="n">
        <v>28</v>
      </c>
      <c r="K934" s="3" t="inlineStr">
        <is>
          <t>Of these, approximately 69% were employed in Germany, followed by around 23% in Italy, approximately 6% in the rest of Europe and 2% in North America.</t>
        </is>
      </c>
      <c r="L934" s="2" t="inlineStr">
        <is>
          <t>ok</t>
        </is>
      </c>
      <c r="M934" s="2" t="inlineStr">
        <is>
          <t>demo reviewer</t>
        </is>
      </c>
      <c r="N934" s="2" t="n"/>
      <c r="O934" s="3" t="inlineStr">
        <is>
          <t>https://vanillabonds.com/dossier-data/pdf/katjes/katjes-2025-annual-report.pdf#page=28</t>
        </is>
      </c>
      <c r="P934" s="3" t="inlineStr">
        <is>
          <t>https://vanillabonds.com/dossier.html?c=katjes&amp;viewer=1&amp;item=F933</t>
        </is>
      </c>
      <c r="Q934" s="2" t="inlineStr"/>
    </row>
    <row r="935">
      <c r="A935" s="2" t="inlineStr">
        <is>
          <t>F934</t>
        </is>
      </c>
      <c r="B935" s="2" t="inlineStr">
        <is>
          <t>compliance</t>
        </is>
      </c>
      <c r="C935" s="2" t="inlineStr">
        <is>
          <t>esg_fact</t>
        </is>
      </c>
      <c r="D935" s="3" t="inlineStr">
        <is>
          <t>ESG fact: item (CSRD / VSME status, energy, emissions, taxonomy, permit, incident, labour); value; year; source</t>
        </is>
      </c>
      <c r="E935" s="2" t="n"/>
      <c r="F935" s="2" t="n">
        <v>51</v>
      </c>
      <c r="G935" s="2" t="n"/>
      <c r="H935" s="3" t="inlineStr">
        <is>
          <t>item: labour (trainees); value: average 51 trainees; year: 2025; source: group management report</t>
        </is>
      </c>
      <c r="I935" s="2" t="inlineStr">
        <is>
          <t>S3</t>
        </is>
      </c>
      <c r="J935" s="2" t="n">
        <v>29</v>
      </c>
      <c r="K935" s="3" t="inlineStr">
        <is>
          <t>In 2025, Katjes International employed an average of 51 trai- nees.</t>
        </is>
      </c>
      <c r="L935" s="2" t="inlineStr">
        <is>
          <t>ok</t>
        </is>
      </c>
      <c r="M935" s="2" t="inlineStr">
        <is>
          <t>demo reviewer</t>
        </is>
      </c>
      <c r="N935" s="2" t="n"/>
      <c r="O935" s="3" t="inlineStr">
        <is>
          <t>https://vanillabonds.com/dossier-data/pdf/katjes/katjes-2025-annual-report.pdf#page=29</t>
        </is>
      </c>
      <c r="P935" s="3" t="inlineStr">
        <is>
          <t>https://vanillabonds.com/dossier.html?c=katjes&amp;viewer=1&amp;item=F934</t>
        </is>
      </c>
      <c r="Q935" s="2" t="inlineStr"/>
    </row>
    <row r="936">
      <c r="A936" s="2" t="inlineStr">
        <is>
          <t>F935</t>
        </is>
      </c>
      <c r="B936" s="2" t="inlineStr">
        <is>
          <t>compliance</t>
        </is>
      </c>
      <c r="C936" s="2" t="inlineStr">
        <is>
          <t>esg_fact</t>
        </is>
      </c>
      <c r="D936" s="3" t="inlineStr">
        <is>
          <t>ESG fact: item (CSRD / VSME status, energy, emissions, taxonomy, permit, incident, labour); value; year; source</t>
        </is>
      </c>
      <c r="E936" s="2" t="n"/>
      <c r="F936" s="2" t="n"/>
      <c r="G936" s="2" t="n"/>
      <c r="H936" s="3" t="inlineStr">
        <is>
          <t>item: CSRD / VSME status; value: no sustainability statement or emissions data in the annual report; sustainability described as part of the family-owned group's corporate philosophy with regular stakeholder dialogue; year: 2025; source: group management report 4.4</t>
        </is>
      </c>
      <c r="I936" s="2" t="inlineStr">
        <is>
          <t>S3</t>
        </is>
      </c>
      <c r="J936" s="2" t="n">
        <v>29</v>
      </c>
      <c r="K936" s="3" t="inlineStr">
        <is>
          <t>As a medium-sized, family-owned group, sustainable business practices are an integral part of Katjes International’s corporate philosophy.</t>
        </is>
      </c>
      <c r="L936" s="2" t="inlineStr">
        <is>
          <t>ok</t>
        </is>
      </c>
      <c r="M936" s="2" t="inlineStr">
        <is>
          <t>demo reviewer</t>
        </is>
      </c>
      <c r="N936" s="2" t="n"/>
      <c r="O936" s="3" t="inlineStr">
        <is>
          <t>https://vanillabonds.com/dossier-data/pdf/katjes/katjes-2025-annual-report.pdf#page=29</t>
        </is>
      </c>
      <c r="P936" s="3" t="inlineStr">
        <is>
          <t>https://vanillabonds.com/dossier.html?c=katjes&amp;viewer=1&amp;item=F935</t>
        </is>
      </c>
      <c r="Q936" s="2" t="inlineStr"/>
    </row>
    <row r="937">
      <c r="A937" s="2" t="inlineStr">
        <is>
          <t>F936</t>
        </is>
      </c>
      <c r="B937" s="2" t="inlineStr">
        <is>
          <t>compliance</t>
        </is>
      </c>
      <c r="C937" s="2" t="inlineStr">
        <is>
          <t>esg_fact</t>
        </is>
      </c>
      <c r="D937" s="3" t="inlineStr">
        <is>
          <t>ESG fact: item (CSRD / VSME status, energy, emissions, taxonomy, permit, incident, labour); value; year; source</t>
        </is>
      </c>
      <c r="E937" s="2" t="n"/>
      <c r="F937" s="2" t="n"/>
      <c r="G937" s="2" t="n"/>
      <c r="H937" s="3" t="inlineStr">
        <is>
          <t>item: labour (workforce structure); value: blue-collar 726 (2024: 717), salaried 871 (358), other 51 (22); year: 2025; source: notes 7.2</t>
        </is>
      </c>
      <c r="I937" s="2" t="inlineStr">
        <is>
          <t>S3</t>
        </is>
      </c>
      <c r="J937" s="2" t="n">
        <v>74</v>
      </c>
      <c r="K937" s="3" t="inlineStr">
        <is>
          <t>Blue-collar workers 726 717 Salaried employees 871 358 Other 51 22 Total 1,648 1,097</t>
        </is>
      </c>
      <c r="L937" s="2" t="inlineStr">
        <is>
          <t>ok</t>
        </is>
      </c>
      <c r="M937" s="2" t="inlineStr">
        <is>
          <t>demo reviewer</t>
        </is>
      </c>
      <c r="N937" s="2" t="n"/>
      <c r="O937" s="3" t="inlineStr">
        <is>
          <t>https://vanillabonds.com/dossier-data/pdf/katjes/katjes-2025-annual-report.pdf#page=74</t>
        </is>
      </c>
      <c r="P937" s="3" t="inlineStr">
        <is>
          <t>https://vanillabonds.com/dossier.html?c=katjes&amp;viewer=1&amp;item=F936</t>
        </is>
      </c>
      <c r="Q937" s="2" t="inlineStr"/>
    </row>
    <row r="938">
      <c r="A938" s="2" t="inlineStr">
        <is>
          <t>F937</t>
        </is>
      </c>
      <c r="B938" s="2" t="inlineStr">
        <is>
          <t>market_data</t>
        </is>
      </c>
      <c r="C938" s="2" t="inlineStr">
        <is>
          <t>instrument_term</t>
        </is>
      </c>
      <c r="D938" s="3" t="inlineStr">
        <is>
          <t>Instrument term: term (rate type, base rate, maturity, call, listing, ISIN, denomination, settlement, holders, transfer); value</t>
        </is>
      </c>
      <c r="E938" s="2" t="n"/>
      <c r="F938" s="2" t="n">
        <v>70</v>
      </c>
      <c r="G938" s="2" t="n"/>
      <c r="H938" s="3" t="inlineStr">
        <is>
          <t>term: tap; value: increased by EUR 70m at the beginning of August 2025, placement multiple times oversubscribed; net of transaction costs 68.4 per cash flow statement</t>
        </is>
      </c>
      <c r="I938" s="2" t="inlineStr">
        <is>
          <t>S3</t>
        </is>
      </c>
      <c r="J938" s="2" t="n">
        <v>4</v>
      </c>
      <c r="K938" s="3" t="inlineStr">
        <is>
          <t>increased its existing bond by EUR 70 million at the beginning of August. The strong demand from national and international investors — the placement was multiple times oversubscribed</t>
        </is>
      </c>
      <c r="L938" s="2" t="inlineStr">
        <is>
          <t>ok</t>
        </is>
      </c>
      <c r="M938" s="2" t="inlineStr">
        <is>
          <t>demo reviewer</t>
        </is>
      </c>
      <c r="N938" s="2" t="n"/>
      <c r="O938" s="3" t="inlineStr">
        <is>
          <t>https://vanillabonds.com/dossier-data/pdf/katjes/katjes-2025-annual-report.pdf#page=4</t>
        </is>
      </c>
      <c r="P938" s="3" t="inlineStr">
        <is>
          <t>https://vanillabonds.com/dossier.html?c=katjes&amp;viewer=1&amp;item=F937</t>
        </is>
      </c>
      <c r="Q938" s="2" t="inlineStr"/>
    </row>
    <row r="939">
      <c r="A939" s="2" t="inlineStr">
        <is>
          <t>F938</t>
        </is>
      </c>
      <c r="B939" s="2" t="inlineStr">
        <is>
          <t>market_data</t>
        </is>
      </c>
      <c r="C939" s="2" t="inlineStr">
        <is>
          <t>instrument_term</t>
        </is>
      </c>
      <c r="D939" s="3" t="inlineStr">
        <is>
          <t>Instrument term: term (rate type, base rate, maturity, call, listing, ISIN, denomination, settlement, holders, transfer); value</t>
        </is>
      </c>
      <c r="E939" s="2" t="n"/>
      <c r="F939" s="2" t="n"/>
      <c r="G939" s="2" t="n"/>
      <c r="H939" s="3" t="inlineStr">
        <is>
          <t>term: maturity; value: 2028 (five-year term from issue in September 2023)</t>
        </is>
      </c>
      <c r="I939" s="2" t="inlineStr">
        <is>
          <t>S3</t>
        </is>
      </c>
      <c r="J939" s="2" t="n">
        <v>26</v>
      </c>
      <c r="K939" s="3" t="inlineStr">
        <is>
          <t>In September 2023, Katjes International issued a corporate bond with a volume of EUR 115 million, a term of five years and an interest rate of 6.75%.</t>
        </is>
      </c>
      <c r="L939" s="2" t="inlineStr">
        <is>
          <t>ok</t>
        </is>
      </c>
      <c r="M939" s="2" t="inlineStr">
        <is>
          <t>demo reviewer</t>
        </is>
      </c>
      <c r="N939" s="2" t="n"/>
      <c r="O939" s="3" t="inlineStr">
        <is>
          <t>https://vanillabonds.com/dossier-data/pdf/katjes/katjes-2025-annual-report.pdf#page=26</t>
        </is>
      </c>
      <c r="P939" s="3" t="inlineStr">
        <is>
          <t>https://vanillabonds.com/dossier.html?c=katjes&amp;viewer=1&amp;item=F938</t>
        </is>
      </c>
      <c r="Q939" s="2" t="inlineStr"/>
    </row>
    <row r="940">
      <c r="A940" s="2" t="inlineStr">
        <is>
          <t>F939</t>
        </is>
      </c>
      <c r="B940" s="2" t="inlineStr">
        <is>
          <t>market_data</t>
        </is>
      </c>
      <c r="C940" s="2" t="inlineStr">
        <is>
          <t>instrument_term</t>
        </is>
      </c>
      <c r="D940" s="3" t="inlineStr">
        <is>
          <t>Instrument term: term (rate type, base rate, maturity, call, listing, ISIN, denomination, settlement, holders, transfer); value</t>
        </is>
      </c>
      <c r="E940" s="2" t="n"/>
      <c r="F940" s="2" t="n">
        <v>193.3</v>
      </c>
      <c r="G940" s="2" t="n"/>
      <c r="H940" s="3" t="inlineStr">
        <is>
          <t>term: fair value; value: 193.3 vs carrying amount 185.0 at 31 Dec 2025 (level II, amortised cost)</t>
        </is>
      </c>
      <c r="I940" s="2" t="inlineStr">
        <is>
          <t>S3</t>
        </is>
      </c>
      <c r="J940" s="2" t="n">
        <v>62</v>
      </c>
      <c r="K940" s="3" t="inlineStr">
        <is>
          <t>Liabilities from the issuance of a bond2 185.0 193.3** Amortised cost</t>
        </is>
      </c>
      <c r="L940" s="2" t="inlineStr">
        <is>
          <t>ok</t>
        </is>
      </c>
      <c r="M940" s="2" t="inlineStr">
        <is>
          <t>demo reviewer</t>
        </is>
      </c>
      <c r="N940" s="2" t="n"/>
      <c r="O940" s="3" t="inlineStr">
        <is>
          <t>https://vanillabonds.com/dossier-data/pdf/katjes/katjes-2025-annual-report.pdf#page=62</t>
        </is>
      </c>
      <c r="P940" s="3" t="inlineStr">
        <is>
          <t>https://vanillabonds.com/dossier.html?c=katjes&amp;viewer=1&amp;item=F939</t>
        </is>
      </c>
      <c r="Q940" s="2" t="inlineStr"/>
    </row>
    <row r="941">
      <c r="A941" s="2" t="inlineStr">
        <is>
          <t>F940</t>
        </is>
      </c>
      <c r="B941" s="2" t="inlineStr">
        <is>
          <t>market_data</t>
        </is>
      </c>
      <c r="C941" s="2" t="inlineStr">
        <is>
          <t>instrument_term</t>
        </is>
      </c>
      <c r="D941" s="3" t="inlineStr">
        <is>
          <t>Instrument term: term (rate type, base rate, maturity, call, listing, ISIN, denomination, settlement, holders, transfer); value</t>
        </is>
      </c>
      <c r="E941" s="2" t="n"/>
      <c r="F941" s="2" t="n">
        <v>6.75</v>
      </c>
      <c r="G941" s="2" t="n"/>
      <c r="H941" s="3" t="inlineStr">
        <is>
          <t>term: rate type; value: fixed 6.75% coupon, 2023/2028 bond</t>
        </is>
      </c>
      <c r="I941" s="2" t="inlineStr">
        <is>
          <t>S3</t>
        </is>
      </c>
      <c r="J941" s="2" t="n">
        <v>68</v>
      </c>
      <c r="K941" s="3" t="inlineStr">
        <is>
          <t>the 2023/2028 bond bearing interest at 6.75% was issued in September 2023 with a total volume of EUR 115 million, due to strong demand.</t>
        </is>
      </c>
      <c r="L941" s="2" t="inlineStr">
        <is>
          <t>ok</t>
        </is>
      </c>
      <c r="M941" s="2" t="inlineStr">
        <is>
          <t>demo reviewer</t>
        </is>
      </c>
      <c r="N941" s="2" t="n"/>
      <c r="O941" s="3" t="inlineStr">
        <is>
          <t>https://vanillabonds.com/dossier-data/pdf/katjes/katjes-2025-annual-report.pdf#page=68</t>
        </is>
      </c>
      <c r="P941" s="3" t="inlineStr">
        <is>
          <t>https://vanillabonds.com/dossier.html?c=katjes&amp;viewer=1&amp;item=F940</t>
        </is>
      </c>
      <c r="Q941" s="2" t="inlineStr"/>
    </row>
    <row r="942">
      <c r="A942" s="2" t="inlineStr">
        <is>
          <t>F941</t>
        </is>
      </c>
      <c r="B942" s="2" t="inlineStr">
        <is>
          <t>market_data</t>
        </is>
      </c>
      <c r="C942" s="2" t="inlineStr">
        <is>
          <t>instrument_term</t>
        </is>
      </c>
      <c r="D942" s="3" t="inlineStr">
        <is>
          <t>Instrument term: term (rate type, base rate, maturity, call, listing, ISIN, denomination, settlement, holders, transfer); value</t>
        </is>
      </c>
      <c r="E942" s="2" t="n"/>
      <c r="F942" s="2" t="n">
        <v>200</v>
      </c>
      <c r="G942" s="2" t="n"/>
      <c r="H942" s="3" t="inlineStr">
        <is>
          <t>term: tap; value: increased by EUR 15m to EUR 200m in March 2026 alongside the Missoni signing (event after the balance sheet date)</t>
        </is>
      </c>
      <c r="I942" s="2" t="inlineStr">
        <is>
          <t>S3</t>
        </is>
      </c>
      <c r="J942" s="2" t="n">
        <v>81</v>
      </c>
      <c r="K942" s="3" t="inlineStr">
        <is>
          <t>The transaction is mainly financed from own funds; in addition, the 2023/2028 bond was increased by EUR 15 million to EUR 200 million.</t>
        </is>
      </c>
      <c r="L942" s="2" t="inlineStr">
        <is>
          <t>ok</t>
        </is>
      </c>
      <c r="M942" s="2" t="inlineStr">
        <is>
          <t>demo reviewer</t>
        </is>
      </c>
      <c r="N942" s="2" t="n"/>
      <c r="O942" s="3" t="inlineStr">
        <is>
          <t>https://vanillabonds.com/dossier-data/pdf/katjes/katjes-2025-annual-report.pdf#page=81</t>
        </is>
      </c>
      <c r="P942" s="3" t="inlineStr">
        <is>
          <t>https://vanillabonds.com/dossier.html?c=katjes&amp;viewer=1&amp;item=F941</t>
        </is>
      </c>
      <c r="Q942" s="2" t="inlineStr"/>
    </row>
    <row r="943">
      <c r="A943" s="2" t="inlineStr">
        <is>
          <t>F942</t>
        </is>
      </c>
      <c r="B943" s="2" t="inlineStr">
        <is>
          <t>identity</t>
        </is>
      </c>
      <c r="C943" s="2" t="inlineStr">
        <is>
          <t>legal_name</t>
        </is>
      </c>
      <c r="D943" s="2" t="inlineStr">
        <is>
          <t>Legal name</t>
        </is>
      </c>
      <c r="E943" s="2" t="n"/>
      <c r="F943" s="2" t="n"/>
      <c r="G943" s="2" t="n"/>
      <c r="H943" s="2" t="inlineStr">
        <is>
          <t>Katjes International GmbH &amp; Co. KG</t>
        </is>
      </c>
      <c r="I943" s="2" t="inlineStr">
        <is>
          <t>S4</t>
        </is>
      </c>
      <c r="J943" s="2" t="n">
        <v>1</v>
      </c>
      <c r="K943" s="3" t="inlineStr">
        <is>
          <t>Katjes International GmbH &amp; Co. KG, Emmerich</t>
        </is>
      </c>
      <c r="L943" s="2" t="inlineStr">
        <is>
          <t>rep</t>
        </is>
      </c>
      <c r="M943" s="2" t="inlineStr">
        <is>
          <t>demo reviewer</t>
        </is>
      </c>
      <c r="N943" s="2" t="n"/>
      <c r="O943" s="3" t="inlineStr">
        <is>
          <t>https://vanillabonds.com/dossier-data/pdf/katjes/katjes-bond-2023-2028-terms.pdf#page=1</t>
        </is>
      </c>
      <c r="P943" s="3" t="inlineStr">
        <is>
          <t>https://vanillabonds.com/dossier.html?c=katjes&amp;viewer=1&amp;item=F942</t>
        </is>
      </c>
      <c r="Q943" s="2" t="inlineStr">
        <is>
          <t>no</t>
        </is>
      </c>
    </row>
    <row r="944">
      <c r="A944" s="2" t="inlineStr">
        <is>
          <t>F943</t>
        </is>
      </c>
      <c r="B944" s="2" t="inlineStr">
        <is>
          <t>identity</t>
        </is>
      </c>
      <c r="C944" s="2" t="inlineStr">
        <is>
          <t>legal_form</t>
        </is>
      </c>
      <c r="D944" s="2" t="inlineStr">
        <is>
          <t>Legal form</t>
        </is>
      </c>
      <c r="E944" s="2" t="n"/>
      <c r="F944" s="2" t="n"/>
      <c r="G944" s="2" t="n"/>
      <c r="H944" s="2" t="inlineStr">
        <is>
          <t>GmbH &amp; Co. KG</t>
        </is>
      </c>
      <c r="I944" s="2" t="inlineStr">
        <is>
          <t>S4</t>
        </is>
      </c>
      <c r="J944" s="2" t="n">
        <v>1</v>
      </c>
      <c r="K944" s="3" t="inlineStr">
        <is>
          <t>Katjes International GmbH &amp; Co. KG, Emmerich</t>
        </is>
      </c>
      <c r="L944" s="2" t="inlineStr">
        <is>
          <t>rep</t>
        </is>
      </c>
      <c r="M944" s="2" t="inlineStr">
        <is>
          <t>demo reviewer</t>
        </is>
      </c>
      <c r="N944" s="2" t="n"/>
      <c r="O944" s="3" t="inlineStr">
        <is>
          <t>https://vanillabonds.com/dossier-data/pdf/katjes/katjes-bond-2023-2028-terms.pdf#page=1</t>
        </is>
      </c>
      <c r="P944" s="3" t="inlineStr">
        <is>
          <t>https://vanillabonds.com/dossier.html?c=katjes&amp;viewer=1&amp;item=F943</t>
        </is>
      </c>
      <c r="Q944" s="2" t="inlineStr">
        <is>
          <t>no</t>
        </is>
      </c>
    </row>
    <row r="945">
      <c r="A945" s="2" t="inlineStr">
        <is>
          <t>F944</t>
        </is>
      </c>
      <c r="B945" s="2" t="inlineStr">
        <is>
          <t>identity</t>
        </is>
      </c>
      <c r="C945" s="2" t="inlineStr">
        <is>
          <t>registered_office</t>
        </is>
      </c>
      <c r="D945" s="2" t="inlineStr">
        <is>
          <t>Registered office</t>
        </is>
      </c>
      <c r="E945" s="2" t="n"/>
      <c r="F945" s="2" t="n"/>
      <c r="G945" s="2" t="n"/>
      <c r="H945" s="2" t="inlineStr">
        <is>
          <t>Emmerich</t>
        </is>
      </c>
      <c r="I945" s="2" t="inlineStr">
        <is>
          <t>S4</t>
        </is>
      </c>
      <c r="J945" s="2" t="n">
        <v>1</v>
      </c>
      <c r="K945" s="3" t="inlineStr">
        <is>
          <t>Katjes International GmbH &amp; Co. KG, Emmerich</t>
        </is>
      </c>
      <c r="L945" s="2" t="inlineStr">
        <is>
          <t>rep</t>
        </is>
      </c>
      <c r="M945" s="2" t="inlineStr">
        <is>
          <t>demo reviewer</t>
        </is>
      </c>
      <c r="N945" s="2" t="n"/>
      <c r="O945" s="3" t="inlineStr">
        <is>
          <t>https://vanillabonds.com/dossier-data/pdf/katjes/katjes-bond-2023-2028-terms.pdf#page=1</t>
        </is>
      </c>
      <c r="P945" s="3" t="inlineStr">
        <is>
          <t>https://vanillabonds.com/dossier.html?c=katjes&amp;viewer=1&amp;item=F944</t>
        </is>
      </c>
      <c r="Q945" s="2" t="inlineStr">
        <is>
          <t>no</t>
        </is>
      </c>
    </row>
    <row r="946">
      <c r="A946" s="2" t="inlineStr">
        <is>
          <t>F945</t>
        </is>
      </c>
      <c r="B946" s="2" t="inlineStr">
        <is>
          <t>identity</t>
        </is>
      </c>
      <c r="C946" s="2" t="inlineStr">
        <is>
          <t>country</t>
        </is>
      </c>
      <c r="D946" s="2" t="inlineStr">
        <is>
          <t>Country of incorporation (ISO-2)</t>
        </is>
      </c>
      <c r="E946" s="2" t="n"/>
      <c r="F946" s="2" t="n"/>
      <c r="G946" s="2" t="n"/>
      <c r="H946" s="2" t="inlineStr">
        <is>
          <t>DE</t>
        </is>
      </c>
      <c r="I946" s="2" t="inlineStr">
        <is>
          <t>S4</t>
        </is>
      </c>
      <c r="J946" s="2" t="n">
        <v>1</v>
      </c>
      <c r="K946" s="3" t="inlineStr">
        <is>
          <t>Katjes International GmbH &amp; Co. KG, Emmerich</t>
        </is>
      </c>
      <c r="L946" s="2" t="inlineStr">
        <is>
          <t>rep</t>
        </is>
      </c>
      <c r="M946" s="2" t="inlineStr">
        <is>
          <t>demo reviewer</t>
        </is>
      </c>
      <c r="N946" s="2" t="n"/>
      <c r="O946" s="3" t="inlineStr">
        <is>
          <t>https://vanillabonds.com/dossier-data/pdf/katjes/katjes-bond-2023-2028-terms.pdf#page=1</t>
        </is>
      </c>
      <c r="P946" s="3" t="inlineStr">
        <is>
          <t>https://vanillabonds.com/dossier.html?c=katjes&amp;viewer=1&amp;item=F945</t>
        </is>
      </c>
      <c r="Q946" s="2" t="inlineStr">
        <is>
          <t>no</t>
        </is>
      </c>
    </row>
    <row r="947">
      <c r="A947" s="2" t="inlineStr">
        <is>
          <t>F946</t>
        </is>
      </c>
      <c r="B947" s="2" t="inlineStr">
        <is>
          <t>identity</t>
        </is>
      </c>
      <c r="C947" s="2" t="inlineStr">
        <is>
          <t>ownership</t>
        </is>
      </c>
      <c r="D947" s="2" t="inlineStr">
        <is>
          <t>Ownership / UBO</t>
        </is>
      </c>
      <c r="E947" s="2" t="n"/>
      <c r="F947" s="2" t="n"/>
      <c r="G947" s="2" t="n"/>
      <c r="H947" s="3" t="inlineStr">
        <is>
          <t>Bastian Fassin and Tobias Bachmüller (&gt;50%, per CoC clause)</t>
        </is>
      </c>
      <c r="I947" s="2" t="inlineStr">
        <is>
          <t>S4</t>
        </is>
      </c>
      <c r="J947" s="2" t="n">
        <v>2</v>
      </c>
      <c r="K947" s="3" t="inlineStr">
        <is>
          <t>liegt vor, wenn die Herren Bastian Fassin und Tobias Bachmüller gemeinsam nicht mehr als 50,0% der Anteile und Stimmrechte an der Emittentin besitzen und</t>
        </is>
      </c>
      <c r="L947" s="2" t="inlineStr">
        <is>
          <t>rep</t>
        </is>
      </c>
      <c r="M947" s="2" t="inlineStr">
        <is>
          <t>demo reviewer</t>
        </is>
      </c>
      <c r="N947" s="2" t="n"/>
      <c r="O947" s="3" t="inlineStr">
        <is>
          <t>https://vanillabonds.com/dossier-data/pdf/katjes/katjes-bond-2023-2028-terms.pdf#page=2</t>
        </is>
      </c>
      <c r="P947" s="3" t="inlineStr">
        <is>
          <t>https://vanillabonds.com/dossier.html?c=katjes&amp;viewer=1&amp;item=F946</t>
        </is>
      </c>
      <c r="Q947" s="2" t="inlineStr">
        <is>
          <t>no</t>
        </is>
      </c>
    </row>
    <row r="948">
      <c r="A948" s="2" t="inlineStr">
        <is>
          <t>F947</t>
        </is>
      </c>
      <c r="B948" s="2" t="inlineStr">
        <is>
          <t>identity</t>
        </is>
      </c>
      <c r="C948" s="2" t="inlineStr">
        <is>
          <t>listing</t>
        </is>
      </c>
      <c r="D948" s="2" t="inlineStr">
        <is>
          <t>Listings (equity, bonds)</t>
        </is>
      </c>
      <c r="E948" s="2" t="n"/>
      <c r="F948" s="2" t="n"/>
      <c r="G948" s="2" t="n"/>
      <c r="H948" s="3" t="inlineStr">
        <is>
          <t>FWB Open Market (planned); Nordic ABM Oslo within 6 months</t>
        </is>
      </c>
      <c r="I948" s="2" t="inlineStr">
        <is>
          <t>S4</t>
        </is>
      </c>
      <c r="J948" s="2" t="n">
        <v>1</v>
      </c>
      <c r="K948" s="3" t="inlineStr">
        <is>
          <t>Freiverkehr (Open Market) der Frankfurter Wertpapierbörse (Quotation Board)</t>
        </is>
      </c>
      <c r="L948" s="2" t="inlineStr">
        <is>
          <t>rep</t>
        </is>
      </c>
      <c r="M948" s="2" t="inlineStr">
        <is>
          <t>demo reviewer</t>
        </is>
      </c>
      <c r="N948" s="2" t="n"/>
      <c r="O948" s="3" t="inlineStr">
        <is>
          <t>https://vanillabonds.com/dossier-data/pdf/katjes/katjes-bond-2023-2028-terms.pdf#page=1</t>
        </is>
      </c>
      <c r="P948" s="3" t="inlineStr">
        <is>
          <t>https://vanillabonds.com/dossier.html?c=katjes&amp;viewer=1&amp;item=F947</t>
        </is>
      </c>
      <c r="Q948" s="2" t="inlineStr">
        <is>
          <t>no</t>
        </is>
      </c>
    </row>
    <row r="949">
      <c r="A949" s="2" t="inlineStr">
        <is>
          <t>F948</t>
        </is>
      </c>
      <c r="B949" s="2" t="inlineStr">
        <is>
          <t>identity</t>
        </is>
      </c>
      <c r="C949" s="2" t="inlineStr">
        <is>
          <t>accounting_standard</t>
        </is>
      </c>
      <c r="D949" s="2" t="inlineStr">
        <is>
          <t>Accounting standard</t>
        </is>
      </c>
      <c r="E949" s="2" t="n"/>
      <c r="F949" s="2" t="n"/>
      <c r="G949" s="2" t="n"/>
      <c r="H949" s="3" t="inlineStr">
        <is>
          <t>IFRS consolidated (per bond reporting undertaking)</t>
        </is>
      </c>
      <c r="I949" s="2" t="inlineStr">
        <is>
          <t>S4</t>
        </is>
      </c>
      <c r="J949" s="2" t="n">
        <v>2</v>
      </c>
      <c r="K949" s="3" t="inlineStr">
        <is>
          <t>Geprüfter IFRS-Konzernabschluss innerhalb von 4 Monaten und ungeprüfter IFRS-</t>
        </is>
      </c>
      <c r="L949" s="2" t="inlineStr">
        <is>
          <t>rep</t>
        </is>
      </c>
      <c r="M949" s="2" t="inlineStr">
        <is>
          <t>demo reviewer</t>
        </is>
      </c>
      <c r="N949" s="2" t="n"/>
      <c r="O949" s="3" t="inlineStr">
        <is>
          <t>https://vanillabonds.com/dossier-data/pdf/katjes/katjes-bond-2023-2028-terms.pdf#page=2</t>
        </is>
      </c>
      <c r="P949" s="3" t="inlineStr">
        <is>
          <t>https://vanillabonds.com/dossier.html?c=katjes&amp;viewer=1&amp;item=F948</t>
        </is>
      </c>
      <c r="Q949" s="2" t="inlineStr">
        <is>
          <t>no</t>
        </is>
      </c>
    </row>
    <row r="950">
      <c r="A950" s="2" t="inlineStr">
        <is>
          <t>F949</t>
        </is>
      </c>
      <c r="B950" s="2" t="inlineStr">
        <is>
          <t>business</t>
        </is>
      </c>
      <c r="C950" s="2" t="inlineStr">
        <is>
          <t>key_event</t>
        </is>
      </c>
      <c r="D950" s="2" t="inlineStr">
        <is>
          <t>Key event (M&amp;A, financing, strategy)</t>
        </is>
      </c>
      <c r="E950" s="2" t="n"/>
      <c r="F950" s="2" t="n">
        <v>110</v>
      </c>
      <c r="G950" s="2" t="n"/>
      <c r="H950" s="3" t="inlineStr">
        <is>
          <t>Issue of the 2023/2028 bearer bond (ISIN NO0012888769) on 21 September 2023, target EUR 110m, minimum EUR 80m, due 21 September 2028, to refinance the 2019/2024 bond and for general corporate financing.</t>
        </is>
      </c>
      <c r="I950" s="2" t="inlineStr">
        <is>
          <t>S4</t>
        </is>
      </c>
      <c r="J950" s="2" t="n">
        <v>1</v>
      </c>
      <c r="K950" s="2" t="inlineStr">
        <is>
          <t>EUR 110.000.000 / EUR 80.000.000</t>
        </is>
      </c>
      <c r="L950" s="2" t="inlineStr">
        <is>
          <t>rep</t>
        </is>
      </c>
      <c r="M950" s="2" t="inlineStr">
        <is>
          <t>demo reviewer</t>
        </is>
      </c>
      <c r="N950" s="2" t="n"/>
      <c r="O950" s="3" t="inlineStr">
        <is>
          <t>https://vanillabonds.com/dossier-data/pdf/katjes/katjes-bond-2023-2028-terms.pdf#page=1</t>
        </is>
      </c>
      <c r="P950" s="3" t="inlineStr">
        <is>
          <t>https://vanillabonds.com/dossier.html?c=katjes&amp;viewer=1&amp;item=F949</t>
        </is>
      </c>
      <c r="Q950" s="2" t="inlineStr"/>
    </row>
    <row r="951">
      <c r="A951" s="2" t="inlineStr">
        <is>
          <t>F950</t>
        </is>
      </c>
      <c r="B951" s="2" t="inlineStr">
        <is>
          <t>debt</t>
        </is>
      </c>
      <c r="C951" s="2" t="inlineStr">
        <is>
          <t>debt_instrument</t>
        </is>
      </c>
      <c r="D951" s="2" t="inlineStr">
        <is>
          <t>Debt instrument</t>
        </is>
      </c>
      <c r="E951" s="2" t="n"/>
      <c r="F951" s="2" t="n">
        <v>110</v>
      </c>
      <c r="G951" s="2" t="n"/>
      <c r="H951" s="3" t="inlineStr">
        <is>
          <t>Bond 2023/2028: senior unsecured bearer bond, target EUR 110m (minimum EUR 80m), fixed coupon marketed at 6.25-7.50% p.a. paid semi-annually, issued 21 September 2023, due 21 September 2028, ISIN NO0012888769, denomination EUR 1,000.</t>
        </is>
      </c>
      <c r="I951" s="2" t="inlineStr">
        <is>
          <t>S4</t>
        </is>
      </c>
      <c r="J951" s="2" t="n">
        <v>1</v>
      </c>
      <c r="K951" s="2" t="inlineStr">
        <is>
          <t>ISIN: NO0012888769 / WKN: A30V78</t>
        </is>
      </c>
      <c r="L951" s="2" t="inlineStr">
        <is>
          <t>rep</t>
        </is>
      </c>
      <c r="M951" s="2" t="inlineStr">
        <is>
          <t>demo reviewer</t>
        </is>
      </c>
      <c r="N951" s="2" t="n"/>
      <c r="O951" s="3" t="inlineStr">
        <is>
          <t>https://vanillabonds.com/dossier-data/pdf/katjes/katjes-bond-2023-2028-terms.pdf#page=1</t>
        </is>
      </c>
      <c r="P951" s="3" t="inlineStr">
        <is>
          <t>https://vanillabonds.com/dossier.html?c=katjes&amp;viewer=1&amp;item=F950</t>
        </is>
      </c>
      <c r="Q951" s="2" t="inlineStr"/>
    </row>
    <row r="952">
      <c r="A952" s="2" t="inlineStr">
        <is>
          <t>F951</t>
        </is>
      </c>
      <c r="B952" s="2" t="inlineStr">
        <is>
          <t>debt</t>
        </is>
      </c>
      <c r="C952" s="2" t="inlineStr">
        <is>
          <t>debt_instrument</t>
        </is>
      </c>
      <c r="D952" s="2" t="inlineStr">
        <is>
          <t>Debt instrument</t>
        </is>
      </c>
      <c r="E952" s="2" t="n"/>
      <c r="F952" s="2" t="n"/>
      <c r="G952" s="2" t="n"/>
      <c r="H952" s="3" t="inlineStr">
        <is>
          <t>Bond 2019/2024 (ISIN DE000A2TST99): outstanding at the time of the term sheet and to be refinanced from the proceeds of the 2023/2028 bond; amount and coupon not stated here.</t>
        </is>
      </c>
      <c r="I952" s="2" t="inlineStr">
        <is>
          <t>S4</t>
        </is>
      </c>
      <c r="J952" s="2" t="n">
        <v>1</v>
      </c>
      <c r="K952" s="3" t="inlineStr">
        <is>
          <t>Refinanzierungen der ausstehenden Anleihe 2019/2024 (DE000A2TST99) sowie</t>
        </is>
      </c>
      <c r="L952" s="2" t="inlineStr">
        <is>
          <t>rep</t>
        </is>
      </c>
      <c r="M952" s="2" t="inlineStr">
        <is>
          <t>demo reviewer</t>
        </is>
      </c>
      <c r="N952" s="2" t="n"/>
      <c r="O952" s="3" t="inlineStr">
        <is>
          <t>https://vanillabonds.com/dossier-data/pdf/katjes/katjes-bond-2023-2028-terms.pdf#page=1</t>
        </is>
      </c>
      <c r="P952" s="3" t="inlineStr">
        <is>
          <t>https://vanillabonds.com/dossier.html?c=katjes&amp;viewer=1&amp;item=F951</t>
        </is>
      </c>
      <c r="Q952" s="2" t="inlineStr"/>
    </row>
    <row r="953">
      <c r="A953" s="2" t="inlineStr">
        <is>
          <t>F952</t>
        </is>
      </c>
      <c r="B953" s="2" t="inlineStr">
        <is>
          <t>debt</t>
        </is>
      </c>
      <c r="C953" s="2" t="inlineStr">
        <is>
          <t>covenant</t>
        </is>
      </c>
      <c r="D953" s="2" t="inlineStr">
        <is>
          <t>Financial covenant / restriction</t>
        </is>
      </c>
      <c r="E953" s="2" t="n"/>
      <c r="F953" s="2" t="n"/>
      <c r="G953" s="2" t="n"/>
      <c r="H953" s="3" t="inlineStr">
        <is>
          <t>Breach of the issuer's undertakings, or events such as non-compliance with certain financial ratios, gives bondholders termination rights, subject to cure periods and the further conditions of the bond terms.</t>
        </is>
      </c>
      <c r="I953" s="2" t="inlineStr">
        <is>
          <t>S4</t>
        </is>
      </c>
      <c r="J953" s="2" t="n">
        <v>1</v>
      </c>
      <c r="K953" s="3" t="inlineStr">
        <is>
          <t>Ein Verstoß hiergegen führt ebenso wie, wenn bestimmte Umstände eintreten (z.B. Nicht-Einhaltung bestimmter Finanzkennzahlen) zu Kündigungsrechten für die Anleihe.</t>
        </is>
      </c>
      <c r="L953" s="2" t="inlineStr">
        <is>
          <t>rep</t>
        </is>
      </c>
      <c r="M953" s="2" t="inlineStr">
        <is>
          <t>demo reviewer</t>
        </is>
      </c>
      <c r="N953" s="2" t="n"/>
      <c r="O953" s="3" t="inlineStr">
        <is>
          <t>https://vanillabonds.com/dossier-data/pdf/katjes/katjes-bond-2023-2028-terms.pdf#page=1</t>
        </is>
      </c>
      <c r="P953" s="3" t="inlineStr">
        <is>
          <t>https://vanillabonds.com/dossier.html?c=katjes&amp;viewer=1&amp;item=F952</t>
        </is>
      </c>
      <c r="Q953" s="2" t="inlineStr"/>
    </row>
    <row r="954">
      <c r="A954" s="2" t="inlineStr">
        <is>
          <t>F953</t>
        </is>
      </c>
      <c r="B954" s="2" t="inlineStr">
        <is>
          <t>debt</t>
        </is>
      </c>
      <c r="C954" s="2" t="inlineStr">
        <is>
          <t>covenant</t>
        </is>
      </c>
      <c r="D954" s="2" t="inlineStr">
        <is>
          <t>Financial covenant / restriction</t>
        </is>
      </c>
      <c r="E954" s="2" t="n"/>
      <c r="F954" s="2" t="n"/>
      <c r="G954" s="2" t="n"/>
      <c r="H954" s="3" t="inlineStr">
        <is>
          <t>Undertakings restrict mergers or similar business combinations.</t>
        </is>
      </c>
      <c r="I954" s="2" t="inlineStr">
        <is>
          <t>S4</t>
        </is>
      </c>
      <c r="J954" s="2" t="n">
        <v>1</v>
      </c>
      <c r="K954" s="3" t="inlineStr">
        <is>
          <t>• Fusionen oder ähnlichen Unternehmenszusammenschlüssen;</t>
        </is>
      </c>
      <c r="L954" s="2" t="inlineStr">
        <is>
          <t>rep</t>
        </is>
      </c>
      <c r="M954" s="2" t="inlineStr">
        <is>
          <t>demo reviewer</t>
        </is>
      </c>
      <c r="N954" s="2" t="n"/>
      <c r="O954" s="3" t="inlineStr">
        <is>
          <t>https://vanillabonds.com/dossier-data/pdf/katjes/katjes-bond-2023-2028-terms.pdf#page=1</t>
        </is>
      </c>
      <c r="P954" s="3" t="inlineStr">
        <is>
          <t>https://vanillabonds.com/dossier.html?c=katjes&amp;viewer=1&amp;item=F953</t>
        </is>
      </c>
      <c r="Q954" s="2" t="inlineStr"/>
    </row>
    <row r="955">
      <c r="A955" s="2" t="inlineStr">
        <is>
          <t>F954</t>
        </is>
      </c>
      <c r="B955" s="2" t="inlineStr">
        <is>
          <t>debt</t>
        </is>
      </c>
      <c r="C955" s="2" t="inlineStr">
        <is>
          <t>covenant</t>
        </is>
      </c>
      <c r="D955" s="2" t="inlineStr">
        <is>
          <t>Financial covenant / restriction</t>
        </is>
      </c>
      <c r="E955" s="2" t="n"/>
      <c r="F955" s="2" t="n"/>
      <c r="G955" s="2" t="n"/>
      <c r="H955" s="3" t="inlineStr">
        <is>
          <t>Undertakings restrict disposals of assets.</t>
        </is>
      </c>
      <c r="I955" s="2" t="inlineStr">
        <is>
          <t>S4</t>
        </is>
      </c>
      <c r="J955" s="2" t="n">
        <v>1</v>
      </c>
      <c r="K955" s="2" t="inlineStr">
        <is>
          <t>• Veräußerung von Vermögenswerten;</t>
        </is>
      </c>
      <c r="L955" s="2" t="inlineStr">
        <is>
          <t>rep</t>
        </is>
      </c>
      <c r="M955" s="2" t="inlineStr">
        <is>
          <t>demo reviewer</t>
        </is>
      </c>
      <c r="N955" s="2" t="n"/>
      <c r="O955" s="3" t="inlineStr">
        <is>
          <t>https://vanillabonds.com/dossier-data/pdf/katjes/katjes-bond-2023-2028-terms.pdf#page=1</t>
        </is>
      </c>
      <c r="P955" s="3" t="inlineStr">
        <is>
          <t>https://vanillabonds.com/dossier.html?c=katjes&amp;viewer=1&amp;item=F954</t>
        </is>
      </c>
      <c r="Q955" s="2" t="inlineStr"/>
    </row>
    <row r="956">
      <c r="A956" s="2" t="inlineStr">
        <is>
          <t>F955</t>
        </is>
      </c>
      <c r="B956" s="2" t="inlineStr">
        <is>
          <t>debt</t>
        </is>
      </c>
      <c r="C956" s="2" t="inlineStr">
        <is>
          <t>covenant</t>
        </is>
      </c>
      <c r="D956" s="2" t="inlineStr">
        <is>
          <t>Financial covenant / restriction</t>
        </is>
      </c>
      <c r="E956" s="2" t="n"/>
      <c r="F956" s="2" t="n"/>
      <c r="G956" s="2" t="n"/>
      <c r="H956" s="3" t="inlineStr">
        <is>
          <t>Undertakings restrict financial indebtedness (Financial Indebtedness).</t>
        </is>
      </c>
      <c r="I956" s="2" t="inlineStr">
        <is>
          <t>S4</t>
        </is>
      </c>
      <c r="J956" s="2" t="n">
        <v>1</v>
      </c>
      <c r="K956" s="3" t="inlineStr">
        <is>
          <t>• finanzielle Verschuldung (Financial Indebtedness).</t>
        </is>
      </c>
      <c r="L956" s="2" t="inlineStr">
        <is>
          <t>rep</t>
        </is>
      </c>
      <c r="M956" s="2" t="inlineStr">
        <is>
          <t>demo reviewer</t>
        </is>
      </c>
      <c r="N956" s="2" t="n"/>
      <c r="O956" s="3" t="inlineStr">
        <is>
          <t>https://vanillabonds.com/dossier-data/pdf/katjes/katjes-bond-2023-2028-terms.pdf#page=1</t>
        </is>
      </c>
      <c r="P956" s="3" t="inlineStr">
        <is>
          <t>https://vanillabonds.com/dossier.html?c=katjes&amp;viewer=1&amp;item=F955</t>
        </is>
      </c>
      <c r="Q956" s="2" t="inlineStr"/>
    </row>
    <row r="957">
      <c r="A957" s="2" t="inlineStr">
        <is>
          <t>F956</t>
        </is>
      </c>
      <c r="B957" s="2" t="inlineStr">
        <is>
          <t>debt</t>
        </is>
      </c>
      <c r="C957" s="2" t="inlineStr">
        <is>
          <t>covenant</t>
        </is>
      </c>
      <c r="D957" s="2" t="inlineStr">
        <is>
          <t>Financial covenant / restriction</t>
        </is>
      </c>
      <c r="E957" s="2" t="n"/>
      <c r="F957" s="2" t="n"/>
      <c r="G957" s="2" t="n"/>
      <c r="H957" s="3" t="inlineStr">
        <is>
          <t>Debt incurrence test: additional financial indebtedness of the issuer is permitted only if Net Debt / EBITDA is below 3.75x.</t>
        </is>
      </c>
      <c r="I957" s="2" t="inlineStr">
        <is>
          <t>S4</t>
        </is>
      </c>
      <c r="J957" s="2" t="n">
        <v>2</v>
      </c>
      <c r="K957" s="3" t="inlineStr">
        <is>
          <t>Aufnahme weiterer Verschuldung der Emittentin nur zulässig, wenn: Nettoverschuldung (Net Debt) / EBITDA &lt; 3,75x.</t>
        </is>
      </c>
      <c r="L957" s="2" t="inlineStr">
        <is>
          <t>rep</t>
        </is>
      </c>
      <c r="M957" s="2" t="inlineStr">
        <is>
          <t>demo reviewer</t>
        </is>
      </c>
      <c r="N957" s="2" t="n"/>
      <c r="O957" s="3" t="inlineStr">
        <is>
          <t>https://vanillabonds.com/dossier-data/pdf/katjes/katjes-bond-2023-2028-terms.pdf#page=2</t>
        </is>
      </c>
      <c r="P957" s="3" t="inlineStr">
        <is>
          <t>https://vanillabonds.com/dossier.html?c=katjes&amp;viewer=1&amp;item=F956</t>
        </is>
      </c>
      <c r="Q957" s="2" t="inlineStr"/>
    </row>
    <row r="958">
      <c r="A958" s="2" t="inlineStr">
        <is>
          <t>F957</t>
        </is>
      </c>
      <c r="B958" s="2" t="inlineStr">
        <is>
          <t>debt</t>
        </is>
      </c>
      <c r="C958" s="2" t="inlineStr">
        <is>
          <t>covenant</t>
        </is>
      </c>
      <c r="D958" s="2" t="inlineStr">
        <is>
          <t>Financial covenant / restriction</t>
        </is>
      </c>
      <c r="E958" s="2" t="n"/>
      <c r="F958" s="2" t="n"/>
      <c r="G958" s="2" t="n"/>
      <c r="H958" s="3" t="inlineStr">
        <is>
          <t>Distributions to shareholders, including repayments of and interest on shareholder loans, are permitted only if Net Debt / EBITDA remains below 3.75x after the distribution.</t>
        </is>
      </c>
      <c r="I958" s="2" t="inlineStr">
        <is>
          <t>S4</t>
        </is>
      </c>
      <c r="J958" s="2" t="n">
        <v>2</v>
      </c>
      <c r="K958" s="3" t="inlineStr">
        <is>
          <t>Ausschüttungen an Gesellschafter (einschließlich Rückzahlungen und Zinszahlungen auf Gesellschafterdarlehen) sind nur zulässig, soweit:</t>
        </is>
      </c>
      <c r="L958" s="2" t="inlineStr">
        <is>
          <t>rep</t>
        </is>
      </c>
      <c r="M958" s="2" t="inlineStr">
        <is>
          <t>demo reviewer</t>
        </is>
      </c>
      <c r="N958" s="2" t="n"/>
      <c r="O958" s="3" t="inlineStr">
        <is>
          <t>https://vanillabonds.com/dossier-data/pdf/katjes/katjes-bond-2023-2028-terms.pdf#page=2</t>
        </is>
      </c>
      <c r="P958" s="3" t="inlineStr">
        <is>
          <t>https://vanillabonds.com/dossier.html?c=katjes&amp;viewer=1&amp;item=F957</t>
        </is>
      </c>
      <c r="Q958" s="2" t="inlineStr"/>
    </row>
    <row r="959">
      <c r="A959" s="2" t="inlineStr">
        <is>
          <t>F958</t>
        </is>
      </c>
      <c r="B959" s="2" t="inlineStr">
        <is>
          <t>debt</t>
        </is>
      </c>
      <c r="C959" s="2" t="inlineStr">
        <is>
          <t>covenant</t>
        </is>
      </c>
      <c r="D959" s="2" t="inlineStr">
        <is>
          <t>Financial covenant / restriction</t>
        </is>
      </c>
      <c r="E959" s="2" t="n"/>
      <c r="F959" s="2" t="n"/>
      <c r="G959" s="2" t="n"/>
      <c r="H959" s="3" t="inlineStr">
        <is>
          <t>Distributions remain permitted to the extent the shareholder bears a tax charge from its participation in the issuer.</t>
        </is>
      </c>
      <c r="I959" s="2" t="inlineStr">
        <is>
          <t>S4</t>
        </is>
      </c>
      <c r="J959" s="2" t="n">
        <v>2</v>
      </c>
      <c r="K959" s="3" t="inlineStr">
        <is>
          <t>die Ausschüttung in dem Umfang erfolgt, in dem der Gesellschafter aus seiner Beteiligung an der Emittentin einer Steuerlast unterliegt.</t>
        </is>
      </c>
      <c r="L959" s="2" t="inlineStr">
        <is>
          <t>rep</t>
        </is>
      </c>
      <c r="M959" s="2" t="inlineStr">
        <is>
          <t>demo reviewer</t>
        </is>
      </c>
      <c r="N959" s="2" t="n"/>
      <c r="O959" s="3" t="inlineStr">
        <is>
          <t>https://vanillabonds.com/dossier-data/pdf/katjes/katjes-bond-2023-2028-terms.pdf#page=2</t>
        </is>
      </c>
      <c r="P959" s="3" t="inlineStr">
        <is>
          <t>https://vanillabonds.com/dossier.html?c=katjes&amp;viewer=1&amp;item=F958</t>
        </is>
      </c>
      <c r="Q959" s="2" t="inlineStr"/>
    </row>
    <row r="960">
      <c r="A960" s="2" t="inlineStr">
        <is>
          <t>F959</t>
        </is>
      </c>
      <c r="B960" s="2" t="inlineStr">
        <is>
          <t>debt</t>
        </is>
      </c>
      <c r="C960" s="2" t="inlineStr">
        <is>
          <t>covenant</t>
        </is>
      </c>
      <c r="D960" s="2" t="inlineStr">
        <is>
          <t>Financial covenant / restriction</t>
        </is>
      </c>
      <c r="E960" s="2" t="n"/>
      <c r="F960" s="2" t="n"/>
      <c r="G960" s="2" t="n"/>
      <c r="H960" s="3" t="inlineStr">
        <is>
          <t>Negative pledge: the issuer and group may not grant security over their assets, with exceptions including secured liabilities of up to EUR 1m or, if greater, 5% of EBITDA.</t>
        </is>
      </c>
      <c r="I960" s="2" t="inlineStr">
        <is>
          <t>S4</t>
        </is>
      </c>
      <c r="J960" s="2" t="n">
        <v>2</v>
      </c>
      <c r="K960" s="3" t="inlineStr">
        <is>
          <t>Die Emittentin/Gruppe darf keine Sicherheiten an ihren Vermögensgegenständen bestellen.</t>
        </is>
      </c>
      <c r="L960" s="2" t="inlineStr">
        <is>
          <t>rep</t>
        </is>
      </c>
      <c r="M960" s="2" t="inlineStr">
        <is>
          <t>demo reviewer</t>
        </is>
      </c>
      <c r="N960" s="2" t="n"/>
      <c r="O960" s="3" t="inlineStr">
        <is>
          <t>https://vanillabonds.com/dossier-data/pdf/katjes/katjes-bond-2023-2028-terms.pdf#page=2</t>
        </is>
      </c>
      <c r="P960" s="3" t="inlineStr">
        <is>
          <t>https://vanillabonds.com/dossier.html?c=katjes&amp;viewer=1&amp;item=F959</t>
        </is>
      </c>
      <c r="Q960" s="2" t="inlineStr"/>
    </row>
    <row r="961">
      <c r="A961" s="2" t="inlineStr">
        <is>
          <t>F960</t>
        </is>
      </c>
      <c r="B961" s="2" t="inlineStr">
        <is>
          <t>debt</t>
        </is>
      </c>
      <c r="C961" s="2" t="inlineStr">
        <is>
          <t>covenant</t>
        </is>
      </c>
      <c r="D961" s="2" t="inlineStr">
        <is>
          <t>Financial covenant / restriction</t>
        </is>
      </c>
      <c r="E961" s="2" t="n"/>
      <c r="F961" s="2" t="n"/>
      <c r="G961" s="2" t="n"/>
      <c r="H961" s="3" t="inlineStr">
        <is>
          <t>Cross default: the bonds become callable if financial liabilities of EUR 7.5m in aggregate are not paid by the issuer or group or become callable because of insolvency.</t>
        </is>
      </c>
      <c r="I961" s="2" t="inlineStr">
        <is>
          <t>S4</t>
        </is>
      </c>
      <c r="J961" s="2" t="n">
        <v>2</v>
      </c>
      <c r="K961" s="3" t="inlineStr">
        <is>
          <t>Wenn Finanzverbindlichkeiten in Höhe von (insgesamt) EUR 7.5 Mio. nicht durch die Emittentin/Gruppe gezahlt werden oder (wegen Insolvenz) kündbar sind werden die Schuldverschreibungen kündbar.</t>
        </is>
      </c>
      <c r="L961" s="2" t="inlineStr">
        <is>
          <t>rep</t>
        </is>
      </c>
      <c r="M961" s="2" t="inlineStr">
        <is>
          <t>demo reviewer</t>
        </is>
      </c>
      <c r="N961" s="2" t="n"/>
      <c r="O961" s="3" t="inlineStr">
        <is>
          <t>https://vanillabonds.com/dossier-data/pdf/katjes/katjes-bond-2023-2028-terms.pdf#page=2</t>
        </is>
      </c>
      <c r="P961" s="3" t="inlineStr">
        <is>
          <t>https://vanillabonds.com/dossier.html?c=katjes&amp;viewer=1&amp;item=F960</t>
        </is>
      </c>
      <c r="Q961" s="2" t="inlineStr"/>
    </row>
    <row r="962">
      <c r="A962" s="2" t="inlineStr">
        <is>
          <t>F961</t>
        </is>
      </c>
      <c r="B962" s="2" t="inlineStr">
        <is>
          <t>debt</t>
        </is>
      </c>
      <c r="C962" s="2" t="inlineStr">
        <is>
          <t>covenant</t>
        </is>
      </c>
      <c r="D962" s="2" t="inlineStr">
        <is>
          <t>Financial covenant / restriction</t>
        </is>
      </c>
      <c r="E962" s="2" t="n"/>
      <c r="F962" s="2" t="n"/>
      <c r="G962" s="2" t="n"/>
      <c r="H962" s="3" t="inlineStr">
        <is>
          <t>Change of control put: bondholders may sell their bonds to the issuer at 101% of nominal plus accrued interest.</t>
        </is>
      </c>
      <c r="I962" s="2" t="inlineStr">
        <is>
          <t>S4</t>
        </is>
      </c>
      <c r="J962" s="2" t="n">
        <v>2</v>
      </c>
      <c r="K962" s="3" t="inlineStr">
        <is>
          <t>Im Fall eines Kontrollwechsels haben die Anleihegläubiger das Recht, ihre Schuldverschreibungen an die Emittentin zu 101 % des Nennbetrags zzgl. Stückzinsen zu verkaufen.</t>
        </is>
      </c>
      <c r="L962" s="2" t="inlineStr">
        <is>
          <t>rep</t>
        </is>
      </c>
      <c r="M962" s="2" t="inlineStr">
        <is>
          <t>demo reviewer</t>
        </is>
      </c>
      <c r="N962" s="2" t="n"/>
      <c r="O962" s="3" t="inlineStr">
        <is>
          <t>https://vanillabonds.com/dossier-data/pdf/katjes/katjes-bond-2023-2028-terms.pdf#page=2</t>
        </is>
      </c>
      <c r="P962" s="3" t="inlineStr">
        <is>
          <t>https://vanillabonds.com/dossier.html?c=katjes&amp;viewer=1&amp;item=F961</t>
        </is>
      </c>
      <c r="Q962" s="2" t="inlineStr"/>
    </row>
    <row r="963">
      <c r="A963" s="2" t="inlineStr">
        <is>
          <t>F962</t>
        </is>
      </c>
      <c r="B963" s="2" t="inlineStr">
        <is>
          <t>debt</t>
        </is>
      </c>
      <c r="C963" s="2" t="inlineStr">
        <is>
          <t>covenant</t>
        </is>
      </c>
      <c r="D963" s="2" t="inlineStr">
        <is>
          <t>Financial covenant / restriction</t>
        </is>
      </c>
      <c r="E963" s="2" t="n"/>
      <c r="F963" s="2" t="n"/>
      <c r="G963" s="2" t="n"/>
      <c r="H963" s="3" t="inlineStr">
        <is>
          <t>Before an IPO, a change of control occurs if Bastian Fassin and Tobias Bachmüller together no longer own and control, directly or indirectly, more than 50.0% of the shares and votes, or lose the power to appoint or remove the majority of the management.</t>
        </is>
      </c>
      <c r="I963" s="2" t="inlineStr">
        <is>
          <t>S4</t>
        </is>
      </c>
      <c r="J963" s="2" t="n">
        <v>2</v>
      </c>
      <c r="K963" s="3" t="inlineStr">
        <is>
          <t>liegt vor, wenn die Herren Bastian Fassin und Tobias Bachmüller gemeinsam nicht mehr als 50,0% der Anteile und Stimmrechte an der Emittentin besitzen und</t>
        </is>
      </c>
      <c r="L963" s="2" t="inlineStr">
        <is>
          <t>rep</t>
        </is>
      </c>
      <c r="M963" s="2" t="inlineStr">
        <is>
          <t>demo reviewer</t>
        </is>
      </c>
      <c r="N963" s="2" t="n"/>
      <c r="O963" s="3" t="inlineStr">
        <is>
          <t>https://vanillabonds.com/dossier-data/pdf/katjes/katjes-bond-2023-2028-terms.pdf#page=2</t>
        </is>
      </c>
      <c r="P963" s="3" t="inlineStr">
        <is>
          <t>https://vanillabonds.com/dossier.html?c=katjes&amp;viewer=1&amp;item=F962</t>
        </is>
      </c>
      <c r="Q963" s="2" t="inlineStr"/>
    </row>
    <row r="964">
      <c r="A964" s="2" t="inlineStr">
        <is>
          <t>F963</t>
        </is>
      </c>
      <c r="B964" s="2" t="inlineStr">
        <is>
          <t>debt</t>
        </is>
      </c>
      <c r="C964" s="2" t="inlineStr">
        <is>
          <t>covenant</t>
        </is>
      </c>
      <c r="D964" s="2" t="inlineStr">
        <is>
          <t>Financial covenant / restriction</t>
        </is>
      </c>
      <c r="E964" s="2" t="n"/>
      <c r="F964" s="2" t="n"/>
      <c r="G964" s="2" t="n"/>
      <c r="H964" s="3" t="inlineStr">
        <is>
          <t>After an IPO, a change of control occurs if a person or a group acting together, other than Bastian Fassin and Tobias Bachmüller, owns or controls 50.0% or more of the shares or votes.</t>
        </is>
      </c>
      <c r="I964" s="2" t="inlineStr">
        <is>
          <t>S4</t>
        </is>
      </c>
      <c r="J964" s="2" t="n">
        <v>2</v>
      </c>
      <c r="K964" s="3" t="inlineStr">
        <is>
          <t>wenn eine Person oder eine gemeinsam handelnde Gruppe von Personen (mit Ausnahme der Herren Bastian Fassin und Tobias Bachmüller) 50,0% oder mehr der</t>
        </is>
      </c>
      <c r="L964" s="2" t="inlineStr">
        <is>
          <t>rep</t>
        </is>
      </c>
      <c r="M964" s="2" t="inlineStr">
        <is>
          <t>demo reviewer</t>
        </is>
      </c>
      <c r="N964" s="2" t="n"/>
      <c r="O964" s="3" t="inlineStr">
        <is>
          <t>https://vanillabonds.com/dossier-data/pdf/katjes/katjes-bond-2023-2028-terms.pdf#page=2</t>
        </is>
      </c>
      <c r="P964" s="3" t="inlineStr">
        <is>
          <t>https://vanillabonds.com/dossier.html?c=katjes&amp;viewer=1&amp;item=F963</t>
        </is>
      </c>
      <c r="Q964" s="2" t="inlineStr"/>
    </row>
    <row r="965">
      <c r="A965" s="2" t="inlineStr">
        <is>
          <t>F964</t>
        </is>
      </c>
      <c r="B965" s="2" t="inlineStr">
        <is>
          <t>debt</t>
        </is>
      </c>
      <c r="C965" s="2" t="inlineStr">
        <is>
          <t>covenant</t>
        </is>
      </c>
      <c r="D965" s="2" t="inlineStr">
        <is>
          <t>Financial covenant / restriction</t>
        </is>
      </c>
      <c r="E965" s="2" t="n"/>
      <c r="F965" s="2" t="n"/>
      <c r="G965" s="2" t="n"/>
      <c r="H965" s="3" t="inlineStr">
        <is>
          <t>A change of control also occurs at any time on a disposal of the material assets of the issuer or its subsidiaries.</t>
        </is>
      </c>
      <c r="I965" s="2" t="inlineStr">
        <is>
          <t>S4</t>
        </is>
      </c>
      <c r="J965" s="2" t="n">
        <v>2</v>
      </c>
      <c r="K965" s="3" t="inlineStr">
        <is>
          <t>liegt darüber hinaus jederzeit bei einer Veräußerung des wesentlichen Vermögens der Emittentin/ihrer Töchter vor.</t>
        </is>
      </c>
      <c r="L965" s="2" t="inlineStr">
        <is>
          <t>rep</t>
        </is>
      </c>
      <c r="M965" s="2" t="inlineStr">
        <is>
          <t>demo reviewer</t>
        </is>
      </c>
      <c r="N965" s="2" t="n"/>
      <c r="O965" s="3" t="inlineStr">
        <is>
          <t>https://vanillabonds.com/dossier-data/pdf/katjes/katjes-bond-2023-2028-terms.pdf#page=2</t>
        </is>
      </c>
      <c r="P965" s="3" t="inlineStr">
        <is>
          <t>https://vanillabonds.com/dossier.html?c=katjes&amp;viewer=1&amp;item=F964</t>
        </is>
      </c>
      <c r="Q965" s="2" t="inlineStr"/>
    </row>
    <row r="966">
      <c r="A966" s="2" t="inlineStr">
        <is>
          <t>F965</t>
        </is>
      </c>
      <c r="B966" s="2" t="inlineStr">
        <is>
          <t>management</t>
        </is>
      </c>
      <c r="C966" s="2" t="inlineStr">
        <is>
          <t>reporting_practice</t>
        </is>
      </c>
      <c r="D966" s="3" t="inlineStr">
        <is>
          <t>Monitoring: KPI reporting, frequency, budget process, controlling</t>
        </is>
      </c>
      <c r="E966" s="2" t="n"/>
      <c r="F966" s="2" t="n"/>
      <c r="G966" s="2" t="n"/>
      <c r="H966" s="3" t="inlineStr">
        <is>
          <t>The bond terms require audited IFRS consolidated accounts within 4 months of year end and unaudited IFRS half-year accounts within 75 days, each in German and English.</t>
        </is>
      </c>
      <c r="I966" s="2" t="inlineStr">
        <is>
          <t>S4</t>
        </is>
      </c>
      <c r="J966" s="2" t="n">
        <v>2</v>
      </c>
      <c r="K966" s="3" t="inlineStr">
        <is>
          <t>Geprüfter IFRS-Konzernabschluss innerhalb von 4 Monaten und ungeprüfter IFRS- Halbjahresabschluss innerhalb von 75 Tagen, jeweils in deutscher und englischer Sprache.</t>
        </is>
      </c>
      <c r="L966" s="2" t="inlineStr">
        <is>
          <t>rep</t>
        </is>
      </c>
      <c r="M966" s="2" t="inlineStr">
        <is>
          <t>demo reviewer</t>
        </is>
      </c>
      <c r="N966" s="2" t="n"/>
      <c r="O966" s="3" t="inlineStr">
        <is>
          <t>https://vanillabonds.com/dossier-data/pdf/katjes/katjes-bond-2023-2028-terms.pdf#page=2</t>
        </is>
      </c>
      <c r="P966" s="3" t="inlineStr">
        <is>
          <t>https://vanillabonds.com/dossier.html?c=katjes&amp;viewer=1&amp;item=F965</t>
        </is>
      </c>
      <c r="Q966" s="2" t="inlineStr"/>
    </row>
    <row r="967">
      <c r="A967" s="2" t="inlineStr">
        <is>
          <t>F966</t>
        </is>
      </c>
      <c r="B967" s="2" t="inlineStr">
        <is>
          <t>plan</t>
        </is>
      </c>
      <c r="C967" s="2" t="inlineStr">
        <is>
          <t>bond_amount</t>
        </is>
      </c>
      <c r="D967" s="2" t="inlineStr">
        <is>
          <t>Proposed bond</t>
        </is>
      </c>
      <c r="E967" s="2" t="n"/>
      <c r="F967" s="2" t="n">
        <v>110</v>
      </c>
      <c r="G967" s="2" t="inlineStr">
        <is>
          <t>EUR m</t>
        </is>
      </c>
      <c r="H967" s="3" t="inlineStr">
        <is>
          <t>Bond 2023/2028 target volume EUR 110m, minimum volume EUR 80m, issue price 100% of nominal.</t>
        </is>
      </c>
      <c r="I967" s="2" t="inlineStr">
        <is>
          <t>S4</t>
        </is>
      </c>
      <c r="J967" s="2" t="n">
        <v>1</v>
      </c>
      <c r="K967" s="2" t="inlineStr">
        <is>
          <t>EUR 110.000.000 / EUR 80.000.000</t>
        </is>
      </c>
      <c r="L967" s="2" t="inlineStr">
        <is>
          <t>rep</t>
        </is>
      </c>
      <c r="M967" s="2" t="inlineStr">
        <is>
          <t>demo reviewer</t>
        </is>
      </c>
      <c r="N967" s="2" t="inlineStr">
        <is>
          <t>conflict: S4·p1 110.0 vs S13·p17 115.0</t>
        </is>
      </c>
      <c r="O967" s="3" t="inlineStr">
        <is>
          <t>https://vanillabonds.com/dossier-data/pdf/katjes/katjes-bond-2023-2028-terms.pdf#page=1</t>
        </is>
      </c>
      <c r="P967" s="3" t="inlineStr">
        <is>
          <t>https://vanillabonds.com/dossier.html?c=katjes&amp;viewer=1&amp;item=F966</t>
        </is>
      </c>
      <c r="Q967" s="2" t="inlineStr">
        <is>
          <t>yes</t>
        </is>
      </c>
    </row>
    <row r="968">
      <c r="A968" s="2" t="inlineStr">
        <is>
          <t>F967</t>
        </is>
      </c>
      <c r="B968" s="2" t="inlineStr">
        <is>
          <t>plan</t>
        </is>
      </c>
      <c r="C968" s="2" t="inlineStr">
        <is>
          <t>use_of_proceeds</t>
        </is>
      </c>
      <c r="D968" s="2" t="inlineStr">
        <is>
          <t>Use of proceeds (one line per use)</t>
        </is>
      </c>
      <c r="E968" s="2" t="n"/>
      <c r="F968" s="2" t="n"/>
      <c r="G968" s="2" t="n"/>
      <c r="H968" s="3" t="inlineStr">
        <is>
          <t>Refinancing of the outstanding bond 2019/2024 (ISIN DE000A2TST99).</t>
        </is>
      </c>
      <c r="I968" s="2" t="inlineStr">
        <is>
          <t>S4</t>
        </is>
      </c>
      <c r="J968" s="2" t="n">
        <v>1</v>
      </c>
      <c r="K968" s="3" t="inlineStr">
        <is>
          <t>Refinanzierungen der ausstehenden Anleihe 2019/2024 (DE000A2TST99) sowie</t>
        </is>
      </c>
      <c r="L968" s="2" t="inlineStr">
        <is>
          <t>rep</t>
        </is>
      </c>
      <c r="M968" s="2" t="inlineStr">
        <is>
          <t>demo reviewer</t>
        </is>
      </c>
      <c r="N968" s="2" t="n"/>
      <c r="O968" s="3" t="inlineStr">
        <is>
          <t>https://vanillabonds.com/dossier-data/pdf/katjes/katjes-bond-2023-2028-terms.pdf#page=1</t>
        </is>
      </c>
      <c r="P968" s="3" t="inlineStr">
        <is>
          <t>https://vanillabonds.com/dossier.html?c=katjes&amp;viewer=1&amp;item=F967</t>
        </is>
      </c>
      <c r="Q968" s="2" t="inlineStr"/>
    </row>
    <row r="969">
      <c r="A969" s="2" t="inlineStr">
        <is>
          <t>F968</t>
        </is>
      </c>
      <c r="B969" s="2" t="inlineStr">
        <is>
          <t>plan</t>
        </is>
      </c>
      <c r="C969" s="2" t="inlineStr">
        <is>
          <t>use_of_proceeds</t>
        </is>
      </c>
      <c r="D969" s="2" t="inlineStr">
        <is>
          <t>Use of proceeds (one line per use)</t>
        </is>
      </c>
      <c r="E969" s="2" t="n"/>
      <c r="F969" s="2" t="n"/>
      <c r="G969" s="2" t="n"/>
      <c r="H969" s="3" t="inlineStr">
        <is>
          <t>General corporate financing, with the details depending on the size of the issue proceeds as set out in the securities prospectus.</t>
        </is>
      </c>
      <c r="I969" s="2" t="inlineStr">
        <is>
          <t>S4</t>
        </is>
      </c>
      <c r="J969" s="2" t="n">
        <v>1</v>
      </c>
      <c r="K969" s="3" t="inlineStr">
        <is>
          <t>allgemeine Unternehmensfinanzierung (Details abhängig von der Höhe des</t>
        </is>
      </c>
      <c r="L969" s="2" t="inlineStr">
        <is>
          <t>rep</t>
        </is>
      </c>
      <c r="M969" s="2" t="inlineStr">
        <is>
          <t>demo reviewer</t>
        </is>
      </c>
      <c r="N969" s="2" t="n"/>
      <c r="O969" s="3" t="inlineStr">
        <is>
          <t>https://vanillabonds.com/dossier-data/pdf/katjes/katjes-bond-2023-2028-terms.pdf#page=1</t>
        </is>
      </c>
      <c r="P969" s="3" t="inlineStr">
        <is>
          <t>https://vanillabonds.com/dossier.html?c=katjes&amp;viewer=1&amp;item=F968</t>
        </is>
      </c>
      <c r="Q969" s="2" t="inlineStr"/>
    </row>
    <row r="970">
      <c r="A970" s="2" t="inlineStr">
        <is>
          <t>F969</t>
        </is>
      </c>
      <c r="B970" s="2" t="inlineStr">
        <is>
          <t>debt</t>
        </is>
      </c>
      <c r="C970" s="2" t="inlineStr">
        <is>
          <t>rollover_event</t>
        </is>
      </c>
      <c r="D970" s="3" t="inlineStr">
        <is>
          <t>Past maturity: instrument; amount; due; outcome (repaid, refinanced, extended, waived)</t>
        </is>
      </c>
      <c r="E970" s="2" t="n"/>
      <c r="F970" s="2" t="n"/>
      <c r="G970" s="2" t="n"/>
      <c r="H970" s="3" t="inlineStr">
        <is>
          <t>instrument: Anleihe 2019/2024 (ISIN DE000A2TST99); due: 2024; outcome: refinanced by the 2023/2028 bond as stated in its use of proceeds</t>
        </is>
      </c>
      <c r="I970" s="2" t="inlineStr">
        <is>
          <t>S4</t>
        </is>
      </c>
      <c r="J970" s="2" t="n">
        <v>1</v>
      </c>
      <c r="K970" s="3" t="inlineStr">
        <is>
          <t>Refinanzierungen der ausstehenden Anleihe 2019/2024 (DE000A2TST99) sowie</t>
        </is>
      </c>
      <c r="L970" s="2" t="inlineStr">
        <is>
          <t>rep</t>
        </is>
      </c>
      <c r="M970" s="2" t="inlineStr">
        <is>
          <t>demo reviewer</t>
        </is>
      </c>
      <c r="N970" s="2" t="n"/>
      <c r="O970" s="3" t="inlineStr">
        <is>
          <t>https://vanillabonds.com/dossier-data/pdf/katjes/katjes-bond-2023-2028-terms.pdf#page=1</t>
        </is>
      </c>
      <c r="P970" s="3" t="inlineStr">
        <is>
          <t>https://vanillabonds.com/dossier.html?c=katjes&amp;viewer=1&amp;item=F969</t>
        </is>
      </c>
      <c r="Q970" s="2" t="inlineStr"/>
    </row>
    <row r="971">
      <c r="A971" s="2" t="inlineStr">
        <is>
          <t>F970</t>
        </is>
      </c>
      <c r="B971" s="2" t="inlineStr">
        <is>
          <t>structure</t>
        </is>
      </c>
      <c r="C971" s="2" t="inlineStr">
        <is>
          <t>covenant_definition</t>
        </is>
      </c>
      <c r="D971" s="3" t="inlineStr">
        <is>
          <t>Covenant: covenant; formula as defined; threshold; direction (max / min); test frequency</t>
        </is>
      </c>
      <c r="E971" s="2" t="n"/>
      <c r="F971" s="2" t="n">
        <v>3.75</v>
      </c>
      <c r="G971" s="2" t="n"/>
      <c r="H971" s="3" t="inlineStr">
        <is>
          <t>covenant: debt incurrence test; formula: Nettoverschuldung (Net Debt) / EBITDA; threshold: 3.75x; direction: max; test frequency: on each incurrence of additional debt</t>
        </is>
      </c>
      <c r="I971" s="2" t="inlineStr">
        <is>
          <t>S4</t>
        </is>
      </c>
      <c r="J971" s="2" t="n">
        <v>2</v>
      </c>
      <c r="K971" s="3" t="inlineStr">
        <is>
          <t>Aufnahme weiterer Verschuldung der Emittentin nur zulässig, wenn: Nettoverschuldung (Net Debt) / EBITDA &lt; 3,75x.</t>
        </is>
      </c>
      <c r="L971" s="2" t="inlineStr">
        <is>
          <t>rep</t>
        </is>
      </c>
      <c r="M971" s="2" t="inlineStr">
        <is>
          <t>demo reviewer</t>
        </is>
      </c>
      <c r="N971" s="2" t="n"/>
      <c r="O971" s="3" t="inlineStr">
        <is>
          <t>https://vanillabonds.com/dossier-data/pdf/katjes/katjes-bond-2023-2028-terms.pdf#page=2</t>
        </is>
      </c>
      <c r="P971" s="3" t="inlineStr">
        <is>
          <t>https://vanillabonds.com/dossier.html?c=katjes&amp;viewer=1&amp;item=F970</t>
        </is>
      </c>
      <c r="Q971" s="2" t="inlineStr"/>
    </row>
    <row r="972">
      <c r="A972" s="2" t="inlineStr">
        <is>
          <t>F971</t>
        </is>
      </c>
      <c r="B972" s="2" t="inlineStr">
        <is>
          <t>structure</t>
        </is>
      </c>
      <c r="C972" s="2" t="inlineStr">
        <is>
          <t>covenant_definition</t>
        </is>
      </c>
      <c r="D972" s="3" t="inlineStr">
        <is>
          <t>Covenant: covenant; formula as defined; threshold; direction (max / min); test frequency</t>
        </is>
      </c>
      <c r="E972" s="2" t="n"/>
      <c r="F972" s="2" t="n">
        <v>3.75</v>
      </c>
      <c r="G972" s="2" t="n"/>
      <c r="H972" s="3" t="inlineStr">
        <is>
          <t>covenant: distribution test; formula: Nettoverschuldung (Net Debt) / EBITDA after the distribution; threshold: 3.75x; direction: max; test frequency: on each distribution to shareholders</t>
        </is>
      </c>
      <c r="I972" s="2" t="inlineStr">
        <is>
          <t>S4</t>
        </is>
      </c>
      <c r="J972" s="2" t="n">
        <v>2</v>
      </c>
      <c r="K972" s="3" t="inlineStr">
        <is>
          <t>nach der Ausschüttung die folgende Grenze nicht überschritten wird: Nettoverschuldung (Net Debt) / EBITDA &lt; 3,75x</t>
        </is>
      </c>
      <c r="L972" s="2" t="inlineStr">
        <is>
          <t>rep</t>
        </is>
      </c>
      <c r="M972" s="2" t="inlineStr">
        <is>
          <t>demo reviewer</t>
        </is>
      </c>
      <c r="N972" s="2" t="n"/>
      <c r="O972" s="3" t="inlineStr">
        <is>
          <t>https://vanillabonds.com/dossier-data/pdf/katjes/katjes-bond-2023-2028-terms.pdf#page=2</t>
        </is>
      </c>
      <c r="P972" s="3" t="inlineStr">
        <is>
          <t>https://vanillabonds.com/dossier.html?c=katjes&amp;viewer=1&amp;item=F971</t>
        </is>
      </c>
      <c r="Q972" s="2" t="inlineStr"/>
    </row>
    <row r="973">
      <c r="A973" s="2" t="inlineStr">
        <is>
          <t>F972</t>
        </is>
      </c>
      <c r="B973" s="2" t="inlineStr">
        <is>
          <t>structure</t>
        </is>
      </c>
      <c r="C973" s="2" t="inlineStr">
        <is>
          <t>covenant_definition</t>
        </is>
      </c>
      <c r="D973" s="3" t="inlineStr">
        <is>
          <t>Covenant: covenant; formula as defined; threshold; direction (max / min); test frequency</t>
        </is>
      </c>
      <c r="E973" s="2" t="n"/>
      <c r="F973" s="2" t="n">
        <v>1</v>
      </c>
      <c r="G973" s="2" t="n"/>
      <c r="H973" s="3" t="inlineStr">
        <is>
          <t>covenant: negative pledge basket; formula: liabilities secured on the assets of the issuer or group; threshold: EUR 1.0m or, if greater, 5% of EBITDA; direction: max</t>
        </is>
      </c>
      <c r="I973" s="2" t="inlineStr">
        <is>
          <t>S4</t>
        </is>
      </c>
      <c r="J973" s="2" t="n">
        <v>2</v>
      </c>
      <c r="K973" s="3" t="inlineStr">
        <is>
          <t>wenn die besicherten Verbindlichkeiten nicht höher als EUR 1 Mio. oder (wenn größer) einem Betrag entsprechen der 5 % des EBITDA übersteigt.</t>
        </is>
      </c>
      <c r="L973" s="2" t="inlineStr">
        <is>
          <t>rep</t>
        </is>
      </c>
      <c r="M973" s="2" t="inlineStr">
        <is>
          <t>demo reviewer</t>
        </is>
      </c>
      <c r="N973" s="2" t="n"/>
      <c r="O973" s="3" t="inlineStr">
        <is>
          <t>https://vanillabonds.com/dossier-data/pdf/katjes/katjes-bond-2023-2028-terms.pdf#page=2</t>
        </is>
      </c>
      <c r="P973" s="3" t="inlineStr">
        <is>
          <t>https://vanillabonds.com/dossier.html?c=katjes&amp;viewer=1&amp;item=F972</t>
        </is>
      </c>
      <c r="Q973" s="2" t="inlineStr"/>
    </row>
    <row r="974">
      <c r="A974" s="2" t="inlineStr">
        <is>
          <t>F973</t>
        </is>
      </c>
      <c r="B974" s="2" t="inlineStr">
        <is>
          <t>market_data</t>
        </is>
      </c>
      <c r="C974" s="2" t="inlineStr">
        <is>
          <t>instrument_term</t>
        </is>
      </c>
      <c r="D974" s="3" t="inlineStr">
        <is>
          <t>Instrument term: term (rate type, base rate, maturity, call, listing, ISIN, denomination, settlement, holders, transfer); value</t>
        </is>
      </c>
      <c r="E974" s="2" t="n"/>
      <c r="F974" s="2" t="n"/>
      <c r="G974" s="2" t="n"/>
      <c r="H974" s="2" t="inlineStr">
        <is>
          <t>term: ISIN; value: NO0012888769</t>
        </is>
      </c>
      <c r="I974" s="2" t="inlineStr">
        <is>
          <t>S4</t>
        </is>
      </c>
      <c r="J974" s="2" t="n">
        <v>1</v>
      </c>
      <c r="K974" s="2" t="inlineStr">
        <is>
          <t>ISIN: NO0012888769 / WKN: A30V78</t>
        </is>
      </c>
      <c r="L974" s="2" t="inlineStr">
        <is>
          <t>rep</t>
        </is>
      </c>
      <c r="M974" s="2" t="inlineStr">
        <is>
          <t>demo reviewer</t>
        </is>
      </c>
      <c r="N974" s="2" t="n"/>
      <c r="O974" s="3" t="inlineStr">
        <is>
          <t>https://vanillabonds.com/dossier-data/pdf/katjes/katjes-bond-2023-2028-terms.pdf#page=1</t>
        </is>
      </c>
      <c r="P974" s="3" t="inlineStr">
        <is>
          <t>https://vanillabonds.com/dossier.html?c=katjes&amp;viewer=1&amp;item=F973</t>
        </is>
      </c>
      <c r="Q974" s="2" t="inlineStr"/>
    </row>
    <row r="975">
      <c r="A975" s="2" t="inlineStr">
        <is>
          <t>F974</t>
        </is>
      </c>
      <c r="B975" s="2" t="inlineStr">
        <is>
          <t>market_data</t>
        </is>
      </c>
      <c r="C975" s="2" t="inlineStr">
        <is>
          <t>instrument_term</t>
        </is>
      </c>
      <c r="D975" s="3" t="inlineStr">
        <is>
          <t>Instrument term: term (rate type, base rate, maturity, call, listing, ISIN, denomination, settlement, holders, transfer); value</t>
        </is>
      </c>
      <c r="E975" s="2" t="n"/>
      <c r="F975" s="2" t="n"/>
      <c r="G975" s="2" t="n"/>
      <c r="H975" s="2" t="inlineStr">
        <is>
          <t>term: WKN; value: A30V78</t>
        </is>
      </c>
      <c r="I975" s="2" t="inlineStr">
        <is>
          <t>S4</t>
        </is>
      </c>
      <c r="J975" s="2" t="n">
        <v>1</v>
      </c>
      <c r="K975" s="2" t="inlineStr">
        <is>
          <t>ISIN: NO0012888769 / WKN: A30V78</t>
        </is>
      </c>
      <c r="L975" s="2" t="inlineStr">
        <is>
          <t>rep</t>
        </is>
      </c>
      <c r="M975" s="2" t="inlineStr">
        <is>
          <t>demo reviewer</t>
        </is>
      </c>
      <c r="N975" s="2" t="n"/>
      <c r="O975" s="3" t="inlineStr">
        <is>
          <t>https://vanillabonds.com/dossier-data/pdf/katjes/katjes-bond-2023-2028-terms.pdf#page=1</t>
        </is>
      </c>
      <c r="P975" s="3" t="inlineStr">
        <is>
          <t>https://vanillabonds.com/dossier.html?c=katjes&amp;viewer=1&amp;item=F974</t>
        </is>
      </c>
      <c r="Q975" s="2" t="inlineStr"/>
    </row>
    <row r="976">
      <c r="A976" s="2" t="inlineStr">
        <is>
          <t>F975</t>
        </is>
      </c>
      <c r="B976" s="2" t="inlineStr">
        <is>
          <t>market_data</t>
        </is>
      </c>
      <c r="C976" s="2" t="inlineStr">
        <is>
          <t>instrument_term</t>
        </is>
      </c>
      <c r="D976" s="3" t="inlineStr">
        <is>
          <t>Instrument term: term (rate type, base rate, maturity, call, listing, ISIN, denomination, settlement, holders, transfer); value</t>
        </is>
      </c>
      <c r="E976" s="2" t="n"/>
      <c r="F976" s="2" t="n"/>
      <c r="G976" s="2" t="n"/>
      <c r="H976" s="3" t="inlineStr">
        <is>
          <t>term: instrument type; value: Inhaberschuldverschreibung (bearer bond)</t>
        </is>
      </c>
      <c r="I976" s="2" t="inlineStr">
        <is>
          <t>S4</t>
        </is>
      </c>
      <c r="J976" s="2" t="n">
        <v>1</v>
      </c>
      <c r="K976" s="2" t="inlineStr">
        <is>
          <t>Inhaberschuldverschreibung („Anleihe“)</t>
        </is>
      </c>
      <c r="L976" s="2" t="inlineStr">
        <is>
          <t>rep</t>
        </is>
      </c>
      <c r="M976" s="2" t="inlineStr">
        <is>
          <t>demo reviewer</t>
        </is>
      </c>
      <c r="N976" s="2" t="n"/>
      <c r="O976" s="3" t="inlineStr">
        <is>
          <t>https://vanillabonds.com/dossier-data/pdf/katjes/katjes-bond-2023-2028-terms.pdf#page=1</t>
        </is>
      </c>
      <c r="P976" s="3" t="inlineStr">
        <is>
          <t>https://vanillabonds.com/dossier.html?c=katjes&amp;viewer=1&amp;item=F975</t>
        </is>
      </c>
      <c r="Q976" s="2" t="inlineStr"/>
    </row>
    <row r="977">
      <c r="A977" s="2" t="inlineStr">
        <is>
          <t>F976</t>
        </is>
      </c>
      <c r="B977" s="2" t="inlineStr">
        <is>
          <t>market_data</t>
        </is>
      </c>
      <c r="C977" s="2" t="inlineStr">
        <is>
          <t>instrument_term</t>
        </is>
      </c>
      <c r="D977" s="3" t="inlineStr">
        <is>
          <t>Instrument term: term (rate type, base rate, maturity, call, listing, ISIN, denomination, settlement, holders, transfer); value</t>
        </is>
      </c>
      <c r="E977" s="2" t="n"/>
      <c r="F977" s="2" t="n"/>
      <c r="G977" s="2" t="n"/>
      <c r="H977" s="3" t="inlineStr">
        <is>
          <t>term: ranking and security; value: senior unsecured (nicht nachrangig, unbesichert)</t>
        </is>
      </c>
      <c r="I977" s="2" t="inlineStr">
        <is>
          <t>S4</t>
        </is>
      </c>
      <c r="J977" s="2" t="n">
        <v>1</v>
      </c>
      <c r="K977" s="2" t="inlineStr">
        <is>
          <t>nicht nachrangig, unbesichert</t>
        </is>
      </c>
      <c r="L977" s="2" t="inlineStr">
        <is>
          <t>rep</t>
        </is>
      </c>
      <c r="M977" s="2" t="inlineStr">
        <is>
          <t>demo reviewer</t>
        </is>
      </c>
      <c r="N977" s="2" t="n"/>
      <c r="O977" s="3" t="inlineStr">
        <is>
          <t>https://vanillabonds.com/dossier-data/pdf/katjes/katjes-bond-2023-2028-terms.pdf#page=1</t>
        </is>
      </c>
      <c r="P977" s="3" t="inlineStr">
        <is>
          <t>https://vanillabonds.com/dossier.html?c=katjes&amp;viewer=1&amp;item=F976</t>
        </is>
      </c>
      <c r="Q977" s="2" t="inlineStr"/>
    </row>
    <row r="978">
      <c r="A978" s="2" t="inlineStr">
        <is>
          <t>F977</t>
        </is>
      </c>
      <c r="B978" s="2" t="inlineStr">
        <is>
          <t>market_data</t>
        </is>
      </c>
      <c r="C978" s="2" t="inlineStr">
        <is>
          <t>instrument_term</t>
        </is>
      </c>
      <c r="D978" s="3" t="inlineStr">
        <is>
          <t>Instrument term: term (rate type, base rate, maturity, call, listing, ISIN, denomination, settlement, holders, transfer); value</t>
        </is>
      </c>
      <c r="E978" s="2" t="n"/>
      <c r="F978" s="2" t="n">
        <v>110</v>
      </c>
      <c r="G978" s="2" t="n"/>
      <c r="H978" s="2" t="inlineStr">
        <is>
          <t>term: target volume; value: EUR 110.0m</t>
        </is>
      </c>
      <c r="I978" s="2" t="inlineStr">
        <is>
          <t>S4</t>
        </is>
      </c>
      <c r="J978" s="2" t="n">
        <v>1</v>
      </c>
      <c r="K978" s="2" t="inlineStr">
        <is>
          <t>EUR 110.000.000 / EUR 80.000.000</t>
        </is>
      </c>
      <c r="L978" s="2" t="inlineStr">
        <is>
          <t>rep</t>
        </is>
      </c>
      <c r="M978" s="2" t="inlineStr">
        <is>
          <t>demo reviewer</t>
        </is>
      </c>
      <c r="N978" s="2" t="n"/>
      <c r="O978" s="3" t="inlineStr">
        <is>
          <t>https://vanillabonds.com/dossier-data/pdf/katjes/katjes-bond-2023-2028-terms.pdf#page=1</t>
        </is>
      </c>
      <c r="P978" s="3" t="inlineStr">
        <is>
          <t>https://vanillabonds.com/dossier.html?c=katjes&amp;viewer=1&amp;item=F977</t>
        </is>
      </c>
      <c r="Q978" s="2" t="inlineStr"/>
    </row>
    <row r="979">
      <c r="A979" s="2" t="inlineStr">
        <is>
          <t>F978</t>
        </is>
      </c>
      <c r="B979" s="2" t="inlineStr">
        <is>
          <t>market_data</t>
        </is>
      </c>
      <c r="C979" s="2" t="inlineStr">
        <is>
          <t>instrument_term</t>
        </is>
      </c>
      <c r="D979" s="3" t="inlineStr">
        <is>
          <t>Instrument term: term (rate type, base rate, maturity, call, listing, ISIN, denomination, settlement, holders, transfer); value</t>
        </is>
      </c>
      <c r="E979" s="2" t="n"/>
      <c r="F979" s="2" t="n">
        <v>80</v>
      </c>
      <c r="G979" s="2" t="n"/>
      <c r="H979" s="2" t="inlineStr">
        <is>
          <t>term: minimum volume; value: EUR 80.0m</t>
        </is>
      </c>
      <c r="I979" s="2" t="inlineStr">
        <is>
          <t>S4</t>
        </is>
      </c>
      <c r="J979" s="2" t="n">
        <v>1</v>
      </c>
      <c r="K979" s="2" t="inlineStr">
        <is>
          <t>EUR 110.000.000 / EUR 80.000.000</t>
        </is>
      </c>
      <c r="L979" s="2" t="inlineStr">
        <is>
          <t>rep</t>
        </is>
      </c>
      <c r="M979" s="2" t="inlineStr">
        <is>
          <t>demo reviewer</t>
        </is>
      </c>
      <c r="N979" s="2" t="n"/>
      <c r="O979" s="3" t="inlineStr">
        <is>
          <t>https://vanillabonds.com/dossier-data/pdf/katjes/katjes-bond-2023-2028-terms.pdf#page=1</t>
        </is>
      </c>
      <c r="P979" s="3" t="inlineStr">
        <is>
          <t>https://vanillabonds.com/dossier.html?c=katjes&amp;viewer=1&amp;item=F978</t>
        </is>
      </c>
      <c r="Q979" s="2" t="inlineStr"/>
    </row>
    <row r="980">
      <c r="A980" s="2" t="inlineStr">
        <is>
          <t>F979</t>
        </is>
      </c>
      <c r="B980" s="2" t="inlineStr">
        <is>
          <t>market_data</t>
        </is>
      </c>
      <c r="C980" s="2" t="inlineStr">
        <is>
          <t>instrument_term</t>
        </is>
      </c>
      <c r="D980" s="3" t="inlineStr">
        <is>
          <t>Instrument term: term (rate type, base rate, maturity, call, listing, ISIN, denomination, settlement, holders, transfer); value</t>
        </is>
      </c>
      <c r="E980" s="2" t="n"/>
      <c r="F980" s="2" t="n"/>
      <c r="G980" s="2" t="n"/>
      <c r="H980" s="3" t="inlineStr">
        <is>
          <t>term: denomination; value: EUR 1,000 per bond</t>
        </is>
      </c>
      <c r="I980" s="2" t="inlineStr">
        <is>
          <t>S4</t>
        </is>
      </c>
      <c r="J980" s="2" t="n">
        <v>1</v>
      </c>
      <c r="K980" s="2" t="inlineStr">
        <is>
          <t>EUR 1.000</t>
        </is>
      </c>
      <c r="L980" s="2" t="inlineStr">
        <is>
          <t>rep</t>
        </is>
      </c>
      <c r="M980" s="2" t="inlineStr">
        <is>
          <t>demo reviewer</t>
        </is>
      </c>
      <c r="N980" s="2" t="n"/>
      <c r="O980" s="3" t="inlineStr">
        <is>
          <t>https://vanillabonds.com/dossier-data/pdf/katjes/katjes-bond-2023-2028-terms.pdf#page=1</t>
        </is>
      </c>
      <c r="P980" s="3" t="inlineStr">
        <is>
          <t>https://vanillabonds.com/dossier.html?c=katjes&amp;viewer=1&amp;item=F979</t>
        </is>
      </c>
      <c r="Q980" s="2" t="inlineStr"/>
    </row>
    <row r="981">
      <c r="A981" s="2" t="inlineStr">
        <is>
          <t>F980</t>
        </is>
      </c>
      <c r="B981" s="2" t="inlineStr">
        <is>
          <t>market_data</t>
        </is>
      </c>
      <c r="C981" s="2" t="inlineStr">
        <is>
          <t>instrument_term</t>
        </is>
      </c>
      <c r="D981" s="3" t="inlineStr">
        <is>
          <t>Instrument term: term (rate type, base rate, maturity, call, listing, ISIN, denomination, settlement, holders, transfer); value</t>
        </is>
      </c>
      <c r="E981" s="2" t="n"/>
      <c r="F981" s="2" t="n"/>
      <c r="G981" s="2" t="n"/>
      <c r="H981" s="3" t="inlineStr">
        <is>
          <t>term: coupon marketing range; value: 6.25-7.50% p.a.</t>
        </is>
      </c>
      <c r="I981" s="2" t="inlineStr">
        <is>
          <t>S4</t>
        </is>
      </c>
      <c r="J981" s="2" t="n">
        <v>1</v>
      </c>
      <c r="K981" s="2" t="inlineStr">
        <is>
          <t>6,25 - 7,50 % p.a.</t>
        </is>
      </c>
      <c r="L981" s="2" t="inlineStr">
        <is>
          <t>rep</t>
        </is>
      </c>
      <c r="M981" s="2" t="inlineStr">
        <is>
          <t>demo reviewer</t>
        </is>
      </c>
      <c r="N981" s="2" t="n"/>
      <c r="O981" s="3" t="inlineStr">
        <is>
          <t>https://vanillabonds.com/dossier-data/pdf/katjes/katjes-bond-2023-2028-terms.pdf#page=1</t>
        </is>
      </c>
      <c r="P981" s="3" t="inlineStr">
        <is>
          <t>https://vanillabonds.com/dossier.html?c=katjes&amp;viewer=1&amp;item=F980</t>
        </is>
      </c>
      <c r="Q981" s="2" t="inlineStr"/>
    </row>
    <row r="982">
      <c r="A982" s="2" t="inlineStr">
        <is>
          <t>F981</t>
        </is>
      </c>
      <c r="B982" s="2" t="inlineStr">
        <is>
          <t>market_data</t>
        </is>
      </c>
      <c r="C982" s="2" t="inlineStr">
        <is>
          <t>instrument_term</t>
        </is>
      </c>
      <c r="D982" s="3" t="inlineStr">
        <is>
          <t>Instrument term: term (rate type, base rate, maturity, call, listing, ISIN, denomination, settlement, holders, transfer); value</t>
        </is>
      </c>
      <c r="E982" s="2" t="n"/>
      <c r="F982" s="2" t="n"/>
      <c r="G982" s="2" t="n"/>
      <c r="H982" s="3" t="inlineStr">
        <is>
          <t>term: rate type; value: fixed rate, payable semi-annually in arrears on 21 March and 21 September</t>
        </is>
      </c>
      <c r="I982" s="2" t="inlineStr">
        <is>
          <t>S4</t>
        </is>
      </c>
      <c r="J982" s="2" t="n">
        <v>1</v>
      </c>
      <c r="K982" s="3" t="inlineStr">
        <is>
          <t>Festzins, zahlbar halbjährlich nachträglich am 21. März und 21. September,</t>
        </is>
      </c>
      <c r="L982" s="2" t="inlineStr">
        <is>
          <t>rep</t>
        </is>
      </c>
      <c r="M982" s="2" t="inlineStr">
        <is>
          <t>demo reviewer</t>
        </is>
      </c>
      <c r="N982" s="2" t="n"/>
      <c r="O982" s="3" t="inlineStr">
        <is>
          <t>https://vanillabonds.com/dossier-data/pdf/katjes/katjes-bond-2023-2028-terms.pdf#page=1</t>
        </is>
      </c>
      <c r="P982" s="3" t="inlineStr">
        <is>
          <t>https://vanillabonds.com/dossier.html?c=katjes&amp;viewer=1&amp;item=F981</t>
        </is>
      </c>
      <c r="Q982" s="2" t="inlineStr"/>
    </row>
    <row r="983">
      <c r="A983" s="2" t="inlineStr">
        <is>
          <t>F982</t>
        </is>
      </c>
      <c r="B983" s="2" t="inlineStr">
        <is>
          <t>market_data</t>
        </is>
      </c>
      <c r="C983" s="2" t="inlineStr">
        <is>
          <t>instrument_term</t>
        </is>
      </c>
      <c r="D983" s="3" t="inlineStr">
        <is>
          <t>Instrument term: term (rate type, base rate, maturity, call, listing, ISIN, denomination, settlement, holders, transfer); value</t>
        </is>
      </c>
      <c r="E983" s="2" t="n"/>
      <c r="F983" s="2" t="n"/>
      <c r="G983" s="2" t="n"/>
      <c r="H983" s="3" t="inlineStr">
        <is>
          <t>term: interest dates; value: first coupon 21 March 2024, last coupon 21 September 2028</t>
        </is>
      </c>
      <c r="I983" s="2" t="inlineStr">
        <is>
          <t>S4</t>
        </is>
      </c>
      <c r="J983" s="2" t="n">
        <v>1</v>
      </c>
      <c r="K983" s="3" t="inlineStr">
        <is>
          <t>erstmalig am 21. März 2024, letztmalig am 21. September 2028</t>
        </is>
      </c>
      <c r="L983" s="2" t="inlineStr">
        <is>
          <t>rep</t>
        </is>
      </c>
      <c r="M983" s="2" t="inlineStr">
        <is>
          <t>demo reviewer</t>
        </is>
      </c>
      <c r="N983" s="2" t="n"/>
      <c r="O983" s="3" t="inlineStr">
        <is>
          <t>https://vanillabonds.com/dossier-data/pdf/katjes/katjes-bond-2023-2028-terms.pdf#page=1</t>
        </is>
      </c>
      <c r="P983" s="3" t="inlineStr">
        <is>
          <t>https://vanillabonds.com/dossier.html?c=katjes&amp;viewer=1&amp;item=F982</t>
        </is>
      </c>
      <c r="Q983" s="2" t="inlineStr"/>
    </row>
    <row r="984">
      <c r="A984" s="2" t="inlineStr">
        <is>
          <t>F983</t>
        </is>
      </c>
      <c r="B984" s="2" t="inlineStr">
        <is>
          <t>market_data</t>
        </is>
      </c>
      <c r="C984" s="2" t="inlineStr">
        <is>
          <t>instrument_term</t>
        </is>
      </c>
      <c r="D984" s="3" t="inlineStr">
        <is>
          <t>Instrument term: term (rate type, base rate, maturity, call, listing, ISIN, denomination, settlement, holders, transfer); value</t>
        </is>
      </c>
      <c r="E984" s="2" t="n"/>
      <c r="F984" s="2" t="n"/>
      <c r="G984" s="2" t="n"/>
      <c r="H984" s="2" t="inlineStr">
        <is>
          <t>term: currency; value: EUR</t>
        </is>
      </c>
      <c r="I984" s="2" t="inlineStr">
        <is>
          <t>S4</t>
        </is>
      </c>
      <c r="J984" s="2" t="n">
        <v>1</v>
      </c>
      <c r="K984" s="2" t="inlineStr">
        <is>
          <t>Euro</t>
        </is>
      </c>
      <c r="L984" s="2" t="inlineStr">
        <is>
          <t>rep</t>
        </is>
      </c>
      <c r="M984" s="2" t="inlineStr">
        <is>
          <t>demo reviewer</t>
        </is>
      </c>
      <c r="N984" s="2" t="n"/>
      <c r="O984" s="3" t="inlineStr">
        <is>
          <t>https://vanillabonds.com/dossier-data/pdf/katjes/katjes-bond-2023-2028-terms.pdf#page=1</t>
        </is>
      </c>
      <c r="P984" s="3" t="inlineStr">
        <is>
          <t>https://vanillabonds.com/dossier.html?c=katjes&amp;viewer=1&amp;item=F983</t>
        </is>
      </c>
      <c r="Q984" s="2" t="inlineStr"/>
    </row>
    <row r="985">
      <c r="A985" s="2" t="inlineStr">
        <is>
          <t>F984</t>
        </is>
      </c>
      <c r="B985" s="2" t="inlineStr">
        <is>
          <t>market_data</t>
        </is>
      </c>
      <c r="C985" s="2" t="inlineStr">
        <is>
          <t>instrument_term</t>
        </is>
      </c>
      <c r="D985" s="3" t="inlineStr">
        <is>
          <t>Instrument term: term (rate type, base rate, maturity, call, listing, ISIN, denomination, settlement, holders, transfer); value</t>
        </is>
      </c>
      <c r="E985" s="2" t="n"/>
      <c r="F985" s="2" t="n"/>
      <c r="G985" s="2" t="n"/>
      <c r="H985" s="3" t="inlineStr">
        <is>
          <t>term: issue price; value: 100% of nominal</t>
        </is>
      </c>
      <c r="I985" s="2" t="inlineStr">
        <is>
          <t>S4</t>
        </is>
      </c>
      <c r="J985" s="2" t="n">
        <v>1</v>
      </c>
      <c r="K985" s="2" t="inlineStr">
        <is>
          <t>100% des Nennwerts</t>
        </is>
      </c>
      <c r="L985" s="2" t="inlineStr">
        <is>
          <t>rep</t>
        </is>
      </c>
      <c r="M985" s="2" t="inlineStr">
        <is>
          <t>demo reviewer</t>
        </is>
      </c>
      <c r="N985" s="2" t="n"/>
      <c r="O985" s="3" t="inlineStr">
        <is>
          <t>https://vanillabonds.com/dossier-data/pdf/katjes/katjes-bond-2023-2028-terms.pdf#page=1</t>
        </is>
      </c>
      <c r="P985" s="3" t="inlineStr">
        <is>
          <t>https://vanillabonds.com/dossier.html?c=katjes&amp;viewer=1&amp;item=F984</t>
        </is>
      </c>
      <c r="Q985" s="2" t="inlineStr"/>
    </row>
    <row r="986">
      <c r="A986" s="2" t="inlineStr">
        <is>
          <t>F985</t>
        </is>
      </c>
      <c r="B986" s="2" t="inlineStr">
        <is>
          <t>market_data</t>
        </is>
      </c>
      <c r="C986" s="2" t="inlineStr">
        <is>
          <t>instrument_term</t>
        </is>
      </c>
      <c r="D986" s="3" t="inlineStr">
        <is>
          <t>Instrument term: term (rate type, base rate, maturity, call, listing, ISIN, denomination, settlement, holders, transfer); value</t>
        </is>
      </c>
      <c r="E986" s="2" t="n"/>
      <c r="F986" s="2" t="n"/>
      <c r="G986" s="2" t="n"/>
      <c r="H986" s="3" t="inlineStr">
        <is>
          <t>term: settlement (issue date); value: 2023-09-21</t>
        </is>
      </c>
      <c r="I986" s="2" t="inlineStr">
        <is>
          <t>S4</t>
        </is>
      </c>
      <c r="J986" s="2" t="n">
        <v>1</v>
      </c>
      <c r="K986" s="2" t="inlineStr">
        <is>
          <t>21. September 2023</t>
        </is>
      </c>
      <c r="L986" s="2" t="inlineStr">
        <is>
          <t>rep</t>
        </is>
      </c>
      <c r="M986" s="2" t="inlineStr">
        <is>
          <t>demo reviewer</t>
        </is>
      </c>
      <c r="N986" s="2" t="n"/>
      <c r="O986" s="3" t="inlineStr">
        <is>
          <t>https://vanillabonds.com/dossier-data/pdf/katjes/katjes-bond-2023-2028-terms.pdf#page=1</t>
        </is>
      </c>
      <c r="P986" s="3" t="inlineStr">
        <is>
          <t>https://vanillabonds.com/dossier.html?c=katjes&amp;viewer=1&amp;item=F985</t>
        </is>
      </c>
      <c r="Q986" s="2" t="inlineStr"/>
    </row>
    <row r="987">
      <c r="A987" s="2" t="inlineStr">
        <is>
          <t>F986</t>
        </is>
      </c>
      <c r="B987" s="2" t="inlineStr">
        <is>
          <t>market_data</t>
        </is>
      </c>
      <c r="C987" s="2" t="inlineStr">
        <is>
          <t>instrument_term</t>
        </is>
      </c>
      <c r="D987" s="3" t="inlineStr">
        <is>
          <t>Instrument term: term (rate type, base rate, maturity, call, listing, ISIN, denomination, settlement, holders, transfer); value</t>
        </is>
      </c>
      <c r="E987" s="2" t="n"/>
      <c r="F987" s="2" t="n"/>
      <c r="G987" s="2" t="n"/>
      <c r="H987" s="3" t="inlineStr">
        <is>
          <t>term: maturity; value: 2028-09-21, 5-year term</t>
        </is>
      </c>
      <c r="I987" s="2" t="inlineStr">
        <is>
          <t>S4</t>
        </is>
      </c>
      <c r="J987" s="2" t="n">
        <v>1</v>
      </c>
      <c r="K987" s="3" t="inlineStr">
        <is>
          <t>5 Jahre Laufzeit; fällig am 21. September 2028</t>
        </is>
      </c>
      <c r="L987" s="2" t="inlineStr">
        <is>
          <t>rep</t>
        </is>
      </c>
      <c r="M987" s="2" t="inlineStr">
        <is>
          <t>demo reviewer</t>
        </is>
      </c>
      <c r="N987" s="2" t="n"/>
      <c r="O987" s="3" t="inlineStr">
        <is>
          <t>https://vanillabonds.com/dossier-data/pdf/katjes/katjes-bond-2023-2028-terms.pdf#page=1</t>
        </is>
      </c>
      <c r="P987" s="3" t="inlineStr">
        <is>
          <t>https://vanillabonds.com/dossier.html?c=katjes&amp;viewer=1&amp;item=F986</t>
        </is>
      </c>
      <c r="Q987" s="2" t="inlineStr"/>
    </row>
    <row r="988">
      <c r="A988" s="2" t="inlineStr">
        <is>
          <t>F987</t>
        </is>
      </c>
      <c r="B988" s="2" t="inlineStr">
        <is>
          <t>market_data</t>
        </is>
      </c>
      <c r="C988" s="2" t="inlineStr">
        <is>
          <t>instrument_term</t>
        </is>
      </c>
      <c r="D988" s="3" t="inlineStr">
        <is>
          <t>Instrument term: term (rate type, base rate, maturity, call, listing, ISIN, denomination, settlement, holders, transfer); value</t>
        </is>
      </c>
      <c r="E988" s="2" t="n"/>
      <c r="F988" s="2" t="n"/>
      <c r="G988" s="2" t="n"/>
      <c r="H988" s="3" t="inlineStr">
        <is>
          <t>term: listing; value: Open Market (Freiverkehr) of the Frankfurt Stock Exchange, Quotation Board, planned</t>
        </is>
      </c>
      <c r="I988" s="2" t="inlineStr">
        <is>
          <t>S4</t>
        </is>
      </c>
      <c r="J988" s="2" t="n">
        <v>1</v>
      </c>
      <c r="K988" s="3" t="inlineStr">
        <is>
          <t>Freiverkehr (Open Market) der Frankfurter Wertpapierbörse (Quotation Board)</t>
        </is>
      </c>
      <c r="L988" s="2" t="inlineStr">
        <is>
          <t>rep</t>
        </is>
      </c>
      <c r="M988" s="2" t="inlineStr">
        <is>
          <t>demo reviewer</t>
        </is>
      </c>
      <c r="N988" s="2" t="n"/>
      <c r="O988" s="3" t="inlineStr">
        <is>
          <t>https://vanillabonds.com/dossier-data/pdf/katjes/katjes-bond-2023-2028-terms.pdf#page=1</t>
        </is>
      </c>
      <c r="P988" s="3" t="inlineStr">
        <is>
          <t>https://vanillabonds.com/dossier.html?c=katjes&amp;viewer=1&amp;item=F987</t>
        </is>
      </c>
      <c r="Q988" s="2" t="inlineStr"/>
    </row>
    <row r="989">
      <c r="A989" s="2" t="inlineStr">
        <is>
          <t>F988</t>
        </is>
      </c>
      <c r="B989" s="2" t="inlineStr">
        <is>
          <t>market_data</t>
        </is>
      </c>
      <c r="C989" s="2" t="inlineStr">
        <is>
          <t>instrument_term</t>
        </is>
      </c>
      <c r="D989" s="3" t="inlineStr">
        <is>
          <t>Instrument term: term (rate type, base rate, maturity, call, listing, ISIN, denomination, settlement, holders, transfer); value</t>
        </is>
      </c>
      <c r="E989" s="2" t="n"/>
      <c r="F989" s="2" t="n"/>
      <c r="G989" s="2" t="n"/>
      <c r="H989" s="3" t="inlineStr">
        <is>
          <t>term: listing; value: Nordic ABM, Oslo Børs, within 6 months of issue; non-listing may lead to additional interest</t>
        </is>
      </c>
      <c r="I989" s="2" t="inlineStr">
        <is>
          <t>S4</t>
        </is>
      </c>
      <c r="J989" s="2" t="n">
        <v>1</v>
      </c>
      <c r="K989" s="3" t="inlineStr">
        <is>
          <t>Nordic ABM, Börse Oslo innerhalb von 6 Monaten nach Begebung (Nichtvornahme kann zu Zusatzverzinsung führen)</t>
        </is>
      </c>
      <c r="L989" s="2" t="inlineStr">
        <is>
          <t>rep</t>
        </is>
      </c>
      <c r="M989" s="2" t="inlineStr">
        <is>
          <t>demo reviewer</t>
        </is>
      </c>
      <c r="N989" s="2" t="n"/>
      <c r="O989" s="3" t="inlineStr">
        <is>
          <t>https://vanillabonds.com/dossier-data/pdf/katjes/katjes-bond-2023-2028-terms.pdf#page=1</t>
        </is>
      </c>
      <c r="P989" s="3" t="inlineStr">
        <is>
          <t>https://vanillabonds.com/dossier.html?c=katjes&amp;viewer=1&amp;item=F988</t>
        </is>
      </c>
      <c r="Q989" s="2" t="inlineStr"/>
    </row>
    <row r="990">
      <c r="A990" s="2" t="inlineStr">
        <is>
          <t>F989</t>
        </is>
      </c>
      <c r="B990" s="2" t="inlineStr">
        <is>
          <t>market_data</t>
        </is>
      </c>
      <c r="C990" s="2" t="inlineStr">
        <is>
          <t>instrument_term</t>
        </is>
      </c>
      <c r="D990" s="3" t="inlineStr">
        <is>
          <t>Instrument term: term (rate type, base rate, maturity, call, listing, ISIN, denomination, settlement, holders, transfer); value</t>
        </is>
      </c>
      <c r="E990" s="2" t="n"/>
      <c r="F990" s="2" t="n"/>
      <c r="G990" s="2" t="n"/>
      <c r="H990" s="3" t="inlineStr">
        <is>
          <t>term: call; value: issuer call in whole or in part from the issue date until 30 months at the Make Whole Amount as defined in the securities prospectus</t>
        </is>
      </c>
      <c r="I990" s="2" t="inlineStr">
        <is>
          <t>S4</t>
        </is>
      </c>
      <c r="J990" s="2" t="n">
        <v>1</v>
      </c>
      <c r="K990" s="3" t="inlineStr">
        <is>
          <t>Die Emittentin kann die Schuldverschreibungen ab dem Begebungstag bis zum Ablauf von 30 Monaten zum Make Whole Amount (Gesamter Betrag, wie im Wertpapierprospekt definiert) kündigen</t>
        </is>
      </c>
      <c r="L990" s="2" t="inlineStr">
        <is>
          <t>rep</t>
        </is>
      </c>
      <c r="M990" s="2" t="inlineStr">
        <is>
          <t>demo reviewer</t>
        </is>
      </c>
      <c r="N990" s="2" t="n"/>
      <c r="O990" s="3" t="inlineStr">
        <is>
          <t>https://vanillabonds.com/dossier-data/pdf/katjes/katjes-bond-2023-2028-terms.pdf#page=1</t>
        </is>
      </c>
      <c r="P990" s="3" t="inlineStr">
        <is>
          <t>https://vanillabonds.com/dossier.html?c=katjes&amp;viewer=1&amp;item=F989</t>
        </is>
      </c>
      <c r="Q990" s="2" t="inlineStr"/>
    </row>
    <row r="991">
      <c r="A991" s="2" t="inlineStr">
        <is>
          <t>F990</t>
        </is>
      </c>
      <c r="B991" s="2" t="inlineStr">
        <is>
          <t>market_data</t>
        </is>
      </c>
      <c r="C991" s="2" t="inlineStr">
        <is>
          <t>instrument_term</t>
        </is>
      </c>
      <c r="D991" s="3" t="inlineStr">
        <is>
          <t>Instrument term: term (rate type, base rate, maturity, call, listing, ISIN, denomination, settlement, holders, transfer); value</t>
        </is>
      </c>
      <c r="E991" s="2" t="n"/>
      <c r="F991" s="2" t="n"/>
      <c r="G991" s="2" t="n"/>
      <c r="H991" s="3" t="inlineStr">
        <is>
          <t>term: call; value: after 30 months at 100.00% of nominal plus 50% of the annual coupon</t>
        </is>
      </c>
      <c r="I991" s="2" t="inlineStr">
        <is>
          <t>S4</t>
        </is>
      </c>
      <c r="J991" s="2" t="n">
        <v>1</v>
      </c>
      <c r="K991" s="3" t="inlineStr">
        <is>
          <t>30 Monaten zu 100,00% des Nennbetrages + 50% des jährlichen Coupons</t>
        </is>
      </c>
      <c r="L991" s="2" t="inlineStr">
        <is>
          <t>rep</t>
        </is>
      </c>
      <c r="M991" s="2" t="inlineStr">
        <is>
          <t>demo reviewer</t>
        </is>
      </c>
      <c r="N991" s="2" t="n"/>
      <c r="O991" s="3" t="inlineStr">
        <is>
          <t>https://vanillabonds.com/dossier-data/pdf/katjes/katjes-bond-2023-2028-terms.pdf#page=1</t>
        </is>
      </c>
      <c r="P991" s="3" t="inlineStr">
        <is>
          <t>https://vanillabonds.com/dossier.html?c=katjes&amp;viewer=1&amp;item=F990</t>
        </is>
      </c>
      <c r="Q991" s="2" t="inlineStr"/>
    </row>
    <row r="992">
      <c r="A992" s="2" t="inlineStr">
        <is>
          <t>F991</t>
        </is>
      </c>
      <c r="B992" s="2" t="inlineStr">
        <is>
          <t>market_data</t>
        </is>
      </c>
      <c r="C992" s="2" t="inlineStr">
        <is>
          <t>instrument_term</t>
        </is>
      </c>
      <c r="D992" s="3" t="inlineStr">
        <is>
          <t>Instrument term: term (rate type, base rate, maturity, call, listing, ISIN, denomination, settlement, holders, transfer); value</t>
        </is>
      </c>
      <c r="E992" s="2" t="n"/>
      <c r="F992" s="2" t="n"/>
      <c r="G992" s="2" t="n"/>
      <c r="H992" s="3" t="inlineStr">
        <is>
          <t>term: call; value: after 36 months at 100.00% of nominal plus 30% of the annual coupon</t>
        </is>
      </c>
      <c r="I992" s="2" t="inlineStr">
        <is>
          <t>S4</t>
        </is>
      </c>
      <c r="J992" s="2" t="n">
        <v>1</v>
      </c>
      <c r="K992" s="3" t="inlineStr">
        <is>
          <t>36 Monaten zu 100,00% des Nennbetrages + 30% des jährlichen Coupons</t>
        </is>
      </c>
      <c r="L992" s="2" t="inlineStr">
        <is>
          <t>rep</t>
        </is>
      </c>
      <c r="M992" s="2" t="inlineStr">
        <is>
          <t>demo reviewer</t>
        </is>
      </c>
      <c r="N992" s="2" t="n"/>
      <c r="O992" s="3" t="inlineStr">
        <is>
          <t>https://vanillabonds.com/dossier-data/pdf/katjes/katjes-bond-2023-2028-terms.pdf#page=1</t>
        </is>
      </c>
      <c r="P992" s="3" t="inlineStr">
        <is>
          <t>https://vanillabonds.com/dossier.html?c=katjes&amp;viewer=1&amp;item=F991</t>
        </is>
      </c>
      <c r="Q992" s="2" t="inlineStr"/>
    </row>
    <row r="993">
      <c r="A993" s="2" t="inlineStr">
        <is>
          <t>F992</t>
        </is>
      </c>
      <c r="B993" s="2" t="inlineStr">
        <is>
          <t>market_data</t>
        </is>
      </c>
      <c r="C993" s="2" t="inlineStr">
        <is>
          <t>instrument_term</t>
        </is>
      </c>
      <c r="D993" s="3" t="inlineStr">
        <is>
          <t>Instrument term: term (rate type, base rate, maturity, call, listing, ISIN, denomination, settlement, holders, transfer); value</t>
        </is>
      </c>
      <c r="E993" s="2" t="n"/>
      <c r="F993" s="2" t="n"/>
      <c r="G993" s="2" t="n"/>
      <c r="H993" s="3" t="inlineStr">
        <is>
          <t>term: call; value: after 42 months at 100.00% of nominal plus 20% of the annual coupon</t>
        </is>
      </c>
      <c r="I993" s="2" t="inlineStr">
        <is>
          <t>S4</t>
        </is>
      </c>
      <c r="J993" s="2" t="n">
        <v>1</v>
      </c>
      <c r="K993" s="3" t="inlineStr">
        <is>
          <t>42 Monaten zu 100,00% des Nennbetrages + 20% des jährlichen Coupons</t>
        </is>
      </c>
      <c r="L993" s="2" t="inlineStr">
        <is>
          <t>rep</t>
        </is>
      </c>
      <c r="M993" s="2" t="inlineStr">
        <is>
          <t>demo reviewer</t>
        </is>
      </c>
      <c r="N993" s="2" t="n"/>
      <c r="O993" s="3" t="inlineStr">
        <is>
          <t>https://vanillabonds.com/dossier-data/pdf/katjes/katjes-bond-2023-2028-terms.pdf#page=1</t>
        </is>
      </c>
      <c r="P993" s="3" t="inlineStr">
        <is>
          <t>https://vanillabonds.com/dossier.html?c=katjes&amp;viewer=1&amp;item=F992</t>
        </is>
      </c>
      <c r="Q993" s="2" t="inlineStr"/>
    </row>
    <row r="994">
      <c r="A994" s="2" t="inlineStr">
        <is>
          <t>F993</t>
        </is>
      </c>
      <c r="B994" s="2" t="inlineStr">
        <is>
          <t>market_data</t>
        </is>
      </c>
      <c r="C994" s="2" t="inlineStr">
        <is>
          <t>instrument_term</t>
        </is>
      </c>
      <c r="D994" s="3" t="inlineStr">
        <is>
          <t>Instrument term: term (rate type, base rate, maturity, call, listing, ISIN, denomination, settlement, holders, transfer); value</t>
        </is>
      </c>
      <c r="E994" s="2" t="n"/>
      <c r="F994" s="2" t="n"/>
      <c r="G994" s="2" t="n"/>
      <c r="H994" s="3" t="inlineStr">
        <is>
          <t>term: call; value: after 48 months at 100.00% of nominal plus 10% of the annual coupon</t>
        </is>
      </c>
      <c r="I994" s="2" t="inlineStr">
        <is>
          <t>S4</t>
        </is>
      </c>
      <c r="J994" s="2" t="n">
        <v>1</v>
      </c>
      <c r="K994" s="3" t="inlineStr">
        <is>
          <t>48 Monaten zu 100,00% des Nennbetrages + 10% des jährlichen Coupons</t>
        </is>
      </c>
      <c r="L994" s="2" t="inlineStr">
        <is>
          <t>rep</t>
        </is>
      </c>
      <c r="M994" s="2" t="inlineStr">
        <is>
          <t>demo reviewer</t>
        </is>
      </c>
      <c r="N994" s="2" t="n"/>
      <c r="O994" s="3" t="inlineStr">
        <is>
          <t>https://vanillabonds.com/dossier-data/pdf/katjes/katjes-bond-2023-2028-terms.pdf#page=1</t>
        </is>
      </c>
      <c r="P994" s="3" t="inlineStr">
        <is>
          <t>https://vanillabonds.com/dossier.html?c=katjes&amp;viewer=1&amp;item=F993</t>
        </is>
      </c>
      <c r="Q994" s="2" t="inlineStr"/>
    </row>
    <row r="995">
      <c r="A995" s="2" t="inlineStr">
        <is>
          <t>F994</t>
        </is>
      </c>
      <c r="B995" s="2" t="inlineStr">
        <is>
          <t>market_data</t>
        </is>
      </c>
      <c r="C995" s="2" t="inlineStr">
        <is>
          <t>instrument_term</t>
        </is>
      </c>
      <c r="D995" s="3" t="inlineStr">
        <is>
          <t>Instrument term: term (rate type, base rate, maturity, call, listing, ISIN, denomination, settlement, holders, transfer); value</t>
        </is>
      </c>
      <c r="E995" s="2" t="n"/>
      <c r="F995" s="2" t="n"/>
      <c r="G995" s="2" t="n"/>
      <c r="H995" s="3" t="inlineStr">
        <is>
          <t>term: call; value: after 54 months at 100.00% of nominal plus 5% of the annual coupon</t>
        </is>
      </c>
      <c r="I995" s="2" t="inlineStr">
        <is>
          <t>S4</t>
        </is>
      </c>
      <c r="J995" s="2" t="n">
        <v>1</v>
      </c>
      <c r="K995" s="3" t="inlineStr">
        <is>
          <t>54 Monaten zu 100,00% des Nennbetrages + 5% des jährlichen Coupons</t>
        </is>
      </c>
      <c r="L995" s="2" t="inlineStr">
        <is>
          <t>rep</t>
        </is>
      </c>
      <c r="M995" s="2" t="inlineStr">
        <is>
          <t>demo reviewer</t>
        </is>
      </c>
      <c r="N995" s="2" t="n"/>
      <c r="O995" s="3" t="inlineStr">
        <is>
          <t>https://vanillabonds.com/dossier-data/pdf/katjes/katjes-bond-2023-2028-terms.pdf#page=1</t>
        </is>
      </c>
      <c r="P995" s="3" t="inlineStr">
        <is>
          <t>https://vanillabonds.com/dossier.html?c=katjes&amp;viewer=1&amp;item=F994</t>
        </is>
      </c>
      <c r="Q995" s="2" t="inlineStr"/>
    </row>
    <row r="996">
      <c r="A996" s="2" t="inlineStr">
        <is>
          <t>F995</t>
        </is>
      </c>
      <c r="B996" s="2" t="inlineStr">
        <is>
          <t>market_data</t>
        </is>
      </c>
      <c r="C996" s="2" t="inlineStr">
        <is>
          <t>instrument_term</t>
        </is>
      </c>
      <c r="D996" s="3" t="inlineStr">
        <is>
          <t>Instrument term: term (rate type, base rate, maturity, call, listing, ISIN, denomination, settlement, holders, transfer); value</t>
        </is>
      </c>
      <c r="E996" s="2" t="n"/>
      <c r="F996" s="2" t="n"/>
      <c r="G996" s="2" t="n"/>
      <c r="H996" s="3" t="inlineStr">
        <is>
          <t>term: mandatory redemption; value: if the outstanding nominal including taps falls below 40.00% of the initial issue amount excluding taps, the issuer must redeem all remaining bonds</t>
        </is>
      </c>
      <c r="I996" s="2" t="inlineStr">
        <is>
          <t>S4</t>
        </is>
      </c>
      <c r="J996" s="2" t="n">
        <v>1</v>
      </c>
      <c r="K996" s="3" t="inlineStr">
        <is>
          <t>Sollte der Gesamtnennbetrag der ausstehenden Schuldverschreibungen (einschließlich des Betrags eventueller Aufstockungen) weniger als 40,00% des anfänglichen Emissionsbetrages</t>
        </is>
      </c>
      <c r="L996" s="2" t="inlineStr">
        <is>
          <t>rep</t>
        </is>
      </c>
      <c r="M996" s="2" t="inlineStr">
        <is>
          <t>demo reviewer</t>
        </is>
      </c>
      <c r="N996" s="2" t="n"/>
      <c r="O996" s="3" t="inlineStr">
        <is>
          <t>https://vanillabonds.com/dossier-data/pdf/katjes/katjes-bond-2023-2028-terms.pdf#page=1</t>
        </is>
      </c>
      <c r="P996" s="3" t="inlineStr">
        <is>
          <t>https://vanillabonds.com/dossier.html?c=katjes&amp;viewer=1&amp;item=F995</t>
        </is>
      </c>
      <c r="Q996" s="2" t="inlineStr"/>
    </row>
    <row r="997">
      <c r="A997" s="2" t="inlineStr">
        <is>
          <t>F996</t>
        </is>
      </c>
      <c r="B997" s="2" t="inlineStr">
        <is>
          <t>market_data</t>
        </is>
      </c>
      <c r="C997" s="2" t="inlineStr">
        <is>
          <t>instrument_term</t>
        </is>
      </c>
      <c r="D997" s="3" t="inlineStr">
        <is>
          <t>Instrument term: term (rate type, base rate, maturity, call, listing, ISIN, denomination, settlement, holders, transfer); value</t>
        </is>
      </c>
      <c r="E997" s="2" t="n"/>
      <c r="F997" s="2" t="n"/>
      <c r="G997" s="2" t="n"/>
      <c r="H997" s="3" t="inlineStr">
        <is>
          <t>term: clean-up call; value: if more than 90.0% of the outstanding bonds were repurchased under the change-of-control put, the issuer may redeem the remainder at 101.0% of nominal plus accrued unpaid interest</t>
        </is>
      </c>
      <c r="I997" s="2" t="inlineStr">
        <is>
          <t>S4</t>
        </is>
      </c>
      <c r="J997" s="2" t="n">
        <v>1</v>
      </c>
      <c r="K997" s="3" t="inlineStr">
        <is>
          <t>Wenn Schuldverschreibungen, die mehr als 90,0% der ausstehenden Schuldverschreibungen ausmachen, zurückgekauft wurden, weil die Anleihegläubiger</t>
        </is>
      </c>
      <c r="L997" s="2" t="inlineStr">
        <is>
          <t>rep</t>
        </is>
      </c>
      <c r="M997" s="2" t="inlineStr">
        <is>
          <t>demo reviewer</t>
        </is>
      </c>
      <c r="N997" s="2" t="n"/>
      <c r="O997" s="3" t="inlineStr">
        <is>
          <t>https://vanillabonds.com/dossier-data/pdf/katjes/katjes-bond-2023-2028-terms.pdf#page=1</t>
        </is>
      </c>
      <c r="P997" s="3" t="inlineStr">
        <is>
          <t>https://vanillabonds.com/dossier.html?c=katjes&amp;viewer=1&amp;item=F996</t>
        </is>
      </c>
      <c r="Q997" s="2" t="inlineStr"/>
    </row>
    <row r="998">
      <c r="A998" s="2" t="inlineStr">
        <is>
          <t>F997</t>
        </is>
      </c>
      <c r="B998" s="2" t="inlineStr">
        <is>
          <t>market_data</t>
        </is>
      </c>
      <c r="C998" s="2" t="inlineStr">
        <is>
          <t>instrument_term</t>
        </is>
      </c>
      <c r="D998" s="3" t="inlineStr">
        <is>
          <t>Instrument term: term (rate type, base rate, maturity, call, listing, ISIN, denomination, settlement, holders, transfer); value</t>
        </is>
      </c>
      <c r="E998" s="2" t="n"/>
      <c r="F998" s="2" t="n"/>
      <c r="G998" s="2" t="n"/>
      <c r="H998" s="3" t="inlineStr">
        <is>
          <t>term: prospectus; value: a securities prospectus (Wertpapierprospekt) defines the Make Whole Amount and the detailed use of proceeds</t>
        </is>
      </c>
      <c r="I998" s="2" t="inlineStr">
        <is>
          <t>S4</t>
        </is>
      </c>
      <c r="J998" s="2" t="n">
        <v>1</v>
      </c>
      <c r="K998" s="3" t="inlineStr">
        <is>
          <t>Emissionserlöses, vgl. dazu den Wertpapierprospekt)</t>
        </is>
      </c>
      <c r="L998" s="2" t="inlineStr">
        <is>
          <t>rep</t>
        </is>
      </c>
      <c r="M998" s="2" t="inlineStr">
        <is>
          <t>demo reviewer</t>
        </is>
      </c>
      <c r="N998" s="2" t="n"/>
      <c r="O998" s="3" t="inlineStr">
        <is>
          <t>https://vanillabonds.com/dossier-data/pdf/katjes/katjes-bond-2023-2028-terms.pdf#page=1</t>
        </is>
      </c>
      <c r="P998" s="3" t="inlineStr">
        <is>
          <t>https://vanillabonds.com/dossier.html?c=katjes&amp;viewer=1&amp;item=F997</t>
        </is>
      </c>
      <c r="Q998" s="2" t="inlineStr"/>
    </row>
    <row r="999">
      <c r="A999" s="2" t="inlineStr">
        <is>
          <t>F998</t>
        </is>
      </c>
      <c r="B999" s="2" t="inlineStr">
        <is>
          <t>market_data</t>
        </is>
      </c>
      <c r="C999" s="2" t="inlineStr">
        <is>
          <t>instrument_term</t>
        </is>
      </c>
      <c r="D999" s="3" t="inlineStr">
        <is>
          <t>Instrument term: term (rate type, base rate, maturity, call, listing, ISIN, denomination, settlement, holders, transfer); value</t>
        </is>
      </c>
      <c r="E999" s="2" t="n"/>
      <c r="F999" s="2" t="n"/>
      <c r="G999" s="2" t="n"/>
      <c r="H999" s="3" t="inlineStr">
        <is>
          <t>term: trustee; value: Nordic Trustee AS, acting as representative of all bondholders; its actions bind all bondholders</t>
        </is>
      </c>
      <c r="I999" s="2" t="inlineStr">
        <is>
          <t>S4</t>
        </is>
      </c>
      <c r="J999" s="2" t="n">
        <v>2</v>
      </c>
      <c r="K999" s="2" t="inlineStr">
        <is>
          <t>Nordic Trustee AS</t>
        </is>
      </c>
      <c r="L999" s="2" t="inlineStr">
        <is>
          <t>rep</t>
        </is>
      </c>
      <c r="M999" s="2" t="inlineStr">
        <is>
          <t>demo reviewer</t>
        </is>
      </c>
      <c r="N999" s="2" t="n"/>
      <c r="O999" s="3" t="inlineStr">
        <is>
          <t>https://vanillabonds.com/dossier-data/pdf/katjes/katjes-bond-2023-2028-terms.pdf#page=2</t>
        </is>
      </c>
      <c r="P999" s="3" t="inlineStr">
        <is>
          <t>https://vanillabonds.com/dossier.html?c=katjes&amp;viewer=1&amp;item=F998</t>
        </is>
      </c>
      <c r="Q999" s="2" t="inlineStr"/>
    </row>
    <row r="1000">
      <c r="A1000" s="2" t="inlineStr">
        <is>
          <t>F999</t>
        </is>
      </c>
      <c r="B1000" s="2" t="inlineStr">
        <is>
          <t>market_data</t>
        </is>
      </c>
      <c r="C1000" s="2" t="inlineStr">
        <is>
          <t>instrument_term</t>
        </is>
      </c>
      <c r="D1000" s="3" t="inlineStr">
        <is>
          <t>Instrument term: term (rate type, base rate, maturity, call, listing, ISIN, denomination, settlement, holders, transfer); value</t>
        </is>
      </c>
      <c r="E1000" s="2" t="n"/>
      <c r="F1000" s="2" t="n"/>
      <c r="G1000" s="2" t="n"/>
      <c r="H1000" s="3" t="inlineStr">
        <is>
          <t>term: governing law and jurisdiction; value: Norwegian law, venue Norway</t>
        </is>
      </c>
      <c r="I1000" s="2" t="inlineStr">
        <is>
          <t>S4</t>
        </is>
      </c>
      <c r="J1000" s="2" t="n">
        <v>2</v>
      </c>
      <c r="K1000" s="3" t="inlineStr">
        <is>
          <t>Norwegisches Recht. Gerichtsstand für Klagen ist Norwegen.</t>
        </is>
      </c>
      <c r="L1000" s="2" t="inlineStr">
        <is>
          <t>rep</t>
        </is>
      </c>
      <c r="M1000" s="2" t="inlineStr">
        <is>
          <t>demo reviewer</t>
        </is>
      </c>
      <c r="N1000" s="2" t="n"/>
      <c r="O1000" s="3" t="inlineStr">
        <is>
          <t>https://vanillabonds.com/dossier-data/pdf/katjes/katjes-bond-2023-2028-terms.pdf#page=2</t>
        </is>
      </c>
      <c r="P1000" s="3" t="inlineStr">
        <is>
          <t>https://vanillabonds.com/dossier.html?c=katjes&amp;viewer=1&amp;item=F999</t>
        </is>
      </c>
      <c r="Q1000" s="2" t="inlineStr"/>
    </row>
    <row r="1001">
      <c r="A1001" s="2" t="inlineStr">
        <is>
          <t>F1000</t>
        </is>
      </c>
      <c r="B1001" s="2" t="inlineStr">
        <is>
          <t>market_data</t>
        </is>
      </c>
      <c r="C1001" s="2" t="inlineStr">
        <is>
          <t>instrument_term</t>
        </is>
      </c>
      <c r="D1001" s="3" t="inlineStr">
        <is>
          <t>Instrument term: term (rate type, base rate, maturity, call, listing, ISIN, denomination, settlement, holders, transfer); value</t>
        </is>
      </c>
      <c r="E1001" s="2" t="n"/>
      <c r="F1001" s="2" t="n"/>
      <c r="G1001" s="2" t="n"/>
      <c r="H1001" s="3" t="inlineStr">
        <is>
          <t>term: amendments; value: bondholder meeting resolutions bind all holders; quorum 50% of voting bonds; 2/3 majority of votes cast for certain material measures</t>
        </is>
      </c>
      <c r="I1001" s="2" t="inlineStr">
        <is>
          <t>S4</t>
        </is>
      </c>
      <c r="J1001" s="2" t="n">
        <v>2</v>
      </c>
      <c r="K1001" s="3" t="inlineStr">
        <is>
          <t>Quorum von 50% der stimmberechtigten Schuldverschreibungen notwendig sowie für bestimmte wesentliche Maßnahmen eine Mehrheit von 2/3 der abstimmenden</t>
        </is>
      </c>
      <c r="L1001" s="2" t="inlineStr">
        <is>
          <t>rep</t>
        </is>
      </c>
      <c r="M1001" s="2" t="inlineStr">
        <is>
          <t>demo reviewer</t>
        </is>
      </c>
      <c r="N1001" s="2" t="n"/>
      <c r="O1001" s="3" t="inlineStr">
        <is>
          <t>https://vanillabonds.com/dossier-data/pdf/katjes/katjes-bond-2023-2028-terms.pdf#page=2</t>
        </is>
      </c>
      <c r="P1001" s="3" t="inlineStr">
        <is>
          <t>https://vanillabonds.com/dossier.html?c=katjes&amp;viewer=1&amp;item=F1000</t>
        </is>
      </c>
      <c r="Q1001" s="2" t="inlineStr"/>
    </row>
    <row r="1002">
      <c r="A1002" s="2" t="inlineStr">
        <is>
          <t>F1001</t>
        </is>
      </c>
      <c r="B1002" s="2" t="inlineStr">
        <is>
          <t>market_data</t>
        </is>
      </c>
      <c r="C1002" s="2" t="inlineStr">
        <is>
          <t>instrument_term</t>
        </is>
      </c>
      <c r="D1002" s="3" t="inlineStr">
        <is>
          <t>Instrument term: term (rate type, base rate, maturity, call, listing, ISIN, denomination, settlement, holders, transfer); value</t>
        </is>
      </c>
      <c r="E1002" s="2" t="n"/>
      <c r="F1002" s="2" t="n"/>
      <c r="G1002" s="2" t="n"/>
      <c r="H1002" s="3" t="inlineStr">
        <is>
          <t>term: amendments (second meeting); value: if the quorum is missed a second meeting votes without quorum; voting may also be by written procedure</t>
        </is>
      </c>
      <c r="I1002" s="2" t="inlineStr">
        <is>
          <t>S4</t>
        </is>
      </c>
      <c r="J1002" s="2" t="n">
        <v>2</v>
      </c>
      <c r="K1002" s="3" t="inlineStr">
        <is>
          <t>Wenn das Quorum verfehlt wird, kann in einer zweiten Versammlung ohne ein Quorum abgestimmt werden. Abstimmungen können auch im schriftlichen Verfahren erfolgen.</t>
        </is>
      </c>
      <c r="L1002" s="2" t="inlineStr">
        <is>
          <t>rep</t>
        </is>
      </c>
      <c r="M1002" s="2" t="inlineStr">
        <is>
          <t>demo reviewer</t>
        </is>
      </c>
      <c r="N1002" s="2" t="n"/>
      <c r="O1002" s="3" t="inlineStr">
        <is>
          <t>https://vanillabonds.com/dossier-data/pdf/katjes/katjes-bond-2023-2028-terms.pdf#page=2</t>
        </is>
      </c>
      <c r="P1002" s="3" t="inlineStr">
        <is>
          <t>https://vanillabonds.com/dossier.html?c=katjes&amp;viewer=1&amp;item=F1001</t>
        </is>
      </c>
      <c r="Q1002" s="2" t="inlineStr"/>
    </row>
    <row r="1003">
      <c r="A1003" s="2" t="inlineStr">
        <is>
          <t>F1002</t>
        </is>
      </c>
      <c r="B1003" s="2" t="inlineStr">
        <is>
          <t>identity</t>
        </is>
      </c>
      <c r="C1003" s="2" t="inlineStr">
        <is>
          <t>legal_name</t>
        </is>
      </c>
      <c r="D1003" s="2" t="inlineStr">
        <is>
          <t>Legal name</t>
        </is>
      </c>
      <c r="E1003" s="2" t="n"/>
      <c r="F1003" s="2" t="n"/>
      <c r="G1003" s="2" t="n"/>
      <c r="H1003" s="2" t="inlineStr">
        <is>
          <t>Katjes International GmbH &amp; Co. KG</t>
        </is>
      </c>
      <c r="I1003" s="2" t="inlineStr">
        <is>
          <t>S5</t>
        </is>
      </c>
      <c r="J1003" s="2" t="n">
        <v>49</v>
      </c>
      <c r="K1003" s="3" t="inlineStr">
        <is>
          <t>Emmerich, September 8, 2026 Katjes International GmbH &amp; Co. KG The Management</t>
        </is>
      </c>
      <c r="L1003" s="2" t="inlineStr">
        <is>
          <t>ok</t>
        </is>
      </c>
      <c r="M1003" s="2" t="inlineStr">
        <is>
          <t>demo reviewer</t>
        </is>
      </c>
      <c r="N1003" s="2" t="n"/>
      <c r="O1003" s="3" t="inlineStr">
        <is>
          <t>https://vanillabonds.com/dossier-data/pdf/katjes/katjes-h1-2026-interim-report.pdf#page=49</t>
        </is>
      </c>
      <c r="P1003" s="3" t="inlineStr">
        <is>
          <t>https://vanillabonds.com/dossier.html?c=katjes&amp;viewer=1&amp;item=F1002</t>
        </is>
      </c>
      <c r="Q1003" s="2" t="inlineStr">
        <is>
          <t>no</t>
        </is>
      </c>
    </row>
    <row r="1004">
      <c r="A1004" s="2" t="inlineStr">
        <is>
          <t>F1003</t>
        </is>
      </c>
      <c r="B1004" s="2" t="inlineStr">
        <is>
          <t>identity</t>
        </is>
      </c>
      <c r="C1004" s="2" t="inlineStr">
        <is>
          <t>legal_form</t>
        </is>
      </c>
      <c r="D1004" s="2" t="inlineStr">
        <is>
          <t>Legal form</t>
        </is>
      </c>
      <c r="E1004" s="2" t="n"/>
      <c r="F1004" s="2" t="n"/>
      <c r="G1004" s="2" t="n"/>
      <c r="H1004" s="2" t="inlineStr">
        <is>
          <t>GmbH &amp; Co. KG (Kommanditgesellschaft)</t>
        </is>
      </c>
      <c r="I1004" s="2" t="inlineStr">
        <is>
          <t>S5</t>
        </is>
      </c>
      <c r="J1004" s="2" t="n">
        <v>36</v>
      </c>
      <c r="K1004" s="3" t="inlineStr">
        <is>
          <t>limited partnership (Kommanditgesellschaft) established under the laws of the Federal Republic of Germany.</t>
        </is>
      </c>
      <c r="L1004" s="2" t="inlineStr">
        <is>
          <t>ok</t>
        </is>
      </c>
      <c r="M1004" s="2" t="inlineStr">
        <is>
          <t>demo reviewer</t>
        </is>
      </c>
      <c r="N1004" s="2" t="n"/>
      <c r="O1004" s="3" t="inlineStr">
        <is>
          <t>https://vanillabonds.com/dossier-data/pdf/katjes/katjes-h1-2026-interim-report.pdf#page=36</t>
        </is>
      </c>
      <c r="P1004" s="3" t="inlineStr">
        <is>
          <t>https://vanillabonds.com/dossier.html?c=katjes&amp;viewer=1&amp;item=F1003</t>
        </is>
      </c>
      <c r="Q1004" s="2" t="inlineStr">
        <is>
          <t>no</t>
        </is>
      </c>
    </row>
    <row r="1005">
      <c r="A1005" s="2" t="inlineStr">
        <is>
          <t>F1004</t>
        </is>
      </c>
      <c r="B1005" s="2" t="inlineStr">
        <is>
          <t>identity</t>
        </is>
      </c>
      <c r="C1005" s="2" t="inlineStr">
        <is>
          <t>registry</t>
        </is>
      </c>
      <c r="D1005" s="2" t="inlineStr">
        <is>
          <t>Commercial register / registration no.</t>
        </is>
      </c>
      <c r="E1005" s="2" t="n"/>
      <c r="F1005" s="2" t="n"/>
      <c r="G1005" s="2" t="n"/>
      <c r="H1005" s="2" t="inlineStr">
        <is>
          <t>Amtsgericht Kleve HRA 1076</t>
        </is>
      </c>
      <c r="I1005" s="2" t="inlineStr">
        <is>
          <t>S5</t>
        </is>
      </c>
      <c r="J1005" s="2" t="n">
        <v>36</v>
      </c>
      <c r="K1005" s="3" t="inlineStr">
        <is>
          <t>Commercial Register of the Kleve Local Court (Amtsgericht) under commercial register number HRA 1076.</t>
        </is>
      </c>
      <c r="L1005" s="2" t="inlineStr">
        <is>
          <t>ok</t>
        </is>
      </c>
      <c r="M1005" s="2" t="inlineStr">
        <is>
          <t>demo reviewer</t>
        </is>
      </c>
      <c r="N1005" s="2" t="n"/>
      <c r="O1005" s="3" t="inlineStr">
        <is>
          <t>https://vanillabonds.com/dossier-data/pdf/katjes/katjes-h1-2026-interim-report.pdf#page=36</t>
        </is>
      </c>
      <c r="P1005" s="3" t="inlineStr">
        <is>
          <t>https://vanillabonds.com/dossier.html?c=katjes&amp;viewer=1&amp;item=F1004</t>
        </is>
      </c>
      <c r="Q1005" s="2" t="inlineStr">
        <is>
          <t>no</t>
        </is>
      </c>
    </row>
    <row r="1006">
      <c r="A1006" s="2" t="inlineStr">
        <is>
          <t>F1005</t>
        </is>
      </c>
      <c r="B1006" s="2" t="inlineStr">
        <is>
          <t>identity</t>
        </is>
      </c>
      <c r="C1006" s="2" t="inlineStr">
        <is>
          <t>founded</t>
        </is>
      </c>
      <c r="D1006" s="2" t="inlineStr">
        <is>
          <t>Founded</t>
        </is>
      </c>
      <c r="E1006" s="2" t="n"/>
      <c r="F1006" s="2" t="n"/>
      <c r="G1006" s="2" t="n"/>
      <c r="H1006" s="3" t="inlineStr">
        <is>
          <t>2011, spin-off from predecessor companies</t>
        </is>
      </c>
      <c r="I1006" s="2" t="inlineStr">
        <is>
          <t>S5</t>
        </is>
      </c>
      <c r="J1006" s="2" t="n">
        <v>7</v>
      </c>
      <c r="K1006" s="3" t="inlineStr">
        <is>
          <t>Established in 2011 as a spin-off from predecessor companies,</t>
        </is>
      </c>
      <c r="L1006" s="2" t="inlineStr">
        <is>
          <t>ok</t>
        </is>
      </c>
      <c r="M1006" s="2" t="inlineStr">
        <is>
          <t>demo reviewer</t>
        </is>
      </c>
      <c r="N1006" s="2" t="n"/>
      <c r="O1006" s="3" t="inlineStr">
        <is>
          <t>https://vanillabonds.com/dossier-data/pdf/katjes/katjes-h1-2026-interim-report.pdf#page=7</t>
        </is>
      </c>
      <c r="P1006" s="3" t="inlineStr">
        <is>
          <t>https://vanillabonds.com/dossier.html?c=katjes&amp;viewer=1&amp;item=F1005</t>
        </is>
      </c>
      <c r="Q1006" s="2" t="inlineStr">
        <is>
          <t>no</t>
        </is>
      </c>
    </row>
    <row r="1007">
      <c r="A1007" s="2" t="inlineStr">
        <is>
          <t>F1006</t>
        </is>
      </c>
      <c r="B1007" s="2" t="inlineStr">
        <is>
          <t>identity</t>
        </is>
      </c>
      <c r="C1007" s="2" t="inlineStr">
        <is>
          <t>registered_office</t>
        </is>
      </c>
      <c r="D1007" s="2" t="inlineStr">
        <is>
          <t>Registered office</t>
        </is>
      </c>
      <c r="E1007" s="2" t="n"/>
      <c r="F1007" s="2" t="n"/>
      <c r="G1007" s="2" t="n"/>
      <c r="H1007" s="3" t="inlineStr">
        <is>
          <t>Emmerich am Rhein, Dechant-Sprünken-Str. 53-57, 46446</t>
        </is>
      </c>
      <c r="I1007" s="2" t="inlineStr">
        <is>
          <t>S5</t>
        </is>
      </c>
      <c r="J1007" s="2" t="n">
        <v>36</v>
      </c>
      <c r="K1007" s="3" t="inlineStr">
        <is>
          <t>office is Emmerich am Rhein. The business address is: Dechant-Sprünken-Str. 53-57 46446 Emmerich am Rhein, Germany.</t>
        </is>
      </c>
      <c r="L1007" s="2" t="inlineStr">
        <is>
          <t>ok</t>
        </is>
      </c>
      <c r="M1007" s="2" t="inlineStr">
        <is>
          <t>demo reviewer</t>
        </is>
      </c>
      <c r="N1007" s="2" t="n"/>
      <c r="O1007" s="3" t="inlineStr">
        <is>
          <t>https://vanillabonds.com/dossier-data/pdf/katjes/katjes-h1-2026-interim-report.pdf#page=36</t>
        </is>
      </c>
      <c r="P1007" s="3" t="inlineStr">
        <is>
          <t>https://vanillabonds.com/dossier.html?c=katjes&amp;viewer=1&amp;item=F1006</t>
        </is>
      </c>
      <c r="Q1007" s="2" t="inlineStr">
        <is>
          <t>no</t>
        </is>
      </c>
    </row>
    <row r="1008">
      <c r="A1008" s="2" t="inlineStr">
        <is>
          <t>F1007</t>
        </is>
      </c>
      <c r="B1008" s="2" t="inlineStr">
        <is>
          <t>identity</t>
        </is>
      </c>
      <c r="C1008" s="2" t="inlineStr">
        <is>
          <t>country</t>
        </is>
      </c>
      <c r="D1008" s="2" t="inlineStr">
        <is>
          <t>Country of incorporation (ISO-2)</t>
        </is>
      </c>
      <c r="E1008" s="2" t="n"/>
      <c r="F1008" s="2" t="n"/>
      <c r="G1008" s="2" t="n"/>
      <c r="H1008" s="2" t="inlineStr">
        <is>
          <t>DE</t>
        </is>
      </c>
      <c r="I1008" s="2" t="inlineStr">
        <is>
          <t>S5</t>
        </is>
      </c>
      <c r="J1008" s="2" t="n">
        <v>36</v>
      </c>
      <c r="K1008" s="3" t="inlineStr">
        <is>
          <t>established under the laws of the Federal Republic of Germany</t>
        </is>
      </c>
      <c r="L1008" s="2" t="inlineStr">
        <is>
          <t>ok</t>
        </is>
      </c>
      <c r="M1008" s="2" t="inlineStr">
        <is>
          <t>demo reviewer</t>
        </is>
      </c>
      <c r="N1008" s="2" t="n"/>
      <c r="O1008" s="3" t="inlineStr">
        <is>
          <t>https://vanillabonds.com/dossier-data/pdf/katjes/katjes-h1-2026-interim-report.pdf#page=36</t>
        </is>
      </c>
      <c r="P1008" s="3" t="inlineStr">
        <is>
          <t>https://vanillabonds.com/dossier.html?c=katjes&amp;viewer=1&amp;item=F1007</t>
        </is>
      </c>
      <c r="Q1008" s="2" t="inlineStr">
        <is>
          <t>no</t>
        </is>
      </c>
    </row>
    <row r="1009">
      <c r="A1009" s="2" t="inlineStr">
        <is>
          <t>F1008</t>
        </is>
      </c>
      <c r="B1009" s="2" t="inlineStr">
        <is>
          <t>identity</t>
        </is>
      </c>
      <c r="C1009" s="2" t="inlineStr">
        <is>
          <t>sector</t>
        </is>
      </c>
      <c r="D1009" s="2" t="inlineStr">
        <is>
          <t>Sector</t>
        </is>
      </c>
      <c r="E1009" s="2" t="n"/>
      <c r="F1009" s="2" t="n"/>
      <c r="G1009" s="2" t="n"/>
      <c r="H1009" s="3" t="inlineStr">
        <is>
          <t>Consumer goods brand holding: confectionery, body care, lifestyle</t>
        </is>
      </c>
      <c r="I1009" s="2" t="inlineStr">
        <is>
          <t>S5</t>
        </is>
      </c>
      <c r="J1009" s="2" t="n">
        <v>45</v>
      </c>
      <c r="K1009" s="3" t="inlineStr">
        <is>
          <t>with a focus on confectionery, personal care and body care, as well as lifestyle products.</t>
        </is>
      </c>
      <c r="L1009" s="2" t="inlineStr">
        <is>
          <t>ok</t>
        </is>
      </c>
      <c r="M1009" s="2" t="inlineStr">
        <is>
          <t>demo reviewer</t>
        </is>
      </c>
      <c r="N1009" s="2" t="n"/>
      <c r="O1009" s="3" t="inlineStr">
        <is>
          <t>https://vanillabonds.com/dossier-data/pdf/katjes/katjes-h1-2026-interim-report.pdf#page=45</t>
        </is>
      </c>
      <c r="P1009" s="3" t="inlineStr">
        <is>
          <t>https://vanillabonds.com/dossier.html?c=katjes&amp;viewer=1&amp;item=F1008</t>
        </is>
      </c>
      <c r="Q1009" s="2" t="inlineStr">
        <is>
          <t>no</t>
        </is>
      </c>
    </row>
    <row r="1010">
      <c r="A1010" s="2" t="inlineStr">
        <is>
          <t>F1009</t>
        </is>
      </c>
      <c r="B1010" s="2" t="inlineStr">
        <is>
          <t>identity</t>
        </is>
      </c>
      <c r="C1010" s="2" t="inlineStr">
        <is>
          <t>sites</t>
        </is>
      </c>
      <c r="D1010" s="2" t="inlineStr">
        <is>
          <t>Sites / countries of operation</t>
        </is>
      </c>
      <c r="E1010" s="2" t="n"/>
      <c r="F1010" s="2" t="n"/>
      <c r="G1010" s="2" t="n"/>
      <c r="H1010" s="3" t="inlineStr">
        <is>
          <t>DE, UK, IT, CH, NL, North America, AT, FR, ES</t>
        </is>
      </c>
      <c r="I1010" s="2" t="inlineStr">
        <is>
          <t>S5</t>
        </is>
      </c>
      <c r="J1010" s="2" t="n">
        <v>19</v>
      </c>
      <c r="K1010" s="3" t="inlineStr">
        <is>
          <t>its investments primarily in the markets of Germany, the United Kingdom, Italy, Switzerland, the Netherlands, North America, Austria, France and Spain.</t>
        </is>
      </c>
      <c r="L1010" s="2" t="inlineStr">
        <is>
          <t>ok</t>
        </is>
      </c>
      <c r="M1010" s="2" t="inlineStr">
        <is>
          <t>demo reviewer</t>
        </is>
      </c>
      <c r="N1010" s="2" t="n"/>
      <c r="O1010" s="3" t="inlineStr">
        <is>
          <t>https://vanillabonds.com/dossier-data/pdf/katjes/katjes-h1-2026-interim-report.pdf#page=19</t>
        </is>
      </c>
      <c r="P1010" s="3" t="inlineStr">
        <is>
          <t>https://vanillabonds.com/dossier.html?c=katjes&amp;viewer=1&amp;item=F1009</t>
        </is>
      </c>
      <c r="Q1010" s="2" t="inlineStr">
        <is>
          <t>no</t>
        </is>
      </c>
    </row>
    <row r="1011">
      <c r="A1011" s="2" t="inlineStr">
        <is>
          <t>F1010</t>
        </is>
      </c>
      <c r="B1011" s="2" t="inlineStr">
        <is>
          <t>identity</t>
        </is>
      </c>
      <c r="C1011" s="2" t="inlineStr">
        <is>
          <t>employees</t>
        </is>
      </c>
      <c r="D1011" s="2" t="inlineStr">
        <is>
          <t>Employees (FTE, period end)</t>
        </is>
      </c>
      <c r="E1011" s="2" t="inlineStr">
        <is>
          <t>H1-2025</t>
        </is>
      </c>
      <c r="F1011" s="2" t="n">
        <v>1118</v>
      </c>
      <c r="G1011" s="2" t="n"/>
      <c r="H1011" s="3" t="inlineStr">
        <is>
          <t>Average headcount in H1-2025 (not period-end FTE).</t>
        </is>
      </c>
      <c r="I1011" s="2" t="inlineStr">
        <is>
          <t>S5</t>
        </is>
      </c>
      <c r="J1011" s="2" t="n">
        <v>25</v>
      </c>
      <c r="K1011" s="3" t="inlineStr">
        <is>
          <t>In the first half of 2026, the Company employed an average of 1,787 employees (6M 2025: 1,118).</t>
        </is>
      </c>
      <c r="L1011" s="2" t="inlineStr">
        <is>
          <t>ok</t>
        </is>
      </c>
      <c r="M1011" s="2" t="inlineStr">
        <is>
          <t>demo reviewer</t>
        </is>
      </c>
      <c r="N1011" s="2" t="n"/>
      <c r="O1011" s="3" t="inlineStr">
        <is>
          <t>https://vanillabonds.com/dossier-data/pdf/katjes/katjes-h1-2026-interim-report.pdf#page=25</t>
        </is>
      </c>
      <c r="P1011" s="3" t="inlineStr">
        <is>
          <t>https://vanillabonds.com/dossier.html?c=katjes&amp;viewer=1&amp;item=F1010</t>
        </is>
      </c>
      <c r="Q1011" s="2" t="inlineStr"/>
    </row>
    <row r="1012">
      <c r="A1012" s="2" t="inlineStr">
        <is>
          <t>F1011</t>
        </is>
      </c>
      <c r="B1012" s="2" t="inlineStr">
        <is>
          <t>identity</t>
        </is>
      </c>
      <c r="C1012" s="2" t="inlineStr">
        <is>
          <t>employees</t>
        </is>
      </c>
      <c r="D1012" s="2" t="inlineStr">
        <is>
          <t>Employees (FTE, period end)</t>
        </is>
      </c>
      <c r="E1012" s="2" t="inlineStr">
        <is>
          <t>H1-2026</t>
        </is>
      </c>
      <c r="F1012" s="2" t="n">
        <v>1787</v>
      </c>
      <c r="G1012" s="2" t="n"/>
      <c r="H1012" s="3" t="inlineStr">
        <is>
          <t>Average headcount in H1-2026 (not period-end FTE); 63% Germany, 21% Italy, 11% UK.</t>
        </is>
      </c>
      <c r="I1012" s="2" t="inlineStr">
        <is>
          <t>S5</t>
        </is>
      </c>
      <c r="J1012" s="2" t="n">
        <v>25</v>
      </c>
      <c r="K1012" s="3" t="inlineStr">
        <is>
          <t>In the first half of 2026, the Company employed an average of 1,787 employees (6M 2025: 1,118).</t>
        </is>
      </c>
      <c r="L1012" s="2" t="inlineStr">
        <is>
          <t>ok</t>
        </is>
      </c>
      <c r="M1012" s="2" t="inlineStr">
        <is>
          <t>demo reviewer</t>
        </is>
      </c>
      <c r="N1012" s="2" t="n"/>
      <c r="O1012" s="3" t="inlineStr">
        <is>
          <t>https://vanillabonds.com/dossier-data/pdf/katjes/katjes-h1-2026-interim-report.pdf#page=25</t>
        </is>
      </c>
      <c r="P1012" s="3" t="inlineStr">
        <is>
          <t>https://vanillabonds.com/dossier.html?c=katjes&amp;viewer=1&amp;item=F1011</t>
        </is>
      </c>
      <c r="Q1012" s="2" t="inlineStr"/>
    </row>
    <row r="1013">
      <c r="A1013" s="2" t="inlineStr">
        <is>
          <t>F1012</t>
        </is>
      </c>
      <c r="B1013" s="2" t="inlineStr">
        <is>
          <t>identity</t>
        </is>
      </c>
      <c r="C1013" s="2" t="inlineStr">
        <is>
          <t>ownership</t>
        </is>
      </c>
      <c r="D1013" s="2" t="inlineStr">
        <is>
          <t>Ownership / UBO</t>
        </is>
      </c>
      <c r="E1013" s="2" t="n"/>
      <c r="F1013" s="2" t="n"/>
      <c r="G1013" s="2" t="n"/>
      <c r="H1013" s="3" t="inlineStr">
        <is>
          <t>Fassin and Bachmüller via GP Xaver Fassin International GmbH</t>
        </is>
      </c>
      <c r="I1013" s="2" t="inlineStr">
        <is>
          <t>S5</t>
        </is>
      </c>
      <c r="J1013" s="2" t="n">
        <v>48</v>
      </c>
      <c r="K1013" s="3" t="inlineStr">
        <is>
          <t>ver Fassin International GmbH, whose managing directors and shareholders are Mr. Bastian Fassin and Mr. Tobias Bachmüller.</t>
        </is>
      </c>
      <c r="L1013" s="2" t="inlineStr">
        <is>
          <t>ok</t>
        </is>
      </c>
      <c r="M1013" s="2" t="inlineStr">
        <is>
          <t>demo reviewer</t>
        </is>
      </c>
      <c r="N1013" s="2" t="n"/>
      <c r="O1013" s="3" t="inlineStr">
        <is>
          <t>https://vanillabonds.com/dossier-data/pdf/katjes/katjes-h1-2026-interim-report.pdf#page=48</t>
        </is>
      </c>
      <c r="P1013" s="3" t="inlineStr">
        <is>
          <t>https://vanillabonds.com/dossier.html?c=katjes&amp;viewer=1&amp;item=F1012</t>
        </is>
      </c>
      <c r="Q1013" s="2" t="inlineStr">
        <is>
          <t>no</t>
        </is>
      </c>
    </row>
    <row r="1014">
      <c r="A1014" s="2" t="inlineStr">
        <is>
          <t>F1013</t>
        </is>
      </c>
      <c r="B1014" s="2" t="inlineStr">
        <is>
          <t>identity</t>
        </is>
      </c>
      <c r="C1014" s="2" t="inlineStr">
        <is>
          <t>audit_opinion</t>
        </is>
      </c>
      <c r="D1014" s="2" t="inlineStr">
        <is>
          <t>Audit opinion</t>
        </is>
      </c>
      <c r="E1014" s="2" t="inlineStr">
        <is>
          <t>H1-2026</t>
        </is>
      </c>
      <c r="F1014" s="2" t="n"/>
      <c r="G1014" s="2" t="n"/>
      <c r="H1014" s="3" t="inlineStr">
        <is>
          <t>Interim statements neither audited nor reviewed by the auditor.</t>
        </is>
      </c>
      <c r="I1014" s="2" t="inlineStr">
        <is>
          <t>S5</t>
        </is>
      </c>
      <c r="J1014" s="2" t="n">
        <v>37</v>
      </c>
      <c r="K1014" s="3" t="inlineStr">
        <is>
          <t>These interim consolidated financial statements have neither been audited nor reviewed by the auditor.</t>
        </is>
      </c>
      <c r="L1014" s="2" t="inlineStr">
        <is>
          <t>ok</t>
        </is>
      </c>
      <c r="M1014" s="2" t="inlineStr">
        <is>
          <t>demo reviewer</t>
        </is>
      </c>
      <c r="N1014" s="2" t="n"/>
      <c r="O1014" s="3" t="inlineStr">
        <is>
          <t>https://vanillabonds.com/dossier-data/pdf/katjes/katjes-h1-2026-interim-report.pdf#page=37</t>
        </is>
      </c>
      <c r="P1014" s="3" t="inlineStr">
        <is>
          <t>https://vanillabonds.com/dossier.html?c=katjes&amp;viewer=1&amp;item=F1013</t>
        </is>
      </c>
      <c r="Q1014" s="2" t="inlineStr"/>
    </row>
    <row r="1015">
      <c r="A1015" s="2" t="inlineStr">
        <is>
          <t>F1014</t>
        </is>
      </c>
      <c r="B1015" s="2" t="inlineStr">
        <is>
          <t>identity</t>
        </is>
      </c>
      <c r="C1015" s="2" t="inlineStr">
        <is>
          <t>accounting_standard</t>
        </is>
      </c>
      <c r="D1015" s="2" t="inlineStr">
        <is>
          <t>Accounting standard</t>
        </is>
      </c>
      <c r="E1015" s="2" t="n"/>
      <c r="F1015" s="2" t="n"/>
      <c r="G1015" s="2" t="n"/>
      <c r="H1015" s="2" t="inlineStr">
        <is>
          <t>IFRS (IAS 34 for the interim statements)</t>
        </is>
      </c>
      <c r="I1015" s="2" t="inlineStr">
        <is>
          <t>S5</t>
        </is>
      </c>
      <c r="J1015" s="2" t="n">
        <v>37</v>
      </c>
      <c r="K1015" s="3" t="inlineStr">
        <is>
          <t>have been prepared in accordance with IAS 34 Interim Financial Reporting.</t>
        </is>
      </c>
      <c r="L1015" s="2" t="inlineStr">
        <is>
          <t>ok</t>
        </is>
      </c>
      <c r="M1015" s="2" t="inlineStr">
        <is>
          <t>demo reviewer</t>
        </is>
      </c>
      <c r="N1015" s="2" t="n"/>
      <c r="O1015" s="3" t="inlineStr">
        <is>
          <t>https://vanillabonds.com/dossier-data/pdf/katjes/katjes-h1-2026-interim-report.pdf#page=37</t>
        </is>
      </c>
      <c r="P1015" s="3" t="inlineStr">
        <is>
          <t>https://vanillabonds.com/dossier.html?c=katjes&amp;viewer=1&amp;item=F1014</t>
        </is>
      </c>
      <c r="Q1015" s="2" t="inlineStr">
        <is>
          <t>no</t>
        </is>
      </c>
    </row>
    <row r="1016">
      <c r="A1016" s="2" t="inlineStr">
        <is>
          <t>F1015</t>
        </is>
      </c>
      <c r="B1016" s="2" t="inlineStr">
        <is>
          <t>identity</t>
        </is>
      </c>
      <c r="C1016" s="2" t="inlineStr">
        <is>
          <t>fiscal_year_end</t>
        </is>
      </c>
      <c r="D1016" s="2" t="inlineStr">
        <is>
          <t>Fiscal year end</t>
        </is>
      </c>
      <c r="E1016" s="2" t="n"/>
      <c r="F1016" s="2" t="n"/>
      <c r="G1016" s="2" t="n"/>
      <c r="H1016" s="2" t="inlineStr">
        <is>
          <t>31 December</t>
        </is>
      </c>
      <c r="I1016" s="2" t="inlineStr">
        <is>
          <t>S5</t>
        </is>
      </c>
      <c r="J1016" s="2" t="n">
        <v>37</v>
      </c>
      <c r="K1016" s="3" t="inlineStr">
        <is>
          <t>the consolidated financial statements as at December 31, 2025.</t>
        </is>
      </c>
      <c r="L1016" s="2" t="inlineStr">
        <is>
          <t>ok</t>
        </is>
      </c>
      <c r="M1016" s="2" t="inlineStr">
        <is>
          <t>demo reviewer</t>
        </is>
      </c>
      <c r="N1016" s="2" t="n"/>
      <c r="O1016" s="3" t="inlineStr">
        <is>
          <t>https://vanillabonds.com/dossier-data/pdf/katjes/katjes-h1-2026-interim-report.pdf#page=37</t>
        </is>
      </c>
      <c r="P1016" s="3" t="inlineStr">
        <is>
          <t>https://vanillabonds.com/dossier.html?c=katjes&amp;viewer=1&amp;item=F1015</t>
        </is>
      </c>
      <c r="Q1016" s="2" t="inlineStr">
        <is>
          <t>no</t>
        </is>
      </c>
    </row>
    <row r="1017">
      <c r="A1017" s="2" t="inlineStr">
        <is>
          <t>F1016</t>
        </is>
      </c>
      <c r="B1017" s="2" t="inlineStr">
        <is>
          <t>business</t>
        </is>
      </c>
      <c r="C1017" s="2" t="inlineStr">
        <is>
          <t>business_fact</t>
        </is>
      </c>
      <c r="D1017" s="2" t="inlineStr">
        <is>
          <t>Business fact</t>
        </is>
      </c>
      <c r="E1017" s="2" t="n"/>
      <c r="F1017" s="2" t="n"/>
      <c r="G1017" s="2" t="n"/>
      <c r="H1017" s="3" t="inlineStr">
        <is>
          <t>The group describes itself as part of a corporate group that has been family-owned for over 100 years.</t>
        </is>
      </c>
      <c r="I1017" s="2" t="inlineStr">
        <is>
          <t>S5</t>
        </is>
      </c>
      <c r="J1017" s="2" t="n">
        <v>7</v>
      </c>
      <c r="K1017" s="3" t="inlineStr">
        <is>
          <t>As part of a corporate group that has remained family-owned for over 100 years,</t>
        </is>
      </c>
      <c r="L1017" s="2" t="inlineStr">
        <is>
          <t>ok</t>
        </is>
      </c>
      <c r="M1017" s="2" t="inlineStr">
        <is>
          <t>demo reviewer</t>
        </is>
      </c>
      <c r="N1017" s="2" t="n"/>
      <c r="O1017" s="3" t="inlineStr">
        <is>
          <t>https://vanillabonds.com/dossier-data/pdf/katjes/katjes-h1-2026-interim-report.pdf#page=7</t>
        </is>
      </c>
      <c r="P1017" s="3" t="inlineStr">
        <is>
          <t>https://vanillabonds.com/dossier.html?c=katjes&amp;viewer=1&amp;item=F1016</t>
        </is>
      </c>
      <c r="Q1017" s="2" t="inlineStr"/>
    </row>
    <row r="1018">
      <c r="A1018" s="2" t="inlineStr">
        <is>
          <t>F1017</t>
        </is>
      </c>
      <c r="B1018" s="2" t="inlineStr">
        <is>
          <t>business</t>
        </is>
      </c>
      <c r="C1018" s="2" t="inlineStr">
        <is>
          <t>business_fact</t>
        </is>
      </c>
      <c r="D1018" s="2" t="inlineStr">
        <is>
          <t>Business fact</t>
        </is>
      </c>
      <c r="E1018" s="2" t="n"/>
      <c r="F1018" s="2" t="n"/>
      <c r="G1018" s="2" t="n"/>
      <c r="H1018" s="3" t="inlineStr">
        <is>
          <t>Company statement: Piasten (Forchheim) is Bavaria's largest confectionery manufacturer and Germany's leading producer of chocolate dragees; Treets part of Piasten since 2017.</t>
        </is>
      </c>
      <c r="I1018" s="2" t="inlineStr">
        <is>
          <t>S5</t>
        </is>
      </c>
      <c r="J1018" s="2" t="n">
        <v>9</v>
      </c>
      <c r="K1018" s="3" t="inlineStr">
        <is>
          <t>ria's largest confectionery manufacturer and Germany's leading producer of chocolate dragees, headquartered in Forchheim.</t>
        </is>
      </c>
      <c r="L1018" s="2" t="inlineStr">
        <is>
          <t>ok</t>
        </is>
      </c>
      <c r="M1018" s="2" t="inlineStr">
        <is>
          <t>demo reviewer</t>
        </is>
      </c>
      <c r="N1018" s="2" t="n"/>
      <c r="O1018" s="3" t="inlineStr">
        <is>
          <t>https://vanillabonds.com/dossier-data/pdf/katjes/katjes-h1-2026-interim-report.pdf#page=9</t>
        </is>
      </c>
      <c r="P1018" s="3" t="inlineStr">
        <is>
          <t>https://vanillabonds.com/dossier.html?c=katjes&amp;viewer=1&amp;item=F1017</t>
        </is>
      </c>
      <c r="Q1018" s="2" t="inlineStr"/>
    </row>
    <row r="1019">
      <c r="A1019" s="2" t="inlineStr">
        <is>
          <t>F1018</t>
        </is>
      </c>
      <c r="B1019" s="2" t="inlineStr">
        <is>
          <t>business</t>
        </is>
      </c>
      <c r="C1019" s="2" t="inlineStr">
        <is>
          <t>business_fact</t>
        </is>
      </c>
      <c r="D1019" s="2" t="inlineStr">
        <is>
          <t>Business fact</t>
        </is>
      </c>
      <c r="E1019" s="2" t="n"/>
      <c r="F1019" s="2" t="n"/>
      <c r="G1019" s="2" t="n"/>
      <c r="H1019" s="3" t="inlineStr">
        <is>
          <t>Treets named Top Brand 2026 in the Small Bites category by Lebensmittel Zeitung.</t>
        </is>
      </c>
      <c r="I1019" s="2" t="inlineStr">
        <is>
          <t>S5</t>
        </is>
      </c>
      <c r="J1019" s="2" t="n">
        <v>9</v>
      </c>
      <c r="K1019" s="3" t="inlineStr">
        <is>
          <t>Another highlight was Treets being named Top Brand 2026 in the Small Bites category by Lebensmittel Zeitung.</t>
        </is>
      </c>
      <c r="L1019" s="2" t="inlineStr">
        <is>
          <t>ok</t>
        </is>
      </c>
      <c r="M1019" s="2" t="inlineStr">
        <is>
          <t>demo reviewer</t>
        </is>
      </c>
      <c r="N1019" s="2" t="n"/>
      <c r="O1019" s="3" t="inlineStr">
        <is>
          <t>https://vanillabonds.com/dossier-data/pdf/katjes/katjes-h1-2026-interim-report.pdf#page=9</t>
        </is>
      </c>
      <c r="P1019" s="3" t="inlineStr">
        <is>
          <t>https://vanillabonds.com/dossier.html?c=katjes&amp;viewer=1&amp;item=F1018</t>
        </is>
      </c>
      <c r="Q1019" s="2" t="inlineStr"/>
    </row>
    <row r="1020">
      <c r="A1020" s="2" t="inlineStr">
        <is>
          <t>F1019</t>
        </is>
      </c>
      <c r="B1020" s="2" t="inlineStr">
        <is>
          <t>business</t>
        </is>
      </c>
      <c r="C1020" s="2" t="inlineStr">
        <is>
          <t>business_fact</t>
        </is>
      </c>
      <c r="D1020" s="2" t="inlineStr">
        <is>
          <t>Business fact</t>
        </is>
      </c>
      <c r="E1020" s="2" t="n"/>
      <c r="F1020" s="2" t="n"/>
      <c r="G1020" s="2" t="n"/>
      <c r="H1020" s="3" t="inlineStr">
        <is>
          <t>Bübchen Bodycare GmbH (Viersen site) is the group's oral-care centre since 2022 with Vademecum, Theramed, Antica Erboristeria and Licor del Polo; Vademecum stated as leading organic toothpaste in France.</t>
        </is>
      </c>
      <c r="I1020" s="2" t="inlineStr">
        <is>
          <t>S5</t>
        </is>
      </c>
      <c r="J1020" s="2" t="n">
        <v>12</v>
      </c>
      <c r="K1020" s="3" t="inlineStr">
        <is>
          <t>site in Viersen, the company develops and produces a broad portfolio of oral-care products, including well-known brands such as Vademecum, Theramed, Antica Erboristeria, and Licor del Polo.</t>
        </is>
      </c>
      <c r="L1020" s="2" t="inlineStr">
        <is>
          <t>ok</t>
        </is>
      </c>
      <c r="M1020" s="2" t="inlineStr">
        <is>
          <t>demo reviewer</t>
        </is>
      </c>
      <c r="N1020" s="2" t="n"/>
      <c r="O1020" s="3" t="inlineStr">
        <is>
          <t>https://vanillabonds.com/dossier-data/pdf/katjes/katjes-h1-2026-interim-report.pdf#page=12</t>
        </is>
      </c>
      <c r="P1020" s="3" t="inlineStr">
        <is>
          <t>https://vanillabonds.com/dossier.html?c=katjes&amp;viewer=1&amp;item=F1019</t>
        </is>
      </c>
      <c r="Q1020" s="2" t="inlineStr"/>
    </row>
    <row r="1021">
      <c r="A1021" s="2" t="inlineStr">
        <is>
          <t>F1020</t>
        </is>
      </c>
      <c r="B1021" s="2" t="inlineStr">
        <is>
          <t>business</t>
        </is>
      </c>
      <c r="C1021" s="2" t="inlineStr">
        <is>
          <t>business_fact</t>
        </is>
      </c>
      <c r="D1021" s="2" t="inlineStr">
        <is>
          <t>Business fact</t>
        </is>
      </c>
      <c r="E1021" s="2" t="n"/>
      <c r="F1021" s="2" t="n"/>
      <c r="G1021" s="2" t="n"/>
      <c r="H1021" s="3" t="inlineStr">
        <is>
          <t>Graze is described as 'one of the leading brands in the healthy snacking segment' in the UK with 'a strong presence in local food retail'.</t>
        </is>
      </c>
      <c r="I1021" s="2" t="inlineStr">
        <is>
          <t>S5</t>
        </is>
      </c>
      <c r="J1021" s="2" t="n">
        <v>13</v>
      </c>
      <c r="K1021" s="3" t="inlineStr">
        <is>
          <t>In the UK, Graze is one of the leading brands in the healthy snacking segment and has a strong presence in local food retail.</t>
        </is>
      </c>
      <c r="L1021" s="2" t="inlineStr">
        <is>
          <t>ok</t>
        </is>
      </c>
      <c r="M1021" s="2" t="inlineStr">
        <is>
          <t>demo reviewer</t>
        </is>
      </c>
      <c r="N1021" s="3" t="inlineStr">
        <is>
          <t>text: company wording put in quotation marks (reviewer, 20 Oct 2026)</t>
        </is>
      </c>
      <c r="O1021" s="3" t="inlineStr">
        <is>
          <t>https://vanillabonds.com/dossier-data/pdf/katjes/katjes-h1-2026-interim-report.pdf#page=13</t>
        </is>
      </c>
      <c r="P1021" s="3" t="inlineStr">
        <is>
          <t>https://vanillabonds.com/dossier.html?c=katjes&amp;viewer=1&amp;item=F1020</t>
        </is>
      </c>
      <c r="Q1021" s="2" t="inlineStr"/>
    </row>
    <row r="1022">
      <c r="A1022" s="2" t="inlineStr">
        <is>
          <t>F1021</t>
        </is>
      </c>
      <c r="B1022" s="2" t="inlineStr">
        <is>
          <t>business</t>
        </is>
      </c>
      <c r="C1022" s="2" t="inlineStr">
        <is>
          <t>business_fact</t>
        </is>
      </c>
      <c r="D1022" s="2" t="inlineStr">
        <is>
          <t>Business fact</t>
        </is>
      </c>
      <c r="E1022" s="2" t="n"/>
      <c r="F1022" s="2" t="n"/>
      <c r="G1022" s="2" t="n"/>
      <c r="H1022" s="3" t="inlineStr">
        <is>
          <t>Bogner strategic growth markets are Asia and China in particular; H1-2026 groundwork laid for expansion.</t>
        </is>
      </c>
      <c r="I1022" s="2" t="inlineStr">
        <is>
          <t>S5</t>
        </is>
      </c>
      <c r="J1022" s="2" t="n">
        <v>15</v>
      </c>
      <c r="K1022" s="3" t="inlineStr">
        <is>
          <t>Asia, and China in particular, are among BOGNER's strategic growth markets.</t>
        </is>
      </c>
      <c r="L1022" s="2" t="inlineStr">
        <is>
          <t>ok</t>
        </is>
      </c>
      <c r="M1022" s="2" t="inlineStr">
        <is>
          <t>demo reviewer</t>
        </is>
      </c>
      <c r="N1022" s="2" t="n"/>
      <c r="O1022" s="3" t="inlineStr">
        <is>
          <t>https://vanillabonds.com/dossier-data/pdf/katjes/katjes-h1-2026-interim-report.pdf#page=15</t>
        </is>
      </c>
      <c r="P1022" s="3" t="inlineStr">
        <is>
          <t>https://vanillabonds.com/dossier.html?c=katjes&amp;viewer=1&amp;item=F1021</t>
        </is>
      </c>
      <c r="Q1022" s="2" t="inlineStr"/>
    </row>
    <row r="1023">
      <c r="A1023" s="2" t="inlineStr">
        <is>
          <t>F1022</t>
        </is>
      </c>
      <c r="B1023" s="2" t="inlineStr">
        <is>
          <t>business</t>
        </is>
      </c>
      <c r="C1023" s="2" t="inlineStr">
        <is>
          <t>business_fact</t>
        </is>
      </c>
      <c r="D1023" s="2" t="inlineStr">
        <is>
          <t>Business fact</t>
        </is>
      </c>
      <c r="E1023" s="2" t="n"/>
      <c r="F1023" s="2" t="n"/>
      <c r="G1023" s="2" t="n"/>
      <c r="H1023" s="3" t="inlineStr">
        <is>
          <t>Katjes International has operated as a strategic investor for over a decade and regards itself as a brand holding company.</t>
        </is>
      </c>
      <c r="I1023" s="2" t="inlineStr">
        <is>
          <t>S5</t>
        </is>
      </c>
      <c r="J1023" s="2" t="n">
        <v>17</v>
      </c>
      <c r="K1023" s="3" t="inlineStr">
        <is>
          <t>operated as a strategic investor for over a decade and regards itself as a brand holding company.</t>
        </is>
      </c>
      <c r="L1023" s="2" t="inlineStr">
        <is>
          <t>ok</t>
        </is>
      </c>
      <c r="M1023" s="2" t="inlineStr">
        <is>
          <t>demo reviewer</t>
        </is>
      </c>
      <c r="N1023" s="2" t="n"/>
      <c r="O1023" s="3" t="inlineStr">
        <is>
          <t>https://vanillabonds.com/dossier-data/pdf/katjes/katjes-h1-2026-interim-report.pdf#page=17</t>
        </is>
      </c>
      <c r="P1023" s="3" t="inlineStr">
        <is>
          <t>https://vanillabonds.com/dossier.html?c=katjes&amp;viewer=1&amp;item=F1022</t>
        </is>
      </c>
      <c r="Q1023" s="2" t="inlineStr"/>
    </row>
    <row r="1024">
      <c r="A1024" s="2" t="inlineStr">
        <is>
          <t>F1023</t>
        </is>
      </c>
      <c r="B1024" s="2" t="inlineStr">
        <is>
          <t>business</t>
        </is>
      </c>
      <c r="C1024" s="2" t="inlineStr">
        <is>
          <t>business_fact</t>
        </is>
      </c>
      <c r="D1024" s="2" t="inlineStr">
        <is>
          <t>Business fact</t>
        </is>
      </c>
      <c r="E1024" s="2" t="n"/>
      <c r="F1024" s="2" t="n"/>
      <c r="G1024" s="2" t="n"/>
      <c r="H1024" s="3" t="inlineStr">
        <is>
          <t>Investee companies remain legally and organisationally independent after acquisition and keep their local management.</t>
        </is>
      </c>
      <c r="I1024" s="2" t="inlineStr">
        <is>
          <t>S5</t>
        </is>
      </c>
      <c r="J1024" s="2" t="n">
        <v>17</v>
      </c>
      <c r="K1024" s="3" t="inlineStr">
        <is>
          <t>vestee companies remain legally and organizationally indepen- dent and retain their local management.</t>
        </is>
      </c>
      <c r="L1024" s="2" t="inlineStr">
        <is>
          <t>ok</t>
        </is>
      </c>
      <c r="M1024" s="2" t="inlineStr">
        <is>
          <t>demo reviewer</t>
        </is>
      </c>
      <c r="N1024" s="2" t="n"/>
      <c r="O1024" s="3" t="inlineStr">
        <is>
          <t>https://vanillabonds.com/dossier-data/pdf/katjes/katjes-h1-2026-interim-report.pdf#page=17</t>
        </is>
      </c>
      <c r="P1024" s="3" t="inlineStr">
        <is>
          <t>https://vanillabonds.com/dossier.html?c=katjes&amp;viewer=1&amp;item=F1023</t>
        </is>
      </c>
      <c r="Q1024" s="2" t="inlineStr"/>
    </row>
    <row r="1025">
      <c r="A1025" s="2" t="inlineStr">
        <is>
          <t>F1024</t>
        </is>
      </c>
      <c r="B1025" s="2" t="inlineStr">
        <is>
          <t>business</t>
        </is>
      </c>
      <c r="C1025" s="2" t="inlineStr">
        <is>
          <t>business_fact</t>
        </is>
      </c>
      <c r="D1025" s="2" t="inlineStr">
        <is>
          <t>Business fact</t>
        </is>
      </c>
      <c r="E1025" s="2" t="n"/>
      <c r="F1025" s="2" t="n"/>
      <c r="G1025" s="2" t="n"/>
      <c r="H1025" s="3" t="inlineStr">
        <is>
          <t>Company statement: Dallmann's sage cough drops are the leader in German pharmacies by number of packets sold.</t>
        </is>
      </c>
      <c r="I1025" s="2" t="inlineStr">
        <is>
          <t>S5</t>
        </is>
      </c>
      <c r="J1025" s="2" t="n">
        <v>18</v>
      </c>
      <c r="K1025" s="3" t="inlineStr">
        <is>
          <t>nal since 2012) is the leader in German pharmacies in terms of number of packets sold.</t>
        </is>
      </c>
      <c r="L1025" s="2" t="inlineStr">
        <is>
          <t>ok</t>
        </is>
      </c>
      <c r="M1025" s="2" t="inlineStr">
        <is>
          <t>demo reviewer</t>
        </is>
      </c>
      <c r="N1025" s="2" t="n"/>
      <c r="O1025" s="3" t="inlineStr">
        <is>
          <t>https://vanillabonds.com/dossier-data/pdf/katjes/katjes-h1-2026-interim-report.pdf#page=18</t>
        </is>
      </c>
      <c r="P1025" s="3" t="inlineStr">
        <is>
          <t>https://vanillabonds.com/dossier.html?c=katjes&amp;viewer=1&amp;item=F1024</t>
        </is>
      </c>
      <c r="Q1025" s="2" t="inlineStr"/>
    </row>
    <row r="1026">
      <c r="A1026" s="2" t="inlineStr">
        <is>
          <t>F1025</t>
        </is>
      </c>
      <c r="B1026" s="2" t="inlineStr">
        <is>
          <t>business</t>
        </is>
      </c>
      <c r="C1026" s="2" t="inlineStr">
        <is>
          <t>business_fact</t>
        </is>
      </c>
      <c r="D1026" s="2" t="inlineStr">
        <is>
          <t>Business fact</t>
        </is>
      </c>
      <c r="E1026" s="2" t="n"/>
      <c r="F1026" s="2" t="n"/>
      <c r="G1026" s="2" t="n"/>
      <c r="H1026" s="3" t="inlineStr">
        <is>
          <t>Company statement: Harlekijntjes makes the Netherlands' best-selling liquorice product by volume.</t>
        </is>
      </c>
      <c r="I1026" s="2" t="inlineStr">
        <is>
          <t>S5</t>
        </is>
      </c>
      <c r="J1026" s="2" t="n">
        <v>18</v>
      </c>
      <c r="K1026" s="3" t="inlineStr">
        <is>
          <t>Dutch company Harlekĳntjes, which makes the country’s best- selling liquorice product (based on volume).</t>
        </is>
      </c>
      <c r="L1026" s="2" t="inlineStr">
        <is>
          <t>ok</t>
        </is>
      </c>
      <c r="M1026" s="2" t="inlineStr">
        <is>
          <t>demo reviewer</t>
        </is>
      </c>
      <c r="N1026" s="2" t="n"/>
      <c r="O1026" s="3" t="inlineStr">
        <is>
          <t>https://vanillabonds.com/dossier-data/pdf/katjes/katjes-h1-2026-interim-report.pdf#page=18</t>
        </is>
      </c>
      <c r="P1026" s="3" t="inlineStr">
        <is>
          <t>https://vanillabonds.com/dossier.html?c=katjes&amp;viewer=1&amp;item=F1025</t>
        </is>
      </c>
      <c r="Q1026" s="2" t="inlineStr"/>
    </row>
    <row r="1027">
      <c r="A1027" s="2" t="inlineStr">
        <is>
          <t>F1026</t>
        </is>
      </c>
      <c r="B1027" s="2" t="inlineStr">
        <is>
          <t>business</t>
        </is>
      </c>
      <c r="C1027" s="2" t="inlineStr">
        <is>
          <t>business_fact</t>
        </is>
      </c>
      <c r="D1027" s="2" t="inlineStr">
        <is>
          <t>Business fact</t>
        </is>
      </c>
      <c r="E1027" s="2" t="n"/>
      <c r="F1027" s="2" t="n"/>
      <c r="G1027" s="2" t="n"/>
      <c r="H1027" s="3" t="inlineStr">
        <is>
          <t>Company statement: Bübchen is the market leader in Germany's baby and kids care segment.</t>
        </is>
      </c>
      <c r="I1027" s="2" t="inlineStr">
        <is>
          <t>S5</t>
        </is>
      </c>
      <c r="J1027" s="2" t="n">
        <v>18</v>
      </c>
      <c r="K1027" s="3" t="inlineStr">
        <is>
          <t>Bübchen, the market leader in Germany’s baby and kids care segment,</t>
        </is>
      </c>
      <c r="L1027" s="2" t="inlineStr">
        <is>
          <t>ok</t>
        </is>
      </c>
      <c r="M1027" s="2" t="inlineStr">
        <is>
          <t>demo reviewer</t>
        </is>
      </c>
      <c r="N1027" s="2" t="n"/>
      <c r="O1027" s="3" t="inlineStr">
        <is>
          <t>https://vanillabonds.com/dossier-data/pdf/katjes/katjes-h1-2026-interim-report.pdf#page=18</t>
        </is>
      </c>
      <c r="P1027" s="3" t="inlineStr">
        <is>
          <t>https://vanillabonds.com/dossier.html?c=katjes&amp;viewer=1&amp;item=F1026</t>
        </is>
      </c>
      <c r="Q1027" s="2" t="inlineStr"/>
    </row>
    <row r="1028">
      <c r="A1028" s="2" t="inlineStr">
        <is>
          <t>F1027</t>
        </is>
      </c>
      <c r="B1028" s="2" t="inlineStr">
        <is>
          <t>business</t>
        </is>
      </c>
      <c r="C1028" s="2" t="inlineStr">
        <is>
          <t>business_fact</t>
        </is>
      </c>
      <c r="D1028" s="2" t="inlineStr">
        <is>
          <t>Business fact</t>
        </is>
      </c>
      <c r="E1028" s="2" t="n"/>
      <c r="F1028" s="2" t="n"/>
      <c r="G1028" s="2" t="n"/>
      <c r="H1028" s="3" t="inlineStr">
        <is>
          <t>Company statement: Sperlari is one of the largest players in Italian sugar confectionery and a market leader in seasonal products, sweeteners and sugar-free sweets.</t>
        </is>
      </c>
      <c r="I1028" s="2" t="inlineStr">
        <is>
          <t>S5</t>
        </is>
      </c>
      <c r="J1028" s="2" t="n">
        <v>18</v>
      </c>
      <c r="K1028" s="3" t="inlineStr">
        <is>
          <t>Sperlari is one of the largest players in the Italian sugar confectionery market and one of the market leaders in the seg- ment for seasonal products, sweeteners and sugar-free</t>
        </is>
      </c>
      <c r="L1028" s="2" t="inlineStr">
        <is>
          <t>ok</t>
        </is>
      </c>
      <c r="M1028" s="2" t="inlineStr">
        <is>
          <t>demo reviewer</t>
        </is>
      </c>
      <c r="N1028" s="2" t="n"/>
      <c r="O1028" s="3" t="inlineStr">
        <is>
          <t>https://vanillabonds.com/dossier-data/pdf/katjes/katjes-h1-2026-interim-report.pdf#page=18</t>
        </is>
      </c>
      <c r="P1028" s="3" t="inlineStr">
        <is>
          <t>https://vanillabonds.com/dossier.html?c=katjes&amp;viewer=1&amp;item=F1027</t>
        </is>
      </c>
      <c r="Q1028" s="2" t="inlineStr"/>
    </row>
    <row r="1029">
      <c r="A1029" s="2" t="inlineStr">
        <is>
          <t>F1028</t>
        </is>
      </c>
      <c r="B1029" s="2" t="inlineStr">
        <is>
          <t>business</t>
        </is>
      </c>
      <c r="C1029" s="2" t="inlineStr">
        <is>
          <t>business_fact</t>
        </is>
      </c>
      <c r="D1029" s="2" t="inlineStr">
        <is>
          <t>Business fact</t>
        </is>
      </c>
      <c r="E1029" s="2" t="n"/>
      <c r="F1029" s="2" t="n"/>
      <c r="G1029" s="2" t="n"/>
      <c r="H1029" s="3" t="inlineStr">
        <is>
          <t>Company statement: Bogner Group is the largest family-owned luxury apparel brand in Germany; brand since 1932.</t>
        </is>
      </c>
      <c r="I1029" s="2" t="inlineStr">
        <is>
          <t>S5</t>
        </is>
      </c>
      <c r="J1029" s="2" t="n">
        <v>18</v>
      </c>
      <c r="K1029" s="3" t="inlineStr">
        <is>
          <t>The internationally active Bogner Group is the largest family-owned luxury apparel brand in Germany.</t>
        </is>
      </c>
      <c r="L1029" s="2" t="inlineStr">
        <is>
          <t>ok</t>
        </is>
      </c>
      <c r="M1029" s="2" t="inlineStr">
        <is>
          <t>demo reviewer</t>
        </is>
      </c>
      <c r="N1029" s="2" t="n"/>
      <c r="O1029" s="3" t="inlineStr">
        <is>
          <t>https://vanillabonds.com/dossier-data/pdf/katjes/katjes-h1-2026-interim-report.pdf#page=18</t>
        </is>
      </c>
      <c r="P1029" s="3" t="inlineStr">
        <is>
          <t>https://vanillabonds.com/dossier.html?c=katjes&amp;viewer=1&amp;item=F1028</t>
        </is>
      </c>
      <c r="Q1029" s="2" t="inlineStr"/>
    </row>
    <row r="1030">
      <c r="A1030" s="2" t="inlineStr">
        <is>
          <t>F1029</t>
        </is>
      </c>
      <c r="B1030" s="2" t="inlineStr">
        <is>
          <t>business</t>
        </is>
      </c>
      <c r="C1030" s="2" t="inlineStr">
        <is>
          <t>business_fact</t>
        </is>
      </c>
      <c r="D1030" s="2" t="inlineStr">
        <is>
          <t>Business fact</t>
        </is>
      </c>
      <c r="E1030" s="2" t="n"/>
      <c r="F1030" s="2" t="n"/>
      <c r="G1030" s="2" t="n"/>
      <c r="H1030" s="3" t="inlineStr">
        <is>
          <t>Gross profit H1-2026 EUR 66.7m (H1-2025: 38.1m); gross margin 26.1% (23.1%).</t>
        </is>
      </c>
      <c r="I1030" s="2" t="inlineStr">
        <is>
          <t>S5</t>
        </is>
      </c>
      <c r="J1030" s="2" t="n">
        <v>22</v>
      </c>
      <c r="K1030" s="3" t="inlineStr">
        <is>
          <t>Gross profit reached approximately EUR 66.7 million in the first half of 2026 (6M 2025: EUR 38.1 million). The gross margin was 26.1% (6M 2025: 23.1%).</t>
        </is>
      </c>
      <c r="L1030" s="2" t="inlineStr">
        <is>
          <t>ok</t>
        </is>
      </c>
      <c r="M1030" s="2" t="inlineStr">
        <is>
          <t>demo reviewer</t>
        </is>
      </c>
      <c r="N1030" s="2" t="n"/>
      <c r="O1030" s="3" t="inlineStr">
        <is>
          <t>https://vanillabonds.com/dossier-data/pdf/katjes/katjes-h1-2026-interim-report.pdf#page=22</t>
        </is>
      </c>
      <c r="P1030" s="3" t="inlineStr">
        <is>
          <t>https://vanillabonds.com/dossier.html?c=katjes&amp;viewer=1&amp;item=F1029</t>
        </is>
      </c>
      <c r="Q1030" s="2" t="inlineStr"/>
    </row>
    <row r="1031">
      <c r="A1031" s="2" t="inlineStr">
        <is>
          <t>F1030</t>
        </is>
      </c>
      <c r="B1031" s="2" t="inlineStr">
        <is>
          <t>business</t>
        </is>
      </c>
      <c r="C1031" s="2" t="inlineStr">
        <is>
          <t>business_fact</t>
        </is>
      </c>
      <c r="D1031" s="2" t="inlineStr">
        <is>
          <t>Business fact</t>
        </is>
      </c>
      <c r="E1031" s="2" t="n"/>
      <c r="F1031" s="2" t="n"/>
      <c r="G1031" s="2" t="n"/>
      <c r="H1031" s="3" t="inlineStr">
        <is>
          <t>EBITDA margin H1-2026 6.2% (H1-2025: 8.4%), 'likewise a key management metric'.</t>
        </is>
      </c>
      <c r="I1031" s="2" t="inlineStr">
        <is>
          <t>S5</t>
        </is>
      </c>
      <c r="J1031" s="2" t="n">
        <v>23</v>
      </c>
      <c r="K1031" s="3" t="inlineStr">
        <is>
          <t>management metric for Katjes International – reached 6.2% (6M 2025: 8.4%).</t>
        </is>
      </c>
      <c r="L1031" s="2" t="inlineStr">
        <is>
          <t>ok</t>
        </is>
      </c>
      <c r="M1031" s="2" t="inlineStr">
        <is>
          <t>demo reviewer</t>
        </is>
      </c>
      <c r="N1031" s="2" t="n"/>
      <c r="O1031" s="3" t="inlineStr">
        <is>
          <t>https://vanillabonds.com/dossier-data/pdf/katjes/katjes-h1-2026-interim-report.pdf#page=23</t>
        </is>
      </c>
      <c r="P1031" s="3" t="inlineStr">
        <is>
          <t>https://vanillabonds.com/dossier.html?c=katjes&amp;viewer=1&amp;item=F1030</t>
        </is>
      </c>
      <c r="Q1031" s="2" t="inlineStr"/>
    </row>
    <row r="1032">
      <c r="A1032" s="2" t="inlineStr">
        <is>
          <t>F1031</t>
        </is>
      </c>
      <c r="B1032" s="2" t="inlineStr">
        <is>
          <t>business</t>
        </is>
      </c>
      <c r="C1032" s="2" t="inlineStr">
        <is>
          <t>business_fact</t>
        </is>
      </c>
      <c r="D1032" s="2" t="inlineStr">
        <is>
          <t>Business fact</t>
        </is>
      </c>
      <c r="E1032" s="2" t="n"/>
      <c r="F1032" s="2" t="n"/>
      <c r="G1032" s="2" t="n"/>
      <c r="H1032" s="3" t="inlineStr">
        <is>
          <t>Equity ratio 30.0% at 30 June 2026 (31 Dec 2025: 32.9%), described by the company as 'generally stable'.</t>
        </is>
      </c>
      <c r="I1032" s="2" t="inlineStr">
        <is>
          <t>S5</t>
        </is>
      </c>
      <c r="J1032" s="2" t="n">
        <v>24</v>
      </c>
      <c r="K1032" s="3" t="inlineStr">
        <is>
          <t>remained generally stable at 30.0% (December 31, 2025: 32.9%).</t>
        </is>
      </c>
      <c r="L1032" s="2" t="inlineStr">
        <is>
          <t>ok</t>
        </is>
      </c>
      <c r="M1032" s="2" t="inlineStr">
        <is>
          <t>demo reviewer</t>
        </is>
      </c>
      <c r="N1032" s="2" t="n"/>
      <c r="O1032" s="3" t="inlineStr">
        <is>
          <t>https://vanillabonds.com/dossier-data/pdf/katjes/katjes-h1-2026-interim-report.pdf#page=24</t>
        </is>
      </c>
      <c r="P1032" s="3" t="inlineStr">
        <is>
          <t>https://vanillabonds.com/dossier.html?c=katjes&amp;viewer=1&amp;item=F1031</t>
        </is>
      </c>
      <c r="Q1032" s="2" t="inlineStr"/>
    </row>
    <row r="1033">
      <c r="A1033" s="2" t="inlineStr">
        <is>
          <t>F1032</t>
        </is>
      </c>
      <c r="B1033" s="2" t="inlineStr">
        <is>
          <t>business</t>
        </is>
      </c>
      <c r="C1033" s="2" t="inlineStr">
        <is>
          <t>business_fact</t>
        </is>
      </c>
      <c r="D1033" s="2" t="inlineStr">
        <is>
          <t>Business fact</t>
        </is>
      </c>
      <c r="E1033" s="2" t="n"/>
      <c r="F1033" s="2" t="n"/>
      <c r="G1033" s="2" t="n"/>
      <c r="H1033" s="3" t="inlineStr">
        <is>
          <t>Non-controlling interests EUR 40.3m (31 Dec 2025: 47.5m), mainly the minority shareholders of the Bogner Group.</t>
        </is>
      </c>
      <c r="I1033" s="2" t="inlineStr">
        <is>
          <t>S5</t>
        </is>
      </c>
      <c r="J1033" s="2" t="n">
        <v>24</v>
      </c>
      <c r="K1033" s="3" t="inlineStr">
        <is>
          <t>controlling interests were reported at EUR 40.3 million (Decem- ber 31, 2025: EUR 47.5 million) and mainly comprise the inte- rests of the minority shareholders of the Bogner Group.</t>
        </is>
      </c>
      <c r="L1033" s="2" t="inlineStr">
        <is>
          <t>ok</t>
        </is>
      </c>
      <c r="M1033" s="2" t="inlineStr">
        <is>
          <t>demo reviewer</t>
        </is>
      </c>
      <c r="N1033" s="2" t="n"/>
      <c r="O1033" s="3" t="inlineStr">
        <is>
          <t>https://vanillabonds.com/dossier-data/pdf/katjes/katjes-h1-2026-interim-report.pdf#page=24</t>
        </is>
      </c>
      <c r="P1033" s="3" t="inlineStr">
        <is>
          <t>https://vanillabonds.com/dossier.html?c=katjes&amp;viewer=1&amp;item=F1032</t>
        </is>
      </c>
      <c r="Q1033" s="2" t="inlineStr"/>
    </row>
    <row r="1034">
      <c r="A1034" s="2" t="inlineStr">
        <is>
          <t>F1033</t>
        </is>
      </c>
      <c r="B1034" s="2" t="inlineStr">
        <is>
          <t>business</t>
        </is>
      </c>
      <c r="C1034" s="2" t="inlineStr">
        <is>
          <t>business_fact</t>
        </is>
      </c>
      <c r="D1034" s="2" t="inlineStr">
        <is>
          <t>Business fact</t>
        </is>
      </c>
      <c r="E1034" s="2" t="n"/>
      <c r="F1034" s="2" t="n"/>
      <c r="G1034" s="2" t="n"/>
      <c r="H1034" s="3" t="inlineStr">
        <is>
          <t>Intangible assets EUR 257.3m at 30 June 2026 (218.7m), increase mainly the Graze brand recognised in the purchase price allocation.</t>
        </is>
      </c>
      <c r="I1034" s="2" t="inlineStr">
        <is>
          <t>S5</t>
        </is>
      </c>
      <c r="J1034" s="2" t="n">
        <v>24</v>
      </c>
      <c r="K1034" s="3" t="inlineStr">
        <is>
          <t>Intangible assets were reported at EUR 257.3 million as at June 30, 2026 (December 31, 2025: EUR 218.7 million)</t>
        </is>
      </c>
      <c r="L1034" s="2" t="inlineStr">
        <is>
          <t>ok</t>
        </is>
      </c>
      <c r="M1034" s="2" t="inlineStr">
        <is>
          <t>demo reviewer</t>
        </is>
      </c>
      <c r="N1034" s="2" t="n"/>
      <c r="O1034" s="3" t="inlineStr">
        <is>
          <t>https://vanillabonds.com/dossier-data/pdf/katjes/katjes-h1-2026-interim-report.pdf#page=24</t>
        </is>
      </c>
      <c r="P1034" s="3" t="inlineStr">
        <is>
          <t>https://vanillabonds.com/dossier.html?c=katjes&amp;viewer=1&amp;item=F1033</t>
        </is>
      </c>
      <c r="Q1034" s="2" t="inlineStr"/>
    </row>
    <row r="1035">
      <c r="A1035" s="2" t="inlineStr">
        <is>
          <t>F1034</t>
        </is>
      </c>
      <c r="B1035" s="2" t="inlineStr">
        <is>
          <t>business</t>
        </is>
      </c>
      <c r="C1035" s="2" t="inlineStr">
        <is>
          <t>business_fact</t>
        </is>
      </c>
      <c r="D1035" s="2" t="inlineStr">
        <is>
          <t>Business fact</t>
        </is>
      </c>
      <c r="E1035" s="2" t="n"/>
      <c r="F1035" s="2" t="n"/>
      <c r="G1035" s="2" t="n"/>
      <c r="H1035" s="3" t="inlineStr">
        <is>
          <t>Personnel expenses H1-2026 EUR 68.0m (H1-2025: 37.2m).</t>
        </is>
      </c>
      <c r="I1035" s="2" t="inlineStr">
        <is>
          <t>S5</t>
        </is>
      </c>
      <c r="J1035" s="2" t="n">
        <v>25</v>
      </c>
      <c r="K1035" s="3" t="inlineStr">
        <is>
          <t>Personnel expenses in the first half of the 2026 financial year amounted to EUR 68.0 million (6M 2025: EUR 37.2 million).</t>
        </is>
      </c>
      <c r="L1035" s="2" t="inlineStr">
        <is>
          <t>ok</t>
        </is>
      </c>
      <c r="M1035" s="2" t="inlineStr">
        <is>
          <t>demo reviewer</t>
        </is>
      </c>
      <c r="N1035" s="2" t="n"/>
      <c r="O1035" s="3" t="inlineStr">
        <is>
          <t>https://vanillabonds.com/dossier-data/pdf/katjes/katjes-h1-2026-interim-report.pdf#page=25</t>
        </is>
      </c>
      <c r="P1035" s="3" t="inlineStr">
        <is>
          <t>https://vanillabonds.com/dossier.html?c=katjes&amp;viewer=1&amp;item=F1034</t>
        </is>
      </c>
      <c r="Q1035" s="2" t="inlineStr"/>
    </row>
    <row r="1036">
      <c r="A1036" s="2" t="inlineStr">
        <is>
          <t>F1035</t>
        </is>
      </c>
      <c r="B1036" s="2" t="inlineStr">
        <is>
          <t>business</t>
        </is>
      </c>
      <c r="C1036" s="2" t="inlineStr">
        <is>
          <t>business_fact</t>
        </is>
      </c>
      <c r="D1036" s="2" t="inlineStr">
        <is>
          <t>Business fact</t>
        </is>
      </c>
      <c r="E1036" s="2" t="n"/>
      <c r="F1036" s="2" t="n"/>
      <c r="G1036" s="2" t="n"/>
      <c r="H1036" s="3" t="inlineStr">
        <is>
          <t>Other operating income H1-2026 EUR 26.6m (H1-2025: 3.3m), including badwill from the Graze and Pastificio Plin purchase price allocations.</t>
        </is>
      </c>
      <c r="I1036" s="2" t="inlineStr">
        <is>
          <t>S5</t>
        </is>
      </c>
      <c r="J1036" s="2" t="n">
        <v>29</v>
      </c>
      <c r="K1036" s="2" t="inlineStr">
        <is>
          <t>Other operating income 26.6 3.3</t>
        </is>
      </c>
      <c r="L1036" s="2" t="inlineStr">
        <is>
          <t>ok</t>
        </is>
      </c>
      <c r="M1036" s="2" t="inlineStr">
        <is>
          <t>demo reviewer</t>
        </is>
      </c>
      <c r="N1036" s="2" t="n"/>
      <c r="O1036" s="3" t="inlineStr">
        <is>
          <t>https://vanillabonds.com/dossier-data/pdf/katjes/katjes-h1-2026-interim-report.pdf#page=29</t>
        </is>
      </c>
      <c r="P1036" s="3" t="inlineStr">
        <is>
          <t>https://vanillabonds.com/dossier.html?c=katjes&amp;viewer=1&amp;item=F1035</t>
        </is>
      </c>
      <c r="Q1036" s="2" t="inlineStr"/>
    </row>
    <row r="1037">
      <c r="A1037" s="2" t="inlineStr">
        <is>
          <t>F1036</t>
        </is>
      </c>
      <c r="B1037" s="2" t="inlineStr">
        <is>
          <t>business</t>
        </is>
      </c>
      <c r="C1037" s="2" t="inlineStr">
        <is>
          <t>business_fact</t>
        </is>
      </c>
      <c r="D1037" s="2" t="inlineStr">
        <is>
          <t>Business fact</t>
        </is>
      </c>
      <c r="E1037" s="2" t="n"/>
      <c r="F1037" s="2" t="n"/>
      <c r="G1037" s="2" t="n"/>
      <c r="H1037" s="3" t="inlineStr">
        <is>
          <t>Distribution costs H1-2026 EUR 50.1m (H1-2025: 17.8m); administrative expenses 40.9m (19.9m), both driven mainly by the Bogner companies.</t>
        </is>
      </c>
      <c r="I1037" s="2" t="inlineStr">
        <is>
          <t>S5</t>
        </is>
      </c>
      <c r="J1037" s="2" t="n">
        <v>29</v>
      </c>
      <c r="K1037" s="3" t="inlineStr">
        <is>
          <t>Distribution costs 50.1 17.8 Administrative expenses 40.9 19.9</t>
        </is>
      </c>
      <c r="L1037" s="2" t="inlineStr">
        <is>
          <t>ok</t>
        </is>
      </c>
      <c r="M1037" s="2" t="inlineStr">
        <is>
          <t>demo reviewer</t>
        </is>
      </c>
      <c r="N1037" s="2" t="n"/>
      <c r="O1037" s="3" t="inlineStr">
        <is>
          <t>https://vanillabonds.com/dossier-data/pdf/katjes/katjes-h1-2026-interim-report.pdf#page=29</t>
        </is>
      </c>
      <c r="P1037" s="3" t="inlineStr">
        <is>
          <t>https://vanillabonds.com/dossier.html?c=katjes&amp;viewer=1&amp;item=F1036</t>
        </is>
      </c>
      <c r="Q1037" s="2" t="inlineStr"/>
    </row>
    <row r="1038">
      <c r="A1038" s="2" t="inlineStr">
        <is>
          <t>F1037</t>
        </is>
      </c>
      <c r="B1038" s="2" t="inlineStr">
        <is>
          <t>business</t>
        </is>
      </c>
      <c r="C1038" s="2" t="inlineStr">
        <is>
          <t>business_fact</t>
        </is>
      </c>
      <c r="D1038" s="2" t="inlineStr">
        <is>
          <t>Business fact</t>
        </is>
      </c>
      <c r="E1038" s="2" t="n"/>
      <c r="F1038" s="2" t="n"/>
      <c r="G1038" s="2" t="n"/>
      <c r="H1038" s="3" t="inlineStr">
        <is>
          <t>Total comprehensive income H1-2026 EUR -14.7m (H1-2025: -1.0m); of which NCI -7.2 and shareholders -7.5.</t>
        </is>
      </c>
      <c r="I1038" s="2" t="inlineStr">
        <is>
          <t>S5</t>
        </is>
      </c>
      <c r="J1038" s="2" t="n">
        <v>30</v>
      </c>
      <c r="K1038" s="2" t="inlineStr">
        <is>
          <t>Total comprehensive income -14.7 -1.0</t>
        </is>
      </c>
      <c r="L1038" s="2" t="inlineStr">
        <is>
          <t>ok</t>
        </is>
      </c>
      <c r="M1038" s="2" t="inlineStr">
        <is>
          <t>demo reviewer</t>
        </is>
      </c>
      <c r="N1038" s="2" t="n"/>
      <c r="O1038" s="3" t="inlineStr">
        <is>
          <t>https://vanillabonds.com/dossier-data/pdf/katjes/katjes-h1-2026-interim-report.pdf#page=30</t>
        </is>
      </c>
      <c r="P1038" s="3" t="inlineStr">
        <is>
          <t>https://vanillabonds.com/dossier.html?c=katjes&amp;viewer=1&amp;item=F1037</t>
        </is>
      </c>
      <c r="Q1038" s="2" t="inlineStr"/>
    </row>
    <row r="1039">
      <c r="A1039" s="2" t="inlineStr">
        <is>
          <t>F1038</t>
        </is>
      </c>
      <c r="B1039" s="2" t="inlineStr">
        <is>
          <t>business</t>
        </is>
      </c>
      <c r="C1039" s="2" t="inlineStr">
        <is>
          <t>business_fact</t>
        </is>
      </c>
      <c r="D1039" s="2" t="inlineStr">
        <is>
          <t>Business fact</t>
        </is>
      </c>
      <c r="E1039" s="2" t="n"/>
      <c r="F1039" s="2" t="n"/>
      <c r="G1039" s="2" t="n"/>
      <c r="H1039" s="3" t="inlineStr">
        <is>
          <t>Balance sheet 30 June 2026: PP&amp;E 161.2 (148.3), right-of-use assets 85.1 (74.5), at-equity investments 55.9 (4.3).</t>
        </is>
      </c>
      <c r="I1039" s="2" t="inlineStr">
        <is>
          <t>S5</t>
        </is>
      </c>
      <c r="J1039" s="2" t="n">
        <v>31</v>
      </c>
      <c r="K1039" s="3" t="inlineStr">
        <is>
          <t>Property, plant and equipment 161.2 148.3 Right-of-use assets 85.1 74.5</t>
        </is>
      </c>
      <c r="L1039" s="2" t="inlineStr">
        <is>
          <t>ok</t>
        </is>
      </c>
      <c r="M1039" s="2" t="inlineStr">
        <is>
          <t>demo reviewer</t>
        </is>
      </c>
      <c r="N1039" s="2" t="n"/>
      <c r="O1039" s="3" t="inlineStr">
        <is>
          <t>https://vanillabonds.com/dossier-data/pdf/katjes/katjes-h1-2026-interim-report.pdf#page=31</t>
        </is>
      </c>
      <c r="P1039" s="3" t="inlineStr">
        <is>
          <t>https://vanillabonds.com/dossier.html?c=katjes&amp;viewer=1&amp;item=F1038</t>
        </is>
      </c>
      <c r="Q1039" s="2" t="inlineStr"/>
    </row>
    <row r="1040">
      <c r="A1040" s="2" t="inlineStr">
        <is>
          <t>F1039</t>
        </is>
      </c>
      <c r="B1040" s="2" t="inlineStr">
        <is>
          <t>business</t>
        </is>
      </c>
      <c r="C1040" s="2" t="inlineStr">
        <is>
          <t>business_fact</t>
        </is>
      </c>
      <c r="D1040" s="2" t="inlineStr">
        <is>
          <t>Business fact</t>
        </is>
      </c>
      <c r="E1040" s="2" t="n"/>
      <c r="F1040" s="2" t="n"/>
      <c r="G1040" s="2" t="n"/>
      <c r="H1040" s="3" t="inlineStr">
        <is>
          <t>Inventories EUR 100.2m (97.1m) and trade and other receivables 84.4m (100.6m) at 30 June 2026; receivables down on seasonal effects.</t>
        </is>
      </c>
      <c r="I1040" s="2" t="inlineStr">
        <is>
          <t>S5</t>
        </is>
      </c>
      <c r="J1040" s="2" t="n">
        <v>31</v>
      </c>
      <c r="K1040" s="3" t="inlineStr">
        <is>
          <t>Inventories 5.2 100.2 97.1 Trade and other receivables 5.5 84.4 100.6</t>
        </is>
      </c>
      <c r="L1040" s="2" t="inlineStr">
        <is>
          <t>ok</t>
        </is>
      </c>
      <c r="M1040" s="2" t="inlineStr">
        <is>
          <t>demo reviewer</t>
        </is>
      </c>
      <c r="N1040" s="2" t="n"/>
      <c r="O1040" s="3" t="inlineStr">
        <is>
          <t>https://vanillabonds.com/dossier-data/pdf/katjes/katjes-h1-2026-interim-report.pdf#page=31</t>
        </is>
      </c>
      <c r="P1040" s="3" t="inlineStr">
        <is>
          <t>https://vanillabonds.com/dossier.html?c=katjes&amp;viewer=1&amp;item=F1039</t>
        </is>
      </c>
      <c r="Q1040" s="2" t="inlineStr"/>
    </row>
    <row r="1041">
      <c r="A1041" s="2" t="inlineStr">
        <is>
          <t>F1040</t>
        </is>
      </c>
      <c r="B1041" s="2" t="inlineStr">
        <is>
          <t>business</t>
        </is>
      </c>
      <c r="C1041" s="2" t="inlineStr">
        <is>
          <t>business_fact</t>
        </is>
      </c>
      <c r="D1041" s="2" t="inlineStr">
        <is>
          <t>Business fact</t>
        </is>
      </c>
      <c r="E1041" s="2" t="n"/>
      <c r="F1041" s="2" t="n"/>
      <c r="G1041" s="2" t="n"/>
      <c r="H1041" s="3" t="inlineStr">
        <is>
          <t>Non-current financial liabilities EUR 325.7m (278.5m) and current financial liabilities 91.0m (74.3m) at 30 June 2026, both including IFRS 16 leases and option liabilities.</t>
        </is>
      </c>
      <c r="I1041" s="2" t="inlineStr">
        <is>
          <t>S5</t>
        </is>
      </c>
      <c r="J1041" s="2" t="n">
        <v>32</v>
      </c>
      <c r="K1041" s="3" t="inlineStr">
        <is>
          <t>Interest-bearing and non-interest-bearing financial liabilities 5.4/5.5 325.7 278.5</t>
        </is>
      </c>
      <c r="L1041" s="2" t="inlineStr">
        <is>
          <t>ok</t>
        </is>
      </c>
      <c r="M1041" s="2" t="inlineStr">
        <is>
          <t>demo reviewer</t>
        </is>
      </c>
      <c r="N1041" s="2" t="n"/>
      <c r="O1041" s="3" t="inlineStr">
        <is>
          <t>https://vanillabonds.com/dossier-data/pdf/katjes/katjes-h1-2026-interim-report.pdf#page=32</t>
        </is>
      </c>
      <c r="P1041" s="3" t="inlineStr">
        <is>
          <t>https://vanillabonds.com/dossier.html?c=katjes&amp;viewer=1&amp;item=F1040</t>
        </is>
      </c>
      <c r="Q1041" s="2" t="inlineStr"/>
    </row>
    <row r="1042">
      <c r="A1042" s="2" t="inlineStr">
        <is>
          <t>F1041</t>
        </is>
      </c>
      <c r="B1042" s="2" t="inlineStr">
        <is>
          <t>business</t>
        </is>
      </c>
      <c r="C1042" s="2" t="inlineStr">
        <is>
          <t>business_fact</t>
        </is>
      </c>
      <c r="D1042" s="2" t="inlineStr">
        <is>
          <t>Business fact</t>
        </is>
      </c>
      <c r="E1042" s="2" t="n"/>
      <c r="F1042" s="2" t="n"/>
      <c r="G1042" s="2" t="n"/>
      <c r="H1042" s="3" t="inlineStr">
        <is>
          <t>Current provisions fell to EUR 16.9m (31 Dec 2025: 33.5m) through utilisation; trade payables and other liabilities 79.6m (84.1m).</t>
        </is>
      </c>
      <c r="I1042" s="2" t="inlineStr">
        <is>
          <t>S5</t>
        </is>
      </c>
      <c r="J1042" s="2" t="n">
        <v>32</v>
      </c>
      <c r="K1042" s="2" t="inlineStr">
        <is>
          <t>Provisions 16.9 33.5</t>
        </is>
      </c>
      <c r="L1042" s="2" t="inlineStr">
        <is>
          <t>ok</t>
        </is>
      </c>
      <c r="M1042" s="2" t="inlineStr">
        <is>
          <t>demo reviewer</t>
        </is>
      </c>
      <c r="N1042" s="2" t="n"/>
      <c r="O1042" s="3" t="inlineStr">
        <is>
          <t>https://vanillabonds.com/dossier-data/pdf/katjes/katjes-h1-2026-interim-report.pdf#page=32</t>
        </is>
      </c>
      <c r="P1042" s="3" t="inlineStr">
        <is>
          <t>https://vanillabonds.com/dossier.html?c=katjes&amp;viewer=1&amp;item=F1041</t>
        </is>
      </c>
      <c r="Q1042" s="2" t="inlineStr"/>
    </row>
    <row r="1043">
      <c r="A1043" s="2" t="inlineStr">
        <is>
          <t>F1042</t>
        </is>
      </c>
      <c r="B1043" s="2" t="inlineStr">
        <is>
          <t>business</t>
        </is>
      </c>
      <c r="C1043" s="2" t="inlineStr">
        <is>
          <t>business_fact</t>
        </is>
      </c>
      <c r="D1043" s="2" t="inlineStr">
        <is>
          <t>Business fact</t>
        </is>
      </c>
      <c r="E1043" s="2" t="n"/>
      <c r="F1043" s="2" t="n"/>
      <c r="G1043" s="2" t="n"/>
      <c r="H1043" s="3" t="inlineStr">
        <is>
          <t>Non-current liabilities EUR 404.8m (349.4m) and current liabilities 191.0m (196.0m) at 30 June 2026; total liabilities 595.8m (545.4m).</t>
        </is>
      </c>
      <c r="I1043" s="2" t="inlineStr">
        <is>
          <t>S5</t>
        </is>
      </c>
      <c r="J1043" s="2" t="n">
        <v>32</v>
      </c>
      <c r="K1043" s="2" t="inlineStr">
        <is>
          <t>Total liabilities 595.8 545.4</t>
        </is>
      </c>
      <c r="L1043" s="2" t="inlineStr">
        <is>
          <t>ok</t>
        </is>
      </c>
      <c r="M1043" s="2" t="inlineStr">
        <is>
          <t>demo reviewer</t>
        </is>
      </c>
      <c r="N1043" s="2" t="n"/>
      <c r="O1043" s="3" t="inlineStr">
        <is>
          <t>https://vanillabonds.com/dossier-data/pdf/katjes/katjes-h1-2026-interim-report.pdf#page=32</t>
        </is>
      </c>
      <c r="P1043" s="3" t="inlineStr">
        <is>
          <t>https://vanillabonds.com/dossier.html?c=katjes&amp;viewer=1&amp;item=F1042</t>
        </is>
      </c>
      <c r="Q1043" s="2" t="inlineStr"/>
    </row>
    <row r="1044">
      <c r="A1044" s="2" t="inlineStr">
        <is>
          <t>F1043</t>
        </is>
      </c>
      <c r="B1044" s="2" t="inlineStr">
        <is>
          <t>business</t>
        </is>
      </c>
      <c r="C1044" s="2" t="inlineStr">
        <is>
          <t>business_fact</t>
        </is>
      </c>
      <c r="D1044" s="2" t="inlineStr">
        <is>
          <t>Business fact</t>
        </is>
      </c>
      <c r="E1044" s="2" t="n"/>
      <c r="F1044" s="2" t="n"/>
      <c r="G1044" s="2" t="n"/>
      <c r="H1044" s="3" t="inlineStr">
        <is>
          <t>Cash flow from investing activities H1-2026 EUR -96.4m (H1-2025: -7.0m), mainly purchase prices for Graze and Missoni.</t>
        </is>
      </c>
      <c r="I1044" s="2" t="inlineStr">
        <is>
          <t>S5</t>
        </is>
      </c>
      <c r="J1044" s="2" t="n">
        <v>34</v>
      </c>
      <c r="K1044" s="3" t="inlineStr">
        <is>
          <t>Cash flow from investing activities -96.4 -7.0</t>
        </is>
      </c>
      <c r="L1044" s="2" t="inlineStr">
        <is>
          <t>ok</t>
        </is>
      </c>
      <c r="M1044" s="2" t="inlineStr">
        <is>
          <t>demo reviewer</t>
        </is>
      </c>
      <c r="N1044" s="2" t="n"/>
      <c r="O1044" s="3" t="inlineStr">
        <is>
          <t>https://vanillabonds.com/dossier-data/pdf/katjes/katjes-h1-2026-interim-report.pdf#page=34</t>
        </is>
      </c>
      <c r="P1044" s="3" t="inlineStr">
        <is>
          <t>https://vanillabonds.com/dossier.html?c=katjes&amp;viewer=1&amp;item=F1043</t>
        </is>
      </c>
      <c r="Q1044" s="2" t="inlineStr"/>
    </row>
    <row r="1045">
      <c r="A1045" s="2" t="inlineStr">
        <is>
          <t>F1044</t>
        </is>
      </c>
      <c r="B1045" s="2" t="inlineStr">
        <is>
          <t>business</t>
        </is>
      </c>
      <c r="C1045" s="2" t="inlineStr">
        <is>
          <t>business_fact</t>
        </is>
      </c>
      <c r="D1045" s="2" t="inlineStr">
        <is>
          <t>Business fact</t>
        </is>
      </c>
      <c r="E1045" s="2" t="n"/>
      <c r="F1045" s="2" t="n"/>
      <c r="G1045" s="2" t="n"/>
      <c r="H1045" s="3" t="inlineStr">
        <is>
          <t>Investing cash flows H1-2026: acquisition of financial assets -55.8 (Missoni stake) and acquisition of subsidiaries net of cash acquired -32.3.</t>
        </is>
      </c>
      <c r="I1045" s="2" t="inlineStr">
        <is>
          <t>S5</t>
        </is>
      </c>
      <c r="J1045" s="2" t="n">
        <v>34</v>
      </c>
      <c r="K1045" s="3" t="inlineStr">
        <is>
          <t>Acquisition of financial assets -55.8 0.0 Acquisition of subsidiaries, net of cash acquired -32.3 0.0</t>
        </is>
      </c>
      <c r="L1045" s="2" t="inlineStr">
        <is>
          <t>ok</t>
        </is>
      </c>
      <c r="M1045" s="2" t="inlineStr">
        <is>
          <t>demo reviewer</t>
        </is>
      </c>
      <c r="N1045" s="2" t="n"/>
      <c r="O1045" s="3" t="inlineStr">
        <is>
          <t>https://vanillabonds.com/dossier-data/pdf/katjes/katjes-h1-2026-interim-report.pdf#page=34</t>
        </is>
      </c>
      <c r="P1045" s="3" t="inlineStr">
        <is>
          <t>https://vanillabonds.com/dossier.html?c=katjes&amp;viewer=1&amp;item=F1044</t>
        </is>
      </c>
      <c r="Q1045" s="2" t="inlineStr"/>
    </row>
    <row r="1046">
      <c r="A1046" s="2" t="inlineStr">
        <is>
          <t>F1045</t>
        </is>
      </c>
      <c r="B1046" s="2" t="inlineStr">
        <is>
          <t>business</t>
        </is>
      </c>
      <c r="C1046" s="2" t="inlineStr">
        <is>
          <t>business_fact</t>
        </is>
      </c>
      <c r="D1046" s="2" t="inlineStr">
        <is>
          <t>Business fact</t>
        </is>
      </c>
      <c r="E1046" s="2" t="n"/>
      <c r="F1046" s="2" t="n"/>
      <c r="G1046" s="2" t="n"/>
      <c r="H1046" s="3" t="inlineStr">
        <is>
          <t>Cash flow from financing activities H1-2026 EUR 22.6m (H1-2025: 1.2m): bond tap 14.8 net, loan proceeds 28.2, lease installments -10.8, interest paid -9.6.</t>
        </is>
      </c>
      <c r="I1046" s="2" t="inlineStr">
        <is>
          <t>S5</t>
        </is>
      </c>
      <c r="J1046" s="2" t="n">
        <v>34</v>
      </c>
      <c r="K1046" s="3" t="inlineStr">
        <is>
          <t>Cash flow from financing activities 22.6 1.2</t>
        </is>
      </c>
      <c r="L1046" s="2" t="inlineStr">
        <is>
          <t>ok</t>
        </is>
      </c>
      <c r="M1046" s="2" t="inlineStr">
        <is>
          <t>demo reviewer</t>
        </is>
      </c>
      <c r="N1046" s="2" t="n"/>
      <c r="O1046" s="3" t="inlineStr">
        <is>
          <t>https://vanillabonds.com/dossier-data/pdf/katjes/katjes-h1-2026-interim-report.pdf#page=34</t>
        </is>
      </c>
      <c r="P1046" s="3" t="inlineStr">
        <is>
          <t>https://vanillabonds.com/dossier.html?c=katjes&amp;viewer=1&amp;item=F1045</t>
        </is>
      </c>
      <c r="Q1046" s="2" t="inlineStr"/>
    </row>
    <row r="1047">
      <c r="A1047" s="2" t="inlineStr">
        <is>
          <t>F1046</t>
        </is>
      </c>
      <c r="B1047" s="2" t="inlineStr">
        <is>
          <t>business</t>
        </is>
      </c>
      <c r="C1047" s="2" t="inlineStr">
        <is>
          <t>business_fact</t>
        </is>
      </c>
      <c r="D1047" s="2" t="inlineStr">
        <is>
          <t>Business fact</t>
        </is>
      </c>
      <c r="E1047" s="2" t="n"/>
      <c r="F1047" s="2" t="n"/>
      <c r="G1047" s="2" t="n"/>
      <c r="H1047" s="3" t="inlineStr">
        <is>
          <t>Net proceeds from loans H1-2026 EUR 28.2m (H1-2025: 9.9m).</t>
        </is>
      </c>
      <c r="I1047" s="2" t="inlineStr">
        <is>
          <t>S5</t>
        </is>
      </c>
      <c r="J1047" s="2" t="n">
        <v>34</v>
      </c>
      <c r="K1047" s="3" t="inlineStr">
        <is>
          <t>Proceeds from repayments/payments from loans 28.2 9.9</t>
        </is>
      </c>
      <c r="L1047" s="2" t="inlineStr">
        <is>
          <t>ok</t>
        </is>
      </c>
      <c r="M1047" s="2" t="inlineStr">
        <is>
          <t>demo reviewer</t>
        </is>
      </c>
      <c r="N1047" s="2" t="n"/>
      <c r="O1047" s="3" t="inlineStr">
        <is>
          <t>https://vanillabonds.com/dossier-data/pdf/katjes/katjes-h1-2026-interim-report.pdf#page=34</t>
        </is>
      </c>
      <c r="P1047" s="3" t="inlineStr">
        <is>
          <t>https://vanillabonds.com/dossier.html?c=katjes&amp;viewer=1&amp;item=F1046</t>
        </is>
      </c>
      <c r="Q1047" s="2" t="inlineStr"/>
    </row>
    <row r="1048">
      <c r="A1048" s="2" t="inlineStr">
        <is>
          <t>F1047</t>
        </is>
      </c>
      <c r="B1048" s="2" t="inlineStr">
        <is>
          <t>business</t>
        </is>
      </c>
      <c r="C1048" s="2" t="inlineStr">
        <is>
          <t>business_fact</t>
        </is>
      </c>
      <c r="D1048" s="2" t="inlineStr">
        <is>
          <t>Business fact</t>
        </is>
      </c>
      <c r="E1048" s="2" t="n"/>
      <c r="F1048" s="2" t="n"/>
      <c r="G1048" s="2" t="n"/>
      <c r="H1048" s="3" t="inlineStr">
        <is>
          <t>Interest paid H1-2026 EUR 9.6m (H1-2025: 6.1m); leasing installments paid 10.8m (2.6m).</t>
        </is>
      </c>
      <c r="I1048" s="2" t="inlineStr">
        <is>
          <t>S5</t>
        </is>
      </c>
      <c r="J1048" s="2" t="n">
        <v>34</v>
      </c>
      <c r="K1048" s="3" t="inlineStr">
        <is>
          <t>Payment of leasing installments -10.8 -2.6 Interest paid -9.6 -6.1</t>
        </is>
      </c>
      <c r="L1048" s="2" t="inlineStr">
        <is>
          <t>ok</t>
        </is>
      </c>
      <c r="M1048" s="2" t="inlineStr">
        <is>
          <t>demo reviewer</t>
        </is>
      </c>
      <c r="N1048" s="2" t="n"/>
      <c r="O1048" s="3" t="inlineStr">
        <is>
          <t>https://vanillabonds.com/dossier-data/pdf/katjes/katjes-h1-2026-interim-report.pdf#page=34</t>
        </is>
      </c>
      <c r="P1048" s="3" t="inlineStr">
        <is>
          <t>https://vanillabonds.com/dossier.html?c=katjes&amp;viewer=1&amp;item=F1047</t>
        </is>
      </c>
      <c r="Q1048" s="2" t="inlineStr"/>
    </row>
    <row r="1049">
      <c r="A1049" s="2" t="inlineStr">
        <is>
          <t>F1048</t>
        </is>
      </c>
      <c r="B1049" s="2" t="inlineStr">
        <is>
          <t>business</t>
        </is>
      </c>
      <c r="C1049" s="2" t="inlineStr">
        <is>
          <t>business_fact</t>
        </is>
      </c>
      <c r="D1049" s="2" t="inlineStr">
        <is>
          <t>Business fact</t>
        </is>
      </c>
      <c r="E1049" s="2" t="n"/>
      <c r="F1049" s="2" t="n"/>
      <c r="G1049" s="2" t="n"/>
      <c r="H1049" s="3" t="inlineStr">
        <is>
          <t>Cash decreased by EUR 72.7m in H1-2026 (H1-2025: -15.6m), from 146.8 to 74.1.</t>
        </is>
      </c>
      <c r="I1049" s="2" t="inlineStr">
        <is>
          <t>S5</t>
        </is>
      </c>
      <c r="J1049" s="2" t="n">
        <v>34</v>
      </c>
      <c r="K1049" s="3" t="inlineStr">
        <is>
          <t>Change in cash and cash equivalents -72.7 -15.6</t>
        </is>
      </c>
      <c r="L1049" s="2" t="inlineStr">
        <is>
          <t>ok</t>
        </is>
      </c>
      <c r="M1049" s="2" t="inlineStr">
        <is>
          <t>demo reviewer</t>
        </is>
      </c>
      <c r="N1049" s="2" t="n"/>
      <c r="O1049" s="3" t="inlineStr">
        <is>
          <t>https://vanillabonds.com/dossier-data/pdf/katjes/katjes-h1-2026-interim-report.pdf#page=34</t>
        </is>
      </c>
      <c r="P1049" s="3" t="inlineStr">
        <is>
          <t>https://vanillabonds.com/dossier.html?c=katjes&amp;viewer=1&amp;item=F1048</t>
        </is>
      </c>
      <c r="Q1049" s="2" t="inlineStr"/>
    </row>
    <row r="1050">
      <c r="A1050" s="2" t="inlineStr">
        <is>
          <t>F1049</t>
        </is>
      </c>
      <c r="B1050" s="2" t="inlineStr">
        <is>
          <t>business</t>
        </is>
      </c>
      <c r="C1050" s="2" t="inlineStr">
        <is>
          <t>business_fact</t>
        </is>
      </c>
      <c r="D1050" s="2" t="inlineStr">
        <is>
          <t>Business fact</t>
        </is>
      </c>
      <c r="E1050" s="2" t="n"/>
      <c r="F1050" s="2" t="n"/>
      <c r="G1050" s="2" t="n"/>
      <c r="H1050" s="3" t="inlineStr">
        <is>
          <t>Graze (Nature Delivered Ltd.) generated revenue of about GBP 35m in 2025 and was profitable.</t>
        </is>
      </c>
      <c r="I1050" s="2" t="inlineStr">
        <is>
          <t>S5</t>
        </is>
      </c>
      <c r="J1050" s="2" t="n">
        <v>38</v>
      </c>
      <c r="K1050" s="3" t="inlineStr">
        <is>
          <t>The Company generated revenue of approximately GBP 35 mil- lion in the financial year 2025 and was profitable.</t>
        </is>
      </c>
      <c r="L1050" s="2" t="inlineStr">
        <is>
          <t>ok</t>
        </is>
      </c>
      <c r="M1050" s="2" t="inlineStr">
        <is>
          <t>demo reviewer</t>
        </is>
      </c>
      <c r="N1050" s="2" t="n"/>
      <c r="O1050" s="3" t="inlineStr">
        <is>
          <t>https://vanillabonds.com/dossier-data/pdf/katjes/katjes-h1-2026-interim-report.pdf#page=38</t>
        </is>
      </c>
      <c r="P1050" s="3" t="inlineStr">
        <is>
          <t>https://vanillabonds.com/dossier.html?c=katjes&amp;viewer=1&amp;item=F1049</t>
        </is>
      </c>
      <c r="Q1050" s="2" t="inlineStr"/>
    </row>
    <row r="1051">
      <c r="A1051" s="2" t="inlineStr">
        <is>
          <t>F1050</t>
        </is>
      </c>
      <c r="B1051" s="2" t="inlineStr">
        <is>
          <t>business</t>
        </is>
      </c>
      <c r="C1051" s="2" t="inlineStr">
        <is>
          <t>business_fact</t>
        </is>
      </c>
      <c r="D1051" s="2" t="inlineStr">
        <is>
          <t>Business fact</t>
        </is>
      </c>
      <c r="E1051" s="2" t="n"/>
      <c r="F1051" s="2" t="n"/>
      <c r="G1051" s="2" t="n"/>
      <c r="H1051" s="3" t="inlineStr">
        <is>
          <t>Group holds about 45% in Bogner GCA Holding PTE. Ltd., Singapore, and 27.3% in Missoni S.p.A. since May 2026, both at equity; carrying amount of equity investments 55.9 (additions 50.1, result 1.5).</t>
        </is>
      </c>
      <c r="I1051" s="2" t="inlineStr">
        <is>
          <t>S5</t>
        </is>
      </c>
      <c r="J1051" s="2" t="n">
        <v>41</v>
      </c>
      <c r="K1051" s="3" t="inlineStr">
        <is>
          <t>Carrying amount as at January 1, 2026 4.3 Additions 50.1 Result for the period 1.5 Carrying amount as at June 30, 2026 55.9</t>
        </is>
      </c>
      <c r="L1051" s="2" t="inlineStr">
        <is>
          <t>ok</t>
        </is>
      </c>
      <c r="M1051" s="2" t="inlineStr">
        <is>
          <t>demo reviewer</t>
        </is>
      </c>
      <c r="N1051" s="2" t="n"/>
      <c r="O1051" s="3" t="inlineStr">
        <is>
          <t>https://vanillabonds.com/dossier-data/pdf/katjes/katjes-h1-2026-interim-report.pdf#page=41</t>
        </is>
      </c>
      <c r="P1051" s="3" t="inlineStr">
        <is>
          <t>https://vanillabonds.com/dossier.html?c=katjes&amp;viewer=1&amp;item=F1050</t>
        </is>
      </c>
      <c r="Q1051" s="2" t="inlineStr"/>
    </row>
    <row r="1052">
      <c r="A1052" s="2" t="inlineStr">
        <is>
          <t>F1051</t>
        </is>
      </c>
      <c r="B1052" s="2" t="inlineStr">
        <is>
          <t>business</t>
        </is>
      </c>
      <c r="C1052" s="2" t="inlineStr">
        <is>
          <t>business_fact</t>
        </is>
      </c>
      <c r="D1052" s="2" t="inlineStr">
        <is>
          <t>Business fact</t>
        </is>
      </c>
      <c r="E1052" s="2" t="n"/>
      <c r="F1052" s="2" t="n"/>
      <c r="G1052" s="2" t="n"/>
      <c r="H1052" s="3" t="inlineStr">
        <is>
          <t>Missoni call option carried at EUR 7.6m (FV PL), valued with Black-Scholes at about 35% volatility and a 2.3% risk-free rate.</t>
        </is>
      </c>
      <c r="I1052" s="2" t="inlineStr">
        <is>
          <t>S5</t>
        </is>
      </c>
      <c r="J1052" s="2" t="n">
        <v>43</v>
      </c>
      <c r="K1052" s="3" t="inlineStr">
        <is>
          <t>The call option to acquire additional shares in Missoni was valued using the Black-Scholes model, based on an expec- ted volatility of approximately 35% and a risk-free interest rate of 2.3%.</t>
        </is>
      </c>
      <c r="L1052" s="2" t="inlineStr">
        <is>
          <t>ok</t>
        </is>
      </c>
      <c r="M1052" s="2" t="inlineStr">
        <is>
          <t>demo reviewer</t>
        </is>
      </c>
      <c r="N1052" s="2" t="n"/>
      <c r="O1052" s="3" t="inlineStr">
        <is>
          <t>https://vanillabonds.com/dossier-data/pdf/katjes/katjes-h1-2026-interim-report.pdf#page=43</t>
        </is>
      </c>
      <c r="P1052" s="3" t="inlineStr">
        <is>
          <t>https://vanillabonds.com/dossier.html?c=katjes&amp;viewer=1&amp;item=F1051</t>
        </is>
      </c>
      <c r="Q1052" s="2" t="inlineStr"/>
    </row>
    <row r="1053">
      <c r="A1053" s="2" t="inlineStr">
        <is>
          <t>F1052</t>
        </is>
      </c>
      <c r="B1053" s="2" t="inlineStr">
        <is>
          <t>business</t>
        </is>
      </c>
      <c r="C1053" s="2" t="inlineStr">
        <is>
          <t>business_fact</t>
        </is>
      </c>
      <c r="D1053" s="2" t="inlineStr">
        <is>
          <t>Business fact</t>
        </is>
      </c>
      <c r="E1053" s="2" t="n"/>
      <c r="F1053" s="2" t="n"/>
      <c r="G1053" s="2" t="n"/>
      <c r="H1053" s="3" t="inlineStr">
        <is>
          <t>Hedging reserve EUR 0.7m at 30 June 2026; derivatives show positive market values of 0.7 and negative of 0.6; hedges were re-designated on the Bogner acquisition.</t>
        </is>
      </c>
      <c r="I1053" s="2" t="inlineStr">
        <is>
          <t>S5</t>
        </is>
      </c>
      <c r="J1053" s="2" t="n">
        <v>44</v>
      </c>
      <c r="K1053" s="3" t="inlineStr">
        <is>
          <t>At the balance sheet date, the hedging reserve amounted to EUR 0.7 million.</t>
        </is>
      </c>
      <c r="L1053" s="2" t="inlineStr">
        <is>
          <t>ok</t>
        </is>
      </c>
      <c r="M1053" s="2" t="inlineStr">
        <is>
          <t>demo reviewer</t>
        </is>
      </c>
      <c r="N1053" s="2" t="n"/>
      <c r="O1053" s="3" t="inlineStr">
        <is>
          <t>https://vanillabonds.com/dossier-data/pdf/katjes/katjes-h1-2026-interim-report.pdf#page=44</t>
        </is>
      </c>
      <c r="P1053" s="3" t="inlineStr">
        <is>
          <t>https://vanillabonds.com/dossier.html?c=katjes&amp;viewer=1&amp;item=F1052</t>
        </is>
      </c>
      <c r="Q1053" s="2" t="inlineStr"/>
    </row>
    <row r="1054">
      <c r="A1054" s="2" t="inlineStr">
        <is>
          <t>F1053</t>
        </is>
      </c>
      <c r="B1054" s="2" t="inlineStr">
        <is>
          <t>business</t>
        </is>
      </c>
      <c r="C1054" s="2" t="inlineStr">
        <is>
          <t>key_event</t>
        </is>
      </c>
      <c r="D1054" s="2" t="inlineStr">
        <is>
          <t>Key event (M&amp;A, financing, strategy)</t>
        </is>
      </c>
      <c r="E1054" s="2" t="n"/>
      <c r="F1054" s="2" t="n"/>
      <c r="G1054" s="2" t="n"/>
      <c r="H1054" s="3" t="inlineStr">
        <is>
          <t>Graze acquisition included taking over the London production site (February 2026).</t>
        </is>
      </c>
      <c r="I1054" s="2" t="inlineStr">
        <is>
          <t>S5</t>
        </is>
      </c>
      <c r="J1054" s="2" t="n">
        <v>4</v>
      </c>
      <c r="K1054" s="3" t="inlineStr">
        <is>
          <t>brand portfolio while also taking over the London production site.</t>
        </is>
      </c>
      <c r="L1054" s="2" t="inlineStr">
        <is>
          <t>ok</t>
        </is>
      </c>
      <c r="M1054" s="2" t="inlineStr">
        <is>
          <t>demo reviewer</t>
        </is>
      </c>
      <c r="N1054" s="2" t="n"/>
      <c r="O1054" s="3" t="inlineStr">
        <is>
          <t>https://vanillabonds.com/dossier-data/pdf/katjes/katjes-h1-2026-interim-report.pdf#page=4</t>
        </is>
      </c>
      <c r="P1054" s="3" t="inlineStr">
        <is>
          <t>https://vanillabonds.com/dossier.html?c=katjes&amp;viewer=1&amp;item=F1053</t>
        </is>
      </c>
      <c r="Q1054" s="2" t="inlineStr"/>
    </row>
    <row r="1055">
      <c r="A1055" s="2" t="inlineStr">
        <is>
          <t>F1054</t>
        </is>
      </c>
      <c r="B1055" s="2" t="inlineStr">
        <is>
          <t>business</t>
        </is>
      </c>
      <c r="C1055" s="2" t="inlineStr">
        <is>
          <t>key_event</t>
        </is>
      </c>
      <c r="D1055" s="2" t="inlineStr">
        <is>
          <t>Key event (M&amp;A, financing, strategy)</t>
        </is>
      </c>
      <c r="E1055" s="2" t="n"/>
      <c r="F1055" s="2" t="n"/>
      <c r="G1055" s="2" t="n"/>
      <c r="H1055" s="3" t="inlineStr">
        <is>
          <t>Treets converted its product portfolio to 100% vegan in spring 2026 and launched Pretzel Bites and Minions-licensed Treets Buttons.</t>
        </is>
      </c>
      <c r="I1055" s="2" t="inlineStr">
        <is>
          <t>S5</t>
        </is>
      </c>
      <c r="J1055" s="2" t="n">
        <v>9</v>
      </c>
      <c r="K1055" s="3" t="inlineStr">
        <is>
          <t>in spring 2026, Treets will convert its product portfolio to 100% vegan.</t>
        </is>
      </c>
      <c r="L1055" s="2" t="inlineStr">
        <is>
          <t>ok</t>
        </is>
      </c>
      <c r="M1055" s="2" t="inlineStr">
        <is>
          <t>demo reviewer</t>
        </is>
      </c>
      <c r="N1055" s="2" t="n"/>
      <c r="O1055" s="3" t="inlineStr">
        <is>
          <t>https://vanillabonds.com/dossier-data/pdf/katjes/katjes-h1-2026-interim-report.pdf#page=9</t>
        </is>
      </c>
      <c r="P1055" s="3" t="inlineStr">
        <is>
          <t>https://vanillabonds.com/dossier.html?c=katjes&amp;viewer=1&amp;item=F1054</t>
        </is>
      </c>
      <c r="Q1055" s="2" t="inlineStr"/>
    </row>
    <row r="1056">
      <c r="A1056" s="2" t="inlineStr">
        <is>
          <t>F1055</t>
        </is>
      </c>
      <c r="B1056" s="2" t="inlineStr">
        <is>
          <t>business</t>
        </is>
      </c>
      <c r="C1056" s="2" t="inlineStr">
        <is>
          <t>key_event</t>
        </is>
      </c>
      <c r="D1056" s="2" t="inlineStr">
        <is>
          <t>Key event (M&amp;A, financing, strategy)</t>
        </is>
      </c>
      <c r="E1056" s="2" t="n"/>
      <c r="F1056" s="2" t="n"/>
      <c r="G1056" s="2" t="n"/>
      <c r="H1056" s="3" t="inlineStr">
        <is>
          <t>Shirin Beauty expanded its drugstore bodycare line with a new line in June 2026; over six million products sold one year after launch.</t>
        </is>
      </c>
      <c r="I1056" s="2" t="inlineStr">
        <is>
          <t>S5</t>
        </is>
      </c>
      <c r="J1056" s="2" t="n">
        <v>12</v>
      </c>
      <c r="K1056" s="3" t="inlineStr">
        <is>
          <t>With more than six million products sold and its position as the market leader in the body oil category (excluding private labels),</t>
        </is>
      </c>
      <c r="L1056" s="2" t="inlineStr">
        <is>
          <t>ok</t>
        </is>
      </c>
      <c r="M1056" s="2" t="inlineStr">
        <is>
          <t>demo reviewer</t>
        </is>
      </c>
      <c r="N1056" s="2" t="n"/>
      <c r="O1056" s="3" t="inlineStr">
        <is>
          <t>https://vanillabonds.com/dossier-data/pdf/katjes/katjes-h1-2026-interim-report.pdf#page=12</t>
        </is>
      </c>
      <c r="P1056" s="3" t="inlineStr">
        <is>
          <t>https://vanillabonds.com/dossier.html?c=katjes&amp;viewer=1&amp;item=F1055</t>
        </is>
      </c>
      <c r="Q1056" s="2" t="inlineStr"/>
    </row>
    <row r="1057">
      <c r="A1057" s="2" t="inlineStr">
        <is>
          <t>F1056</t>
        </is>
      </c>
      <c r="B1057" s="2" t="inlineStr">
        <is>
          <t>business</t>
        </is>
      </c>
      <c r="C1057" s="2" t="inlineStr">
        <is>
          <t>key_event</t>
        </is>
      </c>
      <c r="D1057" s="2" t="inlineStr">
        <is>
          <t>Key event (M&amp;A, financing, strategy)</t>
        </is>
      </c>
      <c r="E1057" s="2" t="n"/>
      <c r="F1057" s="2" t="n"/>
      <c r="G1057" s="2" t="n"/>
      <c r="H1057" s="3" t="inlineStr">
        <is>
          <t>After the Graze acquisition a strategy sprint was launched to relaunch the brand within 6 months, covering the whole marketing mix.</t>
        </is>
      </c>
      <c r="I1057" s="2" t="inlineStr">
        <is>
          <t>S5</t>
        </is>
      </c>
      <c r="J1057" s="2" t="n">
        <v>13</v>
      </c>
      <c r="K1057" s="3" t="inlineStr">
        <is>
          <t>Following the acquisition, a strategy sprint was launched to relaunch the brand within 6 months.</t>
        </is>
      </c>
      <c r="L1057" s="2" t="inlineStr">
        <is>
          <t>ok</t>
        </is>
      </c>
      <c r="M1057" s="2" t="inlineStr">
        <is>
          <t>demo reviewer</t>
        </is>
      </c>
      <c r="N1057" s="2" t="n"/>
      <c r="O1057" s="3" t="inlineStr">
        <is>
          <t>https://vanillabonds.com/dossier-data/pdf/katjes/katjes-h1-2026-interim-report.pdf#page=13</t>
        </is>
      </c>
      <c r="P1057" s="3" t="inlineStr">
        <is>
          <t>https://vanillabonds.com/dossier.html?c=katjes&amp;viewer=1&amp;item=F1056</t>
        </is>
      </c>
      <c r="Q1057" s="2" t="inlineStr"/>
    </row>
    <row r="1058">
      <c r="A1058" s="2" t="inlineStr">
        <is>
          <t>F1057</t>
        </is>
      </c>
      <c r="B1058" s="2" t="inlineStr">
        <is>
          <t>business</t>
        </is>
      </c>
      <c r="C1058" s="2" t="inlineStr">
        <is>
          <t>key_event</t>
        </is>
      </c>
      <c r="D1058" s="2" t="inlineStr">
        <is>
          <t>Key event (M&amp;A, financing, strategy)</t>
        </is>
      </c>
      <c r="E1058" s="2" t="n"/>
      <c r="F1058" s="2" t="n"/>
      <c r="G1058" s="2" t="n"/>
      <c r="H1058" s="3" t="inlineStr">
        <is>
          <t>Shades 'Find A Football, Get A Goal' promotion: 2.5 million promotional packs sold out in under 6 weeks.</t>
        </is>
      </c>
      <c r="I1058" s="2" t="inlineStr">
        <is>
          <t>S5</t>
        </is>
      </c>
      <c r="J1058" s="2" t="n">
        <v>14</v>
      </c>
      <c r="K1058" s="3" t="inlineStr">
        <is>
          <t>promotional packs sold out in under 6 weeks.</t>
        </is>
      </c>
      <c r="L1058" s="2" t="inlineStr">
        <is>
          <t>ok</t>
        </is>
      </c>
      <c r="M1058" s="2" t="inlineStr">
        <is>
          <t>demo reviewer</t>
        </is>
      </c>
      <c r="N1058" s="2" t="n"/>
      <c r="O1058" s="3" t="inlineStr">
        <is>
          <t>https://vanillabonds.com/dossier-data/pdf/katjes/katjes-h1-2026-interim-report.pdf#page=14</t>
        </is>
      </c>
      <c r="P1058" s="3" t="inlineStr">
        <is>
          <t>https://vanillabonds.com/dossier.html?c=katjes&amp;viewer=1&amp;item=F1057</t>
        </is>
      </c>
      <c r="Q1058" s="2" t="inlineStr"/>
    </row>
    <row r="1059">
      <c r="A1059" s="2" t="inlineStr">
        <is>
          <t>F1058</t>
        </is>
      </c>
      <c r="B1059" s="2" t="inlineStr">
        <is>
          <t>business</t>
        </is>
      </c>
      <c r="C1059" s="2" t="inlineStr">
        <is>
          <t>key_event</t>
        </is>
      </c>
      <c r="D1059" s="2" t="inlineStr">
        <is>
          <t>Key event (M&amp;A, financing, strategy)</t>
        </is>
      </c>
      <c r="E1059" s="2" t="n"/>
      <c r="F1059" s="2" t="n"/>
      <c r="G1059" s="2" t="n"/>
      <c r="H1059" s="3" t="inlineStr">
        <is>
          <t>Bogner's China business is pursued as a joint venture with Bosideng, described by the company as the world's largest manufacturer of down jackets.</t>
        </is>
      </c>
      <c r="I1059" s="2" t="inlineStr">
        <is>
          <t>S5</t>
        </is>
      </c>
      <c r="J1059" s="2" t="n">
        <v>15</v>
      </c>
      <c r="K1059" s="3" t="inlineStr">
        <is>
          <t>The China business is being pursued as a joint venture together with Bosideng, the world's largest manufacturer of down jackets.</t>
        </is>
      </c>
      <c r="L1059" s="2" t="inlineStr">
        <is>
          <t>ok</t>
        </is>
      </c>
      <c r="M1059" s="2" t="inlineStr">
        <is>
          <t>demo reviewer</t>
        </is>
      </c>
      <c r="N1059" s="2" t="n"/>
      <c r="O1059" s="3" t="inlineStr">
        <is>
          <t>https://vanillabonds.com/dossier-data/pdf/katjes/katjes-h1-2026-interim-report.pdf#page=15</t>
        </is>
      </c>
      <c r="P1059" s="3" t="inlineStr">
        <is>
          <t>https://vanillabonds.com/dossier.html?c=katjes&amp;viewer=1&amp;item=F1058</t>
        </is>
      </c>
      <c r="Q1059" s="2" t="inlineStr"/>
    </row>
    <row r="1060">
      <c r="A1060" s="2" t="inlineStr">
        <is>
          <t>F1059</t>
        </is>
      </c>
      <c r="B1060" s="2" t="inlineStr">
        <is>
          <t>business</t>
        </is>
      </c>
      <c r="C1060" s="2" t="inlineStr">
        <is>
          <t>key_event</t>
        </is>
      </c>
      <c r="D1060" s="2" t="inlineStr">
        <is>
          <t>Key event (M&amp;A, financing, strategy)</t>
        </is>
      </c>
      <c r="E1060" s="2" t="n"/>
      <c r="F1060" s="2" t="n"/>
      <c r="G1060" s="2" t="n"/>
      <c r="H1060" s="3" t="inlineStr">
        <is>
          <t>Bogner is developing a new mono-brand store design with architect Matteo Thun (H1-2026).</t>
        </is>
      </c>
      <c r="I1060" s="2" t="inlineStr">
        <is>
          <t>S5</t>
        </is>
      </c>
      <c r="J1060" s="2" t="n">
        <v>15</v>
      </c>
      <c r="K1060" s="3" t="inlineStr">
        <is>
          <t>Together with the renowned architect and designer Matteo Thun, BOGNER is developing a new store design for the mono- brand stores</t>
        </is>
      </c>
      <c r="L1060" s="2" t="inlineStr">
        <is>
          <t>ok</t>
        </is>
      </c>
      <c r="M1060" s="2" t="inlineStr">
        <is>
          <t>demo reviewer</t>
        </is>
      </c>
      <c r="N1060" s="2" t="n"/>
      <c r="O1060" s="3" t="inlineStr">
        <is>
          <t>https://vanillabonds.com/dossier-data/pdf/katjes/katjes-h1-2026-interim-report.pdf#page=15</t>
        </is>
      </c>
      <c r="P1060" s="3" t="inlineStr">
        <is>
          <t>https://vanillabonds.com/dossier.html?c=katjes&amp;viewer=1&amp;item=F1059</t>
        </is>
      </c>
      <c r="Q1060" s="2" t="inlineStr"/>
    </row>
    <row r="1061">
      <c r="A1061" s="2" t="inlineStr">
        <is>
          <t>F1060</t>
        </is>
      </c>
      <c r="B1061" s="2" t="inlineStr">
        <is>
          <t>business</t>
        </is>
      </c>
      <c r="C1061" s="2" t="inlineStr">
        <is>
          <t>key_event</t>
        </is>
      </c>
      <c r="D1061" s="2" t="inlineStr">
        <is>
          <t>Key event (M&amp;A, financing, strategy)</t>
        </is>
      </c>
      <c r="E1061" s="2" t="n"/>
      <c r="F1061" s="2" t="n"/>
      <c r="G1061" s="2" t="n"/>
      <c r="H1061" s="3" t="inlineStr">
        <is>
          <t>Joint venture Shirin Beauty with musician Shirin David established 2024 (50%); joint venture Shades Snacks with YouTuber Niko Omilana in the UK (49%); both distributing since Q2 2025.</t>
        </is>
      </c>
      <c r="I1061" s="2" t="inlineStr">
        <is>
          <t>S5</t>
        </is>
      </c>
      <c r="J1061" s="2" t="n">
        <v>18</v>
      </c>
      <c r="K1061" s="3" t="inlineStr">
        <is>
          <t>In 2024, a joint venture was established with entrepreneur and musician Shirin David, in which Katjes International holds 50%.</t>
        </is>
      </c>
      <c r="L1061" s="2" t="inlineStr">
        <is>
          <t>ok</t>
        </is>
      </c>
      <c r="M1061" s="2" t="inlineStr">
        <is>
          <t>demo reviewer</t>
        </is>
      </c>
      <c r="N1061" s="2" t="n"/>
      <c r="O1061" s="3" t="inlineStr">
        <is>
          <t>https://vanillabonds.com/dossier-data/pdf/katjes/katjes-h1-2026-interim-report.pdf#page=18</t>
        </is>
      </c>
      <c r="P1061" s="3" t="inlineStr">
        <is>
          <t>https://vanillabonds.com/dossier.html?c=katjes&amp;viewer=1&amp;item=F1060</t>
        </is>
      </c>
      <c r="Q1061" s="2" t="inlineStr"/>
    </row>
    <row r="1062">
      <c r="A1062" s="2" t="inlineStr">
        <is>
          <t>F1061</t>
        </is>
      </c>
      <c r="B1062" s="2" t="inlineStr">
        <is>
          <t>business</t>
        </is>
      </c>
      <c r="C1062" s="2" t="inlineStr">
        <is>
          <t>key_event</t>
        </is>
      </c>
      <c r="D1062" s="2" t="inlineStr">
        <is>
          <t>Key event (M&amp;A, financing, strategy)</t>
        </is>
      </c>
      <c r="E1062" s="2" t="n"/>
      <c r="F1062" s="2" t="n">
        <v>200</v>
      </c>
      <c r="G1062" s="2" t="n"/>
      <c r="H1062" s="3" t="inlineStr">
        <is>
          <t>In connection with the Missoni transaction the existing corporate bond was increased by EUR 15m to EUR 200m (May 2026).</t>
        </is>
      </c>
      <c r="I1062" s="2" t="inlineStr">
        <is>
          <t>S5</t>
        </is>
      </c>
      <c r="J1062" s="2" t="n">
        <v>21</v>
      </c>
      <c r="K1062" s="3" t="inlineStr">
        <is>
          <t>the existing corporate bond was increased by EUR 15 million to a total of EUR 200 million.</t>
        </is>
      </c>
      <c r="L1062" s="2" t="inlineStr">
        <is>
          <t>ok</t>
        </is>
      </c>
      <c r="M1062" s="2" t="inlineStr">
        <is>
          <t>demo reviewer</t>
        </is>
      </c>
      <c r="N1062" s="2" t="n"/>
      <c r="O1062" s="3" t="inlineStr">
        <is>
          <t>https://vanillabonds.com/dossier-data/pdf/katjes/katjes-h1-2026-interim-report.pdf#page=21</t>
        </is>
      </c>
      <c r="P1062" s="3" t="inlineStr">
        <is>
          <t>https://vanillabonds.com/dossier.html?c=katjes&amp;viewer=1&amp;item=F1061</t>
        </is>
      </c>
      <c r="Q1062" s="2" t="inlineStr"/>
    </row>
    <row r="1063">
      <c r="A1063" s="2" t="inlineStr">
        <is>
          <t>F1062</t>
        </is>
      </c>
      <c r="B1063" s="2" t="inlineStr">
        <is>
          <t>business</t>
        </is>
      </c>
      <c r="C1063" s="2" t="inlineStr">
        <is>
          <t>key_event</t>
        </is>
      </c>
      <c r="D1063" s="2" t="inlineStr">
        <is>
          <t>Key event (M&amp;A, financing, strategy)</t>
        </is>
      </c>
      <c r="E1063" s="2" t="n"/>
      <c r="F1063" s="2" t="n"/>
      <c r="G1063" s="2" t="n"/>
      <c r="H1063" s="3" t="inlineStr">
        <is>
          <t>Katjes International was granted a call option over further Missoni shares held by the majority shareholder, whose exercise would enable a majority interest.</t>
        </is>
      </c>
      <c r="I1063" s="2" t="inlineStr">
        <is>
          <t>S5</t>
        </is>
      </c>
      <c r="J1063" s="2" t="n">
        <v>21</v>
      </c>
      <c r="K1063" s="3" t="inlineStr">
        <is>
          <t>jes International was granted a call option over further shares held by the majority shareholder, the exercise of which would enable Katjes International to acquire a majority interest.</t>
        </is>
      </c>
      <c r="L1063" s="2" t="inlineStr">
        <is>
          <t>ok</t>
        </is>
      </c>
      <c r="M1063" s="2" t="inlineStr">
        <is>
          <t>demo reviewer</t>
        </is>
      </c>
      <c r="N1063" s="2" t="n"/>
      <c r="O1063" s="3" t="inlineStr">
        <is>
          <t>https://vanillabonds.com/dossier-data/pdf/katjes/katjes-h1-2026-interim-report.pdf#page=21</t>
        </is>
      </c>
      <c r="P1063" s="3" t="inlineStr">
        <is>
          <t>https://vanillabonds.com/dossier.html?c=katjes&amp;viewer=1&amp;item=F1062</t>
        </is>
      </c>
      <c r="Q1063" s="2" t="inlineStr"/>
    </row>
    <row r="1064">
      <c r="A1064" s="2" t="inlineStr">
        <is>
          <t>F1063</t>
        </is>
      </c>
      <c r="B1064" s="2" t="inlineStr">
        <is>
          <t>business</t>
        </is>
      </c>
      <c r="C1064" s="2" t="inlineStr">
        <is>
          <t>key_event</t>
        </is>
      </c>
      <c r="D1064" s="2" t="inlineStr">
        <is>
          <t>Key event (M&amp;A, financing, strategy)</t>
        </is>
      </c>
      <c r="E1064" s="2" t="n"/>
      <c r="F1064" s="2" t="n"/>
      <c r="G1064" s="2" t="n"/>
      <c r="H1064" s="3" t="inlineStr">
        <is>
          <t>No events of particular significance occurred after the 30 June 2026 reporting date, per management.</t>
        </is>
      </c>
      <c r="I1064" s="2" t="inlineStr">
        <is>
          <t>S5</t>
        </is>
      </c>
      <c r="J1064" s="2" t="n">
        <v>49</v>
      </c>
      <c r="K1064" s="3" t="inlineStr">
        <is>
          <t>No events of particular significance or with material effects on the results of operations, financial position, or net assets, known to the management of Katjes International, have occurred</t>
        </is>
      </c>
      <c r="L1064" s="2" t="inlineStr">
        <is>
          <t>ok</t>
        </is>
      </c>
      <c r="M1064" s="2" t="inlineStr">
        <is>
          <t>demo reviewer</t>
        </is>
      </c>
      <c r="N1064" s="2" t="n"/>
      <c r="O1064" s="3" t="inlineStr">
        <is>
          <t>https://vanillabonds.com/dossier-data/pdf/katjes/katjes-h1-2026-interim-report.pdf#page=49</t>
        </is>
      </c>
      <c r="P1064" s="3" t="inlineStr">
        <is>
          <t>https://vanillabonds.com/dossier.html?c=katjes&amp;viewer=1&amp;item=F1063</t>
        </is>
      </c>
      <c r="Q1064" s="2" t="inlineStr"/>
    </row>
    <row r="1065">
      <c r="A1065" s="2" t="inlineStr">
        <is>
          <t>F1064</t>
        </is>
      </c>
      <c r="B1065" s="2" t="inlineStr">
        <is>
          <t>financials</t>
        </is>
      </c>
      <c r="C1065" s="2" t="inlineStr">
        <is>
          <t>revenue</t>
        </is>
      </c>
      <c r="D1065" s="2" t="inlineStr">
        <is>
          <t>Revenue</t>
        </is>
      </c>
      <c r="E1065" s="2" t="inlineStr">
        <is>
          <t>H1-2025</t>
        </is>
      </c>
      <c r="F1065" s="2" t="n">
        <v>164.8</v>
      </c>
      <c r="G1065" s="2" t="inlineStr">
        <is>
          <t>EUR m</t>
        </is>
      </c>
      <c r="H1065" s="2" t="inlineStr">
        <is>
          <t>Group revenue H1-2025 comparative.</t>
        </is>
      </c>
      <c r="I1065" s="2" t="inlineStr">
        <is>
          <t>S5</t>
        </is>
      </c>
      <c r="J1065" s="2" t="n">
        <v>29</v>
      </c>
      <c r="K1065" s="2" t="inlineStr">
        <is>
          <t>Revenue 6 256.0 164.8</t>
        </is>
      </c>
      <c r="L1065" s="2" t="inlineStr">
        <is>
          <t>ok</t>
        </is>
      </c>
      <c r="M1065" s="2" t="inlineStr">
        <is>
          <t>demo reviewer</t>
        </is>
      </c>
      <c r="N1065" s="2" t="n"/>
      <c r="O1065" s="3" t="inlineStr">
        <is>
          <t>https://vanillabonds.com/dossier-data/pdf/katjes/katjes-h1-2026-interim-report.pdf#page=29</t>
        </is>
      </c>
      <c r="P1065" s="3" t="inlineStr">
        <is>
          <t>https://vanillabonds.com/dossier.html?c=katjes&amp;viewer=1&amp;item=F1064</t>
        </is>
      </c>
      <c r="Q1065" s="2" t="inlineStr"/>
    </row>
    <row r="1066">
      <c r="A1066" s="2" t="inlineStr">
        <is>
          <t>F1065</t>
        </is>
      </c>
      <c r="B1066" s="2" t="inlineStr">
        <is>
          <t>financials</t>
        </is>
      </c>
      <c r="C1066" s="2" t="inlineStr">
        <is>
          <t>revenue</t>
        </is>
      </c>
      <c r="D1066" s="2" t="inlineStr">
        <is>
          <t>Revenue</t>
        </is>
      </c>
      <c r="E1066" s="2" t="inlineStr">
        <is>
          <t>H1-2026</t>
        </is>
      </c>
      <c r="F1066" s="2" t="n">
        <v>256</v>
      </c>
      <c r="G1066" s="2" t="inlineStr">
        <is>
          <t>EUR m</t>
        </is>
      </c>
      <c r="H1066" s="3" t="inlineStr">
        <is>
          <t>Group revenue H1-2026, up EUR 91.2m (around 55%) on H1-2025.</t>
        </is>
      </c>
      <c r="I1066" s="2" t="inlineStr">
        <is>
          <t>S5</t>
        </is>
      </c>
      <c r="J1066" s="2" t="n">
        <v>29</v>
      </c>
      <c r="K1066" s="2" t="inlineStr">
        <is>
          <t>Revenue 6 256.0 164.8</t>
        </is>
      </c>
      <c r="L1066" s="2" t="inlineStr">
        <is>
          <t>ok</t>
        </is>
      </c>
      <c r="M1066" s="2" t="inlineStr">
        <is>
          <t>demo reviewer</t>
        </is>
      </c>
      <c r="N1066" s="2" t="n"/>
      <c r="O1066" s="3" t="inlineStr">
        <is>
          <t>https://vanillabonds.com/dossier-data/pdf/katjes/katjes-h1-2026-interim-report.pdf#page=29</t>
        </is>
      </c>
      <c r="P1066" s="3" t="inlineStr">
        <is>
          <t>https://vanillabonds.com/dossier.html?c=katjes&amp;viewer=1&amp;item=F1065</t>
        </is>
      </c>
      <c r="Q1066" s="2" t="inlineStr"/>
    </row>
    <row r="1067">
      <c r="A1067" s="2" t="inlineStr">
        <is>
          <t>F1066</t>
        </is>
      </c>
      <c r="B1067" s="2" t="inlineStr">
        <is>
          <t>financials</t>
        </is>
      </c>
      <c r="C1067" s="2" t="inlineStr">
        <is>
          <t>ebitda</t>
        </is>
      </c>
      <c r="D1067" s="2" t="inlineStr">
        <is>
          <t>EBITDA (as reported)</t>
        </is>
      </c>
      <c r="E1067" s="2" t="inlineStr">
        <is>
          <t>H1-2025</t>
        </is>
      </c>
      <c r="F1067" s="2" t="n">
        <v>13.9</v>
      </c>
      <c r="G1067" s="2" t="inlineStr">
        <is>
          <t>EUR m</t>
        </is>
      </c>
      <c r="H1067" s="3" t="inlineStr">
        <is>
          <t>EBITDA as reported H1-2025; EBITDA margin 8.4%.</t>
        </is>
      </c>
      <c r="I1067" s="2" t="inlineStr">
        <is>
          <t>S5</t>
        </is>
      </c>
      <c r="J1067" s="2" t="n">
        <v>23</v>
      </c>
      <c r="K1067" s="3" t="inlineStr">
        <is>
          <t>(EBITDA) – the key management metric for the Group – stood at EUR 15.8 million (6M 2025: EUR 13.9 million)</t>
        </is>
      </c>
      <c r="L1067" s="2" t="inlineStr">
        <is>
          <t>ok</t>
        </is>
      </c>
      <c r="M1067" s="2" t="inlineStr">
        <is>
          <t>demo reviewer</t>
        </is>
      </c>
      <c r="N1067" s="2" t="n"/>
      <c r="O1067" s="3" t="inlineStr">
        <is>
          <t>https://vanillabonds.com/dossier-data/pdf/katjes/katjes-h1-2026-interim-report.pdf#page=23</t>
        </is>
      </c>
      <c r="P1067" s="3" t="inlineStr">
        <is>
          <t>https://vanillabonds.com/dossier.html?c=katjes&amp;viewer=1&amp;item=F1066</t>
        </is>
      </c>
      <c r="Q1067" s="2" t="inlineStr"/>
    </row>
    <row r="1068">
      <c r="A1068" s="2" t="inlineStr">
        <is>
          <t>F1067</t>
        </is>
      </c>
      <c r="B1068" s="2" t="inlineStr">
        <is>
          <t>financials</t>
        </is>
      </c>
      <c r="C1068" s="2" t="inlineStr">
        <is>
          <t>ebitda</t>
        </is>
      </c>
      <c r="D1068" s="2" t="inlineStr">
        <is>
          <t>EBITDA (as reported)</t>
        </is>
      </c>
      <c r="E1068" s="2" t="inlineStr">
        <is>
          <t>H1-2026</t>
        </is>
      </c>
      <c r="F1068" s="2" t="n">
        <v>15.8</v>
      </c>
      <c r="G1068" s="2" t="inlineStr">
        <is>
          <t>EUR m</t>
        </is>
      </c>
      <c r="H1068" s="3" t="inlineStr">
        <is>
          <t>EBITDA as reported, 'the key management metric for the Group'; EBITDA margin 6.2%.</t>
        </is>
      </c>
      <c r="I1068" s="2" t="inlineStr">
        <is>
          <t>S5</t>
        </is>
      </c>
      <c r="J1068" s="2" t="n">
        <v>23</v>
      </c>
      <c r="K1068" s="3" t="inlineStr">
        <is>
          <t>(EBITDA) – the key management metric for the Group – stood at EUR 15.8 million (6M 2025: EUR 13.9 million)</t>
        </is>
      </c>
      <c r="L1068" s="2" t="inlineStr">
        <is>
          <t>ok</t>
        </is>
      </c>
      <c r="M1068" s="2" t="inlineStr">
        <is>
          <t>demo reviewer</t>
        </is>
      </c>
      <c r="N1068" s="2" t="n"/>
      <c r="O1068" s="3" t="inlineStr">
        <is>
          <t>https://vanillabonds.com/dossier-data/pdf/katjes/katjes-h1-2026-interim-report.pdf#page=23</t>
        </is>
      </c>
      <c r="P1068" s="3" t="inlineStr">
        <is>
          <t>https://vanillabonds.com/dossier.html?c=katjes&amp;viewer=1&amp;item=F1067</t>
        </is>
      </c>
      <c r="Q1068" s="2" t="inlineStr"/>
    </row>
    <row r="1069">
      <c r="A1069" s="2" t="inlineStr">
        <is>
          <t>F1068</t>
        </is>
      </c>
      <c r="B1069" s="2" t="inlineStr">
        <is>
          <t>financials</t>
        </is>
      </c>
      <c r="C1069" s="2" t="inlineStr">
        <is>
          <t>ebit</t>
        </is>
      </c>
      <c r="D1069" s="2" t="inlineStr">
        <is>
          <t>EBIT / operating result</t>
        </is>
      </c>
      <c r="E1069" s="2" t="inlineStr">
        <is>
          <t>H1-2025</t>
        </is>
      </c>
      <c r="F1069" s="2" t="n">
        <v>3.7</v>
      </c>
      <c r="G1069" s="2" t="inlineStr">
        <is>
          <t>EUR m</t>
        </is>
      </c>
      <c r="H1069" s="2" t="inlineStr">
        <is>
          <t>Operating profit H1-2025 comparative.</t>
        </is>
      </c>
      <c r="I1069" s="2" t="inlineStr">
        <is>
          <t>S5</t>
        </is>
      </c>
      <c r="J1069" s="2" t="n">
        <v>29</v>
      </c>
      <c r="K1069" s="2" t="inlineStr">
        <is>
          <t>Operating profit -6.8 3.7</t>
        </is>
      </c>
      <c r="L1069" s="2" t="inlineStr">
        <is>
          <t>ok</t>
        </is>
      </c>
      <c r="M1069" s="2" t="inlineStr">
        <is>
          <t>demo reviewer</t>
        </is>
      </c>
      <c r="N1069" s="2" t="n"/>
      <c r="O1069" s="3" t="inlineStr">
        <is>
          <t>https://vanillabonds.com/dossier-data/pdf/katjes/katjes-h1-2026-interim-report.pdf#page=29</t>
        </is>
      </c>
      <c r="P1069" s="3" t="inlineStr">
        <is>
          <t>https://vanillabonds.com/dossier.html?c=katjes&amp;viewer=1&amp;item=F1068</t>
        </is>
      </c>
      <c r="Q1069" s="2" t="inlineStr"/>
    </row>
    <row r="1070">
      <c r="A1070" s="2" t="inlineStr">
        <is>
          <t>F1069</t>
        </is>
      </c>
      <c r="B1070" s="2" t="inlineStr">
        <is>
          <t>financials</t>
        </is>
      </c>
      <c r="C1070" s="2" t="inlineStr">
        <is>
          <t>ebit</t>
        </is>
      </c>
      <c r="D1070" s="2" t="inlineStr">
        <is>
          <t>EBIT / operating result</t>
        </is>
      </c>
      <c r="E1070" s="2" t="inlineStr">
        <is>
          <t>H1-2026</t>
        </is>
      </c>
      <c r="F1070" s="2" t="n">
        <v>-6.8</v>
      </c>
      <c r="G1070" s="2" t="inlineStr">
        <is>
          <t>EUR m</t>
        </is>
      </c>
      <c r="H1070" s="3" t="inlineStr">
        <is>
          <t>Operating profit H1-2026; the report attributes the decline to Bogner seasonality and two instances of damage caused by third parties.</t>
        </is>
      </c>
      <c r="I1070" s="2" t="inlineStr">
        <is>
          <t>S5</t>
        </is>
      </c>
      <c r="J1070" s="2" t="n">
        <v>29</v>
      </c>
      <c r="K1070" s="2" t="inlineStr">
        <is>
          <t>Operating profit -6.8 3.7</t>
        </is>
      </c>
      <c r="L1070" s="2" t="inlineStr">
        <is>
          <t>ok</t>
        </is>
      </c>
      <c r="M1070" s="2" t="inlineStr">
        <is>
          <t>demo reviewer</t>
        </is>
      </c>
      <c r="N1070" s="2" t="n"/>
      <c r="O1070" s="3" t="inlineStr">
        <is>
          <t>https://vanillabonds.com/dossier-data/pdf/katjes/katjes-h1-2026-interim-report.pdf#page=29</t>
        </is>
      </c>
      <c r="P1070" s="3" t="inlineStr">
        <is>
          <t>https://vanillabonds.com/dossier.html?c=katjes&amp;viewer=1&amp;item=F1069</t>
        </is>
      </c>
      <c r="Q1070" s="2" t="inlineStr"/>
    </row>
    <row r="1071">
      <c r="A1071" s="2" t="inlineStr">
        <is>
          <t>F1070</t>
        </is>
      </c>
      <c r="B1071" s="2" t="inlineStr">
        <is>
          <t>financials</t>
        </is>
      </c>
      <c r="C1071" s="2" t="inlineStr">
        <is>
          <t>net_income</t>
        </is>
      </c>
      <c r="D1071" s="2" t="inlineStr">
        <is>
          <t>Net result</t>
        </is>
      </c>
      <c r="E1071" s="2" t="inlineStr">
        <is>
          <t>H1-2025</t>
        </is>
      </c>
      <c r="F1071" s="2" t="n">
        <v>-1</v>
      </c>
      <c r="G1071" s="2" t="inlineStr">
        <is>
          <t>EUR m</t>
        </is>
      </c>
      <c r="H1071" s="2" t="inlineStr">
        <is>
          <t>Earnings after tax H1-2025 comparative.</t>
        </is>
      </c>
      <c r="I1071" s="2" t="inlineStr">
        <is>
          <t>S5</t>
        </is>
      </c>
      <c r="J1071" s="2" t="n">
        <v>29</v>
      </c>
      <c r="K1071" s="3" t="inlineStr">
        <is>
          <t>Earnings after tax (net profit for the period) -15.9 -1.0</t>
        </is>
      </c>
      <c r="L1071" s="2" t="inlineStr">
        <is>
          <t>ok</t>
        </is>
      </c>
      <c r="M1071" s="2" t="inlineStr">
        <is>
          <t>demo reviewer</t>
        </is>
      </c>
      <c r="N1071" s="2" t="n"/>
      <c r="O1071" s="3" t="inlineStr">
        <is>
          <t>https://vanillabonds.com/dossier-data/pdf/katjes/katjes-h1-2026-interim-report.pdf#page=29</t>
        </is>
      </c>
      <c r="P1071" s="3" t="inlineStr">
        <is>
          <t>https://vanillabonds.com/dossier.html?c=katjes&amp;viewer=1&amp;item=F1070</t>
        </is>
      </c>
      <c r="Q1071" s="2" t="inlineStr"/>
    </row>
    <row r="1072">
      <c r="A1072" s="2" t="inlineStr">
        <is>
          <t>F1071</t>
        </is>
      </c>
      <c r="B1072" s="2" t="inlineStr">
        <is>
          <t>financials</t>
        </is>
      </c>
      <c r="C1072" s="2" t="inlineStr">
        <is>
          <t>net_income</t>
        </is>
      </c>
      <c r="D1072" s="2" t="inlineStr">
        <is>
          <t>Net result</t>
        </is>
      </c>
      <c r="E1072" s="2" t="inlineStr">
        <is>
          <t>H1-2026</t>
        </is>
      </c>
      <c r="F1072" s="2" t="n">
        <v>-15.9</v>
      </c>
      <c r="G1072" s="2" t="inlineStr">
        <is>
          <t>EUR m</t>
        </is>
      </c>
      <c r="H1072" s="3" t="inlineStr">
        <is>
          <t>Earnings after tax H1-2026; of which non-controlling interests -7.8 and Katjes International shareholders -8.1.</t>
        </is>
      </c>
      <c r="I1072" s="2" t="inlineStr">
        <is>
          <t>S5</t>
        </is>
      </c>
      <c r="J1072" s="2" t="n">
        <v>29</v>
      </c>
      <c r="K1072" s="3" t="inlineStr">
        <is>
          <t>Earnings after tax (net profit for the period) -15.9 -1.0</t>
        </is>
      </c>
      <c r="L1072" s="2" t="inlineStr">
        <is>
          <t>ok</t>
        </is>
      </c>
      <c r="M1072" s="2" t="inlineStr">
        <is>
          <t>demo reviewer</t>
        </is>
      </c>
      <c r="N1072" s="2" t="n"/>
      <c r="O1072" s="3" t="inlineStr">
        <is>
          <t>https://vanillabonds.com/dossier-data/pdf/katjes/katjes-h1-2026-interim-report.pdf#page=29</t>
        </is>
      </c>
      <c r="P1072" s="3" t="inlineStr">
        <is>
          <t>https://vanillabonds.com/dossier.html?c=katjes&amp;viewer=1&amp;item=F1071</t>
        </is>
      </c>
      <c r="Q1072" s="2" t="inlineStr"/>
    </row>
    <row r="1073">
      <c r="A1073" s="2" t="inlineStr">
        <is>
          <t>F1072</t>
        </is>
      </c>
      <c r="B1073" s="2" t="inlineStr">
        <is>
          <t>financials</t>
        </is>
      </c>
      <c r="C1073" s="2" t="inlineStr">
        <is>
          <t>da</t>
        </is>
      </c>
      <c r="D1073" s="2" t="inlineStr">
        <is>
          <t>Depreciation &amp; amortisation</t>
        </is>
      </c>
      <c r="E1073" s="2" t="inlineStr">
        <is>
          <t>H1-2025</t>
        </is>
      </c>
      <c r="F1073" s="2" t="n"/>
      <c r="G1073" s="2" t="inlineStr">
        <is>
          <t>EUR m</t>
        </is>
      </c>
      <c r="H1073" s="3" t="inlineStr">
        <is>
          <t>No D&amp;A total stated; lines: depreciation of tangible fixed assets 5.3, amortisation of right-of-use assets 2.6, amortisation of intangible assets 2.4.</t>
        </is>
      </c>
      <c r="I1073" s="2" t="inlineStr">
        <is>
          <t>S5</t>
        </is>
      </c>
      <c r="J1073" s="2" t="n">
        <v>34</v>
      </c>
      <c r="K1073" s="3" t="inlineStr">
        <is>
          <t>Depreciation of tangible fixed assets 7.1 5.3 Amortisation of right-of-use assets 10.8 2.6 Amortisation of intangible assets 4.7 2.4</t>
        </is>
      </c>
      <c r="L1073" s="2" t="inlineStr">
        <is>
          <t>ok</t>
        </is>
      </c>
      <c r="M1073" s="2" t="inlineStr">
        <is>
          <t>demo reviewer</t>
        </is>
      </c>
      <c r="N1073" s="2" t="n"/>
      <c r="O1073" s="3" t="inlineStr">
        <is>
          <t>https://vanillabonds.com/dossier-data/pdf/katjes/katjes-h1-2026-interim-report.pdf#page=34</t>
        </is>
      </c>
      <c r="P1073" s="3" t="inlineStr">
        <is>
          <t>https://vanillabonds.com/dossier.html?c=katjes&amp;viewer=1&amp;item=F1072</t>
        </is>
      </c>
      <c r="Q1073" s="2" t="inlineStr"/>
    </row>
    <row r="1074">
      <c r="A1074" s="2" t="inlineStr">
        <is>
          <t>F1073</t>
        </is>
      </c>
      <c r="B1074" s="2" t="inlineStr">
        <is>
          <t>financials</t>
        </is>
      </c>
      <c r="C1074" s="2" t="inlineStr">
        <is>
          <t>da</t>
        </is>
      </c>
      <c r="D1074" s="2" t="inlineStr">
        <is>
          <t>Depreciation &amp; amortisation</t>
        </is>
      </c>
      <c r="E1074" s="2" t="inlineStr">
        <is>
          <t>H1-2026</t>
        </is>
      </c>
      <c r="F1074" s="2" t="n"/>
      <c r="G1074" s="2" t="inlineStr">
        <is>
          <t>EUR m</t>
        </is>
      </c>
      <c r="H1074" s="3" t="inlineStr">
        <is>
          <t>No D&amp;A total stated; cash flow statement lines: depreciation of tangible fixed assets 7.1, amortisation of right-of-use assets 10.8, amortisation of intangible assets 4.7.</t>
        </is>
      </c>
      <c r="I1074" s="2" t="inlineStr">
        <is>
          <t>S5</t>
        </is>
      </c>
      <c r="J1074" s="2" t="n">
        <v>34</v>
      </c>
      <c r="K1074" s="3" t="inlineStr">
        <is>
          <t>Depreciation of tangible fixed assets 7.1 5.3 Amortisation of right-of-use assets 10.8 2.6 Amortisation of intangible assets 4.7 2.4</t>
        </is>
      </c>
      <c r="L1074" s="2" t="inlineStr">
        <is>
          <t>ok</t>
        </is>
      </c>
      <c r="M1074" s="2" t="inlineStr">
        <is>
          <t>demo reviewer</t>
        </is>
      </c>
      <c r="N1074" s="2" t="n"/>
      <c r="O1074" s="3" t="inlineStr">
        <is>
          <t>https://vanillabonds.com/dossier-data/pdf/katjes/katjes-h1-2026-interim-report.pdf#page=34</t>
        </is>
      </c>
      <c r="P1074" s="3" t="inlineStr">
        <is>
          <t>https://vanillabonds.com/dossier.html?c=katjes&amp;viewer=1&amp;item=F1073</t>
        </is>
      </c>
      <c r="Q1074" s="2" t="inlineStr"/>
    </row>
    <row r="1075">
      <c r="A1075" s="2" t="inlineStr">
        <is>
          <t>F1074</t>
        </is>
      </c>
      <c r="B1075" s="2" t="inlineStr">
        <is>
          <t>financials</t>
        </is>
      </c>
      <c r="C1075" s="2" t="inlineStr">
        <is>
          <t>net_interest</t>
        </is>
      </c>
      <c r="D1075" s="2" t="inlineStr">
        <is>
          <t>Net finance cost</t>
        </is>
      </c>
      <c r="E1075" s="2" t="inlineStr">
        <is>
          <t>H1-2025</t>
        </is>
      </c>
      <c r="F1075" s="2" t="n">
        <v>4.1</v>
      </c>
      <c r="G1075" s="2" t="inlineStr">
        <is>
          <t>EUR m</t>
        </is>
      </c>
      <c r="H1075" s="3" t="inlineStr">
        <is>
          <t>Financial result -4.1 (financial expenses 6.2, financial income 2.1), including equity-accounted result of 1.9.</t>
        </is>
      </c>
      <c r="I1075" s="2" t="inlineStr">
        <is>
          <t>S5</t>
        </is>
      </c>
      <c r="J1075" s="2" t="n">
        <v>23</v>
      </c>
      <c r="K1075" s="3" t="inlineStr">
        <is>
          <t>The financial result amounted to EUR -11.2 million (6M 2025: EUR -4.1 million).</t>
        </is>
      </c>
      <c r="L1075" s="2" t="inlineStr">
        <is>
          <t>ok</t>
        </is>
      </c>
      <c r="M1075" s="2" t="inlineStr">
        <is>
          <t>demo reviewer</t>
        </is>
      </c>
      <c r="N1075" s="2" t="n"/>
      <c r="O1075" s="3" t="inlineStr">
        <is>
          <t>https://vanillabonds.com/dossier-data/pdf/katjes/katjes-h1-2026-interim-report.pdf#page=23</t>
        </is>
      </c>
      <c r="P1075" s="3" t="inlineStr">
        <is>
          <t>https://vanillabonds.com/dossier.html?c=katjes&amp;viewer=1&amp;item=F1074</t>
        </is>
      </c>
      <c r="Q1075" s="2" t="inlineStr"/>
    </row>
    <row r="1076">
      <c r="A1076" s="2" t="inlineStr">
        <is>
          <t>F1075</t>
        </is>
      </c>
      <c r="B1076" s="2" t="inlineStr">
        <is>
          <t>financials</t>
        </is>
      </c>
      <c r="C1076" s="2" t="inlineStr">
        <is>
          <t>net_interest</t>
        </is>
      </c>
      <c r="D1076" s="2" t="inlineStr">
        <is>
          <t>Net finance cost</t>
        </is>
      </c>
      <c r="E1076" s="2" t="inlineStr">
        <is>
          <t>H1-2026</t>
        </is>
      </c>
      <c r="F1076" s="2" t="n">
        <v>11.2</v>
      </c>
      <c r="G1076" s="2" t="inlineStr">
        <is>
          <t>EUR m</t>
        </is>
      </c>
      <c r="H1076" s="3" t="inlineStr">
        <is>
          <t>Financial result -11.2 (financial expenses 13.2, financial income 2.0), including the Group's share of an equity-accounted result of -0.4.</t>
        </is>
      </c>
      <c r="I1076" s="2" t="inlineStr">
        <is>
          <t>S5</t>
        </is>
      </c>
      <c r="J1076" s="2" t="n">
        <v>23</v>
      </c>
      <c r="K1076" s="3" t="inlineStr">
        <is>
          <t>The financial result amounted to EUR -11.2 million (6M 2025: EUR -4.1 million).</t>
        </is>
      </c>
      <c r="L1076" s="2" t="inlineStr">
        <is>
          <t>ok</t>
        </is>
      </c>
      <c r="M1076" s="2" t="inlineStr">
        <is>
          <t>demo reviewer</t>
        </is>
      </c>
      <c r="N1076" s="2" t="n"/>
      <c r="O1076" s="3" t="inlineStr">
        <is>
          <t>https://vanillabonds.com/dossier-data/pdf/katjes/katjes-h1-2026-interim-report.pdf#page=23</t>
        </is>
      </c>
      <c r="P1076" s="3" t="inlineStr">
        <is>
          <t>https://vanillabonds.com/dossier.html?c=katjes&amp;viewer=1&amp;item=F1075</t>
        </is>
      </c>
      <c r="Q1076" s="2" t="inlineStr"/>
    </row>
    <row r="1077">
      <c r="A1077" s="2" t="inlineStr">
        <is>
          <t>F1076</t>
        </is>
      </c>
      <c r="B1077" s="2" t="inlineStr">
        <is>
          <t>financials</t>
        </is>
      </c>
      <c r="C1077" s="2" t="inlineStr">
        <is>
          <t>cfo</t>
        </is>
      </c>
      <c r="D1077" s="2" t="inlineStr">
        <is>
          <t>Cash flow from operating activities</t>
        </is>
      </c>
      <c r="E1077" s="2" t="inlineStr">
        <is>
          <t>H1-2025</t>
        </is>
      </c>
      <c r="F1077" s="2" t="n">
        <v>-9.800000000000001</v>
      </c>
      <c r="G1077" s="2" t="inlineStr">
        <is>
          <t>EUR m</t>
        </is>
      </c>
      <c r="H1077" s="3" t="inlineStr">
        <is>
          <t>Cash flow from operating activities H1-2025.</t>
        </is>
      </c>
      <c r="I1077" s="2" t="inlineStr">
        <is>
          <t>S5</t>
        </is>
      </c>
      <c r="J1077" s="2" t="n">
        <v>34</v>
      </c>
      <c r="K1077" s="3" t="inlineStr">
        <is>
          <t>Cash flow from operating activities 1.1 -9.8</t>
        </is>
      </c>
      <c r="L1077" s="2" t="inlineStr">
        <is>
          <t>ok</t>
        </is>
      </c>
      <c r="M1077" s="2" t="inlineStr">
        <is>
          <t>demo reviewer</t>
        </is>
      </c>
      <c r="N1077" s="2" t="n"/>
      <c r="O1077" s="3" t="inlineStr">
        <is>
          <t>https://vanillabonds.com/dossier-data/pdf/katjes/katjes-h1-2026-interim-report.pdf#page=34</t>
        </is>
      </c>
      <c r="P1077" s="3" t="inlineStr">
        <is>
          <t>https://vanillabonds.com/dossier.html?c=katjes&amp;viewer=1&amp;item=F1076</t>
        </is>
      </c>
      <c r="Q1077" s="2" t="inlineStr"/>
    </row>
    <row r="1078">
      <c r="A1078" s="2" t="inlineStr">
        <is>
          <t>F1077</t>
        </is>
      </c>
      <c r="B1078" s="2" t="inlineStr">
        <is>
          <t>financials</t>
        </is>
      </c>
      <c r="C1078" s="2" t="inlineStr">
        <is>
          <t>cfo</t>
        </is>
      </c>
      <c r="D1078" s="2" t="inlineStr">
        <is>
          <t>Cash flow from operating activities</t>
        </is>
      </c>
      <c r="E1078" s="2" t="inlineStr">
        <is>
          <t>H1-2026</t>
        </is>
      </c>
      <c r="F1078" s="2" t="n">
        <v>1.1</v>
      </c>
      <c r="G1078" s="2" t="inlineStr">
        <is>
          <t>EUR m</t>
        </is>
      </c>
      <c r="H1078" s="3" t="inlineStr">
        <is>
          <t>Cash flow from operating activities H1-2026.</t>
        </is>
      </c>
      <c r="I1078" s="2" t="inlineStr">
        <is>
          <t>S5</t>
        </is>
      </c>
      <c r="J1078" s="2" t="n">
        <v>34</v>
      </c>
      <c r="K1078" s="3" t="inlineStr">
        <is>
          <t>Cash flow from operating activities 1.1 -9.8</t>
        </is>
      </c>
      <c r="L1078" s="2" t="inlineStr">
        <is>
          <t>ok</t>
        </is>
      </c>
      <c r="M1078" s="2" t="inlineStr">
        <is>
          <t>demo reviewer</t>
        </is>
      </c>
      <c r="N1078" s="2" t="n"/>
      <c r="O1078" s="3" t="inlineStr">
        <is>
          <t>https://vanillabonds.com/dossier-data/pdf/katjes/katjes-h1-2026-interim-report.pdf#page=34</t>
        </is>
      </c>
      <c r="P1078" s="3" t="inlineStr">
        <is>
          <t>https://vanillabonds.com/dossier.html?c=katjes&amp;viewer=1&amp;item=F1077</t>
        </is>
      </c>
      <c r="Q1078" s="2" t="inlineStr"/>
    </row>
    <row r="1079">
      <c r="A1079" s="2" t="inlineStr">
        <is>
          <t>F1078</t>
        </is>
      </c>
      <c r="B1079" s="2" t="inlineStr">
        <is>
          <t>financials</t>
        </is>
      </c>
      <c r="C1079" s="2" t="inlineStr">
        <is>
          <t>capex</t>
        </is>
      </c>
      <c r="D1079" s="2" t="inlineStr">
        <is>
          <t>Capex (PP&amp;E + intangibles)</t>
        </is>
      </c>
      <c r="E1079" s="2" t="inlineStr">
        <is>
          <t>H1-2025</t>
        </is>
      </c>
      <c r="F1079" s="2" t="n">
        <v>7</v>
      </c>
      <c r="G1079" s="2" t="inlineStr">
        <is>
          <t>EUR m</t>
        </is>
      </c>
      <c r="H1079" s="3" t="inlineStr">
        <is>
          <t>Sum of the two cash flow lines: acquisition of property, plant and equipment 6.0 plus acquisition of intangible assets 1.0.</t>
        </is>
      </c>
      <c r="I1079" s="2" t="inlineStr">
        <is>
          <t>S5</t>
        </is>
      </c>
      <c r="J1079" s="2" t="n">
        <v>34</v>
      </c>
      <c r="K1079" s="3" t="inlineStr">
        <is>
          <t>Acquisition of property, plant and equipment -7.4 -6.0 Acquisition of intangible assets -0.9 -1.0</t>
        </is>
      </c>
      <c r="L1079" s="2" t="inlineStr">
        <is>
          <t>ok</t>
        </is>
      </c>
      <c r="M1079" s="2" t="inlineStr">
        <is>
          <t>demo reviewer</t>
        </is>
      </c>
      <c r="N1079" s="2" t="n"/>
      <c r="O1079" s="3" t="inlineStr">
        <is>
          <t>https://vanillabonds.com/dossier-data/pdf/katjes/katjes-h1-2026-interim-report.pdf#page=34</t>
        </is>
      </c>
      <c r="P1079" s="3" t="inlineStr">
        <is>
          <t>https://vanillabonds.com/dossier.html?c=katjes&amp;viewer=1&amp;item=F1078</t>
        </is>
      </c>
      <c r="Q1079" s="2" t="inlineStr"/>
    </row>
    <row r="1080">
      <c r="A1080" s="2" t="inlineStr">
        <is>
          <t>F1079</t>
        </is>
      </c>
      <c r="B1080" s="2" t="inlineStr">
        <is>
          <t>financials</t>
        </is>
      </c>
      <c r="C1080" s="2" t="inlineStr">
        <is>
          <t>capex</t>
        </is>
      </c>
      <c r="D1080" s="2" t="inlineStr">
        <is>
          <t>Capex (PP&amp;E + intangibles)</t>
        </is>
      </c>
      <c r="E1080" s="2" t="inlineStr">
        <is>
          <t>H1-2026</t>
        </is>
      </c>
      <c r="F1080" s="2" t="n">
        <v>8.300000000000001</v>
      </c>
      <c r="G1080" s="2" t="inlineStr">
        <is>
          <t>EUR m</t>
        </is>
      </c>
      <c r="H1080" s="3" t="inlineStr">
        <is>
          <t>Sum of the two cash flow lines: acquisition of property, plant and equipment 7.4 plus acquisition of intangible assets 0.9.</t>
        </is>
      </c>
      <c r="I1080" s="2" t="inlineStr">
        <is>
          <t>S5</t>
        </is>
      </c>
      <c r="J1080" s="2" t="n">
        <v>34</v>
      </c>
      <c r="K1080" s="3" t="inlineStr">
        <is>
          <t>Acquisition of property, plant and equipment -7.4 -6.0 Acquisition of intangible assets -0.9 -1.0</t>
        </is>
      </c>
      <c r="L1080" s="2" t="inlineStr">
        <is>
          <t>ok</t>
        </is>
      </c>
      <c r="M1080" s="2" t="inlineStr">
        <is>
          <t>demo reviewer</t>
        </is>
      </c>
      <c r="N1080" s="2" t="n"/>
      <c r="O1080" s="3" t="inlineStr">
        <is>
          <t>https://vanillabonds.com/dossier-data/pdf/katjes/katjes-h1-2026-interim-report.pdf#page=34</t>
        </is>
      </c>
      <c r="P1080" s="3" t="inlineStr">
        <is>
          <t>https://vanillabonds.com/dossier.html?c=katjes&amp;viewer=1&amp;item=F1079</t>
        </is>
      </c>
      <c r="Q1080" s="2" t="inlineStr"/>
    </row>
    <row r="1081">
      <c r="A1081" s="2" t="inlineStr">
        <is>
          <t>F1080</t>
        </is>
      </c>
      <c r="B1081" s="2" t="inlineStr">
        <is>
          <t>financials</t>
        </is>
      </c>
      <c r="C1081" s="2" t="inlineStr">
        <is>
          <t>cash</t>
        </is>
      </c>
      <c r="D1081" s="2" t="inlineStr">
        <is>
          <t>Cash &amp; equivalents</t>
        </is>
      </c>
      <c r="E1081" s="2" t="inlineStr">
        <is>
          <t>FY2025</t>
        </is>
      </c>
      <c r="F1081" s="2" t="n">
        <v>146.8</v>
      </c>
      <c r="G1081" s="2" t="inlineStr">
        <is>
          <t>EUR m</t>
        </is>
      </c>
      <c r="H1081" s="3" t="inlineStr">
        <is>
          <t>Cash and cash equivalents at 31 December 2025.</t>
        </is>
      </c>
      <c r="I1081" s="2" t="inlineStr">
        <is>
          <t>S5</t>
        </is>
      </c>
      <c r="J1081" s="2" t="n">
        <v>31</v>
      </c>
      <c r="K1081" s="2" t="inlineStr">
        <is>
          <t>Cash and cash equivalents 5.3 74.1 146.8</t>
        </is>
      </c>
      <c r="L1081" s="2" t="inlineStr">
        <is>
          <t>ok</t>
        </is>
      </c>
      <c r="M1081" s="2" t="inlineStr">
        <is>
          <t>demo reviewer</t>
        </is>
      </c>
      <c r="N1081" s="2" t="n"/>
      <c r="O1081" s="3" t="inlineStr">
        <is>
          <t>https://vanillabonds.com/dossier-data/pdf/katjes/katjes-h1-2026-interim-report.pdf#page=31</t>
        </is>
      </c>
      <c r="P1081" s="3" t="inlineStr">
        <is>
          <t>https://vanillabonds.com/dossier.html?c=katjes&amp;viewer=1&amp;item=F1080</t>
        </is>
      </c>
      <c r="Q1081" s="2" t="inlineStr">
        <is>
          <t>no</t>
        </is>
      </c>
    </row>
    <row r="1082">
      <c r="A1082" s="2" t="inlineStr">
        <is>
          <t>F1081</t>
        </is>
      </c>
      <c r="B1082" s="2" t="inlineStr">
        <is>
          <t>financials</t>
        </is>
      </c>
      <c r="C1082" s="2" t="inlineStr">
        <is>
          <t>cash</t>
        </is>
      </c>
      <c r="D1082" s="2" t="inlineStr">
        <is>
          <t>Cash &amp; equivalents</t>
        </is>
      </c>
      <c r="E1082" s="2" t="inlineStr">
        <is>
          <t>H1-2025</t>
        </is>
      </c>
      <c r="F1082" s="2" t="n">
        <v>38.4</v>
      </c>
      <c r="G1082" s="2" t="inlineStr">
        <is>
          <t>EUR m</t>
        </is>
      </c>
      <c r="H1082" s="3" t="inlineStr">
        <is>
          <t>Cash and cash equivalents at 30 June 2025 (cash flow statement).</t>
        </is>
      </c>
      <c r="I1082" s="2" t="inlineStr">
        <is>
          <t>S5</t>
        </is>
      </c>
      <c r="J1082" s="2" t="n">
        <v>34</v>
      </c>
      <c r="K1082" s="3" t="inlineStr">
        <is>
          <t>Cash and cash equivalents as at June 30 5.3 74.1 38.4</t>
        </is>
      </c>
      <c r="L1082" s="2" t="inlineStr">
        <is>
          <t>ok</t>
        </is>
      </c>
      <c r="M1082" s="2" t="inlineStr">
        <is>
          <t>demo reviewer</t>
        </is>
      </c>
      <c r="N1082" s="2" t="n"/>
      <c r="O1082" s="3" t="inlineStr">
        <is>
          <t>https://vanillabonds.com/dossier-data/pdf/katjes/katjes-h1-2026-interim-report.pdf#page=34</t>
        </is>
      </c>
      <c r="P1082" s="3" t="inlineStr">
        <is>
          <t>https://vanillabonds.com/dossier.html?c=katjes&amp;viewer=1&amp;item=F1081</t>
        </is>
      </c>
      <c r="Q1082" s="2" t="inlineStr"/>
    </row>
    <row r="1083">
      <c r="A1083" s="2" t="inlineStr">
        <is>
          <t>F1082</t>
        </is>
      </c>
      <c r="B1083" s="2" t="inlineStr">
        <is>
          <t>financials</t>
        </is>
      </c>
      <c r="C1083" s="2" t="inlineStr">
        <is>
          <t>cash</t>
        </is>
      </c>
      <c r="D1083" s="2" t="inlineStr">
        <is>
          <t>Cash &amp; equivalents</t>
        </is>
      </c>
      <c r="E1083" s="2" t="inlineStr">
        <is>
          <t>H1-2026</t>
        </is>
      </c>
      <c r="F1083" s="2" t="n">
        <v>74.09999999999999</v>
      </c>
      <c r="G1083" s="2" t="inlineStr">
        <is>
          <t>EUR m</t>
        </is>
      </c>
      <c r="H1083" s="3" t="inlineStr">
        <is>
          <t>Cash and cash equivalents at 30 June 2026; balances at banks and cash on hand.</t>
        </is>
      </c>
      <c r="I1083" s="2" t="inlineStr">
        <is>
          <t>S5</t>
        </is>
      </c>
      <c r="J1083" s="2" t="n">
        <v>31</v>
      </c>
      <c r="K1083" s="2" t="inlineStr">
        <is>
          <t>Cash and cash equivalents 5.3 74.1 146.8</t>
        </is>
      </c>
      <c r="L1083" s="2" t="inlineStr">
        <is>
          <t>ok</t>
        </is>
      </c>
      <c r="M1083" s="2" t="inlineStr">
        <is>
          <t>demo reviewer</t>
        </is>
      </c>
      <c r="N1083" s="2" t="n"/>
      <c r="O1083" s="3" t="inlineStr">
        <is>
          <t>https://vanillabonds.com/dossier-data/pdf/katjes/katjes-h1-2026-interim-report.pdf#page=31</t>
        </is>
      </c>
      <c r="P1083" s="3" t="inlineStr">
        <is>
          <t>https://vanillabonds.com/dossier.html?c=katjes&amp;viewer=1&amp;item=F1082</t>
        </is>
      </c>
      <c r="Q1083" s="2" t="inlineStr"/>
    </row>
    <row r="1084">
      <c r="A1084" s="2" t="inlineStr">
        <is>
          <t>F1083</t>
        </is>
      </c>
      <c r="B1084" s="2" t="inlineStr">
        <is>
          <t>financials</t>
        </is>
      </c>
      <c r="C1084" s="2" t="inlineStr">
        <is>
          <t>gross_debt</t>
        </is>
      </c>
      <c r="D1084" s="3" t="inlineStr">
        <is>
          <t>Gross financial debt (bonds + loans, excl. leases)</t>
        </is>
      </c>
      <c r="E1084" s="2" t="inlineStr">
        <is>
          <t>H1-2026</t>
        </is>
      </c>
      <c r="F1084" s="2" t="n"/>
      <c r="G1084" s="2" t="inlineStr">
        <is>
          <t>EUR m</t>
        </is>
      </c>
      <c r="H1084" s="3" t="inlineStr">
        <is>
          <t>No gross financial debt total stated; components in the instruments table: bond 200.0, non-current interest-bearing loans 51.0, current interest-bearing loans 68.1 (leases excluded).</t>
        </is>
      </c>
      <c r="I1084" s="2" t="inlineStr">
        <is>
          <t>S5</t>
        </is>
      </c>
      <c r="J1084" s="2" t="n">
        <v>42</v>
      </c>
      <c r="K1084" s="3" t="inlineStr">
        <is>
          <t>Liabilities from the issuance of a bond2 200.0 191.3** Amortised cost</t>
        </is>
      </c>
      <c r="L1084" s="2" t="inlineStr">
        <is>
          <t>ok</t>
        </is>
      </c>
      <c r="M1084" s="2" t="inlineStr">
        <is>
          <t>demo reviewer</t>
        </is>
      </c>
      <c r="N1084" s="2" t="n"/>
      <c r="O1084" s="3" t="inlineStr">
        <is>
          <t>https://vanillabonds.com/dossier-data/pdf/katjes/katjes-h1-2026-interim-report.pdf#page=42</t>
        </is>
      </c>
      <c r="P1084" s="3" t="inlineStr">
        <is>
          <t>https://vanillabonds.com/dossier.html?c=katjes&amp;viewer=1&amp;item=F1083</t>
        </is>
      </c>
      <c r="Q1084" s="2" t="inlineStr"/>
    </row>
    <row r="1085">
      <c r="A1085" s="2" t="inlineStr">
        <is>
          <t>F1084</t>
        </is>
      </c>
      <c r="B1085" s="2" t="inlineStr">
        <is>
          <t>financials</t>
        </is>
      </c>
      <c r="C1085" s="2" t="inlineStr">
        <is>
          <t>lease_liabilities</t>
        </is>
      </c>
      <c r="D1085" s="2" t="inlineStr">
        <is>
          <t>Lease liabilities</t>
        </is>
      </c>
      <c r="E1085" s="2" t="inlineStr">
        <is>
          <t>FY2025</t>
        </is>
      </c>
      <c r="F1085" s="2" t="n">
        <v>74.7</v>
      </c>
      <c r="G1085" s="2" t="inlineStr">
        <is>
          <t>EUR m</t>
        </is>
      </c>
      <c r="H1085" s="3" t="inlineStr">
        <is>
          <t>IFRS 16 lease liabilities at 31 December 2025.</t>
        </is>
      </c>
      <c r="I1085" s="2" t="inlineStr">
        <is>
          <t>S5</t>
        </is>
      </c>
      <c r="J1085" s="2" t="n">
        <v>41</v>
      </c>
      <c r="K1085" s="3" t="inlineStr">
        <is>
          <t>As at June 30, 2026, lease liabilities amounted to a total of EUR 85.8 million (December 31, 2025: EUR 74.7 million).</t>
        </is>
      </c>
      <c r="L1085" s="2" t="inlineStr">
        <is>
          <t>ok</t>
        </is>
      </c>
      <c r="M1085" s="2" t="inlineStr">
        <is>
          <t>demo reviewer</t>
        </is>
      </c>
      <c r="N1085" s="2" t="n"/>
      <c r="O1085" s="3" t="inlineStr">
        <is>
          <t>https://vanillabonds.com/dossier-data/pdf/katjes/katjes-h1-2026-interim-report.pdf#page=41</t>
        </is>
      </c>
      <c r="P1085" s="3" t="inlineStr">
        <is>
          <t>https://vanillabonds.com/dossier.html?c=katjes&amp;viewer=1&amp;item=F1084</t>
        </is>
      </c>
      <c r="Q1085" s="2" t="inlineStr">
        <is>
          <t>no</t>
        </is>
      </c>
    </row>
    <row r="1086">
      <c r="A1086" s="2" t="inlineStr">
        <is>
          <t>F1085</t>
        </is>
      </c>
      <c r="B1086" s="2" t="inlineStr">
        <is>
          <t>financials</t>
        </is>
      </c>
      <c r="C1086" s="2" t="inlineStr">
        <is>
          <t>lease_liabilities</t>
        </is>
      </c>
      <c r="D1086" s="2" t="inlineStr">
        <is>
          <t>Lease liabilities</t>
        </is>
      </c>
      <c r="E1086" s="2" t="inlineStr">
        <is>
          <t>H1-2026</t>
        </is>
      </c>
      <c r="F1086" s="2" t="n">
        <v>85.8</v>
      </c>
      <c r="G1086" s="2" t="inlineStr">
        <is>
          <t>EUR m</t>
        </is>
      </c>
      <c r="H1086" s="3" t="inlineStr">
        <is>
          <t>IFRS 16 lease liabilities at 30 June 2026, including Graze's leases.</t>
        </is>
      </c>
      <c r="I1086" s="2" t="inlineStr">
        <is>
          <t>S5</t>
        </is>
      </c>
      <c r="J1086" s="2" t="n">
        <v>41</v>
      </c>
      <c r="K1086" s="3" t="inlineStr">
        <is>
          <t>As at June 30, 2026, lease liabilities amounted to a total of EUR 85.8 million (December 31, 2025: EUR 74.7 million).</t>
        </is>
      </c>
      <c r="L1086" s="2" t="inlineStr">
        <is>
          <t>ok</t>
        </is>
      </c>
      <c r="M1086" s="2" t="inlineStr">
        <is>
          <t>demo reviewer</t>
        </is>
      </c>
      <c r="N1086" s="2" t="n"/>
      <c r="O1086" s="3" t="inlineStr">
        <is>
          <t>https://vanillabonds.com/dossier-data/pdf/katjes/katjes-h1-2026-interim-report.pdf#page=41</t>
        </is>
      </c>
      <c r="P1086" s="3" t="inlineStr">
        <is>
          <t>https://vanillabonds.com/dossier.html?c=katjes&amp;viewer=1&amp;item=F1085</t>
        </is>
      </c>
      <c r="Q1086" s="2" t="inlineStr"/>
    </row>
    <row r="1087">
      <c r="A1087" s="2" t="inlineStr">
        <is>
          <t>F1086</t>
        </is>
      </c>
      <c r="B1087" s="2" t="inlineStr">
        <is>
          <t>financials</t>
        </is>
      </c>
      <c r="C1087" s="2" t="inlineStr">
        <is>
          <t>equity</t>
        </is>
      </c>
      <c r="D1087" s="2" t="inlineStr">
        <is>
          <t>Total equity</t>
        </is>
      </c>
      <c r="E1087" s="2" t="inlineStr">
        <is>
          <t>FY2025</t>
        </is>
      </c>
      <c r="F1087" s="2" t="n">
        <v>266.9</v>
      </c>
      <c r="G1087" s="2" t="inlineStr">
        <is>
          <t>EUR m</t>
        </is>
      </c>
      <c r="H1087" s="3" t="inlineStr">
        <is>
          <t>Total equity at 31 December 2025: shareholders' equity 219.4 plus non-controlling interests 47.5.</t>
        </is>
      </c>
      <c r="I1087" s="2" t="inlineStr">
        <is>
          <t>S5</t>
        </is>
      </c>
      <c r="J1087" s="2" t="n">
        <v>32</v>
      </c>
      <c r="K1087" s="2" t="inlineStr">
        <is>
          <t>Total equity 255.1 266.9</t>
        </is>
      </c>
      <c r="L1087" s="2" t="inlineStr">
        <is>
          <t>ok</t>
        </is>
      </c>
      <c r="M1087" s="2" t="inlineStr">
        <is>
          <t>demo reviewer</t>
        </is>
      </c>
      <c r="N1087" s="2" t="n"/>
      <c r="O1087" s="3" t="inlineStr">
        <is>
          <t>https://vanillabonds.com/dossier-data/pdf/katjes/katjes-h1-2026-interim-report.pdf#page=32</t>
        </is>
      </c>
      <c r="P1087" s="3" t="inlineStr">
        <is>
          <t>https://vanillabonds.com/dossier.html?c=katjes&amp;viewer=1&amp;item=F1086</t>
        </is>
      </c>
      <c r="Q1087" s="2" t="inlineStr">
        <is>
          <t>no</t>
        </is>
      </c>
    </row>
    <row r="1088">
      <c r="A1088" s="2" t="inlineStr">
        <is>
          <t>F1087</t>
        </is>
      </c>
      <c r="B1088" s="2" t="inlineStr">
        <is>
          <t>financials</t>
        </is>
      </c>
      <c r="C1088" s="2" t="inlineStr">
        <is>
          <t>equity</t>
        </is>
      </c>
      <c r="D1088" s="2" t="inlineStr">
        <is>
          <t>Total equity</t>
        </is>
      </c>
      <c r="E1088" s="2" t="inlineStr">
        <is>
          <t>H1-2025</t>
        </is>
      </c>
      <c r="F1088" s="2" t="n">
        <v>175.3</v>
      </c>
      <c r="G1088" s="2" t="inlineStr">
        <is>
          <t>EUR m</t>
        </is>
      </c>
      <c r="H1088" s="3" t="inlineStr">
        <is>
          <t>Total equity at 30 June 2025 per statement of changes in equity (shareholders 174.2, NCI 1.1).</t>
        </is>
      </c>
      <c r="I1088" s="2" t="inlineStr">
        <is>
          <t>S5</t>
        </is>
      </c>
      <c r="J1088" s="2" t="n">
        <v>33</v>
      </c>
      <c r="K1088" s="3" t="inlineStr">
        <is>
          <t>As at June 30, 2025 1.0 -2.7 6.2 167.1 -1.0 -0.3 3.9 0.0 3.6 174.2 1.1 175.3</t>
        </is>
      </c>
      <c r="L1088" s="2" t="inlineStr">
        <is>
          <t>ok</t>
        </is>
      </c>
      <c r="M1088" s="2" t="inlineStr">
        <is>
          <t>demo reviewer</t>
        </is>
      </c>
      <c r="N1088" s="2" t="n"/>
      <c r="O1088" s="3" t="inlineStr">
        <is>
          <t>https://vanillabonds.com/dossier-data/pdf/katjes/katjes-h1-2026-interim-report.pdf#page=33</t>
        </is>
      </c>
      <c r="P1088" s="3" t="inlineStr">
        <is>
          <t>https://vanillabonds.com/dossier.html?c=katjes&amp;viewer=1&amp;item=F1087</t>
        </is>
      </c>
      <c r="Q1088" s="2" t="inlineStr"/>
    </row>
    <row r="1089">
      <c r="A1089" s="2" t="inlineStr">
        <is>
          <t>F1088</t>
        </is>
      </c>
      <c r="B1089" s="2" t="inlineStr">
        <is>
          <t>financials</t>
        </is>
      </c>
      <c r="C1089" s="2" t="inlineStr">
        <is>
          <t>equity</t>
        </is>
      </c>
      <c r="D1089" s="2" t="inlineStr">
        <is>
          <t>Total equity</t>
        </is>
      </c>
      <c r="E1089" s="2" t="inlineStr">
        <is>
          <t>H1-2026</t>
        </is>
      </c>
      <c r="F1089" s="2" t="n">
        <v>255.1</v>
      </c>
      <c r="G1089" s="2" t="inlineStr">
        <is>
          <t>EUR m</t>
        </is>
      </c>
      <c r="H1089" s="3" t="inlineStr">
        <is>
          <t>Total equity at 30 June 2026: shareholders' equity 214.8 plus non-controlling interests 40.3.</t>
        </is>
      </c>
      <c r="I1089" s="2" t="inlineStr">
        <is>
          <t>S5</t>
        </is>
      </c>
      <c r="J1089" s="2" t="n">
        <v>32</v>
      </c>
      <c r="K1089" s="2" t="inlineStr">
        <is>
          <t>Total equity 255.1 266.9</t>
        </is>
      </c>
      <c r="L1089" s="2" t="inlineStr">
        <is>
          <t>ok</t>
        </is>
      </c>
      <c r="M1089" s="2" t="inlineStr">
        <is>
          <t>demo reviewer</t>
        </is>
      </c>
      <c r="N1089" s="2" t="n"/>
      <c r="O1089" s="3" t="inlineStr">
        <is>
          <t>https://vanillabonds.com/dossier-data/pdf/katjes/katjes-h1-2026-interim-report.pdf#page=32</t>
        </is>
      </c>
      <c r="P1089" s="3" t="inlineStr">
        <is>
          <t>https://vanillabonds.com/dossier.html?c=katjes&amp;viewer=1&amp;item=F1088</t>
        </is>
      </c>
      <c r="Q1089" s="2" t="inlineStr"/>
    </row>
    <row r="1090">
      <c r="A1090" s="2" t="inlineStr">
        <is>
          <t>F1089</t>
        </is>
      </c>
      <c r="B1090" s="2" t="inlineStr">
        <is>
          <t>financials</t>
        </is>
      </c>
      <c r="C1090" s="2" t="inlineStr">
        <is>
          <t>total_assets</t>
        </is>
      </c>
      <c r="D1090" s="2" t="inlineStr">
        <is>
          <t>Total assets</t>
        </is>
      </c>
      <c r="E1090" s="2" t="inlineStr">
        <is>
          <t>FY2025</t>
        </is>
      </c>
      <c r="F1090" s="2" t="n">
        <v>812.3</v>
      </c>
      <c r="G1090" s="2" t="inlineStr">
        <is>
          <t>EUR m</t>
        </is>
      </c>
      <c r="H1090" s="2" t="inlineStr">
        <is>
          <t>Total assets at 31 December 2025.</t>
        </is>
      </c>
      <c r="I1090" s="2" t="inlineStr">
        <is>
          <t>S5</t>
        </is>
      </c>
      <c r="J1090" s="2" t="n">
        <v>31</v>
      </c>
      <c r="K1090" s="2" t="inlineStr">
        <is>
          <t>Total assets 850.9 812.3</t>
        </is>
      </c>
      <c r="L1090" s="2" t="inlineStr">
        <is>
          <t>ok</t>
        </is>
      </c>
      <c r="M1090" s="2" t="inlineStr">
        <is>
          <t>demo reviewer</t>
        </is>
      </c>
      <c r="N1090" s="2" t="n"/>
      <c r="O1090" s="3" t="inlineStr">
        <is>
          <t>https://vanillabonds.com/dossier-data/pdf/katjes/katjes-h1-2026-interim-report.pdf#page=31</t>
        </is>
      </c>
      <c r="P1090" s="3" t="inlineStr">
        <is>
          <t>https://vanillabonds.com/dossier.html?c=katjes&amp;viewer=1&amp;item=F1089</t>
        </is>
      </c>
      <c r="Q1090" s="2" t="inlineStr">
        <is>
          <t>no</t>
        </is>
      </c>
    </row>
    <row r="1091">
      <c r="A1091" s="2" t="inlineStr">
        <is>
          <t>F1090</t>
        </is>
      </c>
      <c r="B1091" s="2" t="inlineStr">
        <is>
          <t>financials</t>
        </is>
      </c>
      <c r="C1091" s="2" t="inlineStr">
        <is>
          <t>total_assets</t>
        </is>
      </c>
      <c r="D1091" s="2" t="inlineStr">
        <is>
          <t>Total assets</t>
        </is>
      </c>
      <c r="E1091" s="2" t="inlineStr">
        <is>
          <t>H1-2026</t>
        </is>
      </c>
      <c r="F1091" s="2" t="n">
        <v>850.9</v>
      </c>
      <c r="G1091" s="2" t="inlineStr">
        <is>
          <t>EUR m</t>
        </is>
      </c>
      <c r="H1091" s="2" t="inlineStr">
        <is>
          <t>Total assets at 30 June 2026.</t>
        </is>
      </c>
      <c r="I1091" s="2" t="inlineStr">
        <is>
          <t>S5</t>
        </is>
      </c>
      <c r="J1091" s="2" t="n">
        <v>31</v>
      </c>
      <c r="K1091" s="2" t="inlineStr">
        <is>
          <t>Total assets 850.9 812.3</t>
        </is>
      </c>
      <c r="L1091" s="2" t="inlineStr">
        <is>
          <t>ok</t>
        </is>
      </c>
      <c r="M1091" s="2" t="inlineStr">
        <is>
          <t>demo reviewer</t>
        </is>
      </c>
      <c r="N1091" s="2" t="n"/>
      <c r="O1091" s="3" t="inlineStr">
        <is>
          <t>https://vanillabonds.com/dossier-data/pdf/katjes/katjes-h1-2026-interim-report.pdf#page=31</t>
        </is>
      </c>
      <c r="P1091" s="3" t="inlineStr">
        <is>
          <t>https://vanillabonds.com/dossier.html?c=katjes&amp;viewer=1&amp;item=F1090</t>
        </is>
      </c>
      <c r="Q1091" s="2" t="inlineStr"/>
    </row>
    <row r="1092">
      <c r="A1092" s="2" t="inlineStr">
        <is>
          <t>F1091</t>
        </is>
      </c>
      <c r="B1092" s="2" t="inlineStr">
        <is>
          <t>debt</t>
        </is>
      </c>
      <c r="C1092" s="2" t="inlineStr">
        <is>
          <t>debt_instrument</t>
        </is>
      </c>
      <c r="D1092" s="2" t="inlineStr">
        <is>
          <t>Debt instrument</t>
        </is>
      </c>
      <c r="E1092" s="2" t="n"/>
      <c r="F1092" s="2" t="n">
        <v>200</v>
      </c>
      <c r="G1092" s="2" t="n"/>
      <c r="H1092" s="3" t="inlineStr">
        <is>
          <t>Corporate bond 2023/2028, EUR 200.0m nominal after the EUR 15m increase in May 2026 (Missoni); carrying amount 200.0, fair value 191.3 at 30 June 2026; coupon not stated in this report.</t>
        </is>
      </c>
      <c r="I1092" s="2" t="inlineStr">
        <is>
          <t>S5</t>
        </is>
      </c>
      <c r="J1092" s="2" t="n">
        <v>21</v>
      </c>
      <c r="K1092" s="3" t="inlineStr">
        <is>
          <t>the existing corporate bond was increased by EUR 15 million to a total of EUR 200 million.</t>
        </is>
      </c>
      <c r="L1092" s="2" t="inlineStr">
        <is>
          <t>ok</t>
        </is>
      </c>
      <c r="M1092" s="2" t="inlineStr">
        <is>
          <t>demo reviewer</t>
        </is>
      </c>
      <c r="N1092" s="2" t="n"/>
      <c r="O1092" s="3" t="inlineStr">
        <is>
          <t>https://vanillabonds.com/dossier-data/pdf/katjes/katjes-h1-2026-interim-report.pdf#page=21</t>
        </is>
      </c>
      <c r="P1092" s="3" t="inlineStr">
        <is>
          <t>https://vanillabonds.com/dossier.html?c=katjes&amp;viewer=1&amp;item=F1091</t>
        </is>
      </c>
      <c r="Q1092" s="2" t="inlineStr"/>
    </row>
    <row r="1093">
      <c r="A1093" s="2" t="inlineStr">
        <is>
          <t>F1092</t>
        </is>
      </c>
      <c r="B1093" s="2" t="inlineStr">
        <is>
          <t>debt</t>
        </is>
      </c>
      <c r="C1093" s="2" t="inlineStr">
        <is>
          <t>debt_instrument</t>
        </is>
      </c>
      <c r="D1093" s="2" t="inlineStr">
        <is>
          <t>Debt instrument</t>
        </is>
      </c>
      <c r="E1093" s="2" t="n"/>
      <c r="F1093" s="2" t="n"/>
      <c r="G1093" s="2" t="n"/>
      <c r="H1093" s="3" t="inlineStr">
        <is>
          <t>Acquisition financing (long-term bank loans) for part of the Graze purchase price, amount not stated separately.</t>
        </is>
      </c>
      <c r="I1093" s="2" t="inlineStr">
        <is>
          <t>S5</t>
        </is>
      </c>
      <c r="J1093" s="2" t="n">
        <v>25</v>
      </c>
      <c r="K1093" s="3" t="inlineStr">
        <is>
          <t>Missoni as well as acquisition financing for part of the purchase price of Graze</t>
        </is>
      </c>
      <c r="L1093" s="2" t="inlineStr">
        <is>
          <t>ok</t>
        </is>
      </c>
      <c r="M1093" s="2" t="inlineStr">
        <is>
          <t>demo reviewer</t>
        </is>
      </c>
      <c r="N1093" s="2" t="n"/>
      <c r="O1093" s="3" t="inlineStr">
        <is>
          <t>https://vanillabonds.com/dossier-data/pdf/katjes/katjes-h1-2026-interim-report.pdf#page=25</t>
        </is>
      </c>
      <c r="P1093" s="3" t="inlineStr">
        <is>
          <t>https://vanillabonds.com/dossier.html?c=katjes&amp;viewer=1&amp;item=F1092</t>
        </is>
      </c>
      <c r="Q1093" s="2" t="inlineStr"/>
    </row>
    <row r="1094">
      <c r="A1094" s="2" t="inlineStr">
        <is>
          <t>F1093</t>
        </is>
      </c>
      <c r="B1094" s="2" t="inlineStr">
        <is>
          <t>debt</t>
        </is>
      </c>
      <c r="C1094" s="2" t="inlineStr">
        <is>
          <t>debt_instrument</t>
        </is>
      </c>
      <c r="D1094" s="2" t="inlineStr">
        <is>
          <t>Debt instrument</t>
        </is>
      </c>
      <c r="E1094" s="2" t="n"/>
      <c r="F1094" s="2" t="n">
        <v>51</v>
      </c>
      <c r="G1094" s="2" t="n"/>
      <c r="H1094" s="3" t="inlineStr">
        <is>
          <t>Non-current interest-bearing loans EUR 51.0m at 30 June 2026 (amortised cost, fair value 51.0); includes acquisition financing for part of the Graze purchase price.</t>
        </is>
      </c>
      <c r="I1094" s="2" t="inlineStr">
        <is>
          <t>S5</t>
        </is>
      </c>
      <c r="J1094" s="2" t="n">
        <v>42</v>
      </c>
      <c r="K1094" s="3" t="inlineStr">
        <is>
          <t>Interest-bearing loans2 51.0 51.0** Amortised cost</t>
        </is>
      </c>
      <c r="L1094" s="2" t="inlineStr">
        <is>
          <t>ok</t>
        </is>
      </c>
      <c r="M1094" s="2" t="inlineStr">
        <is>
          <t>demo reviewer</t>
        </is>
      </c>
      <c r="N1094" s="2" t="n"/>
      <c r="O1094" s="3" t="inlineStr">
        <is>
          <t>https://vanillabonds.com/dossier-data/pdf/katjes/katjes-h1-2026-interim-report.pdf#page=42</t>
        </is>
      </c>
      <c r="P1094" s="3" t="inlineStr">
        <is>
          <t>https://vanillabonds.com/dossier.html?c=katjes&amp;viewer=1&amp;item=F1093</t>
        </is>
      </c>
      <c r="Q1094" s="2" t="inlineStr"/>
    </row>
    <row r="1095">
      <c r="A1095" s="2" t="inlineStr">
        <is>
          <t>F1094</t>
        </is>
      </c>
      <c r="B1095" s="2" t="inlineStr">
        <is>
          <t>debt</t>
        </is>
      </c>
      <c r="C1095" s="2" t="inlineStr">
        <is>
          <t>debt_instrument</t>
        </is>
      </c>
      <c r="D1095" s="2" t="inlineStr">
        <is>
          <t>Debt instrument</t>
        </is>
      </c>
      <c r="E1095" s="2" t="n"/>
      <c r="F1095" s="2" t="n">
        <v>68.09999999999999</v>
      </c>
      <c r="G1095" s="2" t="n"/>
      <c r="H1095" s="3" t="inlineStr">
        <is>
          <t>Current interest-bearing loans EUR 68.1m at 30 June 2026, increased by new short-term credit lines drawn during the period.</t>
        </is>
      </c>
      <c r="I1095" s="2" t="inlineStr">
        <is>
          <t>S5</t>
        </is>
      </c>
      <c r="J1095" s="2" t="n">
        <v>42</v>
      </c>
      <c r="K1095" s="3" t="inlineStr">
        <is>
          <t>Interest-bearing loans2 68.1 68.1** Amortised cost</t>
        </is>
      </c>
      <c r="L1095" s="2" t="inlineStr">
        <is>
          <t>ok</t>
        </is>
      </c>
      <c r="M1095" s="2" t="inlineStr">
        <is>
          <t>demo reviewer</t>
        </is>
      </c>
      <c r="N1095" s="2" t="n"/>
      <c r="O1095" s="3" t="inlineStr">
        <is>
          <t>https://vanillabonds.com/dossier-data/pdf/katjes/katjes-h1-2026-interim-report.pdf#page=42</t>
        </is>
      </c>
      <c r="P1095" s="3" t="inlineStr">
        <is>
          <t>https://vanillabonds.com/dossier.html?c=katjes&amp;viewer=1&amp;item=F1094</t>
        </is>
      </c>
      <c r="Q1095" s="2" t="inlineStr"/>
    </row>
    <row r="1096">
      <c r="A1096" s="2" t="inlineStr">
        <is>
          <t>F1095</t>
        </is>
      </c>
      <c r="B1096" s="2" t="inlineStr">
        <is>
          <t>risk</t>
        </is>
      </c>
      <c r="C1096" s="2" t="inlineStr">
        <is>
          <t>risk_fact</t>
        </is>
      </c>
      <c r="D1096" s="2" t="inlineStr">
        <is>
          <t>Risk fact</t>
        </is>
      </c>
      <c r="E1096" s="2" t="n"/>
      <c r="F1096" s="2" t="n"/>
      <c r="G1096" s="2" t="n"/>
      <c r="H1096" s="3" t="inlineStr">
        <is>
          <t>Seasonality: the second half carries significantly higher revenue and is decisive for the full year; the Bogner companies reinforce this pattern.</t>
        </is>
      </c>
      <c r="I1096" s="2" t="inlineStr">
        <is>
          <t>S5</t>
        </is>
      </c>
      <c r="J1096" s="2" t="n">
        <v>22</v>
      </c>
      <c r="K1096" s="3" t="inlineStr">
        <is>
          <t>The second half of the year remains the period with significantly higher revenue and is decisive for full-year performance.</t>
        </is>
      </c>
      <c r="L1096" s="2" t="inlineStr">
        <is>
          <t>ok</t>
        </is>
      </c>
      <c r="M1096" s="2" t="inlineStr">
        <is>
          <t>demo reviewer</t>
        </is>
      </c>
      <c r="N1096" s="2" t="n"/>
      <c r="O1096" s="3" t="inlineStr">
        <is>
          <t>https://vanillabonds.com/dossier-data/pdf/katjes/katjes-h1-2026-interim-report.pdf#page=22</t>
        </is>
      </c>
      <c r="P1096" s="3" t="inlineStr">
        <is>
          <t>https://vanillabonds.com/dossier.html?c=katjes&amp;viewer=1&amp;item=F1095</t>
        </is>
      </c>
      <c r="Q1096" s="2" t="inlineStr"/>
    </row>
    <row r="1097">
      <c r="A1097" s="2" t="inlineStr">
        <is>
          <t>F1096</t>
        </is>
      </c>
      <c r="B1097" s="2" t="inlineStr">
        <is>
          <t>risk</t>
        </is>
      </c>
      <c r="C1097" s="2" t="inlineStr">
        <is>
          <t>risk_fact</t>
        </is>
      </c>
      <c r="D1097" s="2" t="inlineStr">
        <is>
          <t>Risk fact</t>
        </is>
      </c>
      <c r="E1097" s="2" t="n"/>
      <c r="F1097" s="2" t="n"/>
      <c r="G1097" s="2" t="n"/>
      <c r="H1097" s="3" t="inlineStr">
        <is>
          <t>Two instances of damage caused by third parties reduced H1-2026 operating result; the company states insurance coverage or a right of recourse 'generally exists' and expects resolution in H2-2026.</t>
        </is>
      </c>
      <c r="I1097" s="2" t="inlineStr">
        <is>
          <t>S5</t>
        </is>
      </c>
      <c r="J1097" s="2" t="n">
        <v>23</v>
      </c>
      <c r="K1097" s="3" t="inlineStr">
        <is>
          <t>In both cases, insurance coverage or a right of recourse generally exists.</t>
        </is>
      </c>
      <c r="L1097" s="2" t="inlineStr">
        <is>
          <t>ok</t>
        </is>
      </c>
      <c r="M1097" s="2" t="inlineStr">
        <is>
          <t>demo reviewer</t>
        </is>
      </c>
      <c r="N1097" s="2" t="n"/>
      <c r="O1097" s="3" t="inlineStr">
        <is>
          <t>https://vanillabonds.com/dossier-data/pdf/katjes/katjes-h1-2026-interim-report.pdf#page=23</t>
        </is>
      </c>
      <c r="P1097" s="3" t="inlineStr">
        <is>
          <t>https://vanillabonds.com/dossier.html?c=katjes&amp;viewer=1&amp;item=F1096</t>
        </is>
      </c>
      <c r="Q1097" s="2" t="inlineStr"/>
    </row>
    <row r="1098">
      <c r="A1098" s="2" t="inlineStr">
        <is>
          <t>F1097</t>
        </is>
      </c>
      <c r="B1098" s="2" t="inlineStr">
        <is>
          <t>risk</t>
        </is>
      </c>
      <c r="C1098" s="2" t="inlineStr">
        <is>
          <t>risk_fact</t>
        </is>
      </c>
      <c r="D1098" s="2" t="inlineStr">
        <is>
          <t>Risk fact</t>
        </is>
      </c>
      <c r="E1098" s="2" t="n"/>
      <c r="F1098" s="2" t="n"/>
      <c r="G1098" s="2" t="n"/>
      <c r="H1098" s="3" t="inlineStr">
        <is>
          <t>Financial result worsened to -11.2 from -4.1, attributed to the bond increase and acquisition financing for Bogner, Missoni and Graze.</t>
        </is>
      </c>
      <c r="I1098" s="2" t="inlineStr">
        <is>
          <t>S5</t>
        </is>
      </c>
      <c r="J1098" s="2" t="n">
        <v>23</v>
      </c>
      <c r="K1098" s="3" t="inlineStr">
        <is>
          <t>increase in the Katjes International bond and acquisition finan- cing (in connection with the acquisition of Bogner, the invest- ment in Missoni and the acquisition of Graze)</t>
        </is>
      </c>
      <c r="L1098" s="2" t="inlineStr">
        <is>
          <t>ok</t>
        </is>
      </c>
      <c r="M1098" s="2" t="inlineStr">
        <is>
          <t>demo reviewer</t>
        </is>
      </c>
      <c r="N1098" s="2" t="n"/>
      <c r="O1098" s="3" t="inlineStr">
        <is>
          <t>https://vanillabonds.com/dossier-data/pdf/katjes/katjes-h1-2026-interim-report.pdf#page=23</t>
        </is>
      </c>
      <c r="P1098" s="3" t="inlineStr">
        <is>
          <t>https://vanillabonds.com/dossier.html?c=katjes&amp;viewer=1&amp;item=F1097</t>
        </is>
      </c>
      <c r="Q1098" s="2" t="inlineStr"/>
    </row>
    <row r="1099">
      <c r="A1099" s="2" t="inlineStr">
        <is>
          <t>F1098</t>
        </is>
      </c>
      <c r="B1099" s="2" t="inlineStr">
        <is>
          <t>risk</t>
        </is>
      </c>
      <c r="C1099" s="2" t="inlineStr">
        <is>
          <t>risk_fact</t>
        </is>
      </c>
      <c r="D1099" s="2" t="inlineStr">
        <is>
          <t>Risk fact</t>
        </is>
      </c>
      <c r="E1099" s="2" t="n"/>
      <c r="F1099" s="2" t="n"/>
      <c r="G1099" s="2" t="n"/>
      <c r="H1099" s="3" t="inlineStr">
        <is>
          <t>Going concern: management states 'no risks threatening the Company's continued existence are identifiable at present or in the foreseeable future'.</t>
        </is>
      </c>
      <c r="I1099" s="2" t="inlineStr">
        <is>
          <t>S5</t>
        </is>
      </c>
      <c r="J1099" s="2" t="n">
        <v>26</v>
      </c>
      <c r="K1099" s="3" t="inlineStr">
        <is>
          <t>From the perspective of management, no risks threatening the Company's continued existence are identifiable at present or in the foreseeable future.</t>
        </is>
      </c>
      <c r="L1099" s="2" t="inlineStr">
        <is>
          <t>ok</t>
        </is>
      </c>
      <c r="M1099" s="2" t="inlineStr">
        <is>
          <t>demo reviewer</t>
        </is>
      </c>
      <c r="N1099" s="2" t="n"/>
      <c r="O1099" s="3" t="inlineStr">
        <is>
          <t>https://vanillabonds.com/dossier-data/pdf/katjes/katjes-h1-2026-interim-report.pdf#page=26</t>
        </is>
      </c>
      <c r="P1099" s="3" t="inlineStr">
        <is>
          <t>https://vanillabonds.com/dossier.html?c=katjes&amp;viewer=1&amp;item=F1098</t>
        </is>
      </c>
      <c r="Q1099" s="2" t="inlineStr"/>
    </row>
    <row r="1100">
      <c r="A1100" s="2" t="inlineStr">
        <is>
          <t>F1099</t>
        </is>
      </c>
      <c r="B1100" s="2" t="inlineStr">
        <is>
          <t>risk</t>
        </is>
      </c>
      <c r="C1100" s="2" t="inlineStr">
        <is>
          <t>risk_fact</t>
        </is>
      </c>
      <c r="D1100" s="2" t="inlineStr">
        <is>
          <t>Risk fact</t>
        </is>
      </c>
      <c r="E1100" s="2" t="n"/>
      <c r="F1100" s="2" t="n"/>
      <c r="G1100" s="2" t="n"/>
      <c r="H1100" s="3" t="inlineStr">
        <is>
          <t>No significant changes in opportunities and risks versus the 2025 consolidated financial statements (pages 30 to 34 of that report).</t>
        </is>
      </c>
      <c r="I1100" s="2" t="inlineStr">
        <is>
          <t>S5</t>
        </is>
      </c>
      <c r="J1100" s="2" t="n">
        <v>26</v>
      </c>
      <c r="K1100" s="3" t="inlineStr">
        <is>
          <t>In the first half of the year, no significant changes occurred in the opportunities and risks compared with the 2025 consolidated fi-</t>
        </is>
      </c>
      <c r="L1100" s="2" t="inlineStr">
        <is>
          <t>ok</t>
        </is>
      </c>
      <c r="M1100" s="2" t="inlineStr">
        <is>
          <t>demo reviewer</t>
        </is>
      </c>
      <c r="N1100" s="2" t="n"/>
      <c r="O1100" s="3" t="inlineStr">
        <is>
          <t>https://vanillabonds.com/dossier-data/pdf/katjes/katjes-h1-2026-interim-report.pdf#page=26</t>
        </is>
      </c>
      <c r="P1100" s="3" t="inlineStr">
        <is>
          <t>https://vanillabonds.com/dossier.html?c=katjes&amp;viewer=1&amp;item=F1099</t>
        </is>
      </c>
      <c r="Q1100" s="2" t="inlineStr"/>
    </row>
    <row r="1101">
      <c r="A1101" s="2" t="inlineStr">
        <is>
          <t>F1100</t>
        </is>
      </c>
      <c r="B1101" s="2" t="inlineStr">
        <is>
          <t>risk</t>
        </is>
      </c>
      <c r="C1101" s="2" t="inlineStr">
        <is>
          <t>risk_fact</t>
        </is>
      </c>
      <c r="D1101" s="2" t="inlineStr">
        <is>
          <t>Risk fact</t>
        </is>
      </c>
      <c r="E1101" s="2" t="n"/>
      <c r="F1101" s="2" t="n"/>
      <c r="G1101" s="2" t="n"/>
      <c r="H1101" s="3" t="inlineStr">
        <is>
          <t>FX: cash held in GBP EUR 2.8m (0.5m) and in other currencies, mainly RUB, CHF and USD, EUR 8.6m (10.6m) at 30 June 2026; group includes Bogner Eastern Europe LLC, Moscow.</t>
        </is>
      </c>
      <c r="I1101" s="2" t="inlineStr">
        <is>
          <t>S5</t>
        </is>
      </c>
      <c r="J1101" s="2" t="n">
        <v>41</v>
      </c>
      <c r="K1101" s="3" t="inlineStr">
        <is>
          <t>other foreign currencies (mainly RUB, CHF, USD) are reported at an equivalent value of EUR 8.6 million</t>
        </is>
      </c>
      <c r="L1101" s="2" t="inlineStr">
        <is>
          <t>ok</t>
        </is>
      </c>
      <c r="M1101" s="2" t="inlineStr">
        <is>
          <t>demo reviewer</t>
        </is>
      </c>
      <c r="N1101" s="2" t="n"/>
      <c r="O1101" s="3" t="inlineStr">
        <is>
          <t>https://vanillabonds.com/dossier-data/pdf/katjes/katjes-h1-2026-interim-report.pdf#page=41</t>
        </is>
      </c>
      <c r="P1101" s="3" t="inlineStr">
        <is>
          <t>https://vanillabonds.com/dossier.html?c=katjes&amp;viewer=1&amp;item=F1100</t>
        </is>
      </c>
      <c r="Q1101" s="2" t="inlineStr"/>
    </row>
    <row r="1102">
      <c r="A1102" s="2" t="inlineStr">
        <is>
          <t>F1101</t>
        </is>
      </c>
      <c r="B1102" s="2" t="inlineStr">
        <is>
          <t>management</t>
        </is>
      </c>
      <c r="C1102" s="2" t="inlineStr">
        <is>
          <t>mgmt_person</t>
        </is>
      </c>
      <c r="D1102" s="3" t="inlineStr">
        <is>
          <t>Executive: name, role, since, prior roles (register / report)</t>
        </is>
      </c>
      <c r="E1102" s="2" t="n"/>
      <c r="F1102" s="2" t="n"/>
      <c r="G1102" s="2" t="n"/>
      <c r="H1102" s="3" t="inlineStr">
        <is>
          <t>Stephan Milde, Managing Director (CFO) since 2012; before: several years in investment banking at Deutsche Bank and Citigroup in London.</t>
        </is>
      </c>
      <c r="I1102" s="2" t="inlineStr">
        <is>
          <t>S5</t>
        </is>
      </c>
      <c r="J1102" s="2" t="n">
        <v>6</v>
      </c>
      <c r="K1102" s="2" t="inlineStr">
        <is>
          <t>since 2012 – CFO of Katjes International</t>
        </is>
      </c>
      <c r="L1102" s="2" t="inlineStr">
        <is>
          <t>ok</t>
        </is>
      </c>
      <c r="M1102" s="2" t="inlineStr">
        <is>
          <t>demo reviewer</t>
        </is>
      </c>
      <c r="N1102" s="2" t="n"/>
      <c r="O1102" s="3" t="inlineStr">
        <is>
          <t>https://vanillabonds.com/dossier-data/pdf/katjes/katjes-h1-2026-interim-report.pdf#page=6</t>
        </is>
      </c>
      <c r="P1102" s="3" t="inlineStr">
        <is>
          <t>https://vanillabonds.com/dossier.html?c=katjes&amp;viewer=1&amp;item=F1101</t>
        </is>
      </c>
      <c r="Q1102" s="2" t="inlineStr"/>
    </row>
    <row r="1103">
      <c r="A1103" s="2" t="inlineStr">
        <is>
          <t>F1102</t>
        </is>
      </c>
      <c r="B1103" s="2" t="inlineStr">
        <is>
          <t>management</t>
        </is>
      </c>
      <c r="C1103" s="2" t="inlineStr">
        <is>
          <t>mgmt_person</t>
        </is>
      </c>
      <c r="D1103" s="3" t="inlineStr">
        <is>
          <t>Executive: name, role, since, prior roles (register / report)</t>
        </is>
      </c>
      <c r="E1103" s="2" t="n"/>
      <c r="F1103" s="2" t="n"/>
      <c r="G1103" s="2" t="n"/>
      <c r="H1103" s="3" t="inlineStr">
        <is>
          <t>Bastian Fassin, Managing Partner since 2004; until 2003 Marketing and Sales at Kraft Foods; until 2000 Roland Berger Strategy Consultants.</t>
        </is>
      </c>
      <c r="I1103" s="2" t="inlineStr">
        <is>
          <t>S5</t>
        </is>
      </c>
      <c r="J1103" s="2" t="n">
        <v>6</v>
      </c>
      <c r="K1103" s="3" t="inlineStr">
        <is>
          <t>since 2004 – Managing Partner of Katjes International</t>
        </is>
      </c>
      <c r="L1103" s="2" t="inlineStr">
        <is>
          <t>ok</t>
        </is>
      </c>
      <c r="M1103" s="2" t="inlineStr">
        <is>
          <t>demo reviewer</t>
        </is>
      </c>
      <c r="N1103" s="2" t="n"/>
      <c r="O1103" s="3" t="inlineStr">
        <is>
          <t>https://vanillabonds.com/dossier-data/pdf/katjes/katjes-h1-2026-interim-report.pdf#page=6</t>
        </is>
      </c>
      <c r="P1103" s="3" t="inlineStr">
        <is>
          <t>https://vanillabonds.com/dossier.html?c=katjes&amp;viewer=1&amp;item=F1102</t>
        </is>
      </c>
      <c r="Q1103" s="2" t="inlineStr"/>
    </row>
    <row r="1104">
      <c r="A1104" s="2" t="inlineStr">
        <is>
          <t>F1103</t>
        </is>
      </c>
      <c r="B1104" s="2" t="inlineStr">
        <is>
          <t>management</t>
        </is>
      </c>
      <c r="C1104" s="2" t="inlineStr">
        <is>
          <t>mgmt_person</t>
        </is>
      </c>
      <c r="D1104" s="3" t="inlineStr">
        <is>
          <t>Executive: name, role, since, prior roles (register / report)</t>
        </is>
      </c>
      <c r="E1104" s="2" t="n"/>
      <c r="F1104" s="2" t="n"/>
      <c r="G1104" s="2" t="n"/>
      <c r="H1104" s="3" t="inlineStr">
        <is>
          <t>Tobias Bachmüller, Managing Partner since 1996; until 1995 General Manager Kraft Foods (Milka); until 1992 Principal, The Boston Consulting Group.</t>
        </is>
      </c>
      <c r="I1104" s="2" t="inlineStr">
        <is>
          <t>S5</t>
        </is>
      </c>
      <c r="J1104" s="2" t="n">
        <v>6</v>
      </c>
      <c r="K1104" s="3" t="inlineStr">
        <is>
          <t>since 1996 – Managing Partner of Katjes International</t>
        </is>
      </c>
      <c r="L1104" s="2" t="inlineStr">
        <is>
          <t>ok</t>
        </is>
      </c>
      <c r="M1104" s="2" t="inlineStr">
        <is>
          <t>demo reviewer</t>
        </is>
      </c>
      <c r="N1104" s="2" t="n"/>
      <c r="O1104" s="3" t="inlineStr">
        <is>
          <t>https://vanillabonds.com/dossier-data/pdf/katjes/katjes-h1-2026-interim-report.pdf#page=6</t>
        </is>
      </c>
      <c r="P1104" s="3" t="inlineStr">
        <is>
          <t>https://vanillabonds.com/dossier.html?c=katjes&amp;viewer=1&amp;item=F1103</t>
        </is>
      </c>
      <c r="Q1104" s="2" t="inlineStr"/>
    </row>
    <row r="1105">
      <c r="A1105" s="2" t="inlineStr">
        <is>
          <t>F1104</t>
        </is>
      </c>
      <c r="B1105" s="2" t="inlineStr">
        <is>
          <t>management</t>
        </is>
      </c>
      <c r="C1105" s="2" t="inlineStr">
        <is>
          <t>revenue_budget</t>
        </is>
      </c>
      <c r="D1105" s="3" t="inlineStr">
        <is>
          <t>Revenue as budgeted for that year (management plan at the time)</t>
        </is>
      </c>
      <c r="E1105" s="2" t="inlineStr">
        <is>
          <t>FY2026</t>
        </is>
      </c>
      <c r="F1105" s="2" t="n">
        <v>650</v>
      </c>
      <c r="G1105" s="2" t="inlineStr">
        <is>
          <t>EUR m</t>
        </is>
      </c>
      <c r="H1105" s="3" t="inlineStr">
        <is>
          <t>Company guidance for FY2026: Group revenue of 'at least EUR 650 million', which management expects 'to meet or exceed'.</t>
        </is>
      </c>
      <c r="I1105" s="2" t="inlineStr">
        <is>
          <t>S5</t>
        </is>
      </c>
      <c r="J1105" s="2" t="n">
        <v>5</v>
      </c>
      <c r="K1105" s="3" t="inlineStr">
        <is>
          <t>to meet or exceed our guidance of expected Group revenue of at least EUR 650 million and an expected EBITDA margin of 10% – 12%.</t>
        </is>
      </c>
      <c r="L1105" s="2" t="inlineStr">
        <is>
          <t>ok</t>
        </is>
      </c>
      <c r="M1105" s="2" t="inlineStr">
        <is>
          <t>demo reviewer</t>
        </is>
      </c>
      <c r="N1105" s="2" t="n"/>
      <c r="O1105" s="3" t="inlineStr">
        <is>
          <t>https://vanillabonds.com/dossier-data/pdf/katjes/katjes-h1-2026-interim-report.pdf#page=5</t>
        </is>
      </c>
      <c r="P1105" s="3" t="inlineStr">
        <is>
          <t>https://vanillabonds.com/dossier.html?c=katjes&amp;viewer=1&amp;item=F1104</t>
        </is>
      </c>
      <c r="Q1105" s="2" t="inlineStr"/>
    </row>
    <row r="1106">
      <c r="A1106" s="2" t="inlineStr">
        <is>
          <t>F1105</t>
        </is>
      </c>
      <c r="B1106" s="2" t="inlineStr">
        <is>
          <t>management</t>
        </is>
      </c>
      <c r="C1106" s="2" t="inlineStr">
        <is>
          <t>acquisition</t>
        </is>
      </c>
      <c r="D1106" s="3" t="inlineStr">
        <is>
          <t>Acquisition / disposal: target, year, price, funding, outcome vs case</t>
        </is>
      </c>
      <c r="E1106" s="2" t="n"/>
      <c r="F1106" s="2" t="n"/>
      <c r="G1106" s="2" t="n"/>
      <c r="H1106" s="3" t="inlineStr">
        <is>
          <t>target: Bübchen from Nestlé/Galderma; year: 2020 (May); carve-out of a division of a large corporation.</t>
        </is>
      </c>
      <c r="I1106" s="2" t="inlineStr">
        <is>
          <t>S5</t>
        </is>
      </c>
      <c r="J1106" s="2" t="n">
        <v>17</v>
      </c>
      <c r="K1106" s="3" t="inlineStr">
        <is>
          <t>Significant examples include the acquisition of Bübchen from Nestlé/Galderma in 2020</t>
        </is>
      </c>
      <c r="L1106" s="2" t="inlineStr">
        <is>
          <t>ok</t>
        </is>
      </c>
      <c r="M1106" s="2" t="inlineStr">
        <is>
          <t>demo reviewer</t>
        </is>
      </c>
      <c r="N1106" s="2" t="n"/>
      <c r="O1106" s="3" t="inlineStr">
        <is>
          <t>https://vanillabonds.com/dossier-data/pdf/katjes/katjes-h1-2026-interim-report.pdf#page=17</t>
        </is>
      </c>
      <c r="P1106" s="3" t="inlineStr">
        <is>
          <t>https://vanillabonds.com/dossier.html?c=katjes&amp;viewer=1&amp;item=F1105</t>
        </is>
      </c>
      <c r="Q1106" s="2" t="inlineStr"/>
    </row>
    <row r="1107">
      <c r="A1107" s="2" t="inlineStr">
        <is>
          <t>F1106</t>
        </is>
      </c>
      <c r="B1107" s="2" t="inlineStr">
        <is>
          <t>management</t>
        </is>
      </c>
      <c r="C1107" s="2" t="inlineStr">
        <is>
          <t>acquisition</t>
        </is>
      </c>
      <c r="D1107" s="3" t="inlineStr">
        <is>
          <t>Acquisition / disposal: target, year, price, funding, outcome vs case</t>
        </is>
      </c>
      <c r="E1107" s="2" t="n"/>
      <c r="F1107" s="2" t="n"/>
      <c r="G1107" s="2" t="n"/>
      <c r="H1107" s="3" t="inlineStr">
        <is>
          <t>target: Bogner Group (60% interest), Germany's largest family-owned luxury apparel brand; year: 2025 (1 Sep); acquisition financing referred to in the financial result.</t>
        </is>
      </c>
      <c r="I1107" s="2" t="inlineStr">
        <is>
          <t>S5</t>
        </is>
      </c>
      <c r="J1107" s="2" t="n">
        <v>18</v>
      </c>
      <c r="K1107" s="3" t="inlineStr">
        <is>
          <t>On September 1, 2025, a 60% interest in the Bogner Group was acquired.</t>
        </is>
      </c>
      <c r="L1107" s="2" t="inlineStr">
        <is>
          <t>ok</t>
        </is>
      </c>
      <c r="M1107" s="2" t="inlineStr">
        <is>
          <t>demo reviewer</t>
        </is>
      </c>
      <c r="N1107" s="2" t="n"/>
      <c r="O1107" s="3" t="inlineStr">
        <is>
          <t>https://vanillabonds.com/dossier-data/pdf/katjes/katjes-h1-2026-interim-report.pdf#page=18</t>
        </is>
      </c>
      <c r="P1107" s="3" t="inlineStr">
        <is>
          <t>https://vanillabonds.com/dossier.html?c=katjes&amp;viewer=1&amp;item=F1106</t>
        </is>
      </c>
      <c r="Q1107" s="2" t="inlineStr"/>
    </row>
    <row r="1108">
      <c r="A1108" s="2" t="inlineStr">
        <is>
          <t>F1107</t>
        </is>
      </c>
      <c r="B1108" s="2" t="inlineStr">
        <is>
          <t>management</t>
        </is>
      </c>
      <c r="C1108" s="2" t="inlineStr">
        <is>
          <t>acquisition</t>
        </is>
      </c>
      <c r="D1108" s="3" t="inlineStr">
        <is>
          <t>Acquisition / disposal: target, year, price, funding, outcome vs case</t>
        </is>
      </c>
      <c r="E1108" s="2" t="n"/>
      <c r="F1108" s="2" t="n"/>
      <c r="G1108" s="2" t="n"/>
      <c r="H1108" s="3" t="inlineStr">
        <is>
          <t>target: Oral Care business (Theramed, Vademecum, Licor del Polo, Antica Erboristeria, Denivit) from Henkel AG &amp; Co. KGaA; year: 2022 (December).</t>
        </is>
      </c>
      <c r="I1108" s="2" t="inlineStr">
        <is>
          <t>S5</t>
        </is>
      </c>
      <c r="J1108" s="2" t="n">
        <v>18</v>
      </c>
      <c r="K1108" s="3" t="inlineStr">
        <is>
          <t>The oral care business acquired from Henkel, which includes the trademarks for Theramed, Vademecum, Licor del Polo, An- tica Erboristeria and Denivit</t>
        </is>
      </c>
      <c r="L1108" s="2" t="inlineStr">
        <is>
          <t>ok</t>
        </is>
      </c>
      <c r="M1108" s="2" t="inlineStr">
        <is>
          <t>demo reviewer</t>
        </is>
      </c>
      <c r="N1108" s="2" t="n"/>
      <c r="O1108" s="3" t="inlineStr">
        <is>
          <t>https://vanillabonds.com/dossier-data/pdf/katjes/katjes-h1-2026-interim-report.pdf#page=18</t>
        </is>
      </c>
      <c r="P1108" s="3" t="inlineStr">
        <is>
          <t>https://vanillabonds.com/dossier.html?c=katjes&amp;viewer=1&amp;item=F1107</t>
        </is>
      </c>
      <c r="Q1108" s="2" t="inlineStr"/>
    </row>
    <row r="1109">
      <c r="A1109" s="2" t="inlineStr">
        <is>
          <t>F1108</t>
        </is>
      </c>
      <c r="B1109" s="2" t="inlineStr">
        <is>
          <t>management</t>
        </is>
      </c>
      <c r="C1109" s="2" t="inlineStr">
        <is>
          <t>acquisition</t>
        </is>
      </c>
      <c r="D1109" s="3" t="inlineStr">
        <is>
          <t>Acquisition / disposal: target, year, price, funding, outcome vs case</t>
        </is>
      </c>
      <c r="E1109" s="2" t="n"/>
      <c r="F1109" s="2" t="n"/>
      <c r="G1109" s="2" t="n"/>
      <c r="H1109" s="3" t="inlineStr">
        <is>
          <t>target: Barnängen cosmetics brand for Germany, Austria, Czech Republic, Switzerland and Hungary; year: 2024 (April).</t>
        </is>
      </c>
      <c r="I1109" s="2" t="inlineStr">
        <is>
          <t>S5</t>
        </is>
      </c>
      <c r="J1109" s="2" t="n">
        <v>18</v>
      </c>
      <c r="K1109" s="3" t="inlineStr">
        <is>
          <t>The company acquired the cosmetics brand Barnängen for the focus markets Germany, Austria, the Czech Republic, Switzer- land and Hungary in April 2024.</t>
        </is>
      </c>
      <c r="L1109" s="2" t="inlineStr">
        <is>
          <t>ok</t>
        </is>
      </c>
      <c r="M1109" s="2" t="inlineStr">
        <is>
          <t>demo reviewer</t>
        </is>
      </c>
      <c r="N1109" s="2" t="n"/>
      <c r="O1109" s="3" t="inlineStr">
        <is>
          <t>https://vanillabonds.com/dossier-data/pdf/katjes/katjes-h1-2026-interim-report.pdf#page=18</t>
        </is>
      </c>
      <c r="P1109" s="3" t="inlineStr">
        <is>
          <t>https://vanillabonds.com/dossier.html?c=katjes&amp;viewer=1&amp;item=F1108</t>
        </is>
      </c>
      <c r="Q1109" s="2" t="inlineStr"/>
    </row>
    <row r="1110">
      <c r="A1110" s="2" t="inlineStr">
        <is>
          <t>F1109</t>
        </is>
      </c>
      <c r="B1110" s="2" t="inlineStr">
        <is>
          <t>management</t>
        </is>
      </c>
      <c r="C1110" s="2" t="inlineStr">
        <is>
          <t>acquisition</t>
        </is>
      </c>
      <c r="D1110" s="3" t="inlineStr">
        <is>
          <t>Acquisition / disposal: target, year, price, funding, outcome vs case</t>
        </is>
      </c>
      <c r="E1110" s="2" t="n"/>
      <c r="F1110" s="2" t="n"/>
      <c r="G1110" s="2" t="n"/>
      <c r="H1110" s="3" t="inlineStr">
        <is>
          <t>target: Paluani (panettone, Verona); year: 2022 (August).</t>
        </is>
      </c>
      <c r="I1110" s="2" t="inlineStr">
        <is>
          <t>S5</t>
        </is>
      </c>
      <c r="J1110" s="2" t="n">
        <v>18</v>
      </c>
      <c r="K1110" s="3" t="inlineStr">
        <is>
          <t>Paluani, a well-known producer of panettone in Italy, has been part of Katjes International since August 2022.</t>
        </is>
      </c>
      <c r="L1110" s="2" t="inlineStr">
        <is>
          <t>ok</t>
        </is>
      </c>
      <c r="M1110" s="2" t="inlineStr">
        <is>
          <t>demo reviewer</t>
        </is>
      </c>
      <c r="N1110" s="2" t="n"/>
      <c r="O1110" s="3" t="inlineStr">
        <is>
          <t>https://vanillabonds.com/dossier-data/pdf/katjes/katjes-h1-2026-interim-report.pdf#page=18</t>
        </is>
      </c>
      <c r="P1110" s="3" t="inlineStr">
        <is>
          <t>https://vanillabonds.com/dossier.html?c=katjes&amp;viewer=1&amp;item=F1109</t>
        </is>
      </c>
      <c r="Q1110" s="2" t="inlineStr"/>
    </row>
    <row r="1111">
      <c r="A1111" s="2" t="inlineStr">
        <is>
          <t>F1110</t>
        </is>
      </c>
      <c r="B1111" s="2" t="inlineStr">
        <is>
          <t>management</t>
        </is>
      </c>
      <c r="C1111" s="2" t="inlineStr">
        <is>
          <t>acquisition</t>
        </is>
      </c>
      <c r="D1111" s="3" t="inlineStr">
        <is>
          <t>Acquisition / disposal: target, year, price, funding, outcome vs case</t>
        </is>
      </c>
      <c r="E1111" s="2" t="n"/>
      <c r="F1111" s="2" t="n"/>
      <c r="G1111" s="2" t="n"/>
      <c r="H1111" s="3" t="inlineStr">
        <is>
          <t>target: Dulcioliva (75%, Cuneesi pralines, Piedmont); year: 2021 (June).</t>
        </is>
      </c>
      <c r="I1111" s="2" t="inlineStr">
        <is>
          <t>S5</t>
        </is>
      </c>
      <c r="J1111" s="2" t="n">
        <v>18</v>
      </c>
      <c r="K1111" s="3" t="inlineStr">
        <is>
          <t>ce June 2021, is one of the leading producers of ’Cuneesi’ pra- lines, a speciality chocolate product from Piedmont.</t>
        </is>
      </c>
      <c r="L1111" s="2" t="inlineStr">
        <is>
          <t>ok</t>
        </is>
      </c>
      <c r="M1111" s="2" t="inlineStr">
        <is>
          <t>demo reviewer</t>
        </is>
      </c>
      <c r="N1111" s="2" t="n"/>
      <c r="O1111" s="3" t="inlineStr">
        <is>
          <t>https://vanillabonds.com/dossier-data/pdf/katjes/katjes-h1-2026-interim-report.pdf#page=18</t>
        </is>
      </c>
      <c r="P1111" s="3" t="inlineStr">
        <is>
          <t>https://vanillabonds.com/dossier.html?c=katjes&amp;viewer=1&amp;item=F1110</t>
        </is>
      </c>
      <c r="Q1111" s="2" t="inlineStr"/>
    </row>
    <row r="1112">
      <c r="A1112" s="2" t="inlineStr">
        <is>
          <t>F1111</t>
        </is>
      </c>
      <c r="B1112" s="2" t="inlineStr">
        <is>
          <t>management</t>
        </is>
      </c>
      <c r="C1112" s="2" t="inlineStr">
        <is>
          <t>acquisition</t>
        </is>
      </c>
      <c r="D1112" s="3" t="inlineStr">
        <is>
          <t>Acquisition / disposal: target, year, price, funding, outcome vs case</t>
        </is>
      </c>
      <c r="E1112" s="2" t="n"/>
      <c r="F1112" s="2" t="n"/>
      <c r="G1112" s="2" t="n"/>
      <c r="H1112" s="3" t="inlineStr">
        <is>
          <t>target: Sperlari (Italy); year: 2017. Harlekijntjes (NL) 2016, Piasten (DE) 2014, Dallmann's (DE) 2012 per the market-positions section.</t>
        </is>
      </c>
      <c r="I1112" s="2" t="inlineStr">
        <is>
          <t>S5</t>
        </is>
      </c>
      <c r="J1112" s="2" t="n">
        <v>18</v>
      </c>
      <c r="K1112" s="3" t="inlineStr">
        <is>
          <t>In Italy, Sperlari has been part of Katjes International since 2017.</t>
        </is>
      </c>
      <c r="L1112" s="2" t="inlineStr">
        <is>
          <t>ok</t>
        </is>
      </c>
      <c r="M1112" s="2" t="inlineStr">
        <is>
          <t>demo reviewer</t>
        </is>
      </c>
      <c r="N1112" s="2" t="n"/>
      <c r="O1112" s="3" t="inlineStr">
        <is>
          <t>https://vanillabonds.com/dossier-data/pdf/katjes/katjes-h1-2026-interim-report.pdf#page=18</t>
        </is>
      </c>
      <c r="P1112" s="3" t="inlineStr">
        <is>
          <t>https://vanillabonds.com/dossier.html?c=katjes&amp;viewer=1&amp;item=F1111</t>
        </is>
      </c>
      <c r="Q1112" s="2" t="inlineStr"/>
    </row>
    <row r="1113">
      <c r="A1113" s="2" t="inlineStr">
        <is>
          <t>F1112</t>
        </is>
      </c>
      <c r="B1113" s="2" t="inlineStr">
        <is>
          <t>management</t>
        </is>
      </c>
      <c r="C1113" s="2" t="inlineStr">
        <is>
          <t>acquisition</t>
        </is>
      </c>
      <c r="D1113" s="3" t="inlineStr">
        <is>
          <t>Acquisition / disposal: target, year, price, funding, outcome vs case</t>
        </is>
      </c>
      <c r="E1113" s="2" t="n"/>
      <c r="F1113" s="2" t="n"/>
      <c r="G1113" s="2" t="n"/>
      <c r="H1113" s="3" t="inlineStr">
        <is>
          <t>target: Missoni S.p.A., Sumirago, about 27% stake via Katjes Quiet Luxury GmbH, equity-accounted; year: 2026 (May); funding: existing corporate bond increased by EUR 15m to EUR 200m; price not stated separately.</t>
        </is>
      </c>
      <c r="I1113" s="2" t="inlineStr">
        <is>
          <t>S5</t>
        </is>
      </c>
      <c r="J1113" s="2" t="n">
        <v>21</v>
      </c>
      <c r="K1113" s="3" t="inlineStr">
        <is>
          <t>wholly owned subsidiary Katjes Quiet Luxury, of approximately 27% of the shares in Missoni S.p.A.</t>
        </is>
      </c>
      <c r="L1113" s="2" t="inlineStr">
        <is>
          <t>ok</t>
        </is>
      </c>
      <c r="M1113" s="2" t="inlineStr">
        <is>
          <t>demo reviewer</t>
        </is>
      </c>
      <c r="N1113" s="2" t="n"/>
      <c r="O1113" s="3" t="inlineStr">
        <is>
          <t>https://vanillabonds.com/dossier-data/pdf/katjes/katjes-h1-2026-interim-report.pdf#page=21</t>
        </is>
      </c>
      <c r="P1113" s="3" t="inlineStr">
        <is>
          <t>https://vanillabonds.com/dossier.html?c=katjes&amp;viewer=1&amp;item=F1112</t>
        </is>
      </c>
      <c r="Q1113" s="2" t="inlineStr"/>
    </row>
    <row r="1114">
      <c r="A1114" s="2" t="inlineStr">
        <is>
          <t>F1113</t>
        </is>
      </c>
      <c r="B1114" s="2" t="inlineStr">
        <is>
          <t>management</t>
        </is>
      </c>
      <c r="C1114" s="2" t="inlineStr">
        <is>
          <t>acquisition</t>
        </is>
      </c>
      <c r="D1114" s="3" t="inlineStr">
        <is>
          <t>Acquisition / disposal: target, year, price, funding, outcome vs case</t>
        </is>
      </c>
      <c r="E1114" s="2" t="n"/>
      <c r="F1114" s="2" t="n">
        <v>31.8</v>
      </c>
      <c r="G1114" s="2" t="n"/>
      <c r="H1114" s="3" t="inlineStr">
        <is>
          <t>target: Nature Delivered Ltd. (Graze), London, from Unilever, via Future Snacks Ltd.; year: 2026 (2 Feb); price: EUR 31.8m; badwill 11.2 in other operating income; Graze revenue about GBP 35m in 2025 and profitable.</t>
        </is>
      </c>
      <c r="I1114" s="2" t="inlineStr">
        <is>
          <t>S5</t>
        </is>
      </c>
      <c r="J1114" s="2" t="n">
        <v>38</v>
      </c>
      <c r="K1114" s="2" t="inlineStr">
        <is>
          <t>Purchase price 31.8 Badwill 11.2</t>
        </is>
      </c>
      <c r="L1114" s="2" t="inlineStr">
        <is>
          <t>ok</t>
        </is>
      </c>
      <c r="M1114" s="2" t="inlineStr">
        <is>
          <t>demo reviewer</t>
        </is>
      </c>
      <c r="N1114" s="2" t="n"/>
      <c r="O1114" s="3" t="inlineStr">
        <is>
          <t>https://vanillabonds.com/dossier-data/pdf/katjes/katjes-h1-2026-interim-report.pdf#page=38</t>
        </is>
      </c>
      <c r="P1114" s="3" t="inlineStr">
        <is>
          <t>https://vanillabonds.com/dossier.html?c=katjes&amp;viewer=1&amp;item=F1113</t>
        </is>
      </c>
      <c r="Q1114" s="2" t="inlineStr"/>
    </row>
    <row r="1115">
      <c r="A1115" s="2" t="inlineStr">
        <is>
          <t>F1114</t>
        </is>
      </c>
      <c r="B1115" s="2" t="inlineStr">
        <is>
          <t>management</t>
        </is>
      </c>
      <c r="C1115" s="2" t="inlineStr">
        <is>
          <t>acquisition</t>
        </is>
      </c>
      <c r="D1115" s="3" t="inlineStr">
        <is>
          <t>Acquisition / disposal: target, year, price, funding, outcome vs case</t>
        </is>
      </c>
      <c r="E1115" s="2" t="n"/>
      <c r="F1115" s="2" t="n">
        <v>0.4</v>
      </c>
      <c r="G1115" s="2" t="n"/>
      <c r="H1115" s="3" t="inlineStr">
        <is>
          <t>target: Pastificio Plin S.r.l., Villanova d'Albenga; year: 2026 (27 Feb); price: EUR 0.4m; badwill 2.6; revenue about EUR 4m in 2025 and profitable.</t>
        </is>
      </c>
      <c r="I1115" s="2" t="inlineStr">
        <is>
          <t>S5</t>
        </is>
      </c>
      <c r="J1115" s="2" t="n">
        <v>39</v>
      </c>
      <c r="K1115" s="2" t="inlineStr">
        <is>
          <t>Purchase price 0.4 Badwill 2.6</t>
        </is>
      </c>
      <c r="L1115" s="2" t="inlineStr">
        <is>
          <t>ok</t>
        </is>
      </c>
      <c r="M1115" s="2" t="inlineStr">
        <is>
          <t>demo reviewer</t>
        </is>
      </c>
      <c r="N1115" s="2" t="n"/>
      <c r="O1115" s="3" t="inlineStr">
        <is>
          <t>https://vanillabonds.com/dossier-data/pdf/katjes/katjes-h1-2026-interim-report.pdf#page=39</t>
        </is>
      </c>
      <c r="P1115" s="3" t="inlineStr">
        <is>
          <t>https://vanillabonds.com/dossier.html?c=katjes&amp;viewer=1&amp;item=F1114</t>
        </is>
      </c>
      <c r="Q1115" s="2" t="inlineStr"/>
    </row>
    <row r="1116">
      <c r="A1116" s="2" t="inlineStr">
        <is>
          <t>F1115</t>
        </is>
      </c>
      <c r="B1116" s="2" t="inlineStr">
        <is>
          <t>management</t>
        </is>
      </c>
      <c r="C1116" s="2" t="inlineStr">
        <is>
          <t>succession</t>
        </is>
      </c>
      <c r="D1116" s="3" t="inlineStr">
        <is>
          <t>Succession: plan, last change of CEO / CFO, who decides</t>
        </is>
      </c>
      <c r="E1116" s="2" t="n"/>
      <c r="F1116" s="2" t="n"/>
      <c r="G1116" s="2" t="n"/>
      <c r="H1116" s="3" t="inlineStr">
        <is>
          <t>Last changes: CFO Stephan Milde since 2012, Managing Partners Bachmüller since 1996 and Fassin since 2004; no succession plan stated in this report.</t>
        </is>
      </c>
      <c r="I1116" s="2" t="inlineStr">
        <is>
          <t>S5</t>
        </is>
      </c>
      <c r="J1116" s="2" t="n">
        <v>6</v>
      </c>
      <c r="K1116" s="2" t="inlineStr">
        <is>
          <t>since 2012 – CFO of Katjes International</t>
        </is>
      </c>
      <c r="L1116" s="2" t="inlineStr">
        <is>
          <t>ok</t>
        </is>
      </c>
      <c r="M1116" s="2" t="inlineStr">
        <is>
          <t>demo reviewer</t>
        </is>
      </c>
      <c r="N1116" s="2" t="n"/>
      <c r="O1116" s="3" t="inlineStr">
        <is>
          <t>https://vanillabonds.com/dossier-data/pdf/katjes/katjes-h1-2026-interim-report.pdf#page=6</t>
        </is>
      </c>
      <c r="P1116" s="3" t="inlineStr">
        <is>
          <t>https://vanillabonds.com/dossier.html?c=katjes&amp;viewer=1&amp;item=F1115</t>
        </is>
      </c>
      <c r="Q1116" s="2" t="inlineStr"/>
    </row>
    <row r="1117">
      <c r="A1117" s="2" t="inlineStr">
        <is>
          <t>F1116</t>
        </is>
      </c>
      <c r="B1117" s="2" t="inlineStr">
        <is>
          <t>management</t>
        </is>
      </c>
      <c r="C1117" s="2" t="inlineStr">
        <is>
          <t>governance</t>
        </is>
      </c>
      <c r="D1117" s="3" t="inlineStr">
        <is>
          <t>Board, independent members, group structure, related-party flows, dividends</t>
        </is>
      </c>
      <c r="E1117" s="2" t="n"/>
      <c r="F1117" s="2" t="n"/>
      <c r="G1117" s="2" t="n"/>
      <c r="H1117" s="3" t="inlineStr">
        <is>
          <t>Katjes International forms the Katjes Group with two legally independent sister companies, Katjes Fassin GmbH + Co. KG and Katjesgreenfood GmbH &amp; Co. KG; the interim statements cover only Katjes International and its subsidiaries.</t>
        </is>
      </c>
      <c r="I1117" s="2" t="inlineStr">
        <is>
          <t>S5</t>
        </is>
      </c>
      <c r="J1117" s="2" t="n">
        <v>17</v>
      </c>
      <c r="K1117" s="3" t="inlineStr">
        <is>
          <t>All three companies are le- gally independent entities.</t>
        </is>
      </c>
      <c r="L1117" s="2" t="inlineStr">
        <is>
          <t>ok</t>
        </is>
      </c>
      <c r="M1117" s="2" t="inlineStr">
        <is>
          <t>demo reviewer</t>
        </is>
      </c>
      <c r="N1117" s="2" t="n"/>
      <c r="O1117" s="3" t="inlineStr">
        <is>
          <t>https://vanillabonds.com/dossier-data/pdf/katjes/katjes-h1-2026-interim-report.pdf#page=17</t>
        </is>
      </c>
      <c r="P1117" s="3" t="inlineStr">
        <is>
          <t>https://vanillabonds.com/dossier.html?c=katjes&amp;viewer=1&amp;item=F1116</t>
        </is>
      </c>
      <c r="Q1117" s="2" t="inlineStr"/>
    </row>
    <row r="1118">
      <c r="A1118" s="2" t="inlineStr">
        <is>
          <t>F1117</t>
        </is>
      </c>
      <c r="B1118" s="2" t="inlineStr">
        <is>
          <t>management</t>
        </is>
      </c>
      <c r="C1118" s="2" t="inlineStr">
        <is>
          <t>governance</t>
        </is>
      </c>
      <c r="D1118" s="3" t="inlineStr">
        <is>
          <t>Board, independent members, group structure, related-party flows, dividends</t>
        </is>
      </c>
      <c r="E1118" s="2" t="n"/>
      <c r="F1118" s="2" t="n"/>
      <c r="G1118" s="2" t="n"/>
      <c r="H1118" s="3" t="inlineStr">
        <is>
          <t>Katjes International holds about 88% of Candy Kittens and 75% of Dulcioliva, each with an option to acquire the remaining shares.</t>
        </is>
      </c>
      <c r="I1118" s="2" t="inlineStr">
        <is>
          <t>S5</t>
        </is>
      </c>
      <c r="J1118" s="2" t="n">
        <v>18</v>
      </c>
      <c r="K1118" s="3" t="inlineStr">
        <is>
          <t>rectly holds approximately 88% of the British company Candy Kittens and 75% of the Italian company Dulcioliva, in each case with the option to acquire the remaining outstanding shares.</t>
        </is>
      </c>
      <c r="L1118" s="2" t="inlineStr">
        <is>
          <t>ok</t>
        </is>
      </c>
      <c r="M1118" s="2" t="inlineStr">
        <is>
          <t>demo reviewer</t>
        </is>
      </c>
      <c r="N1118" s="2" t="n"/>
      <c r="O1118" s="3" t="inlineStr">
        <is>
          <t>https://vanillabonds.com/dossier-data/pdf/katjes/katjes-h1-2026-interim-report.pdf#page=18</t>
        </is>
      </c>
      <c r="P1118" s="3" t="inlineStr">
        <is>
          <t>https://vanillabonds.com/dossier.html?c=katjes&amp;viewer=1&amp;item=F1117</t>
        </is>
      </c>
      <c r="Q1118" s="2" t="inlineStr"/>
    </row>
    <row r="1119">
      <c r="A1119" s="2" t="inlineStr">
        <is>
          <t>F1118</t>
        </is>
      </c>
      <c r="B1119" s="2" t="inlineStr">
        <is>
          <t>management</t>
        </is>
      </c>
      <c r="C1119" s="2" t="inlineStr">
        <is>
          <t>governance</t>
        </is>
      </c>
      <c r="D1119" s="3" t="inlineStr">
        <is>
          <t>Board, independent members, group structure, related-party flows, dividends</t>
        </is>
      </c>
      <c r="E1119" s="2" t="n"/>
      <c r="F1119" s="2" t="n"/>
      <c r="G1119" s="2" t="n"/>
      <c r="H1119" s="3" t="inlineStr">
        <is>
          <t>Katjes International is managed by its general partner Xaver Fassin International GmbH; Fassin and Bachmüller are its managing directors and shareholders and also the limited partners.</t>
        </is>
      </c>
      <c r="I1119" s="2" t="inlineStr">
        <is>
          <t>S5</t>
        </is>
      </c>
      <c r="J1119" s="2" t="n">
        <v>48</v>
      </c>
      <c r="K1119" s="3" t="inlineStr">
        <is>
          <t>These individuals are also the limited partners of the parent company.</t>
        </is>
      </c>
      <c r="L1119" s="2" t="inlineStr">
        <is>
          <t>ok</t>
        </is>
      </c>
      <c r="M1119" s="2" t="inlineStr">
        <is>
          <t>demo reviewer</t>
        </is>
      </c>
      <c r="N1119" s="2" t="n"/>
      <c r="O1119" s="3" t="inlineStr">
        <is>
          <t>https://vanillabonds.com/dossier-data/pdf/katjes/katjes-h1-2026-interim-report.pdf#page=48</t>
        </is>
      </c>
      <c r="P1119" s="3" t="inlineStr">
        <is>
          <t>https://vanillabonds.com/dossier.html?c=katjes&amp;viewer=1&amp;item=F1118</t>
        </is>
      </c>
      <c r="Q1119" s="2" t="inlineStr"/>
    </row>
    <row r="1120">
      <c r="A1120" s="2" t="inlineStr">
        <is>
          <t>F1119</t>
        </is>
      </c>
      <c r="B1120" s="2" t="inlineStr">
        <is>
          <t>management</t>
        </is>
      </c>
      <c r="C1120" s="2" t="inlineStr">
        <is>
          <t>governance</t>
        </is>
      </c>
      <c r="D1120" s="3" t="inlineStr">
        <is>
          <t>Board, independent members, group structure, related-party flows, dividends</t>
        </is>
      </c>
      <c r="E1120" s="2" t="n"/>
      <c r="F1120" s="2" t="n"/>
      <c r="G1120" s="2" t="n"/>
      <c r="H1120" s="3" t="inlineStr">
        <is>
          <t>Remuneration of governing bodies beyond the general partner's remuneration is not disclosed, with reference to Section 286 (4) HGB.</t>
        </is>
      </c>
      <c r="I1120" s="2" t="inlineStr">
        <is>
          <t>S5</t>
        </is>
      </c>
      <c r="J1120" s="2" t="n">
        <v>48</v>
      </c>
      <c r="K1120" s="3" t="inlineStr">
        <is>
          <t>Disclosure of the remuneration of governing bodies beyond the remuneration paid to the general partner is waived</t>
        </is>
      </c>
      <c r="L1120" s="2" t="inlineStr">
        <is>
          <t>ok</t>
        </is>
      </c>
      <c r="M1120" s="2" t="inlineStr">
        <is>
          <t>demo reviewer</t>
        </is>
      </c>
      <c r="N1120" s="2" t="n"/>
      <c r="O1120" s="3" t="inlineStr">
        <is>
          <t>https://vanillabonds.com/dossier-data/pdf/katjes/katjes-h1-2026-interim-report.pdf#page=48</t>
        </is>
      </c>
      <c r="P1120" s="3" t="inlineStr">
        <is>
          <t>https://vanillabonds.com/dossier.html?c=katjes&amp;viewer=1&amp;item=F1119</t>
        </is>
      </c>
      <c r="Q1120" s="2" t="inlineStr"/>
    </row>
    <row r="1121">
      <c r="A1121" s="2" t="inlineStr">
        <is>
          <t>F1120</t>
        </is>
      </c>
      <c r="B1121" s="2" t="inlineStr">
        <is>
          <t>management</t>
        </is>
      </c>
      <c r="C1121" s="2" t="inlineStr">
        <is>
          <t>governance</t>
        </is>
      </c>
      <c r="D1121" s="3" t="inlineStr">
        <is>
          <t>Board, independent members, group structure, related-party flows, dividends</t>
        </is>
      </c>
      <c r="E1121" s="2" t="n"/>
      <c r="F1121" s="2" t="n"/>
      <c r="G1121" s="2" t="n"/>
      <c r="H1121" s="3" t="inlineStr">
        <is>
          <t>All related-party business relationships are stated to be conducted on arm's length terms and are unsecured.</t>
        </is>
      </c>
      <c r="I1121" s="2" t="inlineStr">
        <is>
          <t>S5</t>
        </is>
      </c>
      <c r="J1121" s="2" t="n">
        <v>48</v>
      </c>
      <c r="K1121" s="3" t="inlineStr">
        <is>
          <t>All business relationships are conducted on arm's length terms and are unsecured.</t>
        </is>
      </c>
      <c r="L1121" s="2" t="inlineStr">
        <is>
          <t>ok</t>
        </is>
      </c>
      <c r="M1121" s="2" t="inlineStr">
        <is>
          <t>demo reviewer</t>
        </is>
      </c>
      <c r="N1121" s="2" t="n"/>
      <c r="O1121" s="3" t="inlineStr">
        <is>
          <t>https://vanillabonds.com/dossier-data/pdf/katjes/katjes-h1-2026-interim-report.pdf#page=48</t>
        </is>
      </c>
      <c r="P1121" s="3" t="inlineStr">
        <is>
          <t>https://vanillabonds.com/dossier.html?c=katjes&amp;viewer=1&amp;item=F1120</t>
        </is>
      </c>
      <c r="Q1121" s="2" t="inlineStr"/>
    </row>
    <row r="1122">
      <c r="A1122" s="2" t="inlineStr">
        <is>
          <t>F1121</t>
        </is>
      </c>
      <c r="B1122" s="2" t="inlineStr">
        <is>
          <t>management</t>
        </is>
      </c>
      <c r="C1122" s="2" t="inlineStr">
        <is>
          <t>reporting_practice</t>
        </is>
      </c>
      <c r="D1122" s="3" t="inlineStr">
        <is>
          <t>Monitoring: KPI reporting, frequency, budget process, controlling</t>
        </is>
      </c>
      <c r="E1122" s="2" t="n"/>
      <c r="F1122" s="2" t="n"/>
      <c r="G1122" s="2" t="n"/>
      <c r="H1122" s="3" t="inlineStr">
        <is>
          <t>Internal management and reporting is conducted exclusively at Group level; EBITDA and EBITDA margin are the key management metrics.</t>
        </is>
      </c>
      <c r="I1122" s="2" t="inlineStr">
        <is>
          <t>S5</t>
        </is>
      </c>
      <c r="J1122" s="2" t="n">
        <v>18</v>
      </c>
      <c r="K1122" s="3" t="inlineStr">
        <is>
          <t>Internal management and reporting within the Katjes International Group is conducted exclusively at Group level.</t>
        </is>
      </c>
      <c r="L1122" s="2" t="inlineStr">
        <is>
          <t>ok</t>
        </is>
      </c>
      <c r="M1122" s="2" t="inlineStr">
        <is>
          <t>demo reviewer</t>
        </is>
      </c>
      <c r="N1122" s="2" t="n"/>
      <c r="O1122" s="3" t="inlineStr">
        <is>
          <t>https://vanillabonds.com/dossier-data/pdf/katjes/katjes-h1-2026-interim-report.pdf#page=18</t>
        </is>
      </c>
      <c r="P1122" s="3" t="inlineStr">
        <is>
          <t>https://vanillabonds.com/dossier.html?c=katjes&amp;viewer=1&amp;item=F1121</t>
        </is>
      </c>
      <c r="Q1122" s="2" t="inlineStr"/>
    </row>
    <row r="1123">
      <c r="A1123" s="2" t="inlineStr">
        <is>
          <t>F1122</t>
        </is>
      </c>
      <c r="B1123" s="2" t="inlineStr">
        <is>
          <t>management</t>
        </is>
      </c>
      <c r="C1123" s="2" t="inlineStr">
        <is>
          <t>reporting_practice</t>
        </is>
      </c>
      <c r="D1123" s="3" t="inlineStr">
        <is>
          <t>Monitoring: KPI reporting, frequency, budget process, controlling</t>
        </is>
      </c>
      <c r="E1123" s="2" t="n"/>
      <c r="F1123" s="2" t="n"/>
      <c r="G1123" s="2" t="n"/>
      <c r="H1123" s="3" t="inlineStr">
        <is>
          <t>No regular internal reporting or performance assessment by business divisions; management decides on consolidated group figures (single IFRS 8 segment).</t>
        </is>
      </c>
      <c r="I1123" s="2" t="inlineStr">
        <is>
          <t>S5</t>
        </is>
      </c>
      <c r="J1123" s="2" t="n">
        <v>45</v>
      </c>
      <c r="K1123" s="3" t="inlineStr">
        <is>
          <t>There is no regular internal reporting or performance assessment by individual business divisions or operating segments.</t>
        </is>
      </c>
      <c r="L1123" s="2" t="inlineStr">
        <is>
          <t>ok</t>
        </is>
      </c>
      <c r="M1123" s="2" t="inlineStr">
        <is>
          <t>demo reviewer</t>
        </is>
      </c>
      <c r="N1123" s="2" t="n"/>
      <c r="O1123" s="3" t="inlineStr">
        <is>
          <t>https://vanillabonds.com/dossier-data/pdf/katjes/katjes-h1-2026-interim-report.pdf#page=45</t>
        </is>
      </c>
      <c r="P1123" s="3" t="inlineStr">
        <is>
          <t>https://vanillabonds.com/dossier.html?c=katjes&amp;viewer=1&amp;item=F1122</t>
        </is>
      </c>
      <c r="Q1123" s="2" t="inlineStr"/>
    </row>
    <row r="1124">
      <c r="A1124" s="2" t="inlineStr">
        <is>
          <t>F1123</t>
        </is>
      </c>
      <c r="B1124" s="2" t="inlineStr">
        <is>
          <t>market</t>
        </is>
      </c>
      <c r="C1124" s="2" t="inlineStr">
        <is>
          <t>market_fact</t>
        </is>
      </c>
      <c r="D1124" s="3" t="inlineStr">
        <is>
          <t>Market: size, growth, share, competitor capacity, regulation (source named)</t>
        </is>
      </c>
      <c r="E1124" s="2" t="n"/>
      <c r="F1124" s="2" t="n"/>
      <c r="G1124" s="2" t="n"/>
      <c r="H1124" s="3" t="inlineStr">
        <is>
          <t>company statement: Chinese consumers' affinity for alpine lifestyle and winter sports since the Beijing Winter Olympics drives structural growth in premium and luxury ski apparel.</t>
        </is>
      </c>
      <c r="I1124" s="2" t="inlineStr">
        <is>
          <t>S5</t>
        </is>
      </c>
      <c r="J1124" s="2" t="n">
        <v>15</v>
      </c>
      <c r="K1124" s="3" t="inlineStr">
        <is>
          <t>driving structural growth in the premium and luxury ski apparel segment.</t>
        </is>
      </c>
      <c r="L1124" s="2" t="inlineStr">
        <is>
          <t>ok</t>
        </is>
      </c>
      <c r="M1124" s="2" t="inlineStr">
        <is>
          <t>demo reviewer</t>
        </is>
      </c>
      <c r="N1124" s="2" t="n"/>
      <c r="O1124" s="3" t="inlineStr">
        <is>
          <t>https://vanillabonds.com/dossier-data/pdf/katjes/katjes-h1-2026-interim-report.pdf#page=15</t>
        </is>
      </c>
      <c r="P1124" s="3" t="inlineStr">
        <is>
          <t>https://vanillabonds.com/dossier.html?c=katjes&amp;viewer=1&amp;item=F1123</t>
        </is>
      </c>
      <c r="Q1124" s="2" t="inlineStr"/>
    </row>
    <row r="1125">
      <c r="A1125" s="2" t="inlineStr">
        <is>
          <t>F1124</t>
        </is>
      </c>
      <c r="B1125" s="2" t="inlineStr">
        <is>
          <t>market</t>
        </is>
      </c>
      <c r="C1125" s="2" t="inlineStr">
        <is>
          <t>market_fact</t>
        </is>
      </c>
      <c r="D1125" s="3" t="inlineStr">
        <is>
          <t>Market: size, growth, share, competitor capacity, regulation (source named)</t>
        </is>
      </c>
      <c r="E1125" s="2" t="n"/>
      <c r="F1125" s="2" t="n"/>
      <c r="G1125" s="2" t="n"/>
      <c r="H1125" s="3" t="inlineStr">
        <is>
          <t>company statement: confectionery volumes stagnate or decline slightly in saturated markets; price increases, premiumisation and innovation drive moderate revenue growth; demand for sugar-reduced, vegan, functional products.</t>
        </is>
      </c>
      <c r="I1125" s="2" t="inlineStr">
        <is>
          <t>S5</t>
        </is>
      </c>
      <c r="J1125" s="2" t="n">
        <v>19</v>
      </c>
      <c r="K1125" s="3" t="inlineStr">
        <is>
          <t>while sales volumes stagnate or decline slightly in the largely saturated markets, price increases, premi- umisation, and innovative product concepts are driving modera-</t>
        </is>
      </c>
      <c r="L1125" s="2" t="inlineStr">
        <is>
          <t>ok</t>
        </is>
      </c>
      <c r="M1125" s="2" t="inlineStr">
        <is>
          <t>demo reviewer</t>
        </is>
      </c>
      <c r="N1125" s="2" t="n"/>
      <c r="O1125" s="3" t="inlineStr">
        <is>
          <t>https://vanillabonds.com/dossier-data/pdf/katjes/katjes-h1-2026-interim-report.pdf#page=19</t>
        </is>
      </c>
      <c r="P1125" s="3" t="inlineStr">
        <is>
          <t>https://vanillabonds.com/dossier.html?c=katjes&amp;viewer=1&amp;item=F1124</t>
        </is>
      </c>
      <c r="Q1125" s="2" t="inlineStr"/>
    </row>
    <row r="1126">
      <c r="A1126" s="2" t="inlineStr">
        <is>
          <t>F1125</t>
        </is>
      </c>
      <c r="B1126" s="2" t="inlineStr">
        <is>
          <t>market</t>
        </is>
      </c>
      <c r="C1126" s="2" t="inlineStr">
        <is>
          <t>market_fact</t>
        </is>
      </c>
      <c r="D1126" s="3" t="inlineStr">
        <is>
          <t>Market: size, growth, share, competitor capacity, regulation (source named)</t>
        </is>
      </c>
      <c r="E1126" s="2" t="n"/>
      <c r="F1126" s="2" t="n"/>
      <c r="G1126" s="2" t="n"/>
      <c r="H1126" s="3" t="inlineStr">
        <is>
          <t>company statement: risks from raw-material cost inflation along the supply chain, shift to private labels and discounters, growing regulatory pressure on sugar content and limited consumer acceptance of further price increases.</t>
        </is>
      </c>
      <c r="I1126" s="2" t="inlineStr">
        <is>
          <t>S5</t>
        </is>
      </c>
      <c r="J1126" s="2" t="n">
        <v>19</v>
      </c>
      <c r="K1126" s="3" t="inlineStr">
        <is>
          <t>an increasing shift towards private labels and discounters, gro- wing regulatory pressure on sugar content, and consumers' limi- ted willingness to accept further price increases.</t>
        </is>
      </c>
      <c r="L1126" s="2" t="inlineStr">
        <is>
          <t>ok</t>
        </is>
      </c>
      <c r="M1126" s="2" t="inlineStr">
        <is>
          <t>demo reviewer</t>
        </is>
      </c>
      <c r="N1126" s="2" t="n"/>
      <c r="O1126" s="3" t="inlineStr">
        <is>
          <t>https://vanillabonds.com/dossier-data/pdf/katjes/katjes-h1-2026-interim-report.pdf#page=19</t>
        </is>
      </c>
      <c r="P1126" s="3" t="inlineStr">
        <is>
          <t>https://vanillabonds.com/dossier.html?c=katjes&amp;viewer=1&amp;item=F1125</t>
        </is>
      </c>
      <c r="Q1126" s="2" t="inlineStr"/>
    </row>
    <row r="1127">
      <c r="A1127" s="2" t="inlineStr">
        <is>
          <t>F1126</t>
        </is>
      </c>
      <c r="B1127" s="2" t="inlineStr">
        <is>
          <t>market</t>
        </is>
      </c>
      <c r="C1127" s="2" t="inlineStr">
        <is>
          <t>market_fact</t>
        </is>
      </c>
      <c r="D1127" s="3" t="inlineStr">
        <is>
          <t>Market: size, growth, share, competitor capacity, regulation (source named)</t>
        </is>
      </c>
      <c r="E1127" s="2" t="n"/>
      <c r="F1127" s="2" t="n"/>
      <c r="G1127" s="2" t="n"/>
      <c r="H1127" s="3" t="inlineStr">
        <is>
          <t>company statement: consumer goods sales markets show low cyclicality and high resilience to economic fluctuations, observed again in H1-2026.</t>
        </is>
      </c>
      <c r="I1127" s="2" t="inlineStr">
        <is>
          <t>S5</t>
        </is>
      </c>
      <c r="J1127" s="2" t="n">
        <v>19</v>
      </c>
      <c r="K1127" s="3" t="inlineStr">
        <is>
          <t>characterised by low cyclicality and high resilience to economic fluctuations. This was also observed in the first half of 2026.</t>
        </is>
      </c>
      <c r="L1127" s="2" t="inlineStr">
        <is>
          <t>ok</t>
        </is>
      </c>
      <c r="M1127" s="2" t="inlineStr">
        <is>
          <t>demo reviewer</t>
        </is>
      </c>
      <c r="N1127" s="2" t="n"/>
      <c r="O1127" s="3" t="inlineStr">
        <is>
          <t>https://vanillabonds.com/dossier-data/pdf/katjes/katjes-h1-2026-interim-report.pdf#page=19</t>
        </is>
      </c>
      <c r="P1127" s="3" t="inlineStr">
        <is>
          <t>https://vanillabonds.com/dossier.html?c=katjes&amp;viewer=1&amp;item=F1126</t>
        </is>
      </c>
      <c r="Q1127" s="2" t="inlineStr"/>
    </row>
    <row r="1128">
      <c r="A1128" s="2" t="inlineStr">
        <is>
          <t>F1127</t>
        </is>
      </c>
      <c r="B1128" s="2" t="inlineStr">
        <is>
          <t>market</t>
        </is>
      </c>
      <c r="C1128" s="2" t="inlineStr">
        <is>
          <t>concentration</t>
        </is>
      </c>
      <c r="D1128" s="3" t="inlineStr">
        <is>
          <t>Concentration: top customers / suppliers share, key contracts, sites</t>
        </is>
      </c>
      <c r="E1128" s="2" t="n"/>
      <c r="F1128" s="2" t="n"/>
      <c r="G1128" s="2" t="n"/>
      <c r="H1128" s="3" t="inlineStr">
        <is>
          <t>Germany 35.3% of H1-2026 revenue (34.7%), UK 14.8% (6.5%), Italy 13.5% (21.7%), Switzerland 9.6% (9.2%), Netherlands 3.4% (5.1%).</t>
        </is>
      </c>
      <c r="I1128" s="2" t="inlineStr">
        <is>
          <t>S5</t>
        </is>
      </c>
      <c r="J1128" s="2" t="n">
        <v>22</v>
      </c>
      <c r="K1128" s="3" t="inlineStr">
        <is>
          <t>35.3% of revenue (6M 2025: 34.7%) in Germany. The second most important individual market was the United Kingdom with 14.8% (6M 2025: 6.5%), followed by Italy with 13.5%</t>
        </is>
      </c>
      <c r="L1128" s="2" t="inlineStr">
        <is>
          <t>ok</t>
        </is>
      </c>
      <c r="M1128" s="2" t="inlineStr">
        <is>
          <t>demo reviewer</t>
        </is>
      </c>
      <c r="N1128" s="2" t="n"/>
      <c r="O1128" s="3" t="inlineStr">
        <is>
          <t>https://vanillabonds.com/dossier-data/pdf/katjes/katjes-h1-2026-interim-report.pdf#page=22</t>
        </is>
      </c>
      <c r="P1128" s="3" t="inlineStr">
        <is>
          <t>https://vanillabonds.com/dossier.html?c=katjes&amp;viewer=1&amp;item=F1127</t>
        </is>
      </c>
      <c r="Q1128" s="2" t="inlineStr"/>
    </row>
    <row r="1129">
      <c r="A1129" s="2" t="inlineStr">
        <is>
          <t>F1128</t>
        </is>
      </c>
      <c r="B1129" s="2" t="inlineStr">
        <is>
          <t>market</t>
        </is>
      </c>
      <c r="C1129" s="2" t="inlineStr">
        <is>
          <t>concentration</t>
        </is>
      </c>
      <c r="D1129" s="3" t="inlineStr">
        <is>
          <t>Concentration: top customers / suppliers share, key contracts, sites</t>
        </is>
      </c>
      <c r="E1129" s="2" t="n"/>
      <c r="F1129" s="2" t="n"/>
      <c r="G1129" s="2" t="n"/>
      <c r="H1129" s="3" t="inlineStr">
        <is>
          <t>Employees by country H1-2026: Germany 63%, Italy 21%, United Kingdom 11%.</t>
        </is>
      </c>
      <c r="I1129" s="2" t="inlineStr">
        <is>
          <t>S5</t>
        </is>
      </c>
      <c r="J1129" s="2" t="n">
        <v>25</v>
      </c>
      <c r="K1129" s="3" t="inlineStr">
        <is>
          <t>The majority worked in Ger- many (63%), followed by Italy (21%) and the United Kingdom (11%).</t>
        </is>
      </c>
      <c r="L1129" s="2" t="inlineStr">
        <is>
          <t>ok</t>
        </is>
      </c>
      <c r="M1129" s="2" t="inlineStr">
        <is>
          <t>demo reviewer</t>
        </is>
      </c>
      <c r="N1129" s="2" t="n"/>
      <c r="O1129" s="3" t="inlineStr">
        <is>
          <t>https://vanillabonds.com/dossier-data/pdf/katjes/katjes-h1-2026-interim-report.pdf#page=25</t>
        </is>
      </c>
      <c r="P1129" s="3" t="inlineStr">
        <is>
          <t>https://vanillabonds.com/dossier.html?c=katjes&amp;viewer=1&amp;item=F1128</t>
        </is>
      </c>
      <c r="Q1129" s="2" t="inlineStr"/>
    </row>
    <row r="1130">
      <c r="A1130" s="2" t="inlineStr">
        <is>
          <t>F1129</t>
        </is>
      </c>
      <c r="B1130" s="2" t="inlineStr">
        <is>
          <t>plan</t>
        </is>
      </c>
      <c r="C1130" s="2" t="inlineStr">
        <is>
          <t>bank_line</t>
        </is>
      </c>
      <c r="D1130" s="3" t="inlineStr">
        <is>
          <t>Bank facility: lender, amount, maturity, renewal history</t>
        </is>
      </c>
      <c r="E1130" s="2" t="n"/>
      <c r="F1130" s="2" t="n"/>
      <c r="G1130" s="2" t="n"/>
      <c r="H1130" s="3" t="inlineStr">
        <is>
          <t>New short-term credit lines drawn in H1-2026 (lender and amount not stated); current financial liabilities rose by EUR 16.7m to 91.0m.</t>
        </is>
      </c>
      <c r="I1130" s="2" t="inlineStr">
        <is>
          <t>S5</t>
        </is>
      </c>
      <c r="J1130" s="2" t="n">
        <v>25</v>
      </c>
      <c r="K1130" s="3" t="inlineStr">
        <is>
          <t>financial liabilities increased, primarily due to the drawing of new short-term credit lines</t>
        </is>
      </c>
      <c r="L1130" s="2" t="inlineStr">
        <is>
          <t>ok</t>
        </is>
      </c>
      <c r="M1130" s="2" t="inlineStr">
        <is>
          <t>demo reviewer</t>
        </is>
      </c>
      <c r="N1130" s="2" t="n"/>
      <c r="O1130" s="3" t="inlineStr">
        <is>
          <t>https://vanillabonds.com/dossier-data/pdf/katjes/katjes-h1-2026-interim-report.pdf#page=25</t>
        </is>
      </c>
      <c r="P1130" s="3" t="inlineStr">
        <is>
          <t>https://vanillabonds.com/dossier.html?c=katjes&amp;viewer=1&amp;item=F1129</t>
        </is>
      </c>
      <c r="Q1130" s="2" t="inlineStr"/>
    </row>
    <row r="1131">
      <c r="A1131" s="2" t="inlineStr">
        <is>
          <t>F1130</t>
        </is>
      </c>
      <c r="B1131" s="2" t="inlineStr">
        <is>
          <t>governance</t>
        </is>
      </c>
      <c r="C1131" s="2" t="inlineStr">
        <is>
          <t>group_entity</t>
        </is>
      </c>
      <c r="D1131" s="3" t="inlineStr">
        <is>
          <t>Group entity: entity; jurisdiction; revenue; ebitda; assets; debt; guarantor (yes / no)</t>
        </is>
      </c>
      <c r="E1131" s="2" t="n"/>
      <c r="F1131" s="2" t="n"/>
      <c r="G1131" s="2" t="n"/>
      <c r="H1131" s="3" t="inlineStr">
        <is>
          <t>entity: Nature Delivered Ltd. (Graze), London; jurisdiction: UK; assets: 62.2 at acquisition (PP&amp;E 10.4, ROU 8.0, intangibles 40.5, inventories 2.5, receivables 0.8); debt: 8.9 financial liabilities; 100% direct / 88% group</t>
        </is>
      </c>
      <c r="I1131" s="2" t="inlineStr">
        <is>
          <t>S5</t>
        </is>
      </c>
      <c r="J1131" s="2" t="n">
        <v>38</v>
      </c>
      <c r="K1131" s="3" t="inlineStr">
        <is>
          <t>Property, plant, equipment 10.4 Right-of-use assets 8.0 Intangible assets 40.5 Inventories 2.5 Trade receivables and other assets 0.8</t>
        </is>
      </c>
      <c r="L1131" s="2" t="inlineStr">
        <is>
          <t>ok</t>
        </is>
      </c>
      <c r="M1131" s="2" t="inlineStr">
        <is>
          <t>demo reviewer</t>
        </is>
      </c>
      <c r="N1131" s="2" t="n"/>
      <c r="O1131" s="3" t="inlineStr">
        <is>
          <t>https://vanillabonds.com/dossier-data/pdf/katjes/katjes-h1-2026-interim-report.pdf#page=38</t>
        </is>
      </c>
      <c r="P1131" s="3" t="inlineStr">
        <is>
          <t>https://vanillabonds.com/dossier.html?c=katjes&amp;viewer=1&amp;item=F1130</t>
        </is>
      </c>
      <c r="Q1131" s="2" t="inlineStr"/>
    </row>
    <row r="1132">
      <c r="A1132" s="2" t="inlineStr">
        <is>
          <t>F1131</t>
        </is>
      </c>
      <c r="B1132" s="2" t="inlineStr">
        <is>
          <t>governance</t>
        </is>
      </c>
      <c r="C1132" s="2" t="inlineStr">
        <is>
          <t>group_entity</t>
        </is>
      </c>
      <c r="D1132" s="3" t="inlineStr">
        <is>
          <t>Group entity: entity; jurisdiction; revenue; ebitda; assets; debt; guarantor (yes / no)</t>
        </is>
      </c>
      <c r="E1132" s="2" t="n"/>
      <c r="F1132" s="2" t="n"/>
      <c r="G1132" s="2" t="n"/>
      <c r="H1132" s="3" t="inlineStr">
        <is>
          <t>entity: Pastificio Plin S.r.l., Villanova d'Albenga; jurisdiction: IT; revenue: about 4 (2025, profitable); assets: PP&amp;E 2.8, intangibles 1.8 at acquisition; debt: 0.9 financial liabilities; 100% direct / 75% group</t>
        </is>
      </c>
      <c r="I1132" s="2" t="inlineStr">
        <is>
          <t>S5</t>
        </is>
      </c>
      <c r="J1132" s="2" t="n">
        <v>38</v>
      </c>
      <c r="K1132" s="3" t="inlineStr">
        <is>
          <t>In the past financial year, the company generated revenue of approximately EUR 4 million and was profitable.</t>
        </is>
      </c>
      <c r="L1132" s="2" t="inlineStr">
        <is>
          <t>ok</t>
        </is>
      </c>
      <c r="M1132" s="2" t="inlineStr">
        <is>
          <t>demo reviewer</t>
        </is>
      </c>
      <c r="N1132" s="2" t="n"/>
      <c r="O1132" s="3" t="inlineStr">
        <is>
          <t>https://vanillabonds.com/dossier-data/pdf/katjes/katjes-h1-2026-interim-report.pdf#page=38</t>
        </is>
      </c>
      <c r="P1132" s="3" t="inlineStr">
        <is>
          <t>https://vanillabonds.com/dossier.html?c=katjes&amp;viewer=1&amp;item=F1131</t>
        </is>
      </c>
      <c r="Q1132" s="2" t="inlineStr"/>
    </row>
    <row r="1133">
      <c r="A1133" s="2" t="inlineStr">
        <is>
          <t>F1132</t>
        </is>
      </c>
      <c r="B1133" s="2" t="inlineStr">
        <is>
          <t>governance</t>
        </is>
      </c>
      <c r="C1133" s="2" t="inlineStr">
        <is>
          <t>group_entity</t>
        </is>
      </c>
      <c r="D1133" s="3" t="inlineStr">
        <is>
          <t>Group entity: entity; jurisdiction; revenue; ebitda; assets; debt; guarantor (yes / no)</t>
        </is>
      </c>
      <c r="E1133" s="2" t="n"/>
      <c r="F1133" s="2" t="n"/>
      <c r="G1133" s="2" t="n"/>
      <c r="H1133" s="3" t="inlineStr">
        <is>
          <t>entity: Willy Bogner GmbH, München; jurisdiction: DE; 60% held, fully consolidated</t>
        </is>
      </c>
      <c r="I1133" s="2" t="inlineStr">
        <is>
          <t>S5</t>
        </is>
      </c>
      <c r="J1133" s="2" t="n">
        <v>50</v>
      </c>
      <c r="K1133" s="2" t="inlineStr">
        <is>
          <t>Willy Bogner GmbH, München 60 A 60 A</t>
        </is>
      </c>
      <c r="L1133" s="2" t="inlineStr">
        <is>
          <t>ok</t>
        </is>
      </c>
      <c r="M1133" s="2" t="inlineStr">
        <is>
          <t>demo reviewer</t>
        </is>
      </c>
      <c r="N1133" s="2" t="n"/>
      <c r="O1133" s="3" t="inlineStr">
        <is>
          <t>https://vanillabonds.com/dossier-data/pdf/katjes/katjes-h1-2026-interim-report.pdf#page=50</t>
        </is>
      </c>
      <c r="P1133" s="3" t="inlineStr">
        <is>
          <t>https://vanillabonds.com/dossier.html?c=katjes&amp;viewer=1&amp;item=F1132</t>
        </is>
      </c>
      <c r="Q1133" s="2" t="inlineStr"/>
    </row>
    <row r="1134">
      <c r="A1134" s="2" t="inlineStr">
        <is>
          <t>F1133</t>
        </is>
      </c>
      <c r="B1134" s="2" t="inlineStr">
        <is>
          <t>governance</t>
        </is>
      </c>
      <c r="C1134" s="2" t="inlineStr">
        <is>
          <t>group_entity</t>
        </is>
      </c>
      <c r="D1134" s="3" t="inlineStr">
        <is>
          <t>Group entity: entity; jurisdiction; revenue; ebitda; assets; debt; guarantor (yes / no)</t>
        </is>
      </c>
      <c r="E1134" s="2" t="n"/>
      <c r="F1134" s="2" t="n"/>
      <c r="G1134" s="2" t="n"/>
      <c r="H1134" s="3" t="inlineStr">
        <is>
          <t>entity: Katjes Quiet Luxury GmbH, Düsseldorf; jurisdiction: DE; 100%, holds the Missoni stake</t>
        </is>
      </c>
      <c r="I1134" s="2" t="inlineStr">
        <is>
          <t>S5</t>
        </is>
      </c>
      <c r="J1134" s="2" t="n">
        <v>50</v>
      </c>
      <c r="K1134" s="3" t="inlineStr">
        <is>
          <t>Katjes Quiet Luxury GmbH, Düsseldorf 100 A 100 A</t>
        </is>
      </c>
      <c r="L1134" s="2" t="inlineStr">
        <is>
          <t>ok</t>
        </is>
      </c>
      <c r="M1134" s="2" t="inlineStr">
        <is>
          <t>demo reviewer</t>
        </is>
      </c>
      <c r="N1134" s="2" t="n"/>
      <c r="O1134" s="3" t="inlineStr">
        <is>
          <t>https://vanillabonds.com/dossier-data/pdf/katjes/katjes-h1-2026-interim-report.pdf#page=50</t>
        </is>
      </c>
      <c r="P1134" s="3" t="inlineStr">
        <is>
          <t>https://vanillabonds.com/dossier.html?c=katjes&amp;viewer=1&amp;item=F1133</t>
        </is>
      </c>
      <c r="Q1134" s="2" t="inlineStr"/>
    </row>
    <row r="1135">
      <c r="A1135" s="2" t="inlineStr">
        <is>
          <t>F1134</t>
        </is>
      </c>
      <c r="B1135" s="2" t="inlineStr">
        <is>
          <t>governance</t>
        </is>
      </c>
      <c r="C1135" s="2" t="inlineStr">
        <is>
          <t>group_entity</t>
        </is>
      </c>
      <c r="D1135" s="3" t="inlineStr">
        <is>
          <t>Group entity: entity; jurisdiction; revenue; ebitda; assets; debt; guarantor (yes / no)</t>
        </is>
      </c>
      <c r="E1135" s="2" t="n"/>
      <c r="F1135" s="2" t="n"/>
      <c r="G1135" s="2" t="n"/>
      <c r="H1135" s="3" t="inlineStr">
        <is>
          <t>entity: Piasten GmbH, Forchheim; jurisdiction: DE; 100%, fully consolidated</t>
        </is>
      </c>
      <c r="I1135" s="2" t="inlineStr">
        <is>
          <t>S5</t>
        </is>
      </c>
      <c r="J1135" s="2" t="n">
        <v>50</v>
      </c>
      <c r="K1135" s="2" t="inlineStr">
        <is>
          <t>Piasten GmbH, Forchheim 100 A 100 A</t>
        </is>
      </c>
      <c r="L1135" s="2" t="inlineStr">
        <is>
          <t>ok</t>
        </is>
      </c>
      <c r="M1135" s="2" t="inlineStr">
        <is>
          <t>demo reviewer</t>
        </is>
      </c>
      <c r="N1135" s="2" t="n"/>
      <c r="O1135" s="3" t="inlineStr">
        <is>
          <t>https://vanillabonds.com/dossier-data/pdf/katjes/katjes-h1-2026-interim-report.pdf#page=50</t>
        </is>
      </c>
      <c r="P1135" s="3" t="inlineStr">
        <is>
          <t>https://vanillabonds.com/dossier.html?c=katjes&amp;viewer=1&amp;item=F1134</t>
        </is>
      </c>
      <c r="Q1135" s="2" t="inlineStr"/>
    </row>
    <row r="1136">
      <c r="A1136" s="2" t="inlineStr">
        <is>
          <t>F1135</t>
        </is>
      </c>
      <c r="B1136" s="2" t="inlineStr">
        <is>
          <t>governance</t>
        </is>
      </c>
      <c r="C1136" s="2" t="inlineStr">
        <is>
          <t>group_entity</t>
        </is>
      </c>
      <c r="D1136" s="3" t="inlineStr">
        <is>
          <t>Group entity: entity; jurisdiction; revenue; ebitda; assets; debt; guarantor (yes / no)</t>
        </is>
      </c>
      <c r="E1136" s="2" t="n"/>
      <c r="F1136" s="2" t="n"/>
      <c r="G1136" s="2" t="n"/>
      <c r="H1136" s="3" t="inlineStr">
        <is>
          <t>entity: Bübchen Bodycare GmbH, Düsseldorf; jurisdiction: DE; 100%, fully consolidated</t>
        </is>
      </c>
      <c r="I1136" s="2" t="inlineStr">
        <is>
          <t>S5</t>
        </is>
      </c>
      <c r="J1136" s="2" t="n">
        <v>50</v>
      </c>
      <c r="K1136" s="3" t="inlineStr">
        <is>
          <t>Bübchen Bodycare GmbH, Düsseldorf 100 A 100 A</t>
        </is>
      </c>
      <c r="L1136" s="2" t="inlineStr">
        <is>
          <t>ok</t>
        </is>
      </c>
      <c r="M1136" s="2" t="inlineStr">
        <is>
          <t>demo reviewer</t>
        </is>
      </c>
      <c r="N1136" s="2" t="n"/>
      <c r="O1136" s="3" t="inlineStr">
        <is>
          <t>https://vanillabonds.com/dossier-data/pdf/katjes/katjes-h1-2026-interim-report.pdf#page=50</t>
        </is>
      </c>
      <c r="P1136" s="3" t="inlineStr">
        <is>
          <t>https://vanillabonds.com/dossier.html?c=katjes&amp;viewer=1&amp;item=F1135</t>
        </is>
      </c>
      <c r="Q1136" s="2" t="inlineStr"/>
    </row>
    <row r="1137">
      <c r="A1137" s="2" t="inlineStr">
        <is>
          <t>F1136</t>
        </is>
      </c>
      <c r="B1137" s="2" t="inlineStr">
        <is>
          <t>governance</t>
        </is>
      </c>
      <c r="C1137" s="2" t="inlineStr">
        <is>
          <t>group_entity</t>
        </is>
      </c>
      <c r="D1137" s="3" t="inlineStr">
        <is>
          <t>Group entity: entity; jurisdiction; revenue; ebitda; assets; debt; guarantor (yes / no)</t>
        </is>
      </c>
      <c r="E1137" s="2" t="n"/>
      <c r="F1137" s="2" t="n"/>
      <c r="G1137" s="2" t="n"/>
      <c r="H1137" s="3" t="inlineStr">
        <is>
          <t>entity: Dallmann’s Pharma Candy GmbH, Hofheim am Taunus; jurisdiction: DE; 100%, fully consolidated</t>
        </is>
      </c>
      <c r="I1137" s="2" t="inlineStr">
        <is>
          <t>S5</t>
        </is>
      </c>
      <c r="J1137" s="2" t="n">
        <v>50</v>
      </c>
      <c r="K1137" s="3" t="inlineStr">
        <is>
          <t>Dallmann’s Pharma Candy GmbH, Hofheim am Taunus 100 A 100 A</t>
        </is>
      </c>
      <c r="L1137" s="2" t="inlineStr">
        <is>
          <t>ok</t>
        </is>
      </c>
      <c r="M1137" s="2" t="inlineStr">
        <is>
          <t>demo reviewer</t>
        </is>
      </c>
      <c r="N1137" s="2" t="n"/>
      <c r="O1137" s="3" t="inlineStr">
        <is>
          <t>https://vanillabonds.com/dossier-data/pdf/katjes/katjes-h1-2026-interim-report.pdf#page=50</t>
        </is>
      </c>
      <c r="P1137" s="3" t="inlineStr">
        <is>
          <t>https://vanillabonds.com/dossier.html?c=katjes&amp;viewer=1&amp;item=F1136</t>
        </is>
      </c>
      <c r="Q1137" s="2" t="inlineStr"/>
    </row>
    <row r="1138">
      <c r="A1138" s="2" t="inlineStr">
        <is>
          <t>F1137</t>
        </is>
      </c>
      <c r="B1138" s="2" t="inlineStr">
        <is>
          <t>governance</t>
        </is>
      </c>
      <c r="C1138" s="2" t="inlineStr">
        <is>
          <t>group_entity</t>
        </is>
      </c>
      <c r="D1138" s="3" t="inlineStr">
        <is>
          <t>Group entity: entity; jurisdiction; revenue; ebitda; assets; debt; guarantor (yes / no)</t>
        </is>
      </c>
      <c r="E1138" s="2" t="n"/>
      <c r="F1138" s="2" t="n"/>
      <c r="G1138" s="2" t="n"/>
      <c r="H1138" s="3" t="inlineStr">
        <is>
          <t>entity: Bogner Commerce International GmbH, München; jurisdiction: DE; new in H1-2026, 100% direct / 60% group</t>
        </is>
      </c>
      <c r="I1138" s="2" t="inlineStr">
        <is>
          <t>S5</t>
        </is>
      </c>
      <c r="J1138" s="2" t="n">
        <v>50</v>
      </c>
      <c r="K1138" s="3" t="inlineStr">
        <is>
          <t>Bogner Commerce International GmbH, München 100 (60)¹ A - -</t>
        </is>
      </c>
      <c r="L1138" s="2" t="inlineStr">
        <is>
          <t>ok</t>
        </is>
      </c>
      <c r="M1138" s="2" t="inlineStr">
        <is>
          <t>demo reviewer</t>
        </is>
      </c>
      <c r="N1138" s="2" t="n"/>
      <c r="O1138" s="3" t="inlineStr">
        <is>
          <t>https://vanillabonds.com/dossier-data/pdf/katjes/katjes-h1-2026-interim-report.pdf#page=50</t>
        </is>
      </c>
      <c r="P1138" s="3" t="inlineStr">
        <is>
          <t>https://vanillabonds.com/dossier.html?c=katjes&amp;viewer=1&amp;item=F1137</t>
        </is>
      </c>
      <c r="Q1138" s="2" t="inlineStr"/>
    </row>
    <row r="1139">
      <c r="A1139" s="2" t="inlineStr">
        <is>
          <t>F1138</t>
        </is>
      </c>
      <c r="B1139" s="2" t="inlineStr">
        <is>
          <t>governance</t>
        </is>
      </c>
      <c r="C1139" s="2" t="inlineStr">
        <is>
          <t>group_entity</t>
        </is>
      </c>
      <c r="D1139" s="3" t="inlineStr">
        <is>
          <t>Group entity: entity; jurisdiction; revenue; ebitda; assets; debt; guarantor (yes / no)</t>
        </is>
      </c>
      <c r="E1139" s="2" t="n"/>
      <c r="F1139" s="2" t="n"/>
      <c r="G1139" s="2" t="n"/>
      <c r="H1139" s="3" t="inlineStr">
        <is>
          <t>entity: Shirin Beauty GmbH, Düsseldorf; jurisdiction: DE; 50% joint venture (IFRS 11)</t>
        </is>
      </c>
      <c r="I1139" s="2" t="inlineStr">
        <is>
          <t>S5</t>
        </is>
      </c>
      <c r="J1139" s="2" t="n">
        <v>50</v>
      </c>
      <c r="K1139" s="2" t="inlineStr">
        <is>
          <t>Shirin Beauty GmbH, Düsseldorf 50 C 50 C</t>
        </is>
      </c>
      <c r="L1139" s="2" t="inlineStr">
        <is>
          <t>ok</t>
        </is>
      </c>
      <c r="M1139" s="2" t="inlineStr">
        <is>
          <t>demo reviewer</t>
        </is>
      </c>
      <c r="N1139" s="2" t="n"/>
      <c r="O1139" s="3" t="inlineStr">
        <is>
          <t>https://vanillabonds.com/dossier-data/pdf/katjes/katjes-h1-2026-interim-report.pdf#page=50</t>
        </is>
      </c>
      <c r="P1139" s="3" t="inlineStr">
        <is>
          <t>https://vanillabonds.com/dossier.html?c=katjes&amp;viewer=1&amp;item=F1138</t>
        </is>
      </c>
      <c r="Q1139" s="2" t="inlineStr"/>
    </row>
    <row r="1140">
      <c r="A1140" s="2" t="inlineStr">
        <is>
          <t>F1139</t>
        </is>
      </c>
      <c r="B1140" s="2" t="inlineStr">
        <is>
          <t>governance</t>
        </is>
      </c>
      <c r="C1140" s="2" t="inlineStr">
        <is>
          <t>group_entity</t>
        </is>
      </c>
      <c r="D1140" s="3" t="inlineStr">
        <is>
          <t>Group entity: entity; jurisdiction; revenue; ebitda; assets; debt; guarantor (yes / no)</t>
        </is>
      </c>
      <c r="E1140" s="2" t="n"/>
      <c r="F1140" s="2" t="n"/>
      <c r="G1140" s="2" t="n"/>
      <c r="H1140" s="3" t="inlineStr">
        <is>
          <t>entity: Harlekĳntjes B.V., Nĳkerk; jurisdiction: NL; 100%, fully consolidated</t>
        </is>
      </c>
      <c r="I1140" s="2" t="inlineStr">
        <is>
          <t>S5</t>
        </is>
      </c>
      <c r="J1140" s="2" t="n">
        <v>51</v>
      </c>
      <c r="K1140" s="3" t="inlineStr">
        <is>
          <t>Harlekĳntjes B.V., Nĳkerk, Netherlands 100 A 100 A</t>
        </is>
      </c>
      <c r="L1140" s="2" t="inlineStr">
        <is>
          <t>ok</t>
        </is>
      </c>
      <c r="M1140" s="2" t="inlineStr">
        <is>
          <t>demo reviewer</t>
        </is>
      </c>
      <c r="N1140" s="2" t="n"/>
      <c r="O1140" s="3" t="inlineStr">
        <is>
          <t>https://vanillabonds.com/dossier-data/pdf/katjes/katjes-h1-2026-interim-report.pdf#page=51</t>
        </is>
      </c>
      <c r="P1140" s="3" t="inlineStr">
        <is>
          <t>https://vanillabonds.com/dossier.html?c=katjes&amp;viewer=1&amp;item=F1139</t>
        </is>
      </c>
      <c r="Q1140" s="2" t="inlineStr"/>
    </row>
    <row r="1141">
      <c r="A1141" s="2" t="inlineStr">
        <is>
          <t>F1140</t>
        </is>
      </c>
      <c r="B1141" s="2" t="inlineStr">
        <is>
          <t>governance</t>
        </is>
      </c>
      <c r="C1141" s="2" t="inlineStr">
        <is>
          <t>group_entity</t>
        </is>
      </c>
      <c r="D1141" s="3" t="inlineStr">
        <is>
          <t>Group entity: entity; jurisdiction; revenue; ebitda; assets; debt; guarantor (yes / no)</t>
        </is>
      </c>
      <c r="E1141" s="2" t="n"/>
      <c r="F1141" s="2" t="n"/>
      <c r="G1141" s="2" t="n"/>
      <c r="H1141" s="3" t="inlineStr">
        <is>
          <t>entity: Sperlari S.r.l., Cremona; jurisdiction: IT; 100%, fully consolidated</t>
        </is>
      </c>
      <c r="I1141" s="2" t="inlineStr">
        <is>
          <t>S5</t>
        </is>
      </c>
      <c r="J1141" s="2" t="n">
        <v>51</v>
      </c>
      <c r="K1141" s="3" t="inlineStr">
        <is>
          <t>Sperlari S.r.l., Cremona, Italy 100 A 100 A</t>
        </is>
      </c>
      <c r="L1141" s="2" t="inlineStr">
        <is>
          <t>ok</t>
        </is>
      </c>
      <c r="M1141" s="2" t="inlineStr">
        <is>
          <t>demo reviewer</t>
        </is>
      </c>
      <c r="N1141" s="2" t="n"/>
      <c r="O1141" s="3" t="inlineStr">
        <is>
          <t>https://vanillabonds.com/dossier-data/pdf/katjes/katjes-h1-2026-interim-report.pdf#page=51</t>
        </is>
      </c>
      <c r="P1141" s="3" t="inlineStr">
        <is>
          <t>https://vanillabonds.com/dossier.html?c=katjes&amp;viewer=1&amp;item=F1140</t>
        </is>
      </c>
      <c r="Q1141" s="2" t="inlineStr"/>
    </row>
    <row r="1142">
      <c r="A1142" s="2" t="inlineStr">
        <is>
          <t>F1141</t>
        </is>
      </c>
      <c r="B1142" s="2" t="inlineStr">
        <is>
          <t>governance</t>
        </is>
      </c>
      <c r="C1142" s="2" t="inlineStr">
        <is>
          <t>group_entity</t>
        </is>
      </c>
      <c r="D1142" s="3" t="inlineStr">
        <is>
          <t>Group entity: entity; jurisdiction; revenue; ebitda; assets; debt; guarantor (yes / no)</t>
        </is>
      </c>
      <c r="E1142" s="2" t="n"/>
      <c r="F1142" s="2" t="n"/>
      <c r="G1142" s="2" t="n"/>
      <c r="H1142" s="3" t="inlineStr">
        <is>
          <t>entity: Dulcioliva S.r.l., Borgo San Dalmazzo; jurisdiction: IT; 75%, option on the rest recognised as a liability</t>
        </is>
      </c>
      <c r="I1142" s="2" t="inlineStr">
        <is>
          <t>S5</t>
        </is>
      </c>
      <c r="J1142" s="2" t="n">
        <v>51</v>
      </c>
      <c r="K1142" s="3" t="inlineStr">
        <is>
          <t>Dulcioliva S.r.l., Borgo San Dalmazzo, Italy 75 A 75 A</t>
        </is>
      </c>
      <c r="L1142" s="2" t="inlineStr">
        <is>
          <t>ok</t>
        </is>
      </c>
      <c r="M1142" s="2" t="inlineStr">
        <is>
          <t>demo reviewer</t>
        </is>
      </c>
      <c r="N1142" s="2" t="n"/>
      <c r="O1142" s="3" t="inlineStr">
        <is>
          <t>https://vanillabonds.com/dossier-data/pdf/katjes/katjes-h1-2026-interim-report.pdf#page=51</t>
        </is>
      </c>
      <c r="P1142" s="3" t="inlineStr">
        <is>
          <t>https://vanillabonds.com/dossier.html?c=katjes&amp;viewer=1&amp;item=F1141</t>
        </is>
      </c>
      <c r="Q1142" s="2" t="inlineStr"/>
    </row>
    <row r="1143">
      <c r="A1143" s="2" t="inlineStr">
        <is>
          <t>F1142</t>
        </is>
      </c>
      <c r="B1143" s="2" t="inlineStr">
        <is>
          <t>governance</t>
        </is>
      </c>
      <c r="C1143" s="2" t="inlineStr">
        <is>
          <t>group_entity</t>
        </is>
      </c>
      <c r="D1143" s="3" t="inlineStr">
        <is>
          <t>Group entity: entity; jurisdiction; revenue; ebitda; assets; debt; guarantor (yes / no)</t>
        </is>
      </c>
      <c r="E1143" s="2" t="n"/>
      <c r="F1143" s="2" t="n"/>
      <c r="G1143" s="2" t="n"/>
      <c r="H1143" s="3" t="inlineStr">
        <is>
          <t>entity: Paluani 1921 S.r.l., Verona; jurisdiction: IT; 100%, fully consolidated</t>
        </is>
      </c>
      <c r="I1143" s="2" t="inlineStr">
        <is>
          <t>S5</t>
        </is>
      </c>
      <c r="J1143" s="2" t="n">
        <v>51</v>
      </c>
      <c r="K1143" s="3" t="inlineStr">
        <is>
          <t>Paluani 1921 S.r.l., Verona, Italy 100 A 100 A</t>
        </is>
      </c>
      <c r="L1143" s="2" t="inlineStr">
        <is>
          <t>ok</t>
        </is>
      </c>
      <c r="M1143" s="2" t="inlineStr">
        <is>
          <t>demo reviewer</t>
        </is>
      </c>
      <c r="N1143" s="2" t="n"/>
      <c r="O1143" s="3" t="inlineStr">
        <is>
          <t>https://vanillabonds.com/dossier-data/pdf/katjes/katjes-h1-2026-interim-report.pdf#page=51</t>
        </is>
      </c>
      <c r="P1143" s="3" t="inlineStr">
        <is>
          <t>https://vanillabonds.com/dossier.html?c=katjes&amp;viewer=1&amp;item=F1142</t>
        </is>
      </c>
      <c r="Q1143" s="2" t="inlineStr"/>
    </row>
    <row r="1144">
      <c r="A1144" s="2" t="inlineStr">
        <is>
          <t>F1143</t>
        </is>
      </c>
      <c r="B1144" s="2" t="inlineStr">
        <is>
          <t>governance</t>
        </is>
      </c>
      <c r="C1144" s="2" t="inlineStr">
        <is>
          <t>group_entity</t>
        </is>
      </c>
      <c r="D1144" s="3" t="inlineStr">
        <is>
          <t>Group entity: entity; jurisdiction; revenue; ebitda; assets; debt; guarantor (yes / no)</t>
        </is>
      </c>
      <c r="E1144" s="2" t="n"/>
      <c r="F1144" s="2" t="n"/>
      <c r="G1144" s="2" t="n"/>
      <c r="H1144" s="3" t="inlineStr">
        <is>
          <t>entity: Candy Kittens Ltd., London; jurisdiction: UK; 88%, fully consolidated</t>
        </is>
      </c>
      <c r="I1144" s="2" t="inlineStr">
        <is>
          <t>S5</t>
        </is>
      </c>
      <c r="J1144" s="2" t="n">
        <v>51</v>
      </c>
      <c r="K1144" s="2" t="inlineStr">
        <is>
          <t>Candy Kittens Ltd., London, UK 88 A 88 A</t>
        </is>
      </c>
      <c r="L1144" s="2" t="inlineStr">
        <is>
          <t>ok</t>
        </is>
      </c>
      <c r="M1144" s="2" t="inlineStr">
        <is>
          <t>demo reviewer</t>
        </is>
      </c>
      <c r="N1144" s="2" t="n"/>
      <c r="O1144" s="3" t="inlineStr">
        <is>
          <t>https://vanillabonds.com/dossier-data/pdf/katjes/katjes-h1-2026-interim-report.pdf#page=51</t>
        </is>
      </c>
      <c r="P1144" s="3" t="inlineStr">
        <is>
          <t>https://vanillabonds.com/dossier.html?c=katjes&amp;viewer=1&amp;item=F1143</t>
        </is>
      </c>
      <c r="Q1144" s="2" t="inlineStr"/>
    </row>
    <row r="1145">
      <c r="A1145" s="2" t="inlineStr">
        <is>
          <t>F1144</t>
        </is>
      </c>
      <c r="B1145" s="2" t="inlineStr">
        <is>
          <t>governance</t>
        </is>
      </c>
      <c r="C1145" s="2" t="inlineStr">
        <is>
          <t>group_entity</t>
        </is>
      </c>
      <c r="D1145" s="3" t="inlineStr">
        <is>
          <t>Group entity: entity; jurisdiction; revenue; ebitda; assets; debt; guarantor (yes / no)</t>
        </is>
      </c>
      <c r="E1145" s="2" t="n"/>
      <c r="F1145" s="2" t="n"/>
      <c r="G1145" s="2" t="n"/>
      <c r="H1145" s="3" t="inlineStr">
        <is>
          <t>entity: Tuckshop Ltd, London; jurisdiction: UK; 75%, fully consolidated</t>
        </is>
      </c>
      <c r="I1145" s="2" t="inlineStr">
        <is>
          <t>S5</t>
        </is>
      </c>
      <c r="J1145" s="2" t="n">
        <v>51</v>
      </c>
      <c r="K1145" s="2" t="inlineStr">
        <is>
          <t>Tuckshop Ltd, London, UK 75 A 75 A</t>
        </is>
      </c>
      <c r="L1145" s="2" t="inlineStr">
        <is>
          <t>ok</t>
        </is>
      </c>
      <c r="M1145" s="2" t="inlineStr">
        <is>
          <t>demo reviewer</t>
        </is>
      </c>
      <c r="N1145" s="2" t="n"/>
      <c r="O1145" s="3" t="inlineStr">
        <is>
          <t>https://vanillabonds.com/dossier-data/pdf/katjes/katjes-h1-2026-interim-report.pdf#page=51</t>
        </is>
      </c>
      <c r="P1145" s="3" t="inlineStr">
        <is>
          <t>https://vanillabonds.com/dossier.html?c=katjes&amp;viewer=1&amp;item=F1144</t>
        </is>
      </c>
      <c r="Q1145" s="2" t="inlineStr"/>
    </row>
    <row r="1146">
      <c r="A1146" s="2" t="inlineStr">
        <is>
          <t>F1145</t>
        </is>
      </c>
      <c r="B1146" s="2" t="inlineStr">
        <is>
          <t>governance</t>
        </is>
      </c>
      <c r="C1146" s="2" t="inlineStr">
        <is>
          <t>group_entity</t>
        </is>
      </c>
      <c r="D1146" s="3" t="inlineStr">
        <is>
          <t>Group entity: entity; jurisdiction; revenue; ebitda; assets; debt; guarantor (yes / no)</t>
        </is>
      </c>
      <c r="E1146" s="2" t="n"/>
      <c r="F1146" s="2" t="n"/>
      <c r="G1146" s="2" t="n"/>
      <c r="H1146" s="3" t="inlineStr">
        <is>
          <t>entity: Future Snacks Ltd., London; jurisdiction: UK; acquisition vehicle for Graze, 100% direct / 88% group</t>
        </is>
      </c>
      <c r="I1146" s="2" t="inlineStr">
        <is>
          <t>S5</t>
        </is>
      </c>
      <c r="J1146" s="2" t="n">
        <v>51</v>
      </c>
      <c r="K1146" s="3" t="inlineStr">
        <is>
          <t>Future Snacks Ltd., London, UK 100 (88)¹ A 100 (88)¹ A</t>
        </is>
      </c>
      <c r="L1146" s="2" t="inlineStr">
        <is>
          <t>ok</t>
        </is>
      </c>
      <c r="M1146" s="2" t="inlineStr">
        <is>
          <t>demo reviewer</t>
        </is>
      </c>
      <c r="N1146" s="2" t="n"/>
      <c r="O1146" s="3" t="inlineStr">
        <is>
          <t>https://vanillabonds.com/dossier-data/pdf/katjes/katjes-h1-2026-interim-report.pdf#page=51</t>
        </is>
      </c>
      <c r="P1146" s="3" t="inlineStr">
        <is>
          <t>https://vanillabonds.com/dossier.html?c=katjes&amp;viewer=1&amp;item=F1145</t>
        </is>
      </c>
      <c r="Q1146" s="2" t="inlineStr"/>
    </row>
    <row r="1147">
      <c r="A1147" s="2" t="inlineStr">
        <is>
          <t>F1146</t>
        </is>
      </c>
      <c r="B1147" s="2" t="inlineStr">
        <is>
          <t>governance</t>
        </is>
      </c>
      <c r="C1147" s="2" t="inlineStr">
        <is>
          <t>group_entity</t>
        </is>
      </c>
      <c r="D1147" s="3" t="inlineStr">
        <is>
          <t>Group entity: entity; jurisdiction; revenue; ebitda; assets; debt; guarantor (yes / no)</t>
        </is>
      </c>
      <c r="E1147" s="2" t="n"/>
      <c r="F1147" s="2" t="n"/>
      <c r="G1147" s="2" t="n"/>
      <c r="H1147" s="3" t="inlineStr">
        <is>
          <t>entity: Bogner Eastern Europe LLC, Moscow; jurisdiction: RU; 100% direct / 60% group, fully consolidated</t>
        </is>
      </c>
      <c r="I1147" s="2" t="inlineStr">
        <is>
          <t>S5</t>
        </is>
      </c>
      <c r="J1147" s="2" t="n">
        <v>51</v>
      </c>
      <c r="K1147" s="3" t="inlineStr">
        <is>
          <t>Bogner Eastern Europe LLC, Moscow, Russia 100 (60)¹ A 100 (60)¹ A</t>
        </is>
      </c>
      <c r="L1147" s="2" t="inlineStr">
        <is>
          <t>ok</t>
        </is>
      </c>
      <c r="M1147" s="2" t="inlineStr">
        <is>
          <t>demo reviewer</t>
        </is>
      </c>
      <c r="N1147" s="2" t="n"/>
      <c r="O1147" s="3" t="inlineStr">
        <is>
          <t>https://vanillabonds.com/dossier-data/pdf/katjes/katjes-h1-2026-interim-report.pdf#page=51</t>
        </is>
      </c>
      <c r="P1147" s="3" t="inlineStr">
        <is>
          <t>https://vanillabonds.com/dossier.html?c=katjes&amp;viewer=1&amp;item=F1146</t>
        </is>
      </c>
      <c r="Q1147" s="2" t="inlineStr"/>
    </row>
    <row r="1148">
      <c r="A1148" s="2" t="inlineStr">
        <is>
          <t>F1147</t>
        </is>
      </c>
      <c r="B1148" s="2" t="inlineStr">
        <is>
          <t>governance</t>
        </is>
      </c>
      <c r="C1148" s="2" t="inlineStr">
        <is>
          <t>group_entity</t>
        </is>
      </c>
      <c r="D1148" s="3" t="inlineStr">
        <is>
          <t>Group entity: entity; jurisdiction; revenue; ebitda; assets; debt; guarantor (yes / no)</t>
        </is>
      </c>
      <c r="E1148" s="2" t="n"/>
      <c r="F1148" s="2" t="n"/>
      <c r="G1148" s="2" t="n"/>
      <c r="H1148" s="3" t="inlineStr">
        <is>
          <t>entity: Bogner Sport AG, Zürich; jurisdiction: CH; 100% direct / 60% group</t>
        </is>
      </c>
      <c r="I1148" s="2" t="inlineStr">
        <is>
          <t>S5</t>
        </is>
      </c>
      <c r="J1148" s="2" t="n">
        <v>51</v>
      </c>
      <c r="K1148" s="3" t="inlineStr">
        <is>
          <t>Bogner Sport AG, Zürich, Switzerland 100 (60)¹ A 100 (60)¹ A</t>
        </is>
      </c>
      <c r="L1148" s="2" t="inlineStr">
        <is>
          <t>ok</t>
        </is>
      </c>
      <c r="M1148" s="2" t="inlineStr">
        <is>
          <t>demo reviewer</t>
        </is>
      </c>
      <c r="N1148" s="2" t="n"/>
      <c r="O1148" s="3" t="inlineStr">
        <is>
          <t>https://vanillabonds.com/dossier-data/pdf/katjes/katjes-h1-2026-interim-report.pdf#page=51</t>
        </is>
      </c>
      <c r="P1148" s="3" t="inlineStr">
        <is>
          <t>https://vanillabonds.com/dossier.html?c=katjes&amp;viewer=1&amp;item=F1147</t>
        </is>
      </c>
      <c r="Q1148" s="2" t="inlineStr"/>
    </row>
    <row r="1149">
      <c r="A1149" s="2" t="inlineStr">
        <is>
          <t>F1148</t>
        </is>
      </c>
      <c r="B1149" s="2" t="inlineStr">
        <is>
          <t>governance</t>
        </is>
      </c>
      <c r="C1149" s="2" t="inlineStr">
        <is>
          <t>group_entity</t>
        </is>
      </c>
      <c r="D1149" s="3" t="inlineStr">
        <is>
          <t>Group entity: entity; jurisdiction; revenue; ebitda; assets; debt; guarantor (yes / no)</t>
        </is>
      </c>
      <c r="E1149" s="2" t="n"/>
      <c r="F1149" s="2" t="n"/>
      <c r="G1149" s="2" t="n"/>
      <c r="H1149" s="3" t="inlineStr">
        <is>
          <t>entity: Bogner of America Inc., New York City; jurisdiction: US; 100% direct / 60% group</t>
        </is>
      </c>
      <c r="I1149" s="2" t="inlineStr">
        <is>
          <t>S5</t>
        </is>
      </c>
      <c r="J1149" s="2" t="n">
        <v>51</v>
      </c>
      <c r="K1149" s="3" t="inlineStr">
        <is>
          <t>Bogner of America Inc., New York City, USA 100 (60)¹ A 100 (60)¹ A</t>
        </is>
      </c>
      <c r="L1149" s="2" t="inlineStr">
        <is>
          <t>ok</t>
        </is>
      </c>
      <c r="M1149" s="2" t="inlineStr">
        <is>
          <t>demo reviewer</t>
        </is>
      </c>
      <c r="N1149" s="2" t="n"/>
      <c r="O1149" s="3" t="inlineStr">
        <is>
          <t>https://vanillabonds.com/dossier-data/pdf/katjes/katjes-h1-2026-interim-report.pdf#page=51</t>
        </is>
      </c>
      <c r="P1149" s="3" t="inlineStr">
        <is>
          <t>https://vanillabonds.com/dossier.html?c=katjes&amp;viewer=1&amp;item=F1148</t>
        </is>
      </c>
      <c r="Q1149" s="2" t="inlineStr"/>
    </row>
    <row r="1150">
      <c r="A1150" s="2" t="inlineStr">
        <is>
          <t>F1149</t>
        </is>
      </c>
      <c r="B1150" s="2" t="inlineStr">
        <is>
          <t>governance</t>
        </is>
      </c>
      <c r="C1150" s="2" t="inlineStr">
        <is>
          <t>group_entity</t>
        </is>
      </c>
      <c r="D1150" s="3" t="inlineStr">
        <is>
          <t>Group entity: entity; jurisdiction; revenue; ebitda; assets; debt; guarantor (yes / no)</t>
        </is>
      </c>
      <c r="E1150" s="2" t="n"/>
      <c r="F1150" s="2" t="n"/>
      <c r="G1150" s="2" t="n"/>
      <c r="H1150" s="3" t="inlineStr">
        <is>
          <t>entity: Bogner Asia Ltd., Hong Kong/China; jurisdiction: HK; 100% direct / 60% group</t>
        </is>
      </c>
      <c r="I1150" s="2" t="inlineStr">
        <is>
          <t>S5</t>
        </is>
      </c>
      <c r="J1150" s="2" t="n">
        <v>51</v>
      </c>
      <c r="K1150" s="3" t="inlineStr">
        <is>
          <t>Bogner Asia Ltd., Hong Kong/China 100 (60)¹ A 100 (60)¹ A</t>
        </is>
      </c>
      <c r="L1150" s="2" t="inlineStr">
        <is>
          <t>ok</t>
        </is>
      </c>
      <c r="M1150" s="2" t="inlineStr">
        <is>
          <t>demo reviewer</t>
        </is>
      </c>
      <c r="N1150" s="2" t="n"/>
      <c r="O1150" s="3" t="inlineStr">
        <is>
          <t>https://vanillabonds.com/dossier-data/pdf/katjes/katjes-h1-2026-interim-report.pdf#page=51</t>
        </is>
      </c>
      <c r="P1150" s="3" t="inlineStr">
        <is>
          <t>https://vanillabonds.com/dossier.html?c=katjes&amp;viewer=1&amp;item=F1149</t>
        </is>
      </c>
      <c r="Q1150" s="2" t="inlineStr"/>
    </row>
    <row r="1151">
      <c r="A1151" s="2" t="inlineStr">
        <is>
          <t>F1150</t>
        </is>
      </c>
      <c r="B1151" s="2" t="inlineStr">
        <is>
          <t>governance</t>
        </is>
      </c>
      <c r="C1151" s="2" t="inlineStr">
        <is>
          <t>group_entity</t>
        </is>
      </c>
      <c r="D1151" s="3" t="inlineStr">
        <is>
          <t>Group entity: entity; jurisdiction; revenue; ebitda; assets; debt; guarantor (yes / no)</t>
        </is>
      </c>
      <c r="E1151" s="2" t="n"/>
      <c r="F1151" s="2" t="n"/>
      <c r="G1151" s="2" t="n"/>
      <c r="H1151" s="3" t="inlineStr">
        <is>
          <t>entity: Shades Snacks Ltd., London; jurisdiction: UK; 49% joint venture (IFRS 11)</t>
        </is>
      </c>
      <c r="I1151" s="2" t="inlineStr">
        <is>
          <t>S5</t>
        </is>
      </c>
      <c r="J1151" s="2" t="n">
        <v>51</v>
      </c>
      <c r="K1151" s="2" t="inlineStr">
        <is>
          <t>Shades Snacks Ltd., London, UK 49 C 49 C</t>
        </is>
      </c>
      <c r="L1151" s="2" t="inlineStr">
        <is>
          <t>ok</t>
        </is>
      </c>
      <c r="M1151" s="2" t="inlineStr">
        <is>
          <t>demo reviewer</t>
        </is>
      </c>
      <c r="N1151" s="2" t="n"/>
      <c r="O1151" s="3" t="inlineStr">
        <is>
          <t>https://vanillabonds.com/dossier-data/pdf/katjes/katjes-h1-2026-interim-report.pdf#page=51</t>
        </is>
      </c>
      <c r="P1151" s="3" t="inlineStr">
        <is>
          <t>https://vanillabonds.com/dossier.html?c=katjes&amp;viewer=1&amp;item=F1150</t>
        </is>
      </c>
      <c r="Q1151" s="2" t="inlineStr"/>
    </row>
    <row r="1152">
      <c r="A1152" s="2" t="inlineStr">
        <is>
          <t>F1151</t>
        </is>
      </c>
      <c r="B1152" s="2" t="inlineStr">
        <is>
          <t>governance</t>
        </is>
      </c>
      <c r="C1152" s="2" t="inlineStr">
        <is>
          <t>group_entity</t>
        </is>
      </c>
      <c r="D1152" s="3" t="inlineStr">
        <is>
          <t>Group entity: entity; jurisdiction; revenue; ebitda; assets; debt; guarantor (yes / no)</t>
        </is>
      </c>
      <c r="E1152" s="2" t="n"/>
      <c r="F1152" s="2" t="n"/>
      <c r="G1152" s="2" t="n"/>
      <c r="H1152" s="3" t="inlineStr">
        <is>
          <t>entity: Bogner GCA Holding PTE. Ltd., Singapore; jurisdiction: SG; 45% associate, equity method</t>
        </is>
      </c>
      <c r="I1152" s="2" t="inlineStr">
        <is>
          <t>S5</t>
        </is>
      </c>
      <c r="J1152" s="2" t="n">
        <v>51</v>
      </c>
      <c r="K1152" s="3" t="inlineStr">
        <is>
          <t>Bogner GCA Holding PTE. Ltd., Singapore 45 B 45 B</t>
        </is>
      </c>
      <c r="L1152" s="2" t="inlineStr">
        <is>
          <t>ok</t>
        </is>
      </c>
      <c r="M1152" s="2" t="inlineStr">
        <is>
          <t>demo reviewer</t>
        </is>
      </c>
      <c r="N1152" s="2" t="n"/>
      <c r="O1152" s="3" t="inlineStr">
        <is>
          <t>https://vanillabonds.com/dossier-data/pdf/katjes/katjes-h1-2026-interim-report.pdf#page=51</t>
        </is>
      </c>
      <c r="P1152" s="3" t="inlineStr">
        <is>
          <t>https://vanillabonds.com/dossier.html?c=katjes&amp;viewer=1&amp;item=F1151</t>
        </is>
      </c>
      <c r="Q1152" s="2" t="inlineStr"/>
    </row>
    <row r="1153">
      <c r="A1153" s="2" t="inlineStr">
        <is>
          <t>F1152</t>
        </is>
      </c>
      <c r="B1153" s="2" t="inlineStr">
        <is>
          <t>governance</t>
        </is>
      </c>
      <c r="C1153" s="2" t="inlineStr">
        <is>
          <t>group_entity</t>
        </is>
      </c>
      <c r="D1153" s="3" t="inlineStr">
        <is>
          <t>Group entity: entity; jurisdiction; revenue; ebitda; assets; debt; guarantor (yes / no)</t>
        </is>
      </c>
      <c r="E1153" s="2" t="n"/>
      <c r="F1153" s="2" t="n"/>
      <c r="G1153" s="2" t="n"/>
      <c r="H1153" s="3" t="inlineStr">
        <is>
          <t>entity: Missoni S.p.A., Sumirago; jurisdiction: IT; 27% associate since May 2026, equity method</t>
        </is>
      </c>
      <c r="I1153" s="2" t="inlineStr">
        <is>
          <t>S5</t>
        </is>
      </c>
      <c r="J1153" s="2" t="n">
        <v>51</v>
      </c>
      <c r="K1153" s="2" t="inlineStr">
        <is>
          <t>Missoni S.p.A., Sumirago, Italy 27 B - -</t>
        </is>
      </c>
      <c r="L1153" s="2" t="inlineStr">
        <is>
          <t>ok</t>
        </is>
      </c>
      <c r="M1153" s="2" t="inlineStr">
        <is>
          <t>demo reviewer</t>
        </is>
      </c>
      <c r="N1153" s="2" t="n"/>
      <c r="O1153" s="3" t="inlineStr">
        <is>
          <t>https://vanillabonds.com/dossier-data/pdf/katjes/katjes-h1-2026-interim-report.pdf#page=51</t>
        </is>
      </c>
      <c r="P1153" s="3" t="inlineStr">
        <is>
          <t>https://vanillabonds.com/dossier.html?c=katjes&amp;viewer=1&amp;item=F1152</t>
        </is>
      </c>
      <c r="Q1153" s="2" t="inlineStr"/>
    </row>
    <row r="1154">
      <c r="A1154" s="2" t="inlineStr">
        <is>
          <t>F1153</t>
        </is>
      </c>
      <c r="B1154" s="2" t="inlineStr">
        <is>
          <t>governance</t>
        </is>
      </c>
      <c r="C1154" s="2" t="inlineStr">
        <is>
          <t>group_entity</t>
        </is>
      </c>
      <c r="D1154" s="3" t="inlineStr">
        <is>
          <t>Group entity: entity; jurisdiction; revenue; ebitda; assets; debt; guarantor (yes / no)</t>
        </is>
      </c>
      <c r="E1154" s="2" t="n"/>
      <c r="F1154" s="2" t="n"/>
      <c r="G1154" s="2" t="n"/>
      <c r="H1154" s="3" t="inlineStr">
        <is>
          <t>entity: Nuud Snacks Ltd., London; jurisdiction: UK; 8%, not consolidated</t>
        </is>
      </c>
      <c r="I1154" s="2" t="inlineStr">
        <is>
          <t>S5</t>
        </is>
      </c>
      <c r="J1154" s="2" t="n">
        <v>51</v>
      </c>
      <c r="K1154" s="2" t="inlineStr">
        <is>
          <t>Nuud Snacks Ltd., London, UK 8 - 8 -</t>
        </is>
      </c>
      <c r="L1154" s="2" t="inlineStr">
        <is>
          <t>ok</t>
        </is>
      </c>
      <c r="M1154" s="2" t="inlineStr">
        <is>
          <t>demo reviewer</t>
        </is>
      </c>
      <c r="N1154" s="2" t="n"/>
      <c r="O1154" s="3" t="inlineStr">
        <is>
          <t>https://vanillabonds.com/dossier-data/pdf/katjes/katjes-h1-2026-interim-report.pdf#page=51</t>
        </is>
      </c>
      <c r="P1154" s="3" t="inlineStr">
        <is>
          <t>https://vanillabonds.com/dossier.html?c=katjes&amp;viewer=1&amp;item=F1153</t>
        </is>
      </c>
      <c r="Q1154" s="2" t="inlineStr"/>
    </row>
    <row r="1155">
      <c r="A1155" s="2" t="inlineStr">
        <is>
          <t>F1154</t>
        </is>
      </c>
      <c r="B1155" s="2" t="inlineStr">
        <is>
          <t>governance</t>
        </is>
      </c>
      <c r="C1155" s="2" t="inlineStr">
        <is>
          <t>board_member</t>
        </is>
      </c>
      <c r="D1155" s="3" t="inlineStr">
        <is>
          <t>Board member: name; body (management / supervisory); role; since; independent (yes / no); committees</t>
        </is>
      </c>
      <c r="E1155" s="2" t="n"/>
      <c r="F1155" s="2" t="n"/>
      <c r="G1155" s="2" t="n"/>
      <c r="H1155" s="3" t="inlineStr">
        <is>
          <t>name: Stephan Milde; body: management; role: Managing Director (CFO); since: 2012</t>
        </is>
      </c>
      <c r="I1155" s="2" t="inlineStr">
        <is>
          <t>S5</t>
        </is>
      </c>
      <c r="J1155" s="2" t="n">
        <v>6</v>
      </c>
      <c r="K1155" s="3" t="inlineStr">
        <is>
          <t>Managing Director (CFO) of Katjes International</t>
        </is>
      </c>
      <c r="L1155" s="2" t="inlineStr">
        <is>
          <t>ok</t>
        </is>
      </c>
      <c r="M1155" s="2" t="inlineStr">
        <is>
          <t>demo reviewer</t>
        </is>
      </c>
      <c r="N1155" s="2" t="n"/>
      <c r="O1155" s="3" t="inlineStr">
        <is>
          <t>https://vanillabonds.com/dossier-data/pdf/katjes/katjes-h1-2026-interim-report.pdf#page=6</t>
        </is>
      </c>
      <c r="P1155" s="3" t="inlineStr">
        <is>
          <t>https://vanillabonds.com/dossier.html?c=katjes&amp;viewer=1&amp;item=F1154</t>
        </is>
      </c>
      <c r="Q1155" s="2" t="inlineStr"/>
    </row>
    <row r="1156">
      <c r="A1156" s="2" t="inlineStr">
        <is>
          <t>F1155</t>
        </is>
      </c>
      <c r="B1156" s="2" t="inlineStr">
        <is>
          <t>governance</t>
        </is>
      </c>
      <c r="C1156" s="2" t="inlineStr">
        <is>
          <t>board_member</t>
        </is>
      </c>
      <c r="D1156" s="3" t="inlineStr">
        <is>
          <t>Board member: name; body (management / supervisory); role; since; independent (yes / no); committees</t>
        </is>
      </c>
      <c r="E1156" s="2" t="n"/>
      <c r="F1156" s="2" t="n"/>
      <c r="G1156" s="2" t="n"/>
      <c r="H1156" s="3" t="inlineStr">
        <is>
          <t>name: Bastian Fassin; body: management; role: Managing Partner; since: 2004</t>
        </is>
      </c>
      <c r="I1156" s="2" t="inlineStr">
        <is>
          <t>S5</t>
        </is>
      </c>
      <c r="J1156" s="2" t="n">
        <v>6</v>
      </c>
      <c r="K1156" s="3" t="inlineStr">
        <is>
          <t>since 2004 – Managing Partner of Katjes International</t>
        </is>
      </c>
      <c r="L1156" s="2" t="inlineStr">
        <is>
          <t>ok</t>
        </is>
      </c>
      <c r="M1156" s="2" t="inlineStr">
        <is>
          <t>demo reviewer</t>
        </is>
      </c>
      <c r="N1156" s="2" t="n"/>
      <c r="O1156" s="3" t="inlineStr">
        <is>
          <t>https://vanillabonds.com/dossier-data/pdf/katjes/katjes-h1-2026-interim-report.pdf#page=6</t>
        </is>
      </c>
      <c r="P1156" s="3" t="inlineStr">
        <is>
          <t>https://vanillabonds.com/dossier.html?c=katjes&amp;viewer=1&amp;item=F1155</t>
        </is>
      </c>
      <c r="Q1156" s="2" t="inlineStr"/>
    </row>
    <row r="1157">
      <c r="A1157" s="2" t="inlineStr">
        <is>
          <t>F1156</t>
        </is>
      </c>
      <c r="B1157" s="2" t="inlineStr">
        <is>
          <t>governance</t>
        </is>
      </c>
      <c r="C1157" s="2" t="inlineStr">
        <is>
          <t>board_member</t>
        </is>
      </c>
      <c r="D1157" s="3" t="inlineStr">
        <is>
          <t>Board member: name; body (management / supervisory); role; since; independent (yes / no); committees</t>
        </is>
      </c>
      <c r="E1157" s="2" t="n"/>
      <c r="F1157" s="2" t="n"/>
      <c r="G1157" s="2" t="n"/>
      <c r="H1157" s="3" t="inlineStr">
        <is>
          <t>name: Tobias Bachmüller; body: management; role: Managing Partner; since: 1996</t>
        </is>
      </c>
      <c r="I1157" s="2" t="inlineStr">
        <is>
          <t>S5</t>
        </is>
      </c>
      <c r="J1157" s="2" t="n">
        <v>6</v>
      </c>
      <c r="K1157" s="3" t="inlineStr">
        <is>
          <t>since 1996 – Managing Partner of Katjes International</t>
        </is>
      </c>
      <c r="L1157" s="2" t="inlineStr">
        <is>
          <t>ok</t>
        </is>
      </c>
      <c r="M1157" s="2" t="inlineStr">
        <is>
          <t>demo reviewer</t>
        </is>
      </c>
      <c r="N1157" s="2" t="n"/>
      <c r="O1157" s="3" t="inlineStr">
        <is>
          <t>https://vanillabonds.com/dossier-data/pdf/katjes/katjes-h1-2026-interim-report.pdf#page=6</t>
        </is>
      </c>
      <c r="P1157" s="3" t="inlineStr">
        <is>
          <t>https://vanillabonds.com/dossier.html?c=katjes&amp;viewer=1&amp;item=F1156</t>
        </is>
      </c>
      <c r="Q1157" s="2" t="inlineStr"/>
    </row>
    <row r="1158">
      <c r="A1158" s="2" t="inlineStr">
        <is>
          <t>F1157</t>
        </is>
      </c>
      <c r="B1158" s="2" t="inlineStr">
        <is>
          <t>governance</t>
        </is>
      </c>
      <c r="C1158" s="2" t="inlineStr">
        <is>
          <t>related_party_flow</t>
        </is>
      </c>
      <c r="D1158" s="3" t="inlineStr">
        <is>
          <t>Related-party flow: counterparty; kind (fee, rent, dividend, buyback, loan); amount; year; terms</t>
        </is>
      </c>
      <c r="E1158" s="2" t="n"/>
      <c r="F1158" s="2" t="n">
        <v>20.1</v>
      </c>
      <c r="G1158" s="2" t="n"/>
      <c r="H1158" s="3" t="inlineStr">
        <is>
          <t>counterparty: related parties (IAS 24, not named); kind: purchase of goods and services; amount: 20.1 (H1-2025: 9.4); year: H1-2026; terms: arm's length, unsecured</t>
        </is>
      </c>
      <c r="I1158" s="2" t="inlineStr">
        <is>
          <t>S5</t>
        </is>
      </c>
      <c r="J1158" s="2" t="n">
        <v>48</v>
      </c>
      <c r="K1158" s="3" t="inlineStr">
        <is>
          <t>Purchase of goods and services from re- lated parties 20.1 9.4</t>
        </is>
      </c>
      <c r="L1158" s="2" t="inlineStr">
        <is>
          <t>ok</t>
        </is>
      </c>
      <c r="M1158" s="2" t="inlineStr">
        <is>
          <t>demo reviewer</t>
        </is>
      </c>
      <c r="N1158" s="2" t="n"/>
      <c r="O1158" s="3" t="inlineStr">
        <is>
          <t>https://vanillabonds.com/dossier-data/pdf/katjes/katjes-h1-2026-interim-report.pdf#page=48</t>
        </is>
      </c>
      <c r="P1158" s="3" t="inlineStr">
        <is>
          <t>https://vanillabonds.com/dossier.html?c=katjes&amp;viewer=1&amp;item=F1157</t>
        </is>
      </c>
      <c r="Q1158" s="2" t="inlineStr"/>
    </row>
    <row r="1159">
      <c r="A1159" s="2" t="inlineStr">
        <is>
          <t>F1158</t>
        </is>
      </c>
      <c r="B1159" s="2" t="inlineStr">
        <is>
          <t>governance</t>
        </is>
      </c>
      <c r="C1159" s="2" t="inlineStr">
        <is>
          <t>related_party_flow</t>
        </is>
      </c>
      <c r="D1159" s="3" t="inlineStr">
        <is>
          <t>Related-party flow: counterparty; kind (fee, rent, dividend, buyback, loan); amount; year; terms</t>
        </is>
      </c>
      <c r="E1159" s="2" t="n"/>
      <c r="F1159" s="2" t="n">
        <v>4.1</v>
      </c>
      <c r="G1159" s="2" t="n"/>
      <c r="H1159" s="3" t="inlineStr">
        <is>
          <t>counterparty: related parties; kind: sale of goods and services; amount: 4.1 (H1-2025: 3.2); year: H1-2026; terms: arm's length, unsecured</t>
        </is>
      </c>
      <c r="I1159" s="2" t="inlineStr">
        <is>
          <t>S5</t>
        </is>
      </c>
      <c r="J1159" s="2" t="n">
        <v>48</v>
      </c>
      <c r="K1159" s="3" t="inlineStr">
        <is>
          <t>Sale of goods and services to related parties 4.1 3.2</t>
        </is>
      </c>
      <c r="L1159" s="2" t="inlineStr">
        <is>
          <t>ok</t>
        </is>
      </c>
      <c r="M1159" s="2" t="inlineStr">
        <is>
          <t>demo reviewer</t>
        </is>
      </c>
      <c r="N1159" s="2" t="n"/>
      <c r="O1159" s="3" t="inlineStr">
        <is>
          <t>https://vanillabonds.com/dossier-data/pdf/katjes/katjes-h1-2026-interim-report.pdf#page=48</t>
        </is>
      </c>
      <c r="P1159" s="3" t="inlineStr">
        <is>
          <t>https://vanillabonds.com/dossier.html?c=katjes&amp;viewer=1&amp;item=F1158</t>
        </is>
      </c>
      <c r="Q1159" s="2" t="inlineStr"/>
    </row>
    <row r="1160">
      <c r="A1160" s="2" t="inlineStr">
        <is>
          <t>F1159</t>
        </is>
      </c>
      <c r="B1160" s="2" t="inlineStr">
        <is>
          <t>governance</t>
        </is>
      </c>
      <c r="C1160" s="2" t="inlineStr">
        <is>
          <t>related_party_flow</t>
        </is>
      </c>
      <c r="D1160" s="3" t="inlineStr">
        <is>
          <t>Related-party flow: counterparty; kind (fee, rent, dividend, buyback, loan); amount; year; terms</t>
        </is>
      </c>
      <c r="E1160" s="2" t="n"/>
      <c r="F1160" s="2" t="n">
        <v>5.9</v>
      </c>
      <c r="G1160" s="2" t="n"/>
      <c r="H1160" s="3" t="inlineStr">
        <is>
          <t>counterparty: related parties; kind: trade payables; amount: 5.9 (31 Dec 2025: 3.2); year: H1-2026</t>
        </is>
      </c>
      <c r="I1160" s="2" t="inlineStr">
        <is>
          <t>S5</t>
        </is>
      </c>
      <c r="J1160" s="2" t="n">
        <v>48</v>
      </c>
      <c r="K1160" s="3" t="inlineStr">
        <is>
          <t>Trade payables to related parties 5.9 3.2</t>
        </is>
      </c>
      <c r="L1160" s="2" t="inlineStr">
        <is>
          <t>ok</t>
        </is>
      </c>
      <c r="M1160" s="2" t="inlineStr">
        <is>
          <t>demo reviewer</t>
        </is>
      </c>
      <c r="N1160" s="2" t="n"/>
      <c r="O1160" s="3" t="inlineStr">
        <is>
          <t>https://vanillabonds.com/dossier-data/pdf/katjes/katjes-h1-2026-interim-report.pdf#page=48</t>
        </is>
      </c>
      <c r="P1160" s="3" t="inlineStr">
        <is>
          <t>https://vanillabonds.com/dossier.html?c=katjes&amp;viewer=1&amp;item=F1159</t>
        </is>
      </c>
      <c r="Q1160" s="2" t="inlineStr"/>
    </row>
    <row r="1161">
      <c r="A1161" s="2" t="inlineStr">
        <is>
          <t>F1160</t>
        </is>
      </c>
      <c r="B1161" s="2" t="inlineStr">
        <is>
          <t>governance</t>
        </is>
      </c>
      <c r="C1161" s="2" t="inlineStr">
        <is>
          <t>related_party_flow</t>
        </is>
      </c>
      <c r="D1161" s="3" t="inlineStr">
        <is>
          <t>Related-party flow: counterparty; kind (fee, rent, dividend, buyback, loan); amount; year; terms</t>
        </is>
      </c>
      <c r="E1161" s="2" t="n"/>
      <c r="F1161" s="2" t="n">
        <v>6.3</v>
      </c>
      <c r="G1161" s="2" t="n"/>
      <c r="H1161" s="3" t="inlineStr">
        <is>
          <t>counterparty: related parties; kind: trade receivables; amount: 6.3 (31 Dec 2025: 3.2); year: H1-2026</t>
        </is>
      </c>
      <c r="I1161" s="2" t="inlineStr">
        <is>
          <t>S5</t>
        </is>
      </c>
      <c r="J1161" s="2" t="n">
        <v>48</v>
      </c>
      <c r="K1161" s="3" t="inlineStr">
        <is>
          <t>Trade receivables from related par- ties 6.3 3.2</t>
        </is>
      </c>
      <c r="L1161" s="2" t="inlineStr">
        <is>
          <t>ok</t>
        </is>
      </c>
      <c r="M1161" s="2" t="inlineStr">
        <is>
          <t>demo reviewer</t>
        </is>
      </c>
      <c r="N1161" s="2" t="n"/>
      <c r="O1161" s="3" t="inlineStr">
        <is>
          <t>https://vanillabonds.com/dossier-data/pdf/katjes/katjes-h1-2026-interim-report.pdf#page=48</t>
        </is>
      </c>
      <c r="P1161" s="3" t="inlineStr">
        <is>
          <t>https://vanillabonds.com/dossier.html?c=katjes&amp;viewer=1&amp;item=F1160</t>
        </is>
      </c>
      <c r="Q1161" s="2" t="inlineStr"/>
    </row>
    <row r="1162">
      <c r="A1162" s="2" t="inlineStr">
        <is>
          <t>F1161</t>
        </is>
      </c>
      <c r="B1162" s="2" t="inlineStr">
        <is>
          <t>governance</t>
        </is>
      </c>
      <c r="C1162" s="2" t="inlineStr">
        <is>
          <t>related_party_flow</t>
        </is>
      </c>
      <c r="D1162" s="3" t="inlineStr">
        <is>
          <t>Related-party flow: counterparty; kind (fee, rent, dividend, buyback, loan); amount; year; terms</t>
        </is>
      </c>
      <c r="E1162" s="2" t="n"/>
      <c r="F1162" s="2" t="n">
        <v>-3</v>
      </c>
      <c r="G1162" s="2" t="n"/>
      <c r="H1162" s="3" t="inlineStr">
        <is>
          <t>counterparty: related parties; kind: loan (net loans to/from related parties); amount: -3.0 (31 Dec 2025: 4.8); year: H1-2026; terms: unsecured</t>
        </is>
      </c>
      <c r="I1162" s="2" t="inlineStr">
        <is>
          <t>S5</t>
        </is>
      </c>
      <c r="J1162" s="2" t="n">
        <v>48</v>
      </c>
      <c r="K1162" s="2" t="inlineStr">
        <is>
          <t>Loans to/from related parties -3.0 4.8</t>
        </is>
      </c>
      <c r="L1162" s="2" t="inlineStr">
        <is>
          <t>ok</t>
        </is>
      </c>
      <c r="M1162" s="2" t="inlineStr">
        <is>
          <t>demo reviewer</t>
        </is>
      </c>
      <c r="N1162" s="2" t="n"/>
      <c r="O1162" s="3" t="inlineStr">
        <is>
          <t>https://vanillabonds.com/dossier-data/pdf/katjes/katjes-h1-2026-interim-report.pdf#page=48</t>
        </is>
      </c>
      <c r="P1162" s="3" t="inlineStr">
        <is>
          <t>https://vanillabonds.com/dossier.html?c=katjes&amp;viewer=1&amp;item=F1161</t>
        </is>
      </c>
      <c r="Q1162" s="2" t="inlineStr"/>
    </row>
    <row r="1163">
      <c r="A1163" s="2" t="inlineStr">
        <is>
          <t>F1162</t>
        </is>
      </c>
      <c r="B1163" s="2" t="inlineStr">
        <is>
          <t>governance</t>
        </is>
      </c>
      <c r="C1163" s="2" t="inlineStr">
        <is>
          <t>related_party_flow</t>
        </is>
      </c>
      <c r="D1163" s="3" t="inlineStr">
        <is>
          <t>Related-party flow: counterparty; kind (fee, rent, dividend, buyback, loan); amount; year; terms</t>
        </is>
      </c>
      <c r="E1163" s="2" t="n"/>
      <c r="F1163" s="2" t="n">
        <v>0.2</v>
      </c>
      <c r="G1163" s="2" t="n"/>
      <c r="H1163" s="3" t="inlineStr">
        <is>
          <t>counterparty: related parties; kind: interest income from loans; amount: 0.2 (H1-2025: 0.1); other income 0.1 (H1-2025: 5.0); year: H1-2026</t>
        </is>
      </c>
      <c r="I1163" s="2" t="inlineStr">
        <is>
          <t>S5</t>
        </is>
      </c>
      <c r="J1163" s="2" t="n">
        <v>48</v>
      </c>
      <c r="K1163" s="3" t="inlineStr">
        <is>
          <t>Interest income from loans 0.2 0.1 Other income 0.1 5.0</t>
        </is>
      </c>
      <c r="L1163" s="2" t="inlineStr">
        <is>
          <t>ok</t>
        </is>
      </c>
      <c r="M1163" s="2" t="inlineStr">
        <is>
          <t>demo reviewer</t>
        </is>
      </c>
      <c r="N1163" s="2" t="n"/>
      <c r="O1163" s="3" t="inlineStr">
        <is>
          <t>https://vanillabonds.com/dossier-data/pdf/katjes/katjes-h1-2026-interim-report.pdf#page=48</t>
        </is>
      </c>
      <c r="P1163" s="3" t="inlineStr">
        <is>
          <t>https://vanillabonds.com/dossier.html?c=katjes&amp;viewer=1&amp;item=F1162</t>
        </is>
      </c>
      <c r="Q1163" s="2" t="inlineStr"/>
    </row>
    <row r="1164">
      <c r="A1164" s="2" t="inlineStr">
        <is>
          <t>F1163</t>
        </is>
      </c>
      <c r="B1164" s="2" t="inlineStr">
        <is>
          <t>governance</t>
        </is>
      </c>
      <c r="C1164" s="2" t="inlineStr">
        <is>
          <t>shareholder_loan</t>
        </is>
      </c>
      <c r="D1164" s="3" t="inlineStr">
        <is>
          <t>Shareholder loan: lender; amount; rate; maturity; subordinated (yes / no)</t>
        </is>
      </c>
      <c r="E1164" s="2" t="n"/>
      <c r="F1164" s="2" t="n"/>
      <c r="G1164" s="2" t="n"/>
      <c r="H1164" s="3" t="inlineStr">
        <is>
          <t>lender: limited partners (Bastian Fassin, Tobias Bachmüller) via interest-bearing current accounts; rate: 5.0% (prior year 5.0%); amount not stated separately; subordinated: not stated</t>
        </is>
      </c>
      <c r="I1164" s="2" t="inlineStr">
        <is>
          <t>S5</t>
        </is>
      </c>
      <c r="J1164" s="2" t="n">
        <v>48</v>
      </c>
      <c r="K1164" s="3" t="inlineStr">
        <is>
          <t>The interest-bearing current accounts of the limited partners bear interest at 5.0% (previous year: 5.0%).</t>
        </is>
      </c>
      <c r="L1164" s="2" t="inlineStr">
        <is>
          <t>ok</t>
        </is>
      </c>
      <c r="M1164" s="2" t="inlineStr">
        <is>
          <t>demo reviewer</t>
        </is>
      </c>
      <c r="N1164" s="2" t="n"/>
      <c r="O1164" s="3" t="inlineStr">
        <is>
          <t>https://vanillabonds.com/dossier-data/pdf/katjes/katjes-h1-2026-interim-report.pdf#page=48</t>
        </is>
      </c>
      <c r="P1164" s="3" t="inlineStr">
        <is>
          <t>https://vanillabonds.com/dossier.html?c=katjes&amp;viewer=1&amp;item=F1163</t>
        </is>
      </c>
      <c r="Q1164" s="2" t="inlineStr"/>
    </row>
    <row r="1165">
      <c r="A1165" s="2" t="inlineStr">
        <is>
          <t>F1164</t>
        </is>
      </c>
      <c r="B1165" s="2" t="inlineStr">
        <is>
          <t>market</t>
        </is>
      </c>
      <c r="C1165" s="2" t="inlineStr">
        <is>
          <t>market_series</t>
        </is>
      </c>
      <c r="D1165" s="3" t="inlineStr">
        <is>
          <t>Market variable: variable; year; value; unit; source (a distribution adds n; median; spread; p10; p25; p75; p90)</t>
        </is>
      </c>
      <c r="E1165" s="2" t="n"/>
      <c r="F1165" s="2" t="n">
        <v>0.8</v>
      </c>
      <c r="G1165" s="2" t="n"/>
      <c r="H1165" s="3" t="inlineStr">
        <is>
          <t>variable: eurozone GDP growth forecast; year: 2026; value: 0.8; unit: %; source: OECD Economic Outlook June 2026 (2025: 1.4%)</t>
        </is>
      </c>
      <c r="I1165" s="2" t="inlineStr">
        <is>
          <t>S5</t>
        </is>
      </c>
      <c r="J1165" s="2" t="n">
        <v>19</v>
      </c>
      <c r="K1165" s="3" t="inlineStr">
        <is>
          <t>(GDP) is expected to increase overall by 0.8% (2025: 1.4%).</t>
        </is>
      </c>
      <c r="L1165" s="2" t="inlineStr">
        <is>
          <t>ok</t>
        </is>
      </c>
      <c r="M1165" s="2" t="inlineStr">
        <is>
          <t>demo reviewer</t>
        </is>
      </c>
      <c r="N1165" s="2" t="n"/>
      <c r="O1165" s="3" t="inlineStr">
        <is>
          <t>https://vanillabonds.com/dossier-data/pdf/katjes/katjes-h1-2026-interim-report.pdf#page=19</t>
        </is>
      </c>
      <c r="P1165" s="3" t="inlineStr">
        <is>
          <t>https://vanillabonds.com/dossier.html?c=katjes&amp;viewer=1&amp;item=F1164</t>
        </is>
      </c>
      <c r="Q1165" s="2" t="inlineStr"/>
    </row>
    <row r="1166">
      <c r="A1166" s="2" t="inlineStr">
        <is>
          <t>F1165</t>
        </is>
      </c>
      <c r="B1166" s="2" t="inlineStr">
        <is>
          <t>market</t>
        </is>
      </c>
      <c r="C1166" s="2" t="inlineStr">
        <is>
          <t>market_series</t>
        </is>
      </c>
      <c r="D1166" s="3" t="inlineStr">
        <is>
          <t>Market variable: variable; year; value; unit; source (a distribution adds n; median; spread; p10; p25; p75; p90)</t>
        </is>
      </c>
      <c r="E1166" s="2" t="n"/>
      <c r="F1166" s="2" t="n">
        <v>0.7</v>
      </c>
      <c r="G1166" s="2" t="n"/>
      <c r="H1166" s="3" t="inlineStr">
        <is>
          <t>variable: Germany GDP growth forecast; year: 2026; value: 0.7; unit: %; source: OECD June 2026 (2025: 0.3%)</t>
        </is>
      </c>
      <c r="I1166" s="2" t="inlineStr">
        <is>
          <t>S5</t>
        </is>
      </c>
      <c r="J1166" s="2" t="n">
        <v>19</v>
      </c>
      <c r="K1166" s="3" t="inlineStr">
        <is>
          <t>the German economy, positive development is expected, with growth of 0.7% (2025: 0.3%).</t>
        </is>
      </c>
      <c r="L1166" s="2" t="inlineStr">
        <is>
          <t>ok</t>
        </is>
      </c>
      <c r="M1166" s="2" t="inlineStr">
        <is>
          <t>demo reviewer</t>
        </is>
      </c>
      <c r="N1166" s="2" t="n"/>
      <c r="O1166" s="3" t="inlineStr">
        <is>
          <t>https://vanillabonds.com/dossier-data/pdf/katjes/katjes-h1-2026-interim-report.pdf#page=19</t>
        </is>
      </c>
      <c r="P1166" s="3" t="inlineStr">
        <is>
          <t>https://vanillabonds.com/dossier.html?c=katjes&amp;viewer=1&amp;item=F1165</t>
        </is>
      </c>
      <c r="Q1166" s="2" t="inlineStr"/>
    </row>
    <row r="1167">
      <c r="A1167" s="2" t="inlineStr">
        <is>
          <t>F1166</t>
        </is>
      </c>
      <c r="B1167" s="2" t="inlineStr">
        <is>
          <t>market</t>
        </is>
      </c>
      <c r="C1167" s="2" t="inlineStr">
        <is>
          <t>market_series</t>
        </is>
      </c>
      <c r="D1167" s="3" t="inlineStr">
        <is>
          <t>Market variable: variable; year; value; unit; source (a distribution adds n; median; spread; p10; p25; p75; p90)</t>
        </is>
      </c>
      <c r="E1167" s="2" t="n"/>
      <c r="F1167" s="2" t="n">
        <v>0.9</v>
      </c>
      <c r="G1167" s="2" t="n"/>
      <c r="H1167" s="3" t="inlineStr">
        <is>
          <t>variable: United Kingdom GDP growth forecast; year: 2026; value: 0.9; unit: %; source: OECD June 2026 (2025: 1.4%)</t>
        </is>
      </c>
      <c r="I1167" s="2" t="inlineStr">
        <is>
          <t>S5</t>
        </is>
      </c>
      <c r="J1167" s="2" t="n">
        <v>19</v>
      </c>
      <c r="K1167" s="3" t="inlineStr">
        <is>
          <t>with an increase of 0.9% (2025: 1.4%) and the Italian economy remains stable at 0.5% (2025: 0.5%).</t>
        </is>
      </c>
      <c r="L1167" s="2" t="inlineStr">
        <is>
          <t>ok</t>
        </is>
      </c>
      <c r="M1167" s="2" t="inlineStr">
        <is>
          <t>demo reviewer</t>
        </is>
      </c>
      <c r="N1167" s="2" t="n"/>
      <c r="O1167" s="3" t="inlineStr">
        <is>
          <t>https://vanillabonds.com/dossier-data/pdf/katjes/katjes-h1-2026-interim-report.pdf#page=19</t>
        </is>
      </c>
      <c r="P1167" s="3" t="inlineStr">
        <is>
          <t>https://vanillabonds.com/dossier.html?c=katjes&amp;viewer=1&amp;item=F1166</t>
        </is>
      </c>
      <c r="Q1167" s="2" t="inlineStr"/>
    </row>
    <row r="1168">
      <c r="A1168" s="2" t="inlineStr">
        <is>
          <t>F1167</t>
        </is>
      </c>
      <c r="B1168" s="2" t="inlineStr">
        <is>
          <t>market</t>
        </is>
      </c>
      <c r="C1168" s="2" t="inlineStr">
        <is>
          <t>market_series</t>
        </is>
      </c>
      <c r="D1168" s="3" t="inlineStr">
        <is>
          <t>Market variable: variable; year; value; unit; source (a distribution adds n; median; spread; p10; p25; p75; p90)</t>
        </is>
      </c>
      <c r="E1168" s="2" t="n"/>
      <c r="F1168" s="2" t="n">
        <v>0.5</v>
      </c>
      <c r="G1168" s="2" t="n"/>
      <c r="H1168" s="3" t="inlineStr">
        <is>
          <t>variable: Italy GDP growth forecast; year: 2026; value: 0.5; unit: %; source: OECD June 2026 (2025: 0.5%)</t>
        </is>
      </c>
      <c r="I1168" s="2" t="inlineStr">
        <is>
          <t>S5</t>
        </is>
      </c>
      <c r="J1168" s="2" t="n">
        <v>19</v>
      </c>
      <c r="K1168" s="3" t="inlineStr">
        <is>
          <t>the Italian economy remains stable at 0.5% (2025: 0.5%).</t>
        </is>
      </c>
      <c r="L1168" s="2" t="inlineStr">
        <is>
          <t>ok</t>
        </is>
      </c>
      <c r="M1168" s="2" t="inlineStr">
        <is>
          <t>demo reviewer</t>
        </is>
      </c>
      <c r="N1168" s="2" t="n"/>
      <c r="O1168" s="3" t="inlineStr">
        <is>
          <t>https://vanillabonds.com/dossier-data/pdf/katjes/katjes-h1-2026-interim-report.pdf#page=19</t>
        </is>
      </c>
      <c r="P1168" s="3" t="inlineStr">
        <is>
          <t>https://vanillabonds.com/dossier.html?c=katjes&amp;viewer=1&amp;item=F1167</t>
        </is>
      </c>
      <c r="Q1168" s="2" t="inlineStr"/>
    </row>
    <row r="1169">
      <c r="A1169" s="2" t="inlineStr">
        <is>
          <t>F1168</t>
        </is>
      </c>
      <c r="B1169" s="2" t="inlineStr">
        <is>
          <t>market</t>
        </is>
      </c>
      <c r="C1169" s="2" t="inlineStr">
        <is>
          <t>market_series</t>
        </is>
      </c>
      <c r="D1169" s="3" t="inlineStr">
        <is>
          <t>Market variable: variable; year; value; unit; source (a distribution adds n; median; spread; p10; p25; p75; p90)</t>
        </is>
      </c>
      <c r="E1169" s="2" t="n"/>
      <c r="F1169" s="2" t="n">
        <v>1.1</v>
      </c>
      <c r="G1169" s="2" t="n"/>
      <c r="H1169" s="3" t="inlineStr">
        <is>
          <t>variable: Switzerland GDP growth forecast; year: 2026; value: 1.1; unit: %; source: OECD June 2026 (2025: 1.3%)</t>
        </is>
      </c>
      <c r="I1169" s="2" t="inlineStr">
        <is>
          <t>S5</t>
        </is>
      </c>
      <c r="J1169" s="2" t="n">
        <v>19</v>
      </c>
      <c r="K1169" s="3" t="inlineStr">
        <is>
          <t>also slightly declining, with growth of 1.1% compared to the pre- vious year (2025: 1.3%).</t>
        </is>
      </c>
      <c r="L1169" s="2" t="inlineStr">
        <is>
          <t>ok</t>
        </is>
      </c>
      <c r="M1169" s="2" t="inlineStr">
        <is>
          <t>demo reviewer</t>
        </is>
      </c>
      <c r="N1169" s="2" t="n"/>
      <c r="O1169" s="3" t="inlineStr">
        <is>
          <t>https://vanillabonds.com/dossier-data/pdf/katjes/katjes-h1-2026-interim-report.pdf#page=19</t>
        </is>
      </c>
      <c r="P1169" s="3" t="inlineStr">
        <is>
          <t>https://vanillabonds.com/dossier.html?c=katjes&amp;viewer=1&amp;item=F1168</t>
        </is>
      </c>
      <c r="Q1169" s="2" t="inlineStr"/>
    </row>
    <row r="1170">
      <c r="A1170" s="2" t="inlineStr">
        <is>
          <t>F1169</t>
        </is>
      </c>
      <c r="B1170" s="2" t="inlineStr">
        <is>
          <t>market</t>
        </is>
      </c>
      <c r="C1170" s="2" t="inlineStr">
        <is>
          <t>market_series</t>
        </is>
      </c>
      <c r="D1170" s="3" t="inlineStr">
        <is>
          <t>Market variable: variable; year; value; unit; source (a distribution adds n; median; spread; p10; p25; p75; p90)</t>
        </is>
      </c>
      <c r="E1170" s="2" t="n"/>
      <c r="F1170" s="2" t="n">
        <v>1</v>
      </c>
      <c r="G1170" s="2" t="n"/>
      <c r="H1170" s="3" t="inlineStr">
        <is>
          <t>variable: Netherlands GDP growth forecast; year: 2026; value: 1.0; unit: %; source: OECD June 2026 (2025: 1.8%)</t>
        </is>
      </c>
      <c r="I1170" s="2" t="inlineStr">
        <is>
          <t>S5</t>
        </is>
      </c>
      <c r="J1170" s="2" t="n">
        <v>19</v>
      </c>
      <c r="K1170" s="3" t="inlineStr">
        <is>
          <t>is expected to be 1.0% (2025: 1.8%). The United States shows</t>
        </is>
      </c>
      <c r="L1170" s="2" t="inlineStr">
        <is>
          <t>ok</t>
        </is>
      </c>
      <c r="M1170" s="2" t="inlineStr">
        <is>
          <t>demo reviewer</t>
        </is>
      </c>
      <c r="N1170" s="2" t="n"/>
      <c r="O1170" s="3" t="inlineStr">
        <is>
          <t>https://vanillabonds.com/dossier-data/pdf/katjes/katjes-h1-2026-interim-report.pdf#page=19</t>
        </is>
      </c>
      <c r="P1170" s="3" t="inlineStr">
        <is>
          <t>https://vanillabonds.com/dossier.html?c=katjes&amp;viewer=1&amp;item=F1169</t>
        </is>
      </c>
      <c r="Q1170" s="2" t="inlineStr"/>
    </row>
    <row r="1171">
      <c r="A1171" s="2" t="inlineStr">
        <is>
          <t>F1170</t>
        </is>
      </c>
      <c r="B1171" s="2" t="inlineStr">
        <is>
          <t>market</t>
        </is>
      </c>
      <c r="C1171" s="2" t="inlineStr">
        <is>
          <t>market_series</t>
        </is>
      </c>
      <c r="D1171" s="3" t="inlineStr">
        <is>
          <t>Market variable: variable; year; value; unit; source (a distribution adds n; median; spread; p10; p25; p75; p90)</t>
        </is>
      </c>
      <c r="E1171" s="2" t="n"/>
      <c r="F1171" s="2" t="n">
        <v>2</v>
      </c>
      <c r="G1171" s="2" t="n"/>
      <c r="H1171" s="3" t="inlineStr">
        <is>
          <t>variable: United States GDP growth forecast; year: 2026; value: 2.0; unit: %; source: OECD June 2026 (2025: 2.1%)</t>
        </is>
      </c>
      <c r="I1171" s="2" t="inlineStr">
        <is>
          <t>S5</t>
        </is>
      </c>
      <c r="J1171" s="2" t="n">
        <v>19</v>
      </c>
      <c r="K1171" s="3" t="inlineStr">
        <is>
          <t>good growth with a GDP increase of 2.0%, although slightly be- low the previous year's growth (2025: 2.1%).</t>
        </is>
      </c>
      <c r="L1171" s="2" t="inlineStr">
        <is>
          <t>ok</t>
        </is>
      </c>
      <c r="M1171" s="2" t="inlineStr">
        <is>
          <t>demo reviewer</t>
        </is>
      </c>
      <c r="N1171" s="2" t="n"/>
      <c r="O1171" s="3" t="inlineStr">
        <is>
          <t>https://vanillabonds.com/dossier-data/pdf/katjes/katjes-h1-2026-interim-report.pdf#page=19</t>
        </is>
      </c>
      <c r="P1171" s="3" t="inlineStr">
        <is>
          <t>https://vanillabonds.com/dossier.html?c=katjes&amp;viewer=1&amp;item=F1170</t>
        </is>
      </c>
      <c r="Q1171" s="2" t="inlineStr"/>
    </row>
    <row r="1172">
      <c r="A1172" s="2" t="inlineStr">
        <is>
          <t>F1171</t>
        </is>
      </c>
      <c r="B1172" s="2" t="inlineStr">
        <is>
          <t>market</t>
        </is>
      </c>
      <c r="C1172" s="2" t="inlineStr">
        <is>
          <t>market_series</t>
        </is>
      </c>
      <c r="D1172" s="3" t="inlineStr">
        <is>
          <t>Market variable: variable; year; value; unit; source (a distribution adds n; median; spread; p10; p25; p75; p90)</t>
        </is>
      </c>
      <c r="E1172" s="2" t="n"/>
      <c r="F1172" s="2" t="n">
        <v>2.2</v>
      </c>
      <c r="G1172" s="2" t="n"/>
      <c r="H1172" s="3" t="inlineStr">
        <is>
          <t>variable: Spain GDP growth forecast; year: 2026; value: 2.2; unit: %; source: OECD June 2026 (2025: 2.8%); Austria 0.7% (0.6%), France 0.7% (0.9%)</t>
        </is>
      </c>
      <c r="I1172" s="2" t="inlineStr">
        <is>
          <t>S5</t>
        </is>
      </c>
      <c r="J1172" s="2" t="n">
        <v>19</v>
      </c>
      <c r="K1172" s="3" t="inlineStr">
        <is>
          <t>Spain is recording a solid, albeit slower GDP growth of 2.2% (2025: 2.8%).</t>
        </is>
      </c>
      <c r="L1172" s="2" t="inlineStr">
        <is>
          <t>ok</t>
        </is>
      </c>
      <c r="M1172" s="2" t="inlineStr">
        <is>
          <t>demo reviewer</t>
        </is>
      </c>
      <c r="N1172" s="2" t="n"/>
      <c r="O1172" s="3" t="inlineStr">
        <is>
          <t>https://vanillabonds.com/dossier-data/pdf/katjes/katjes-h1-2026-interim-report.pdf#page=19</t>
        </is>
      </c>
      <c r="P1172" s="3" t="inlineStr">
        <is>
          <t>https://vanillabonds.com/dossier.html?c=katjes&amp;viewer=1&amp;item=F1171</t>
        </is>
      </c>
      <c r="Q1172" s="2" t="inlineStr"/>
    </row>
    <row r="1173">
      <c r="A1173" s="2" t="inlineStr">
        <is>
          <t>F1172</t>
        </is>
      </c>
      <c r="B1173" s="2" t="inlineStr">
        <is>
          <t>market</t>
        </is>
      </c>
      <c r="C1173" s="2" t="inlineStr">
        <is>
          <t>market_series</t>
        </is>
      </c>
      <c r="D1173" s="3" t="inlineStr">
        <is>
          <t>Market variable: variable; year; value; unit; source (a distribution adds n; median; spread; p10; p25; p75; p90)</t>
        </is>
      </c>
      <c r="E1173" s="2" t="n"/>
      <c r="F1173" s="2" t="n">
        <v>7.4</v>
      </c>
      <c r="G1173" s="2" t="n"/>
      <c r="H1173" s="3" t="inlineStr">
        <is>
          <t>variable: confectionery market growth Western Europe; year: 2026; value: 7.4; unit: %; source: Euromonitor International as cited (Eastern Europe 5.4%)</t>
        </is>
      </c>
      <c r="I1173" s="2" t="inlineStr">
        <is>
          <t>S5</t>
        </is>
      </c>
      <c r="J1173" s="2" t="n">
        <v>19</v>
      </c>
      <c r="K1173" s="3" t="inlineStr">
        <is>
          <t>7.4% is forecasted for Western Europe and 5.4% for Eastern Europe in 2026.</t>
        </is>
      </c>
      <c r="L1173" s="2" t="inlineStr">
        <is>
          <t>ok</t>
        </is>
      </c>
      <c r="M1173" s="2" t="inlineStr">
        <is>
          <t>demo reviewer</t>
        </is>
      </c>
      <c r="N1173" s="2" t="n"/>
      <c r="O1173" s="3" t="inlineStr">
        <is>
          <t>https://vanillabonds.com/dossier-data/pdf/katjes/katjes-h1-2026-interim-report.pdf#page=19</t>
        </is>
      </c>
      <c r="P1173" s="3" t="inlineStr">
        <is>
          <t>https://vanillabonds.com/dossier.html?c=katjes&amp;viewer=1&amp;item=F1172</t>
        </is>
      </c>
      <c r="Q1173" s="2" t="inlineStr"/>
    </row>
    <row r="1174">
      <c r="A1174" s="2" t="inlineStr">
        <is>
          <t>F1173</t>
        </is>
      </c>
      <c r="B1174" s="2" t="inlineStr">
        <is>
          <t>market</t>
        </is>
      </c>
      <c r="C1174" s="2" t="inlineStr">
        <is>
          <t>market_series</t>
        </is>
      </c>
      <c r="D1174" s="3" t="inlineStr">
        <is>
          <t>Market variable: variable; year; value; unit; source (a distribution adds n; median; spread; p10; p25; p75; p90)</t>
        </is>
      </c>
      <c r="E1174" s="2" t="n"/>
      <c r="F1174" s="2" t="n">
        <v>115</v>
      </c>
      <c r="G1174" s="2" t="n"/>
      <c r="H1174" s="3" t="inlineStr">
        <is>
          <t>variable: European confectionery market volume (sugar confectionery and chocolate); year: 2030; value: over 115; unit: EUR bn; source: Euromonitor International</t>
        </is>
      </c>
      <c r="I1174" s="2" t="inlineStr">
        <is>
          <t>S5</t>
        </is>
      </c>
      <c r="J1174" s="2" t="n">
        <v>19</v>
      </c>
      <c r="K1174" s="3" t="inlineStr">
        <is>
          <t>products) to continue growing to a volume of over EUR 115 bil- lion by 2030.</t>
        </is>
      </c>
      <c r="L1174" s="2" t="inlineStr">
        <is>
          <t>ok</t>
        </is>
      </c>
      <c r="M1174" s="2" t="inlineStr">
        <is>
          <t>demo reviewer</t>
        </is>
      </c>
      <c r="N1174" s="2" t="n"/>
      <c r="O1174" s="3" t="inlineStr">
        <is>
          <t>https://vanillabonds.com/dossier-data/pdf/katjes/katjes-h1-2026-interim-report.pdf#page=19</t>
        </is>
      </c>
      <c r="P1174" s="3" t="inlineStr">
        <is>
          <t>https://vanillabonds.com/dossier.html?c=katjes&amp;viewer=1&amp;item=F1173</t>
        </is>
      </c>
      <c r="Q1174" s="2" t="inlineStr"/>
    </row>
    <row r="1175">
      <c r="A1175" s="2" t="inlineStr">
        <is>
          <t>F1174</t>
        </is>
      </c>
      <c r="B1175" s="2" t="inlineStr">
        <is>
          <t>market</t>
        </is>
      </c>
      <c r="C1175" s="2" t="inlineStr">
        <is>
          <t>market_series</t>
        </is>
      </c>
      <c r="D1175" s="3" t="inlineStr">
        <is>
          <t>Market variable: variable; year; value; unit; source (a distribution adds n; median; spread; p10; p25; p75; p90)</t>
        </is>
      </c>
      <c r="E1175" s="2" t="n"/>
      <c r="F1175" s="2" t="n">
        <v>295</v>
      </c>
      <c r="G1175" s="2" t="n"/>
      <c r="H1175" s="3" t="inlineStr">
        <is>
          <t>variable: German baby and kids care market volume; year: H1-2026; value: 295; unit: EUR m; source: Nielsen (comparable to prior-year period)</t>
        </is>
      </c>
      <c r="I1175" s="2" t="inlineStr">
        <is>
          <t>S5</t>
        </is>
      </c>
      <c r="J1175" s="2" t="n">
        <v>20</v>
      </c>
      <c r="K1175" s="3" t="inlineStr">
        <is>
          <t>amounted to EUR 295 million in the first half of 2026, compara- ble to the level of the prior-year period.</t>
        </is>
      </c>
      <c r="L1175" s="2" t="inlineStr">
        <is>
          <t>ok</t>
        </is>
      </c>
      <c r="M1175" s="2" t="inlineStr">
        <is>
          <t>demo reviewer</t>
        </is>
      </c>
      <c r="N1175" s="2" t="n"/>
      <c r="O1175" s="3" t="inlineStr">
        <is>
          <t>https://vanillabonds.com/dossier-data/pdf/katjes/katjes-h1-2026-interim-report.pdf#page=20</t>
        </is>
      </c>
      <c r="P1175" s="3" t="inlineStr">
        <is>
          <t>https://vanillabonds.com/dossier.html?c=katjes&amp;viewer=1&amp;item=F1174</t>
        </is>
      </c>
      <c r="Q1175" s="2" t="inlineStr"/>
    </row>
    <row r="1176">
      <c r="A1176" s="2" t="inlineStr">
        <is>
          <t>F1175</t>
        </is>
      </c>
      <c r="B1176" s="2" t="inlineStr">
        <is>
          <t>market</t>
        </is>
      </c>
      <c r="C1176" s="2" t="inlineStr">
        <is>
          <t>market_series</t>
        </is>
      </c>
      <c r="D1176" s="3" t="inlineStr">
        <is>
          <t>Market variable: variable; year; value; unit; source (a distribution adds n; median; spread; p10; p25; p75; p90)</t>
        </is>
      </c>
      <c r="E1176" s="2" t="n"/>
      <c r="F1176" s="2" t="n">
        <v>2360</v>
      </c>
      <c r="G1176" s="2" t="n"/>
      <c r="H1176" s="3" t="inlineStr">
        <is>
          <t>variable: German dental and oral care revenue; year: 2026; value: 2360; unit: EUR m; source: Euromonitor (+4.2% vs 2025)</t>
        </is>
      </c>
      <c r="I1176" s="2" t="inlineStr">
        <is>
          <t>S5</t>
        </is>
      </c>
      <c r="J1176" s="2" t="n">
        <v>20</v>
      </c>
      <c r="K1176" s="3" t="inlineStr">
        <is>
          <t>to amount to approximately EUR 2.36 billion for 2026 and, according to Euromonitor data, thus show an increase of 4.2%</t>
        </is>
      </c>
      <c r="L1176" s="2" t="inlineStr">
        <is>
          <t>ok</t>
        </is>
      </c>
      <c r="M1176" s="2" t="inlineStr">
        <is>
          <t>demo reviewer</t>
        </is>
      </c>
      <c r="N1176" s="2" t="n"/>
      <c r="O1176" s="3" t="inlineStr">
        <is>
          <t>https://vanillabonds.com/dossier-data/pdf/katjes/katjes-h1-2026-interim-report.pdf#page=20</t>
        </is>
      </c>
      <c r="P1176" s="3" t="inlineStr">
        <is>
          <t>https://vanillabonds.com/dossier.html?c=katjes&amp;viewer=1&amp;item=F1175</t>
        </is>
      </c>
      <c r="Q1176" s="2" t="inlineStr"/>
    </row>
    <row r="1177">
      <c r="A1177" s="2" t="inlineStr">
        <is>
          <t>F1176</t>
        </is>
      </c>
      <c r="B1177" s="2" t="inlineStr">
        <is>
          <t>market</t>
        </is>
      </c>
      <c r="C1177" s="2" t="inlineStr">
        <is>
          <t>market_series</t>
        </is>
      </c>
      <c r="D1177" s="3" t="inlineStr">
        <is>
          <t>Market variable: variable; year; value; unit; source (a distribution adds n; median; spread; p10; p25; p75; p90)</t>
        </is>
      </c>
      <c r="E1177" s="2" t="n"/>
      <c r="F1177" s="2" t="n">
        <v>3.8</v>
      </c>
      <c r="G1177" s="2" t="n"/>
      <c r="H1177" s="3" t="inlineStr">
        <is>
          <t>variable: German designer apparel market growth; year: 2026; value: 3.8; unit: %; source: Euromonitor</t>
        </is>
      </c>
      <c r="I1177" s="2" t="inlineStr">
        <is>
          <t>S5</t>
        </is>
      </c>
      <c r="J1177" s="2" t="n">
        <v>20</v>
      </c>
      <c r="K1177" s="3" t="inlineStr">
        <is>
          <t>According to Euromonitor data, the designer apparel market in Germany shows growth of 3.8% for 2026.</t>
        </is>
      </c>
      <c r="L1177" s="2" t="inlineStr">
        <is>
          <t>ok</t>
        </is>
      </c>
      <c r="M1177" s="2" t="inlineStr">
        <is>
          <t>demo reviewer</t>
        </is>
      </c>
      <c r="N1177" s="2" t="n"/>
      <c r="O1177" s="3" t="inlineStr">
        <is>
          <t>https://vanillabonds.com/dossier-data/pdf/katjes/katjes-h1-2026-interim-report.pdf#page=20</t>
        </is>
      </c>
      <c r="P1177" s="3" t="inlineStr">
        <is>
          <t>https://vanillabonds.com/dossier.html?c=katjes&amp;viewer=1&amp;item=F1176</t>
        </is>
      </c>
      <c r="Q1177" s="2" t="inlineStr"/>
    </row>
    <row r="1178">
      <c r="A1178" s="2" t="inlineStr">
        <is>
          <t>F1177</t>
        </is>
      </c>
      <c r="B1178" s="2" t="inlineStr">
        <is>
          <t>market</t>
        </is>
      </c>
      <c r="C1178" s="2" t="inlineStr">
        <is>
          <t>regulation_item</t>
        </is>
      </c>
      <c r="D1178" s="3" t="inlineStr">
        <is>
          <t>Regulation: measure; effective; effect on the company as stated; source</t>
        </is>
      </c>
      <c r="E1178" s="2" t="n"/>
      <c r="F1178" s="2" t="n"/>
      <c r="G1178" s="2" t="n"/>
      <c r="H1178" s="3" t="inlineStr">
        <is>
          <t>measure: IFRS 18 and IFRS 19; effective: financial years beginning on or after 2027-01-01; effect on the company as stated: presentation changes under IFRS 18, no material effects expected; source: notes 2</t>
        </is>
      </c>
      <c r="I1178" s="2" t="inlineStr">
        <is>
          <t>S5</t>
        </is>
      </c>
      <c r="J1178" s="2" t="n">
        <v>37</v>
      </c>
      <c r="K1178" s="3" t="inlineStr">
        <is>
          <t>IFRS 18 and IFRS 19 (applicable for financial years beginning on or after January 1, 2027).</t>
        </is>
      </c>
      <c r="L1178" s="2" t="inlineStr">
        <is>
          <t>ok</t>
        </is>
      </c>
      <c r="M1178" s="2" t="inlineStr">
        <is>
          <t>demo reviewer</t>
        </is>
      </c>
      <c r="N1178" s="2" t="n"/>
      <c r="O1178" s="3" t="inlineStr">
        <is>
          <t>https://vanillabonds.com/dossier-data/pdf/katjes/katjes-h1-2026-interim-report.pdf#page=37</t>
        </is>
      </c>
      <c r="P1178" s="3" t="inlineStr">
        <is>
          <t>https://vanillabonds.com/dossier.html?c=katjes&amp;viewer=1&amp;item=F1177</t>
        </is>
      </c>
      <c r="Q1178" s="2" t="inlineStr"/>
    </row>
    <row r="1179">
      <c r="A1179" s="2" t="inlineStr">
        <is>
          <t>F1178</t>
        </is>
      </c>
      <c r="B1179" s="2" t="inlineStr">
        <is>
          <t>market</t>
        </is>
      </c>
      <c r="C1179" s="2" t="inlineStr">
        <is>
          <t>permit</t>
        </is>
      </c>
      <c r="D1179" s="3" t="inlineStr">
        <is>
          <t>Certification, licence, permit or patent: item; issuer; expiry; register</t>
        </is>
      </c>
      <c r="E1179" s="2" t="n"/>
      <c r="F1179" s="2" t="n"/>
      <c r="G1179" s="2" t="n"/>
      <c r="H1179" s="3" t="inlineStr">
        <is>
          <t>item: Minions licence for Treets Buttons; issuer: Universal Products &amp; Experiences (UP&amp;E)</t>
        </is>
      </c>
      <c r="I1179" s="2" t="inlineStr">
        <is>
          <t>S5</t>
        </is>
      </c>
      <c r="J1179" s="2" t="n">
        <v>9</v>
      </c>
      <c r="K1179" s="3" t="inlineStr">
        <is>
          <t>Minions license, created in cooperation with Universal Products &amp; Experiences (UP&amp;E), are colorful lentils</t>
        </is>
      </c>
      <c r="L1179" s="2" t="inlineStr">
        <is>
          <t>ok</t>
        </is>
      </c>
      <c r="M1179" s="2" t="inlineStr">
        <is>
          <t>demo reviewer</t>
        </is>
      </c>
      <c r="N1179" s="2" t="n"/>
      <c r="O1179" s="3" t="inlineStr">
        <is>
          <t>https://vanillabonds.com/dossier-data/pdf/katjes/katjes-h1-2026-interim-report.pdf#page=9</t>
        </is>
      </c>
      <c r="P1179" s="3" t="inlineStr">
        <is>
          <t>https://vanillabonds.com/dossier.html?c=katjes&amp;viewer=1&amp;item=F1178</t>
        </is>
      </c>
      <c r="Q1179" s="2" t="inlineStr"/>
    </row>
    <row r="1180">
      <c r="A1180" s="2" t="inlineStr">
        <is>
          <t>F1179</t>
        </is>
      </c>
      <c r="B1180" s="2" t="inlineStr">
        <is>
          <t>market</t>
        </is>
      </c>
      <c r="C1180" s="2" t="inlineStr">
        <is>
          <t>permit</t>
        </is>
      </c>
      <c r="D1180" s="3" t="inlineStr">
        <is>
          <t>Certification, licence, permit or patent: item; issuer; expiry; register</t>
        </is>
      </c>
      <c r="E1180" s="2" t="n"/>
      <c r="F1180" s="2" t="n"/>
      <c r="G1180" s="2" t="n"/>
      <c r="H1180" s="3" t="inlineStr">
        <is>
          <t>item: ÖKO-TEST awards for Shirin Beauty Blueberry Body Oil and Blueberry Body Scrub; issuer: ÖKO-TEST</t>
        </is>
      </c>
      <c r="I1180" s="2" t="inlineStr">
        <is>
          <t>S5</t>
        </is>
      </c>
      <c r="J1180" s="2" t="n">
        <v>12</v>
      </c>
      <c r="K1180" s="3" t="inlineStr">
        <is>
          <t>by ÖKO-TEST awards for the Blueberry Body Oil and the Blueberry Body Scrub.</t>
        </is>
      </c>
      <c r="L1180" s="2" t="inlineStr">
        <is>
          <t>ok</t>
        </is>
      </c>
      <c r="M1180" s="2" t="inlineStr">
        <is>
          <t>demo reviewer</t>
        </is>
      </c>
      <c r="N1180" s="2" t="n"/>
      <c r="O1180" s="3" t="inlineStr">
        <is>
          <t>https://vanillabonds.com/dossier-data/pdf/katjes/katjes-h1-2026-interim-report.pdf#page=12</t>
        </is>
      </c>
      <c r="P1180" s="3" t="inlineStr">
        <is>
          <t>https://vanillabonds.com/dossier.html?c=katjes&amp;viewer=1&amp;item=F1179</t>
        </is>
      </c>
      <c r="Q1180" s="2" t="inlineStr"/>
    </row>
    <row r="1181">
      <c r="A1181" s="2" t="inlineStr">
        <is>
          <t>F1180</t>
        </is>
      </c>
      <c r="B1181" s="2" t="inlineStr">
        <is>
          <t>financials</t>
        </is>
      </c>
      <c r="C1181" s="2" t="inlineStr">
        <is>
          <t>one_off</t>
        </is>
      </c>
      <c r="D1181" s="3" t="inlineStr">
        <is>
          <t>One-off item: item; amount; recurrence (years in which it recurred)</t>
        </is>
      </c>
      <c r="E1181" s="2" t="inlineStr">
        <is>
          <t>H1-2026</t>
        </is>
      </c>
      <c r="F1181" s="2" t="n">
        <v>13.8</v>
      </c>
      <c r="G1181" s="2" t="n"/>
      <c r="H1181" s="3" t="inlineStr">
        <is>
          <t>item: positive results from purchase price allocations in other operating result; amount: 13.8; recurrence: none in H1-2025</t>
        </is>
      </c>
      <c r="I1181" s="2" t="inlineStr">
        <is>
          <t>S5</t>
        </is>
      </c>
      <c r="J1181" s="2" t="n">
        <v>23</v>
      </c>
      <c r="K1181" s="3" t="inlineStr">
        <is>
          <t>this item includes the positive results from the purchase price allocations carried out during the first half of 2026 (EUR 13.8 million)</t>
        </is>
      </c>
      <c r="L1181" s="2" t="inlineStr">
        <is>
          <t>ok</t>
        </is>
      </c>
      <c r="M1181" s="2" t="inlineStr">
        <is>
          <t>demo reviewer</t>
        </is>
      </c>
      <c r="N1181" s="2" t="n"/>
      <c r="O1181" s="3" t="inlineStr">
        <is>
          <t>https://vanillabonds.com/dossier-data/pdf/katjes/katjes-h1-2026-interim-report.pdf#page=23</t>
        </is>
      </c>
      <c r="P1181" s="3" t="inlineStr">
        <is>
          <t>https://vanillabonds.com/dossier.html?c=katjes&amp;viewer=1&amp;item=F1180</t>
        </is>
      </c>
      <c r="Q1181" s="2" t="inlineStr"/>
    </row>
    <row r="1182">
      <c r="A1182" s="2" t="inlineStr">
        <is>
          <t>F1181</t>
        </is>
      </c>
      <c r="B1182" s="2" t="inlineStr">
        <is>
          <t>financials</t>
        </is>
      </c>
      <c r="C1182" s="2" t="inlineStr">
        <is>
          <t>one_off</t>
        </is>
      </c>
      <c r="D1182" s="3" t="inlineStr">
        <is>
          <t>One-off item: item; amount; recurrence (years in which it recurred)</t>
        </is>
      </c>
      <c r="E1182" s="2" t="inlineStr">
        <is>
          <t>H1-2026</t>
        </is>
      </c>
      <c r="F1182" s="2" t="n"/>
      <c r="G1182" s="2" t="n"/>
      <c r="H1182" s="3" t="inlineStr">
        <is>
          <t>item: expenses from damage caused by third parties, two instances, in other operating result; amount: not stated; recurrence: none stated</t>
        </is>
      </c>
      <c r="I1182" s="2" t="inlineStr">
        <is>
          <t>S5</t>
        </is>
      </c>
      <c r="J1182" s="2" t="n">
        <v>23</v>
      </c>
      <c r="K1182" s="3" t="inlineStr">
        <is>
          <t>damage caused by third parties occurred in two instances during the reporting peri-</t>
        </is>
      </c>
      <c r="L1182" s="2" t="inlineStr">
        <is>
          <t>ok</t>
        </is>
      </c>
      <c r="M1182" s="2" t="inlineStr">
        <is>
          <t>demo reviewer</t>
        </is>
      </c>
      <c r="N1182" s="2" t="n"/>
      <c r="O1182" s="3" t="inlineStr">
        <is>
          <t>https://vanillabonds.com/dossier-data/pdf/katjes/katjes-h1-2026-interim-report.pdf#page=23</t>
        </is>
      </c>
      <c r="P1182" s="3" t="inlineStr">
        <is>
          <t>https://vanillabonds.com/dossier.html?c=katjes&amp;viewer=1&amp;item=F1181</t>
        </is>
      </c>
      <c r="Q1182" s="2" t="inlineStr"/>
    </row>
    <row r="1183">
      <c r="A1183" s="2" t="inlineStr">
        <is>
          <t>F1182</t>
        </is>
      </c>
      <c r="B1183" s="2" t="inlineStr">
        <is>
          <t>financials</t>
        </is>
      </c>
      <c r="C1183" s="2" t="inlineStr">
        <is>
          <t>one_off</t>
        </is>
      </c>
      <c r="D1183" s="3" t="inlineStr">
        <is>
          <t>One-off item: item; amount; recurrence (years in which it recurred)</t>
        </is>
      </c>
      <c r="E1183" s="2" t="inlineStr">
        <is>
          <t>H1-2026</t>
        </is>
      </c>
      <c r="F1183" s="2" t="n">
        <v>1.9</v>
      </c>
      <c r="G1183" s="2" t="n"/>
      <c r="H1183" s="3" t="inlineStr">
        <is>
          <t>item: income from the two joint ventures and the equity-accounted Missoni investment in other operating result; amount: 1.9 (H1-2025: 0.7); recurrence: 2025</t>
        </is>
      </c>
      <c r="I1183" s="2" t="inlineStr">
        <is>
          <t>S5</t>
        </is>
      </c>
      <c r="J1183" s="2" t="n">
        <v>23</v>
      </c>
      <c r="K1183" s="3" t="inlineStr">
        <is>
          <t>income from the two joint ventures as well as from the equity-accounted investment in Missoni (EUR 1.9 million; 6M 2025: EUR 0.7 million)</t>
        </is>
      </c>
      <c r="L1183" s="2" t="inlineStr">
        <is>
          <t>ok</t>
        </is>
      </c>
      <c r="M1183" s="2" t="inlineStr">
        <is>
          <t>demo reviewer</t>
        </is>
      </c>
      <c r="N1183" s="2" t="n"/>
      <c r="O1183" s="3" t="inlineStr">
        <is>
          <t>https://vanillabonds.com/dossier-data/pdf/katjes/katjes-h1-2026-interim-report.pdf#page=23</t>
        </is>
      </c>
      <c r="P1183" s="3" t="inlineStr">
        <is>
          <t>https://vanillabonds.com/dossier.html?c=katjes&amp;viewer=1&amp;item=F1182</t>
        </is>
      </c>
      <c r="Q1183" s="2" t="inlineStr"/>
    </row>
    <row r="1184">
      <c r="A1184" s="2" t="inlineStr">
        <is>
          <t>F1183</t>
        </is>
      </c>
      <c r="B1184" s="2" t="inlineStr">
        <is>
          <t>financials</t>
        </is>
      </c>
      <c r="C1184" s="2" t="inlineStr">
        <is>
          <t>one_off</t>
        </is>
      </c>
      <c r="D1184" s="3" t="inlineStr">
        <is>
          <t>One-off item: item; amount; recurrence (years in which it recurred)</t>
        </is>
      </c>
      <c r="E1184" s="2" t="inlineStr">
        <is>
          <t>H1-2026</t>
        </is>
      </c>
      <c r="F1184" s="2" t="n">
        <v>11.2</v>
      </c>
      <c r="G1184" s="2" t="n"/>
      <c r="H1184" s="3" t="inlineStr">
        <is>
          <t>item: badwill on the Graze acquisition, recognised in other operating income (preliminary PPA); amount: 11.2; recurrence: none stated</t>
        </is>
      </c>
      <c r="I1184" s="2" t="inlineStr">
        <is>
          <t>S5</t>
        </is>
      </c>
      <c r="J1184" s="2" t="n">
        <v>38</v>
      </c>
      <c r="K1184" s="2" t="inlineStr">
        <is>
          <t>Purchase price 31.8 Badwill 11.2</t>
        </is>
      </c>
      <c r="L1184" s="2" t="inlineStr">
        <is>
          <t>ok</t>
        </is>
      </c>
      <c r="M1184" s="2" t="inlineStr">
        <is>
          <t>demo reviewer</t>
        </is>
      </c>
      <c r="N1184" s="2" t="n"/>
      <c r="O1184" s="3" t="inlineStr">
        <is>
          <t>https://vanillabonds.com/dossier-data/pdf/katjes/katjes-h1-2026-interim-report.pdf#page=38</t>
        </is>
      </c>
      <c r="P1184" s="3" t="inlineStr">
        <is>
          <t>https://vanillabonds.com/dossier.html?c=katjes&amp;viewer=1&amp;item=F1183</t>
        </is>
      </c>
      <c r="Q1184" s="2" t="inlineStr"/>
    </row>
    <row r="1185">
      <c r="A1185" s="2" t="inlineStr">
        <is>
          <t>F1184</t>
        </is>
      </c>
      <c r="B1185" s="2" t="inlineStr">
        <is>
          <t>financials</t>
        </is>
      </c>
      <c r="C1185" s="2" t="inlineStr">
        <is>
          <t>one_off</t>
        </is>
      </c>
      <c r="D1185" s="3" t="inlineStr">
        <is>
          <t>One-off item: item; amount; recurrence (years in which it recurred)</t>
        </is>
      </c>
      <c r="E1185" s="2" t="inlineStr">
        <is>
          <t>H1-2026</t>
        </is>
      </c>
      <c r="F1185" s="2" t="n">
        <v>2.6</v>
      </c>
      <c r="G1185" s="2" t="n"/>
      <c r="H1185" s="3" t="inlineStr">
        <is>
          <t>item: badwill on the Pastificio Plin acquisition, recognised in other operating income; amount: 2.6; recurrence: none stated</t>
        </is>
      </c>
      <c r="I1185" s="2" t="inlineStr">
        <is>
          <t>S5</t>
        </is>
      </c>
      <c r="J1185" s="2" t="n">
        <v>39</v>
      </c>
      <c r="K1185" s="2" t="inlineStr">
        <is>
          <t>Purchase price 0.4 Badwill 2.6</t>
        </is>
      </c>
      <c r="L1185" s="2" t="inlineStr">
        <is>
          <t>ok</t>
        </is>
      </c>
      <c r="M1185" s="2" t="inlineStr">
        <is>
          <t>demo reviewer</t>
        </is>
      </c>
      <c r="N1185" s="2" t="n"/>
      <c r="O1185" s="3" t="inlineStr">
        <is>
          <t>https://vanillabonds.com/dossier-data/pdf/katjes/katjes-h1-2026-interim-report.pdf#page=39</t>
        </is>
      </c>
      <c r="P1185" s="3" t="inlineStr">
        <is>
          <t>https://vanillabonds.com/dossier.html?c=katjes&amp;viewer=1&amp;item=F1184</t>
        </is>
      </c>
      <c r="Q1185" s="2" t="inlineStr"/>
    </row>
    <row r="1186">
      <c r="A1186" s="2" t="inlineStr">
        <is>
          <t>F1185</t>
        </is>
      </c>
      <c r="B1186" s="2" t="inlineStr">
        <is>
          <t>financials</t>
        </is>
      </c>
      <c r="C1186" s="2" t="inlineStr">
        <is>
          <t>one_off</t>
        </is>
      </c>
      <c r="D1186" s="3" t="inlineStr">
        <is>
          <t>One-off item: item; amount; recurrence (years in which it recurred)</t>
        </is>
      </c>
      <c r="E1186" s="2" t="inlineStr">
        <is>
          <t>H1-2026</t>
        </is>
      </c>
      <c r="F1186" s="2" t="n">
        <v>1</v>
      </c>
      <c r="G1186" s="2" t="n"/>
      <c r="H1186" s="3" t="inlineStr">
        <is>
          <t>item: reversal of value adjustments on inventories; amount: 1.0 (H1-2025: -0.4); recurrence: 2025</t>
        </is>
      </c>
      <c r="I1186" s="2" t="inlineStr">
        <is>
          <t>S5</t>
        </is>
      </c>
      <c r="J1186" s="2" t="n">
        <v>41</v>
      </c>
      <c r="K1186" s="3" t="inlineStr">
        <is>
          <t>Value adjustments (reversals) on inventories were recognised in the amount of EUR 1.0 million (6M 2025: EUR -0.4 million).</t>
        </is>
      </c>
      <c r="L1186" s="2" t="inlineStr">
        <is>
          <t>ok</t>
        </is>
      </c>
      <c r="M1186" s="2" t="inlineStr">
        <is>
          <t>demo reviewer</t>
        </is>
      </c>
      <c r="N1186" s="2" t="n"/>
      <c r="O1186" s="3" t="inlineStr">
        <is>
          <t>https://vanillabonds.com/dossier-data/pdf/katjes/katjes-h1-2026-interim-report.pdf#page=41</t>
        </is>
      </c>
      <c r="P1186" s="3" t="inlineStr">
        <is>
          <t>https://vanillabonds.com/dossier.html?c=katjes&amp;viewer=1&amp;item=F1185</t>
        </is>
      </c>
      <c r="Q1186" s="2" t="inlineStr"/>
    </row>
    <row r="1187">
      <c r="A1187" s="2" t="inlineStr">
        <is>
          <t>F1186</t>
        </is>
      </c>
      <c r="B1187" s="2" t="inlineStr">
        <is>
          <t>financials</t>
        </is>
      </c>
      <c r="C1187" s="2" t="inlineStr">
        <is>
          <t>offbalance_item</t>
        </is>
      </c>
      <c r="D1187" s="3" t="inlineStr">
        <is>
          <t>Off-balance item: kind (lease, factoring, guarantee given, pension deficit, earn-out, litigation provision); amount; counterparty</t>
        </is>
      </c>
      <c r="E1187" s="2" t="inlineStr">
        <is>
          <t>H1-2026</t>
        </is>
      </c>
      <c r="F1187" s="2" t="n">
        <v>16.4</v>
      </c>
      <c r="G1187" s="2" t="n"/>
      <c r="H1187" s="3" t="inlineStr">
        <is>
          <t>kind: pension provisions (defined benefit, on balance sheet); amount: 16.4 (31 Dec 2025: 16.1)</t>
        </is>
      </c>
      <c r="I1187" s="2" t="inlineStr">
        <is>
          <t>S5</t>
        </is>
      </c>
      <c r="J1187" s="2" t="n">
        <v>25</v>
      </c>
      <c r="K1187" s="3" t="inlineStr">
        <is>
          <t>Provisions for pensions and similar obligations also remained constant at EUR 16.4 million as at June 30, 2026 (December 31, 2025: EUR 16.1 million).</t>
        </is>
      </c>
      <c r="L1187" s="2" t="inlineStr">
        <is>
          <t>ok</t>
        </is>
      </c>
      <c r="M1187" s="2" t="inlineStr">
        <is>
          <t>demo reviewer</t>
        </is>
      </c>
      <c r="N1187" s="2" t="n"/>
      <c r="O1187" s="3" t="inlineStr">
        <is>
          <t>https://vanillabonds.com/dossier-data/pdf/katjes/katjes-h1-2026-interim-report.pdf#page=25</t>
        </is>
      </c>
      <c r="P1187" s="3" t="inlineStr">
        <is>
          <t>https://vanillabonds.com/dossier.html?c=katjes&amp;viewer=1&amp;item=F1186</t>
        </is>
      </c>
      <c r="Q1187" s="2" t="inlineStr"/>
    </row>
    <row r="1188">
      <c r="A1188" s="2" t="inlineStr">
        <is>
          <t>F1187</t>
        </is>
      </c>
      <c r="B1188" s="2" t="inlineStr">
        <is>
          <t>financials</t>
        </is>
      </c>
      <c r="C1188" s="2" t="inlineStr">
        <is>
          <t>offbalance_item</t>
        </is>
      </c>
      <c r="D1188" s="3" t="inlineStr">
        <is>
          <t>Off-balance item: kind (lease, factoring, guarantee given, pension deficit, earn-out, litigation provision); amount; counterparty</t>
        </is>
      </c>
      <c r="E1188" s="2" t="inlineStr">
        <is>
          <t>H1-2026</t>
        </is>
      </c>
      <c r="F1188" s="2" t="n"/>
      <c r="G1188" s="2" t="n"/>
      <c r="H1188" s="3" t="inlineStr">
        <is>
          <t>kind: purchase option liability for the Dulcioliva minority interests, recognised in full as a liability due to the likelihood of exercise; counterparty: Dulcioliva minority shareholders</t>
        </is>
      </c>
      <c r="I1188" s="2" t="inlineStr">
        <is>
          <t>S5</t>
        </is>
      </c>
      <c r="J1188" s="2" t="n">
        <v>25</v>
      </c>
      <c r="K1188" s="3" t="inlineStr">
        <is>
          <t>In addition, the purchase option resulting from the future acquisition of the minority interests in Dulcioliva is reported here as a liability.</t>
        </is>
      </c>
      <c r="L1188" s="2" t="inlineStr">
        <is>
          <t>ok</t>
        </is>
      </c>
      <c r="M1188" s="2" t="inlineStr">
        <is>
          <t>demo reviewer</t>
        </is>
      </c>
      <c r="N1188" s="2" t="n"/>
      <c r="O1188" s="3" t="inlineStr">
        <is>
          <t>https://vanillabonds.com/dossier-data/pdf/katjes/katjes-h1-2026-interim-report.pdf#page=25</t>
        </is>
      </c>
      <c r="P1188" s="3" t="inlineStr">
        <is>
          <t>https://vanillabonds.com/dossier.html?c=katjes&amp;viewer=1&amp;item=F1187</t>
        </is>
      </c>
      <c r="Q1188" s="2" t="inlineStr"/>
    </row>
    <row r="1189">
      <c r="A1189" s="2" t="inlineStr">
        <is>
          <t>F1188</t>
        </is>
      </c>
      <c r="B1189" s="2" t="inlineStr">
        <is>
          <t>financials</t>
        </is>
      </c>
      <c r="C1189" s="2" t="inlineStr">
        <is>
          <t>offbalance_item</t>
        </is>
      </c>
      <c r="D1189" s="3" t="inlineStr">
        <is>
          <t>Off-balance item: kind (lease, factoring, guarantee given, pension deficit, earn-out, litigation provision); amount; counterparty</t>
        </is>
      </c>
      <c r="E1189" s="2" t="inlineStr">
        <is>
          <t>H1-2026</t>
        </is>
      </c>
      <c r="F1189" s="2" t="n"/>
      <c r="G1189" s="2" t="n"/>
      <c r="H1189" s="3" t="inlineStr">
        <is>
          <t>kind: put option liability (IAS 32.23) granting the Bogner minority shareholders the right to sell part of their shares to the Group; amount: within other financial liabilities of 7.2; counterparty: Bogner minority shareholders</t>
        </is>
      </c>
      <c r="I1189" s="2" t="inlineStr">
        <is>
          <t>S5</t>
        </is>
      </c>
      <c r="J1189" s="2" t="n">
        <v>25</v>
      </c>
      <c r="K1189" s="3" t="inlineStr">
        <is>
          <t>tion held by the minority shareholders, granting them the right to sell part of their shares to the Group.</t>
        </is>
      </c>
      <c r="L1189" s="2" t="inlineStr">
        <is>
          <t>ok</t>
        </is>
      </c>
      <c r="M1189" s="2" t="inlineStr">
        <is>
          <t>demo reviewer</t>
        </is>
      </c>
      <c r="N1189" s="2" t="n"/>
      <c r="O1189" s="3" t="inlineStr">
        <is>
          <t>https://vanillabonds.com/dossier-data/pdf/katjes/katjes-h1-2026-interim-report.pdf#page=25</t>
        </is>
      </c>
      <c r="P1189" s="3" t="inlineStr">
        <is>
          <t>https://vanillabonds.com/dossier.html?c=katjes&amp;viewer=1&amp;item=F1188</t>
        </is>
      </c>
      <c r="Q1189" s="2" t="inlineStr"/>
    </row>
    <row r="1190">
      <c r="A1190" s="2" t="inlineStr">
        <is>
          <t>F1189</t>
        </is>
      </c>
      <c r="B1190" s="2" t="inlineStr">
        <is>
          <t>financials</t>
        </is>
      </c>
      <c r="C1190" s="2" t="inlineStr">
        <is>
          <t>offbalance_item</t>
        </is>
      </c>
      <c r="D1190" s="3" t="inlineStr">
        <is>
          <t>Off-balance item: kind (lease, factoring, guarantee given, pension deficit, earn-out, litigation provision); amount; counterparty</t>
        </is>
      </c>
      <c r="E1190" s="2" t="inlineStr">
        <is>
          <t>H1-2026</t>
        </is>
      </c>
      <c r="F1190" s="2" t="n">
        <v>1.2</v>
      </c>
      <c r="G1190" s="2" t="n"/>
      <c r="H1190" s="3" t="inlineStr">
        <is>
          <t>kind: purchase commitments for property, plant and equipment; amount: 1.2 at 30 June 2026</t>
        </is>
      </c>
      <c r="I1190" s="2" t="inlineStr">
        <is>
          <t>S5</t>
        </is>
      </c>
      <c r="J1190" s="2" t="n">
        <v>47</v>
      </c>
      <c r="K1190" s="3" t="inlineStr">
        <is>
          <t>property, plant and equipment amounted to EUR 1.2 million.</t>
        </is>
      </c>
      <c r="L1190" s="2" t="inlineStr">
        <is>
          <t>ok</t>
        </is>
      </c>
      <c r="M1190" s="2" t="inlineStr">
        <is>
          <t>demo reviewer</t>
        </is>
      </c>
      <c r="N1190" s="2" t="n"/>
      <c r="O1190" s="3" t="inlineStr">
        <is>
          <t>https://vanillabonds.com/dossier-data/pdf/katjes/katjes-h1-2026-interim-report.pdf#page=47</t>
        </is>
      </c>
      <c r="P1190" s="3" t="inlineStr">
        <is>
          <t>https://vanillabonds.com/dossier.html?c=katjes&amp;viewer=1&amp;item=F1189</t>
        </is>
      </c>
      <c r="Q1190" s="2" t="inlineStr"/>
    </row>
    <row r="1191">
      <c r="A1191" s="2" t="inlineStr">
        <is>
          <t>F1190</t>
        </is>
      </c>
      <c r="B1191" s="2" t="inlineStr">
        <is>
          <t>financials</t>
        </is>
      </c>
      <c r="C1191" s="2" t="inlineStr">
        <is>
          <t>filing_days</t>
        </is>
      </c>
      <c r="D1191" s="3" t="inlineStr">
        <is>
          <t>Days from year end to filing of the accounts</t>
        </is>
      </c>
      <c r="E1191" s="2" t="inlineStr">
        <is>
          <t>H1-2026</t>
        </is>
      </c>
      <c r="F1191" s="2" t="n">
        <v>70</v>
      </c>
      <c r="G1191" s="2" t="n"/>
      <c r="H1191" s="3" t="inlineStr">
        <is>
          <t>70 days from the 30 June 2026 period end to management's approval and release on 8 September 2026 (unaudited interim).</t>
        </is>
      </c>
      <c r="I1191" s="2" t="inlineStr">
        <is>
          <t>S5</t>
        </is>
      </c>
      <c r="J1191" s="2" t="n">
        <v>49</v>
      </c>
      <c r="K1191" s="3" t="inlineStr">
        <is>
          <t>These interim consolidated financial statements were approved and released for publication by management on September 8, 2026.</t>
        </is>
      </c>
      <c r="L1191" s="2" t="inlineStr">
        <is>
          <t>ok</t>
        </is>
      </c>
      <c r="M1191" s="2" t="inlineStr">
        <is>
          <t>demo reviewer</t>
        </is>
      </c>
      <c r="N1191" s="2" t="n"/>
      <c r="O1191" s="3" t="inlineStr">
        <is>
          <t>https://vanillabonds.com/dossier-data/pdf/katjes/katjes-h1-2026-interim-report.pdf#page=49</t>
        </is>
      </c>
      <c r="P1191" s="3" t="inlineStr">
        <is>
          <t>https://vanillabonds.com/dossier.html?c=katjes&amp;viewer=1&amp;item=F1190</t>
        </is>
      </c>
      <c r="Q1191" s="2" t="inlineStr"/>
    </row>
    <row r="1192">
      <c r="A1192" s="2" t="inlineStr">
        <is>
          <t>F1191</t>
        </is>
      </c>
      <c r="B1192" s="2" t="inlineStr">
        <is>
          <t>financials</t>
        </is>
      </c>
      <c r="C1192" s="2" t="inlineStr">
        <is>
          <t>tax_item</t>
        </is>
      </c>
      <c r="D1192" s="3" t="inlineStr">
        <is>
          <t>Tax item: position, open assessment, dispute, ruling, payment-behaviour statement</t>
        </is>
      </c>
      <c r="E1192" s="2" t="n"/>
      <c r="F1192" s="2" t="n"/>
      <c r="G1192" s="2" t="n"/>
      <c r="H1192" s="3" t="inlineStr">
        <is>
          <t>Deferred tax liabilities rose to EUR 59.8m (52.4m) on the H1-2026 purchase price allocations; deferred tax assets 14.8 (13.2); income tax liabilities 3.5 (4.1), receivables 2.0 (3.2).</t>
        </is>
      </c>
      <c r="I1192" s="2" t="inlineStr">
        <is>
          <t>S5</t>
        </is>
      </c>
      <c r="J1192" s="2" t="n">
        <v>25</v>
      </c>
      <c r="K1192" s="3" t="inlineStr">
        <is>
          <t>se price allocations carried out in the first half of the year, to EUR 59.8 million (December 31, 2025: EUR 52.4 million).</t>
        </is>
      </c>
      <c r="L1192" s="2" t="inlineStr">
        <is>
          <t>ok</t>
        </is>
      </c>
      <c r="M1192" s="2" t="inlineStr">
        <is>
          <t>demo reviewer</t>
        </is>
      </c>
      <c r="N1192" s="2" t="n"/>
      <c r="O1192" s="3" t="inlineStr">
        <is>
          <t>https://vanillabonds.com/dossier-data/pdf/katjes/katjes-h1-2026-interim-report.pdf#page=25</t>
        </is>
      </c>
      <c r="P1192" s="3" t="inlineStr">
        <is>
          <t>https://vanillabonds.com/dossier.html?c=katjes&amp;viewer=1&amp;item=F1191</t>
        </is>
      </c>
      <c r="Q1192" s="2" t="inlineStr"/>
    </row>
    <row r="1193">
      <c r="A1193" s="2" t="inlineStr">
        <is>
          <t>F1192</t>
        </is>
      </c>
      <c r="B1193" s="2" t="inlineStr">
        <is>
          <t>financials</t>
        </is>
      </c>
      <c r="C1193" s="2" t="inlineStr">
        <is>
          <t>tax_item</t>
        </is>
      </c>
      <c r="D1193" s="3" t="inlineStr">
        <is>
          <t>Tax item: position, open assessment, dispute, ruling, payment-behaviour statement</t>
        </is>
      </c>
      <c r="E1193" s="2" t="n"/>
      <c r="F1193" s="2" t="n"/>
      <c r="G1193" s="2" t="n"/>
      <c r="H1193" s="3" t="inlineStr">
        <is>
          <t>H1-2026 tax income EUR 2.1m (H1-2025 expense 0.6): current tax Germany -0.7, other countries -0.5; deferred tax income Germany 0.8, other countries 2.5.</t>
        </is>
      </c>
      <c r="I1193" s="2" t="inlineStr">
        <is>
          <t>S5</t>
        </is>
      </c>
      <c r="J1193" s="2" t="n">
        <v>40</v>
      </c>
      <c r="K1193" s="3" t="inlineStr">
        <is>
          <t>Deferred tax expense/income: Germany 0.8 0.2 Other countries 2.5 1.4 Total 2.1 -0.6</t>
        </is>
      </c>
      <c r="L1193" s="2" t="inlineStr">
        <is>
          <t>ok</t>
        </is>
      </c>
      <c r="M1193" s="2" t="inlineStr">
        <is>
          <t>demo reviewer</t>
        </is>
      </c>
      <c r="N1193" s="2" t="n"/>
      <c r="O1193" s="3" t="inlineStr">
        <is>
          <t>https://vanillabonds.com/dossier-data/pdf/katjes/katjes-h1-2026-interim-report.pdf#page=40</t>
        </is>
      </c>
      <c r="P1193" s="3" t="inlineStr">
        <is>
          <t>https://vanillabonds.com/dossier.html?c=katjes&amp;viewer=1&amp;item=F1192</t>
        </is>
      </c>
      <c r="Q1193" s="2" t="inlineStr"/>
    </row>
    <row r="1194">
      <c r="A1194" s="2" t="inlineStr">
        <is>
          <t>F1193</t>
        </is>
      </c>
      <c r="B1194" s="2" t="inlineStr">
        <is>
          <t>financials</t>
        </is>
      </c>
      <c r="C1194" s="2" t="inlineStr">
        <is>
          <t>segment</t>
        </is>
      </c>
      <c r="D1194" s="3" t="inlineStr">
        <is>
          <t>Segment: segment; revenue; ebitda; assets</t>
        </is>
      </c>
      <c r="E1194" s="2" t="inlineStr">
        <is>
          <t>FY2025</t>
        </is>
      </c>
      <c r="F1194" s="2" t="n"/>
      <c r="G1194" s="2" t="n"/>
      <c r="H1194" s="3" t="inlineStr">
        <is>
          <t>segment: Germany (material non-current assets by region, 31 Dec 2025); assets: 305.4</t>
        </is>
      </c>
      <c r="I1194" s="2" t="inlineStr">
        <is>
          <t>S5</t>
        </is>
      </c>
      <c r="J1194" s="2" t="n">
        <v>46</v>
      </c>
      <c r="K1194" s="2" t="inlineStr">
        <is>
          <t>Germany 367.4 305.4</t>
        </is>
      </c>
      <c r="L1194" s="2" t="inlineStr">
        <is>
          <t>ok</t>
        </is>
      </c>
      <c r="M1194" s="2" t="inlineStr">
        <is>
          <t>demo reviewer</t>
        </is>
      </c>
      <c r="N1194" s="2" t="n"/>
      <c r="O1194" s="3" t="inlineStr">
        <is>
          <t>https://vanillabonds.com/dossier-data/pdf/katjes/katjes-h1-2026-interim-report.pdf#page=46</t>
        </is>
      </c>
      <c r="P1194" s="3" t="inlineStr">
        <is>
          <t>https://vanillabonds.com/dossier.html?c=katjes&amp;viewer=1&amp;item=F1193</t>
        </is>
      </c>
      <c r="Q1194" s="2" t="inlineStr"/>
    </row>
    <row r="1195">
      <c r="A1195" s="2" t="inlineStr">
        <is>
          <t>F1194</t>
        </is>
      </c>
      <c r="B1195" s="2" t="inlineStr">
        <is>
          <t>financials</t>
        </is>
      </c>
      <c r="C1195" s="2" t="inlineStr">
        <is>
          <t>segment</t>
        </is>
      </c>
      <c r="D1195" s="3" t="inlineStr">
        <is>
          <t>Segment: segment; revenue; ebitda; assets</t>
        </is>
      </c>
      <c r="E1195" s="2" t="inlineStr">
        <is>
          <t>FY2025</t>
        </is>
      </c>
      <c r="F1195" s="2" t="n"/>
      <c r="G1195" s="2" t="n"/>
      <c r="H1195" s="3" t="inlineStr">
        <is>
          <t>segment: Italy (material non-current assets by region, 31 Dec 2025); assets: 93.9</t>
        </is>
      </c>
      <c r="I1195" s="2" t="inlineStr">
        <is>
          <t>S5</t>
        </is>
      </c>
      <c r="J1195" s="2" t="n">
        <v>46</v>
      </c>
      <c r="K1195" s="2" t="inlineStr">
        <is>
          <t>Italy 95.6 93.9</t>
        </is>
      </c>
      <c r="L1195" s="2" t="inlineStr">
        <is>
          <t>ok</t>
        </is>
      </c>
      <c r="M1195" s="2" t="inlineStr">
        <is>
          <t>demo reviewer</t>
        </is>
      </c>
      <c r="N1195" s="2" t="n"/>
      <c r="O1195" s="3" t="inlineStr">
        <is>
          <t>https://vanillabonds.com/dossier-data/pdf/katjes/katjes-h1-2026-interim-report.pdf#page=46</t>
        </is>
      </c>
      <c r="P1195" s="3" t="inlineStr">
        <is>
          <t>https://vanillabonds.com/dossier.html?c=katjes&amp;viewer=1&amp;item=F1194</t>
        </is>
      </c>
      <c r="Q1195" s="2" t="inlineStr"/>
    </row>
    <row r="1196">
      <c r="A1196" s="2" t="inlineStr">
        <is>
          <t>F1195</t>
        </is>
      </c>
      <c r="B1196" s="2" t="inlineStr">
        <is>
          <t>financials</t>
        </is>
      </c>
      <c r="C1196" s="2" t="inlineStr">
        <is>
          <t>segment</t>
        </is>
      </c>
      <c r="D1196" s="3" t="inlineStr">
        <is>
          <t>Segment: segment; revenue; ebitda; assets</t>
        </is>
      </c>
      <c r="E1196" s="2" t="inlineStr">
        <is>
          <t>FY2025</t>
        </is>
      </c>
      <c r="F1196" s="2" t="n"/>
      <c r="G1196" s="2" t="n"/>
      <c r="H1196" s="3" t="inlineStr">
        <is>
          <t>segment: UK (material non-current assets by region, 31 Dec 2025); assets: 10.9</t>
        </is>
      </c>
      <c r="I1196" s="2" t="inlineStr">
        <is>
          <t>S5</t>
        </is>
      </c>
      <c r="J1196" s="2" t="n">
        <v>46</v>
      </c>
      <c r="K1196" s="2" t="inlineStr">
        <is>
          <t>UK 71.1 10.9</t>
        </is>
      </c>
      <c r="L1196" s="2" t="inlineStr">
        <is>
          <t>ok</t>
        </is>
      </c>
      <c r="M1196" s="2" t="inlineStr">
        <is>
          <t>demo reviewer</t>
        </is>
      </c>
      <c r="N1196" s="2" t="n"/>
      <c r="O1196" s="3" t="inlineStr">
        <is>
          <t>https://vanillabonds.com/dossier-data/pdf/katjes/katjes-h1-2026-interim-report.pdf#page=46</t>
        </is>
      </c>
      <c r="P1196" s="3" t="inlineStr">
        <is>
          <t>https://vanillabonds.com/dossier.html?c=katjes&amp;viewer=1&amp;item=F1195</t>
        </is>
      </c>
      <c r="Q1196" s="2" t="inlineStr"/>
    </row>
    <row r="1197">
      <c r="A1197" s="2" t="inlineStr">
        <is>
          <t>F1196</t>
        </is>
      </c>
      <c r="B1197" s="2" t="inlineStr">
        <is>
          <t>financials</t>
        </is>
      </c>
      <c r="C1197" s="2" t="inlineStr">
        <is>
          <t>segment</t>
        </is>
      </c>
      <c r="D1197" s="3" t="inlineStr">
        <is>
          <t>Segment: segment; revenue; ebitda; assets</t>
        </is>
      </c>
      <c r="E1197" s="2" t="inlineStr">
        <is>
          <t>FY2025</t>
        </is>
      </c>
      <c r="F1197" s="2" t="n"/>
      <c r="G1197" s="2" t="n"/>
      <c r="H1197" s="3" t="inlineStr">
        <is>
          <t>segment: Switzerland (material non-current assets by region, 31 Dec 2025); assets: 17.5</t>
        </is>
      </c>
      <c r="I1197" s="2" t="inlineStr">
        <is>
          <t>S5</t>
        </is>
      </c>
      <c r="J1197" s="2" t="n">
        <v>46</v>
      </c>
      <c r="K1197" s="2" t="inlineStr">
        <is>
          <t>Switzerland 16.6 17.5</t>
        </is>
      </c>
      <c r="L1197" s="2" t="inlineStr">
        <is>
          <t>ok</t>
        </is>
      </c>
      <c r="M1197" s="2" t="inlineStr">
        <is>
          <t>demo reviewer</t>
        </is>
      </c>
      <c r="N1197" s="2" t="n"/>
      <c r="O1197" s="3" t="inlineStr">
        <is>
          <t>https://vanillabonds.com/dossier-data/pdf/katjes/katjes-h1-2026-interim-report.pdf#page=46</t>
        </is>
      </c>
      <c r="P1197" s="3" t="inlineStr">
        <is>
          <t>https://vanillabonds.com/dossier.html?c=katjes&amp;viewer=1&amp;item=F1196</t>
        </is>
      </c>
      <c r="Q1197" s="2" t="inlineStr"/>
    </row>
    <row r="1198">
      <c r="A1198" s="2" t="inlineStr">
        <is>
          <t>F1197</t>
        </is>
      </c>
      <c r="B1198" s="2" t="inlineStr">
        <is>
          <t>financials</t>
        </is>
      </c>
      <c r="C1198" s="2" t="inlineStr">
        <is>
          <t>segment</t>
        </is>
      </c>
      <c r="D1198" s="3" t="inlineStr">
        <is>
          <t>Segment: segment; revenue; ebitda; assets</t>
        </is>
      </c>
      <c r="E1198" s="2" t="inlineStr">
        <is>
          <t>FY2025</t>
        </is>
      </c>
      <c r="F1198" s="2" t="n"/>
      <c r="G1198" s="2" t="n"/>
      <c r="H1198" s="3" t="inlineStr">
        <is>
          <t>segment: Netherlands (material non-current assets by region, 31 Dec 2025); assets: 12.3</t>
        </is>
      </c>
      <c r="I1198" s="2" t="inlineStr">
        <is>
          <t>S5</t>
        </is>
      </c>
      <c r="J1198" s="2" t="n">
        <v>46</v>
      </c>
      <c r="K1198" s="2" t="inlineStr">
        <is>
          <t>Netherlands 14.3 12.3</t>
        </is>
      </c>
      <c r="L1198" s="2" t="inlineStr">
        <is>
          <t>ok</t>
        </is>
      </c>
      <c r="M1198" s="2" t="inlineStr">
        <is>
          <t>demo reviewer</t>
        </is>
      </c>
      <c r="N1198" s="2" t="n"/>
      <c r="O1198" s="3" t="inlineStr">
        <is>
          <t>https://vanillabonds.com/dossier-data/pdf/katjes/katjes-h1-2026-interim-report.pdf#page=46</t>
        </is>
      </c>
      <c r="P1198" s="3" t="inlineStr">
        <is>
          <t>https://vanillabonds.com/dossier.html?c=katjes&amp;viewer=1&amp;item=F1197</t>
        </is>
      </c>
      <c r="Q1198" s="2" t="inlineStr"/>
    </row>
    <row r="1199">
      <c r="A1199" s="2" t="inlineStr">
        <is>
          <t>F1198</t>
        </is>
      </c>
      <c r="B1199" s="2" t="inlineStr">
        <is>
          <t>financials</t>
        </is>
      </c>
      <c r="C1199" s="2" t="inlineStr">
        <is>
          <t>segment</t>
        </is>
      </c>
      <c r="D1199" s="3" t="inlineStr">
        <is>
          <t>Segment: segment; revenue; ebitda; assets</t>
        </is>
      </c>
      <c r="E1199" s="2" t="inlineStr">
        <is>
          <t>FY2025</t>
        </is>
      </c>
      <c r="F1199" s="2" t="n"/>
      <c r="G1199" s="2" t="n"/>
      <c r="H1199" s="3" t="inlineStr">
        <is>
          <t>segment: North America (material non-current assets by region, 31 Dec 2025); assets: 9.7</t>
        </is>
      </c>
      <c r="I1199" s="2" t="inlineStr">
        <is>
          <t>S5</t>
        </is>
      </c>
      <c r="J1199" s="2" t="n">
        <v>46</v>
      </c>
      <c r="K1199" s="2" t="inlineStr">
        <is>
          <t>North America 8.9 9.7</t>
        </is>
      </c>
      <c r="L1199" s="2" t="inlineStr">
        <is>
          <t>ok</t>
        </is>
      </c>
      <c r="M1199" s="2" t="inlineStr">
        <is>
          <t>demo reviewer</t>
        </is>
      </c>
      <c r="N1199" s="2" t="n"/>
      <c r="O1199" s="3" t="inlineStr">
        <is>
          <t>https://vanillabonds.com/dossier-data/pdf/katjes/katjes-h1-2026-interim-report.pdf#page=46</t>
        </is>
      </c>
      <c r="P1199" s="3" t="inlineStr">
        <is>
          <t>https://vanillabonds.com/dossier.html?c=katjes&amp;viewer=1&amp;item=F1198</t>
        </is>
      </c>
      <c r="Q1199" s="2" t="inlineStr"/>
    </row>
    <row r="1200">
      <c r="A1200" s="2" t="inlineStr">
        <is>
          <t>F1199</t>
        </is>
      </c>
      <c r="B1200" s="2" t="inlineStr">
        <is>
          <t>financials</t>
        </is>
      </c>
      <c r="C1200" s="2" t="inlineStr">
        <is>
          <t>segment</t>
        </is>
      </c>
      <c r="D1200" s="3" t="inlineStr">
        <is>
          <t>Segment: segment; revenue; ebitda; assets</t>
        </is>
      </c>
      <c r="E1200" s="2" t="inlineStr">
        <is>
          <t>FY2025</t>
        </is>
      </c>
      <c r="F1200" s="2" t="n"/>
      <c r="G1200" s="2" t="n"/>
      <c r="H1200" s="3" t="inlineStr">
        <is>
          <t>segment: Austria (material non-current assets by region, 31 Dec 2025); assets: 1.2</t>
        </is>
      </c>
      <c r="I1200" s="2" t="inlineStr">
        <is>
          <t>S5</t>
        </is>
      </c>
      <c r="J1200" s="2" t="n">
        <v>46</v>
      </c>
      <c r="K1200" s="2" t="inlineStr">
        <is>
          <t>Austria 1.1 1.2</t>
        </is>
      </c>
      <c r="L1200" s="2" t="inlineStr">
        <is>
          <t>ok</t>
        </is>
      </c>
      <c r="M1200" s="2" t="inlineStr">
        <is>
          <t>demo reviewer</t>
        </is>
      </c>
      <c r="N1200" s="2" t="n"/>
      <c r="O1200" s="3" t="inlineStr">
        <is>
          <t>https://vanillabonds.com/dossier-data/pdf/katjes/katjes-h1-2026-interim-report.pdf#page=46</t>
        </is>
      </c>
      <c r="P1200" s="3" t="inlineStr">
        <is>
          <t>https://vanillabonds.com/dossier.html?c=katjes&amp;viewer=1&amp;item=F1199</t>
        </is>
      </c>
      <c r="Q1200" s="2" t="inlineStr"/>
    </row>
    <row r="1201">
      <c r="A1201" s="2" t="inlineStr">
        <is>
          <t>F1200</t>
        </is>
      </c>
      <c r="B1201" s="2" t="inlineStr">
        <is>
          <t>financials</t>
        </is>
      </c>
      <c r="C1201" s="2" t="inlineStr">
        <is>
          <t>segment</t>
        </is>
      </c>
      <c r="D1201" s="3" t="inlineStr">
        <is>
          <t>Segment: segment; revenue; ebitda; assets</t>
        </is>
      </c>
      <c r="E1201" s="2" t="inlineStr">
        <is>
          <t>FY2025</t>
        </is>
      </c>
      <c r="F1201" s="2" t="n"/>
      <c r="G1201" s="2" t="n"/>
      <c r="H1201" s="3" t="inlineStr">
        <is>
          <t>segment: Other (material non-current assets by region, 31 Dec 2025); assets: 0.5</t>
        </is>
      </c>
      <c r="I1201" s="2" t="inlineStr">
        <is>
          <t>S5</t>
        </is>
      </c>
      <c r="J1201" s="2" t="n">
        <v>46</v>
      </c>
      <c r="K1201" s="2" t="inlineStr">
        <is>
          <t>Other 0.4 0.5</t>
        </is>
      </c>
      <c r="L1201" s="2" t="inlineStr">
        <is>
          <t>ok</t>
        </is>
      </c>
      <c r="M1201" s="2" t="inlineStr">
        <is>
          <t>demo reviewer</t>
        </is>
      </c>
      <c r="N1201" s="2" t="n"/>
      <c r="O1201" s="3" t="inlineStr">
        <is>
          <t>https://vanillabonds.com/dossier-data/pdf/katjes/katjes-h1-2026-interim-report.pdf#page=46</t>
        </is>
      </c>
      <c r="P1201" s="3" t="inlineStr">
        <is>
          <t>https://vanillabonds.com/dossier.html?c=katjes&amp;viewer=1&amp;item=F1200</t>
        </is>
      </c>
      <c r="Q1201" s="2" t="inlineStr"/>
    </row>
    <row r="1202">
      <c r="A1202" s="2" t="inlineStr">
        <is>
          <t>F1201</t>
        </is>
      </c>
      <c r="B1202" s="2" t="inlineStr">
        <is>
          <t>financials</t>
        </is>
      </c>
      <c r="C1202" s="2" t="inlineStr">
        <is>
          <t>segment</t>
        </is>
      </c>
      <c r="D1202" s="3" t="inlineStr">
        <is>
          <t>Segment: segment; revenue; ebitda; assets</t>
        </is>
      </c>
      <c r="E1202" s="2" t="inlineStr">
        <is>
          <t>H1-2025</t>
        </is>
      </c>
      <c r="F1202" s="2" t="n">
        <v>57.2</v>
      </c>
      <c r="G1202" s="2" t="n"/>
      <c r="H1202" s="3" t="inlineStr">
        <is>
          <t>segment: Germany (revenue by region); revenue: 57.2</t>
        </is>
      </c>
      <c r="I1202" s="2" t="inlineStr">
        <is>
          <t>S5</t>
        </is>
      </c>
      <c r="J1202" s="2" t="n">
        <v>45</v>
      </c>
      <c r="K1202" s="2" t="inlineStr">
        <is>
          <t>Germany 90.4 57.2</t>
        </is>
      </c>
      <c r="L1202" s="2" t="inlineStr">
        <is>
          <t>ok</t>
        </is>
      </c>
      <c r="M1202" s="2" t="inlineStr">
        <is>
          <t>demo reviewer</t>
        </is>
      </c>
      <c r="N1202" s="2" t="n"/>
      <c r="O1202" s="3" t="inlineStr">
        <is>
          <t>https://vanillabonds.com/dossier-data/pdf/katjes/katjes-h1-2026-interim-report.pdf#page=45</t>
        </is>
      </c>
      <c r="P1202" s="3" t="inlineStr">
        <is>
          <t>https://vanillabonds.com/dossier.html?c=katjes&amp;viewer=1&amp;item=F1201</t>
        </is>
      </c>
      <c r="Q1202" s="2" t="inlineStr"/>
    </row>
    <row r="1203">
      <c r="A1203" s="2" t="inlineStr">
        <is>
          <t>F1202</t>
        </is>
      </c>
      <c r="B1203" s="2" t="inlineStr">
        <is>
          <t>financials</t>
        </is>
      </c>
      <c r="C1203" s="2" t="inlineStr">
        <is>
          <t>segment</t>
        </is>
      </c>
      <c r="D1203" s="3" t="inlineStr">
        <is>
          <t>Segment: segment; revenue; ebitda; assets</t>
        </is>
      </c>
      <c r="E1203" s="2" t="inlineStr">
        <is>
          <t>H1-2025</t>
        </is>
      </c>
      <c r="F1203" s="2" t="n">
        <v>10.7</v>
      </c>
      <c r="G1203" s="2" t="n"/>
      <c r="H1203" s="3" t="inlineStr">
        <is>
          <t>segment: UK (revenue by region); revenue: 10.7</t>
        </is>
      </c>
      <c r="I1203" s="2" t="inlineStr">
        <is>
          <t>S5</t>
        </is>
      </c>
      <c r="J1203" s="2" t="n">
        <v>45</v>
      </c>
      <c r="K1203" s="2" t="inlineStr">
        <is>
          <t>UK 37.8 10.7</t>
        </is>
      </c>
      <c r="L1203" s="2" t="inlineStr">
        <is>
          <t>ok</t>
        </is>
      </c>
      <c r="M1203" s="2" t="inlineStr">
        <is>
          <t>demo reviewer</t>
        </is>
      </c>
      <c r="N1203" s="2" t="n"/>
      <c r="O1203" s="3" t="inlineStr">
        <is>
          <t>https://vanillabonds.com/dossier-data/pdf/katjes/katjes-h1-2026-interim-report.pdf#page=45</t>
        </is>
      </c>
      <c r="P1203" s="3" t="inlineStr">
        <is>
          <t>https://vanillabonds.com/dossier.html?c=katjes&amp;viewer=1&amp;item=F1202</t>
        </is>
      </c>
      <c r="Q1203" s="2" t="inlineStr"/>
    </row>
    <row r="1204">
      <c r="A1204" s="2" t="inlineStr">
        <is>
          <t>F1203</t>
        </is>
      </c>
      <c r="B1204" s="2" t="inlineStr">
        <is>
          <t>financials</t>
        </is>
      </c>
      <c r="C1204" s="2" t="inlineStr">
        <is>
          <t>segment</t>
        </is>
      </c>
      <c r="D1204" s="3" t="inlineStr">
        <is>
          <t>Segment: segment; revenue; ebitda; assets</t>
        </is>
      </c>
      <c r="E1204" s="2" t="inlineStr">
        <is>
          <t>H1-2025</t>
        </is>
      </c>
      <c r="F1204" s="2" t="n">
        <v>35.7</v>
      </c>
      <c r="G1204" s="2" t="n"/>
      <c r="H1204" s="3" t="inlineStr">
        <is>
          <t>segment: Italy (revenue by region); revenue: 35.7</t>
        </is>
      </c>
      <c r="I1204" s="2" t="inlineStr">
        <is>
          <t>S5</t>
        </is>
      </c>
      <c r="J1204" s="2" t="n">
        <v>45</v>
      </c>
      <c r="K1204" s="2" t="inlineStr">
        <is>
          <t>Italy 34.5 35.7</t>
        </is>
      </c>
      <c r="L1204" s="2" t="inlineStr">
        <is>
          <t>ok</t>
        </is>
      </c>
      <c r="M1204" s="2" t="inlineStr">
        <is>
          <t>demo reviewer</t>
        </is>
      </c>
      <c r="N1204" s="2" t="n"/>
      <c r="O1204" s="3" t="inlineStr">
        <is>
          <t>https://vanillabonds.com/dossier-data/pdf/katjes/katjes-h1-2026-interim-report.pdf#page=45</t>
        </is>
      </c>
      <c r="P1204" s="3" t="inlineStr">
        <is>
          <t>https://vanillabonds.com/dossier.html?c=katjes&amp;viewer=1&amp;item=F1203</t>
        </is>
      </c>
      <c r="Q1204" s="2" t="inlineStr"/>
    </row>
    <row r="1205">
      <c r="A1205" s="2" t="inlineStr">
        <is>
          <t>F1204</t>
        </is>
      </c>
      <c r="B1205" s="2" t="inlineStr">
        <is>
          <t>financials</t>
        </is>
      </c>
      <c r="C1205" s="2" t="inlineStr">
        <is>
          <t>segment</t>
        </is>
      </c>
      <c r="D1205" s="3" t="inlineStr">
        <is>
          <t>Segment: segment; revenue; ebitda; assets</t>
        </is>
      </c>
      <c r="E1205" s="2" t="inlineStr">
        <is>
          <t>H1-2025</t>
        </is>
      </c>
      <c r="F1205" s="2" t="n">
        <v>15.1</v>
      </c>
      <c r="G1205" s="2" t="n"/>
      <c r="H1205" s="3" t="inlineStr">
        <is>
          <t>segment: Switzerland (revenue by region); revenue: 15.1</t>
        </is>
      </c>
      <c r="I1205" s="2" t="inlineStr">
        <is>
          <t>S5</t>
        </is>
      </c>
      <c r="J1205" s="2" t="n">
        <v>45</v>
      </c>
      <c r="K1205" s="2" t="inlineStr">
        <is>
          <t>Switzerland 24.6 15.1</t>
        </is>
      </c>
      <c r="L1205" s="2" t="inlineStr">
        <is>
          <t>ok</t>
        </is>
      </c>
      <c r="M1205" s="2" t="inlineStr">
        <is>
          <t>demo reviewer</t>
        </is>
      </c>
      <c r="N1205" s="2" t="n"/>
      <c r="O1205" s="3" t="inlineStr">
        <is>
          <t>https://vanillabonds.com/dossier-data/pdf/katjes/katjes-h1-2026-interim-report.pdf#page=45</t>
        </is>
      </c>
      <c r="P1205" s="3" t="inlineStr">
        <is>
          <t>https://vanillabonds.com/dossier.html?c=katjes&amp;viewer=1&amp;item=F1204</t>
        </is>
      </c>
      <c r="Q1205" s="2" t="inlineStr"/>
    </row>
    <row r="1206">
      <c r="A1206" s="2" t="inlineStr">
        <is>
          <t>F1205</t>
        </is>
      </c>
      <c r="B1206" s="2" t="inlineStr">
        <is>
          <t>financials</t>
        </is>
      </c>
      <c r="C1206" s="2" t="inlineStr">
        <is>
          <t>segment</t>
        </is>
      </c>
      <c r="D1206" s="3" t="inlineStr">
        <is>
          <t>Segment: segment; revenue; ebitda; assets</t>
        </is>
      </c>
      <c r="E1206" s="2" t="inlineStr">
        <is>
          <t>H1-2025</t>
        </is>
      </c>
      <c r="F1206" s="2" t="n">
        <v>8.5</v>
      </c>
      <c r="G1206" s="2" t="n"/>
      <c r="H1206" s="3" t="inlineStr">
        <is>
          <t>segment: Netherlands (revenue by region); revenue: 8.5</t>
        </is>
      </c>
      <c r="I1206" s="2" t="inlineStr">
        <is>
          <t>S5</t>
        </is>
      </c>
      <c r="J1206" s="2" t="n">
        <v>45</v>
      </c>
      <c r="K1206" s="2" t="inlineStr">
        <is>
          <t>Netherlands 8.8 8.5</t>
        </is>
      </c>
      <c r="L1206" s="2" t="inlineStr">
        <is>
          <t>ok</t>
        </is>
      </c>
      <c r="M1206" s="2" t="inlineStr">
        <is>
          <t>demo reviewer</t>
        </is>
      </c>
      <c r="N1206" s="2" t="n"/>
      <c r="O1206" s="3" t="inlineStr">
        <is>
          <t>https://vanillabonds.com/dossier-data/pdf/katjes/katjes-h1-2026-interim-report.pdf#page=45</t>
        </is>
      </c>
      <c r="P1206" s="3" t="inlineStr">
        <is>
          <t>https://vanillabonds.com/dossier.html?c=katjes&amp;viewer=1&amp;item=F1205</t>
        </is>
      </c>
      <c r="Q1206" s="2" t="inlineStr"/>
    </row>
    <row r="1207">
      <c r="A1207" s="2" t="inlineStr">
        <is>
          <t>F1206</t>
        </is>
      </c>
      <c r="B1207" s="2" t="inlineStr">
        <is>
          <t>financials</t>
        </is>
      </c>
      <c r="C1207" s="2" t="inlineStr">
        <is>
          <t>segment</t>
        </is>
      </c>
      <c r="D1207" s="3" t="inlineStr">
        <is>
          <t>Segment: segment; revenue; ebitda; assets</t>
        </is>
      </c>
      <c r="E1207" s="2" t="inlineStr">
        <is>
          <t>H1-2025</t>
        </is>
      </c>
      <c r="F1207" s="2" t="n">
        <v>2.4</v>
      </c>
      <c r="G1207" s="2" t="n"/>
      <c r="H1207" s="3" t="inlineStr">
        <is>
          <t>segment: North America (revenue by region); revenue: 2.4</t>
        </is>
      </c>
      <c r="I1207" s="2" t="inlineStr">
        <is>
          <t>S5</t>
        </is>
      </c>
      <c r="J1207" s="2" t="n">
        <v>45</v>
      </c>
      <c r="K1207" s="2" t="inlineStr">
        <is>
          <t>North America 7.2 2.4</t>
        </is>
      </c>
      <c r="L1207" s="2" t="inlineStr">
        <is>
          <t>ok</t>
        </is>
      </c>
      <c r="M1207" s="2" t="inlineStr">
        <is>
          <t>demo reviewer</t>
        </is>
      </c>
      <c r="N1207" s="2" t="n"/>
      <c r="O1207" s="3" t="inlineStr">
        <is>
          <t>https://vanillabonds.com/dossier-data/pdf/katjes/katjes-h1-2026-interim-report.pdf#page=45</t>
        </is>
      </c>
      <c r="P1207" s="3" t="inlineStr">
        <is>
          <t>https://vanillabonds.com/dossier.html?c=katjes&amp;viewer=1&amp;item=F1206</t>
        </is>
      </c>
      <c r="Q1207" s="2" t="inlineStr"/>
    </row>
    <row r="1208">
      <c r="A1208" s="2" t="inlineStr">
        <is>
          <t>F1207</t>
        </is>
      </c>
      <c r="B1208" s="2" t="inlineStr">
        <is>
          <t>financials</t>
        </is>
      </c>
      <c r="C1208" s="2" t="inlineStr">
        <is>
          <t>segment</t>
        </is>
      </c>
      <c r="D1208" s="3" t="inlineStr">
        <is>
          <t>Segment: segment; revenue; ebitda; assets</t>
        </is>
      </c>
      <c r="E1208" s="2" t="inlineStr">
        <is>
          <t>H1-2025</t>
        </is>
      </c>
      <c r="F1208" s="2" t="n">
        <v>6.8</v>
      </c>
      <c r="G1208" s="2" t="n"/>
      <c r="H1208" s="3" t="inlineStr">
        <is>
          <t>segment: France (revenue by region); revenue: 6.8</t>
        </is>
      </c>
      <c r="I1208" s="2" t="inlineStr">
        <is>
          <t>S5</t>
        </is>
      </c>
      <c r="J1208" s="2" t="n">
        <v>45</v>
      </c>
      <c r="K1208" s="2" t="inlineStr">
        <is>
          <t>France 5.2 6.8</t>
        </is>
      </c>
      <c r="L1208" s="2" t="inlineStr">
        <is>
          <t>ok</t>
        </is>
      </c>
      <c r="M1208" s="2" t="inlineStr">
        <is>
          <t>demo reviewer</t>
        </is>
      </c>
      <c r="N1208" s="2" t="n"/>
      <c r="O1208" s="3" t="inlineStr">
        <is>
          <t>https://vanillabonds.com/dossier-data/pdf/katjes/katjes-h1-2026-interim-report.pdf#page=45</t>
        </is>
      </c>
      <c r="P1208" s="3" t="inlineStr">
        <is>
          <t>https://vanillabonds.com/dossier.html?c=katjes&amp;viewer=1&amp;item=F1207</t>
        </is>
      </c>
      <c r="Q1208" s="2" t="inlineStr"/>
    </row>
    <row r="1209">
      <c r="A1209" s="2" t="inlineStr">
        <is>
          <t>F1208</t>
        </is>
      </c>
      <c r="B1209" s="2" t="inlineStr">
        <is>
          <t>financials</t>
        </is>
      </c>
      <c r="C1209" s="2" t="inlineStr">
        <is>
          <t>segment</t>
        </is>
      </c>
      <c r="D1209" s="3" t="inlineStr">
        <is>
          <t>Segment: segment; revenue; ebitda; assets</t>
        </is>
      </c>
      <c r="E1209" s="2" t="inlineStr">
        <is>
          <t>H1-2025</t>
        </is>
      </c>
      <c r="F1209" s="2" t="n">
        <v>27.1</v>
      </c>
      <c r="G1209" s="2" t="n"/>
      <c r="H1209" s="3" t="inlineStr">
        <is>
          <t>segment: Other EU countries (revenue by region); revenue: 27.1</t>
        </is>
      </c>
      <c r="I1209" s="2" t="inlineStr">
        <is>
          <t>S5</t>
        </is>
      </c>
      <c r="J1209" s="2" t="n">
        <v>45</v>
      </c>
      <c r="K1209" s="2" t="inlineStr">
        <is>
          <t>Other EU countries 34.5 27.1</t>
        </is>
      </c>
      <c r="L1209" s="2" t="inlineStr">
        <is>
          <t>ok</t>
        </is>
      </c>
      <c r="M1209" s="2" t="inlineStr">
        <is>
          <t>demo reviewer</t>
        </is>
      </c>
      <c r="N1209" s="2" t="n"/>
      <c r="O1209" s="3" t="inlineStr">
        <is>
          <t>https://vanillabonds.com/dossier-data/pdf/katjes/katjes-h1-2026-interim-report.pdf#page=45</t>
        </is>
      </c>
      <c r="P1209" s="3" t="inlineStr">
        <is>
          <t>https://vanillabonds.com/dossier.html?c=katjes&amp;viewer=1&amp;item=F1208</t>
        </is>
      </c>
      <c r="Q1209" s="2" t="inlineStr"/>
    </row>
    <row r="1210">
      <c r="A1210" s="2" t="inlineStr">
        <is>
          <t>F1209</t>
        </is>
      </c>
      <c r="B1210" s="2" t="inlineStr">
        <is>
          <t>financials</t>
        </is>
      </c>
      <c r="C1210" s="2" t="inlineStr">
        <is>
          <t>segment</t>
        </is>
      </c>
      <c r="D1210" s="3" t="inlineStr">
        <is>
          <t>Segment: segment; revenue; ebitda; assets</t>
        </is>
      </c>
      <c r="E1210" s="2" t="inlineStr">
        <is>
          <t>H1-2025</t>
        </is>
      </c>
      <c r="F1210" s="2" t="n">
        <v>1.3</v>
      </c>
      <c r="G1210" s="2" t="n"/>
      <c r="H1210" s="3" t="inlineStr">
        <is>
          <t>segment: Countries outside the EU (revenue by region); revenue: 1.3</t>
        </is>
      </c>
      <c r="I1210" s="2" t="inlineStr">
        <is>
          <t>S5</t>
        </is>
      </c>
      <c r="J1210" s="2" t="n">
        <v>45</v>
      </c>
      <c r="K1210" s="2" t="inlineStr">
        <is>
          <t>Countries outside the EU 13.0 1.3</t>
        </is>
      </c>
      <c r="L1210" s="2" t="inlineStr">
        <is>
          <t>ok</t>
        </is>
      </c>
      <c r="M1210" s="2" t="inlineStr">
        <is>
          <t>demo reviewer</t>
        </is>
      </c>
      <c r="N1210" s="2" t="n"/>
      <c r="O1210" s="3" t="inlineStr">
        <is>
          <t>https://vanillabonds.com/dossier-data/pdf/katjes/katjes-h1-2026-interim-report.pdf#page=45</t>
        </is>
      </c>
      <c r="P1210" s="3" t="inlineStr">
        <is>
          <t>https://vanillabonds.com/dossier.html?c=katjes&amp;viewer=1&amp;item=F1209</t>
        </is>
      </c>
      <c r="Q1210" s="2" t="inlineStr"/>
    </row>
    <row r="1211">
      <c r="A1211" s="2" t="inlineStr">
        <is>
          <t>F1210</t>
        </is>
      </c>
      <c r="B1211" s="2" t="inlineStr">
        <is>
          <t>financials</t>
        </is>
      </c>
      <c r="C1211" s="2" t="inlineStr">
        <is>
          <t>segment</t>
        </is>
      </c>
      <c r="D1211" s="3" t="inlineStr">
        <is>
          <t>Segment: segment; revenue; ebitda; assets</t>
        </is>
      </c>
      <c r="E1211" s="2" t="inlineStr">
        <is>
          <t>H1-2026</t>
        </is>
      </c>
      <c r="F1211" s="2" t="n"/>
      <c r="G1211" s="2" t="n"/>
      <c r="H1211" s="3" t="inlineStr">
        <is>
          <t>segment: sugar confectionery (product group); revenue: 0.343 share of group revenue (H1-2025: 0.471)</t>
        </is>
      </c>
      <c r="I1211" s="2" t="inlineStr">
        <is>
          <t>S5</t>
        </is>
      </c>
      <c r="J1211" s="2" t="n">
        <v>22</v>
      </c>
      <c r="K1211" s="3" t="inlineStr">
        <is>
          <t>Katjes International generated 34.3% of revenue (6M 2025: 47.1%) from "sugar confectionery"</t>
        </is>
      </c>
      <c r="L1211" s="2" t="inlineStr">
        <is>
          <t>ok</t>
        </is>
      </c>
      <c r="M1211" s="2" t="inlineStr">
        <is>
          <t>demo reviewer</t>
        </is>
      </c>
      <c r="N1211" s="2" t="n"/>
      <c r="O1211" s="3" t="inlineStr">
        <is>
          <t>https://vanillabonds.com/dossier-data/pdf/katjes/katjes-h1-2026-interim-report.pdf#page=22</t>
        </is>
      </c>
      <c r="P1211" s="3" t="inlineStr">
        <is>
          <t>https://vanillabonds.com/dossier.html?c=katjes&amp;viewer=1&amp;item=F1210</t>
        </is>
      </c>
      <c r="Q1211" s="2" t="inlineStr"/>
    </row>
    <row r="1212">
      <c r="A1212" s="2" t="inlineStr">
        <is>
          <t>F1211</t>
        </is>
      </c>
      <c r="B1212" s="2" t="inlineStr">
        <is>
          <t>financials</t>
        </is>
      </c>
      <c r="C1212" s="2" t="inlineStr">
        <is>
          <t>segment</t>
        </is>
      </c>
      <c r="D1212" s="3" t="inlineStr">
        <is>
          <t>Segment: segment; revenue; ebitda; assets</t>
        </is>
      </c>
      <c r="E1212" s="2" t="inlineStr">
        <is>
          <t>H1-2026</t>
        </is>
      </c>
      <c r="F1212" s="2" t="n"/>
      <c r="G1212" s="2" t="n"/>
      <c r="H1212" s="3" t="inlineStr">
        <is>
          <t>segment: care products (product group); revenue: 0.195 share of group revenue (H1-2025: 0.288)</t>
        </is>
      </c>
      <c r="I1212" s="2" t="inlineStr">
        <is>
          <t>S5</t>
        </is>
      </c>
      <c r="J1212" s="2" t="n">
        <v>22</v>
      </c>
      <c r="K1212" s="3" t="inlineStr">
        <is>
          <t>and 19.5% (6M 2025: 28.8%) from care products.</t>
        </is>
      </c>
      <c r="L1212" s="2" t="inlineStr">
        <is>
          <t>ok</t>
        </is>
      </c>
      <c r="M1212" s="2" t="inlineStr">
        <is>
          <t>demo reviewer</t>
        </is>
      </c>
      <c r="N1212" s="2" t="n"/>
      <c r="O1212" s="3" t="inlineStr">
        <is>
          <t>https://vanillabonds.com/dossier-data/pdf/katjes/katjes-h1-2026-interim-report.pdf#page=22</t>
        </is>
      </c>
      <c r="P1212" s="3" t="inlineStr">
        <is>
          <t>https://vanillabonds.com/dossier.html?c=katjes&amp;viewer=1&amp;item=F1211</t>
        </is>
      </c>
      <c r="Q1212" s="2" t="inlineStr"/>
    </row>
    <row r="1213">
      <c r="A1213" s="2" t="inlineStr">
        <is>
          <t>F1212</t>
        </is>
      </c>
      <c r="B1213" s="2" t="inlineStr">
        <is>
          <t>financials</t>
        </is>
      </c>
      <c r="C1213" s="2" t="inlineStr">
        <is>
          <t>segment</t>
        </is>
      </c>
      <c r="D1213" s="3" t="inlineStr">
        <is>
          <t>Segment: segment; revenue; ebitda; assets</t>
        </is>
      </c>
      <c r="E1213" s="2" t="inlineStr">
        <is>
          <t>H1-2026</t>
        </is>
      </c>
      <c r="F1213" s="2" t="n"/>
      <c r="G1213" s="2" t="n"/>
      <c r="H1213" s="3" t="inlineStr">
        <is>
          <t>segment: seasonal products (product group); revenue: 0.125 share of group revenue (H1-2025: 0.025, not comparable due to Bogner)</t>
        </is>
      </c>
      <c r="I1213" s="2" t="inlineStr">
        <is>
          <t>S5</t>
        </is>
      </c>
      <c r="J1213" s="2" t="n">
        <v>22</v>
      </c>
      <c r="K1213" s="3" t="inlineStr">
        <is>
          <t>The "seasonal products" category contributed 12.5% (6M 2025: 2.5%) to Group revenue</t>
        </is>
      </c>
      <c r="L1213" s="2" t="inlineStr">
        <is>
          <t>ok</t>
        </is>
      </c>
      <c r="M1213" s="2" t="inlineStr">
        <is>
          <t>demo reviewer</t>
        </is>
      </c>
      <c r="N1213" s="2" t="n"/>
      <c r="O1213" s="3" t="inlineStr">
        <is>
          <t>https://vanillabonds.com/dossier-data/pdf/katjes/katjes-h1-2026-interim-report.pdf#page=22</t>
        </is>
      </c>
      <c r="P1213" s="3" t="inlineStr">
        <is>
          <t>https://vanillabonds.com/dossier.html?c=katjes&amp;viewer=1&amp;item=F1212</t>
        </is>
      </c>
      <c r="Q1213" s="2" t="inlineStr"/>
    </row>
    <row r="1214">
      <c r="A1214" s="2" t="inlineStr">
        <is>
          <t>F1213</t>
        </is>
      </c>
      <c r="B1214" s="2" t="inlineStr">
        <is>
          <t>financials</t>
        </is>
      </c>
      <c r="C1214" s="2" t="inlineStr">
        <is>
          <t>segment</t>
        </is>
      </c>
      <c r="D1214" s="3" t="inlineStr">
        <is>
          <t>Segment: segment; revenue; ebitda; assets</t>
        </is>
      </c>
      <c r="E1214" s="2" t="inlineStr">
        <is>
          <t>H1-2026</t>
        </is>
      </c>
      <c r="F1214" s="2" t="n"/>
      <c r="G1214" s="2" t="n"/>
      <c r="H1214" s="3" t="inlineStr">
        <is>
          <t>segment: chocolate (product group); revenue: 0.079 share of group revenue (H1-2025: 0.139)</t>
        </is>
      </c>
      <c r="I1214" s="2" t="inlineStr">
        <is>
          <t>S5</t>
        </is>
      </c>
      <c r="J1214" s="2" t="n">
        <v>22</v>
      </c>
      <c r="K1214" s="3" t="inlineStr">
        <is>
          <t>and the "chocolate" category contributed 7.9% (6M 2025: 13.9%).</t>
        </is>
      </c>
      <c r="L1214" s="2" t="inlineStr">
        <is>
          <t>ok</t>
        </is>
      </c>
      <c r="M1214" s="2" t="inlineStr">
        <is>
          <t>demo reviewer</t>
        </is>
      </c>
      <c r="N1214" s="2" t="n"/>
      <c r="O1214" s="3" t="inlineStr">
        <is>
          <t>https://vanillabonds.com/dossier-data/pdf/katjes/katjes-h1-2026-interim-report.pdf#page=22</t>
        </is>
      </c>
      <c r="P1214" s="3" t="inlineStr">
        <is>
          <t>https://vanillabonds.com/dossier.html?c=katjes&amp;viewer=1&amp;item=F1213</t>
        </is>
      </c>
      <c r="Q1214" s="2" t="inlineStr"/>
    </row>
    <row r="1215">
      <c r="A1215" s="2" t="inlineStr">
        <is>
          <t>F1214</t>
        </is>
      </c>
      <c r="B1215" s="2" t="inlineStr">
        <is>
          <t>financials</t>
        </is>
      </c>
      <c r="C1215" s="2" t="inlineStr">
        <is>
          <t>segment</t>
        </is>
      </c>
      <c r="D1215" s="3" t="inlineStr">
        <is>
          <t>Segment: segment; revenue; ebitda; assets</t>
        </is>
      </c>
      <c r="E1215" s="2" t="inlineStr">
        <is>
          <t>H1-2026</t>
        </is>
      </c>
      <c r="F1215" s="2" t="n">
        <v>90.40000000000001</v>
      </c>
      <c r="G1215" s="2" t="n"/>
      <c r="H1215" s="3" t="inlineStr">
        <is>
          <t>segment: Germany (revenue by region); revenue: 90.4</t>
        </is>
      </c>
      <c r="I1215" s="2" t="inlineStr">
        <is>
          <t>S5</t>
        </is>
      </c>
      <c r="J1215" s="2" t="n">
        <v>45</v>
      </c>
      <c r="K1215" s="2" t="inlineStr">
        <is>
          <t>Germany 90.4 57.2</t>
        </is>
      </c>
      <c r="L1215" s="2" t="inlineStr">
        <is>
          <t>ok</t>
        </is>
      </c>
      <c r="M1215" s="2" t="inlineStr">
        <is>
          <t>demo reviewer</t>
        </is>
      </c>
      <c r="N1215" s="2" t="n"/>
      <c r="O1215" s="3" t="inlineStr">
        <is>
          <t>https://vanillabonds.com/dossier-data/pdf/katjes/katjes-h1-2026-interim-report.pdf#page=45</t>
        </is>
      </c>
      <c r="P1215" s="3" t="inlineStr">
        <is>
          <t>https://vanillabonds.com/dossier.html?c=katjes&amp;viewer=1&amp;item=F1214</t>
        </is>
      </c>
      <c r="Q1215" s="2" t="inlineStr"/>
    </row>
    <row r="1216">
      <c r="A1216" s="2" t="inlineStr">
        <is>
          <t>F1215</t>
        </is>
      </c>
      <c r="B1216" s="2" t="inlineStr">
        <is>
          <t>financials</t>
        </is>
      </c>
      <c r="C1216" s="2" t="inlineStr">
        <is>
          <t>segment</t>
        </is>
      </c>
      <c r="D1216" s="3" t="inlineStr">
        <is>
          <t>Segment: segment; revenue; ebitda; assets</t>
        </is>
      </c>
      <c r="E1216" s="2" t="inlineStr">
        <is>
          <t>H1-2026</t>
        </is>
      </c>
      <c r="F1216" s="2" t="n">
        <v>37.8</v>
      </c>
      <c r="G1216" s="2" t="n"/>
      <c r="H1216" s="3" t="inlineStr">
        <is>
          <t>segment: UK (revenue by region); revenue: 37.8</t>
        </is>
      </c>
      <c r="I1216" s="2" t="inlineStr">
        <is>
          <t>S5</t>
        </is>
      </c>
      <c r="J1216" s="2" t="n">
        <v>45</v>
      </c>
      <c r="K1216" s="2" t="inlineStr">
        <is>
          <t>UK 37.8 10.7</t>
        </is>
      </c>
      <c r="L1216" s="2" t="inlineStr">
        <is>
          <t>ok</t>
        </is>
      </c>
      <c r="M1216" s="2" t="inlineStr">
        <is>
          <t>demo reviewer</t>
        </is>
      </c>
      <c r="N1216" s="2" t="n"/>
      <c r="O1216" s="3" t="inlineStr">
        <is>
          <t>https://vanillabonds.com/dossier-data/pdf/katjes/katjes-h1-2026-interim-report.pdf#page=45</t>
        </is>
      </c>
      <c r="P1216" s="3" t="inlineStr">
        <is>
          <t>https://vanillabonds.com/dossier.html?c=katjes&amp;viewer=1&amp;item=F1215</t>
        </is>
      </c>
      <c r="Q1216" s="2" t="inlineStr"/>
    </row>
    <row r="1217">
      <c r="A1217" s="2" t="inlineStr">
        <is>
          <t>F1216</t>
        </is>
      </c>
      <c r="B1217" s="2" t="inlineStr">
        <is>
          <t>financials</t>
        </is>
      </c>
      <c r="C1217" s="2" t="inlineStr">
        <is>
          <t>segment</t>
        </is>
      </c>
      <c r="D1217" s="3" t="inlineStr">
        <is>
          <t>Segment: segment; revenue; ebitda; assets</t>
        </is>
      </c>
      <c r="E1217" s="2" t="inlineStr">
        <is>
          <t>H1-2026</t>
        </is>
      </c>
      <c r="F1217" s="2" t="n">
        <v>34.5</v>
      </c>
      <c r="G1217" s="2" t="n"/>
      <c r="H1217" s="3" t="inlineStr">
        <is>
          <t>segment: Italy (revenue by region); revenue: 34.5</t>
        </is>
      </c>
      <c r="I1217" s="2" t="inlineStr">
        <is>
          <t>S5</t>
        </is>
      </c>
      <c r="J1217" s="2" t="n">
        <v>45</v>
      </c>
      <c r="K1217" s="2" t="inlineStr">
        <is>
          <t>Italy 34.5 35.7</t>
        </is>
      </c>
      <c r="L1217" s="2" t="inlineStr">
        <is>
          <t>ok</t>
        </is>
      </c>
      <c r="M1217" s="2" t="inlineStr">
        <is>
          <t>demo reviewer</t>
        </is>
      </c>
      <c r="N1217" s="2" t="n"/>
      <c r="O1217" s="3" t="inlineStr">
        <is>
          <t>https://vanillabonds.com/dossier-data/pdf/katjes/katjes-h1-2026-interim-report.pdf#page=45</t>
        </is>
      </c>
      <c r="P1217" s="3" t="inlineStr">
        <is>
          <t>https://vanillabonds.com/dossier.html?c=katjes&amp;viewer=1&amp;item=F1216</t>
        </is>
      </c>
      <c r="Q1217" s="2" t="inlineStr"/>
    </row>
    <row r="1218">
      <c r="A1218" s="2" t="inlineStr">
        <is>
          <t>F1217</t>
        </is>
      </c>
      <c r="B1218" s="2" t="inlineStr">
        <is>
          <t>financials</t>
        </is>
      </c>
      <c r="C1218" s="2" t="inlineStr">
        <is>
          <t>segment</t>
        </is>
      </c>
      <c r="D1218" s="3" t="inlineStr">
        <is>
          <t>Segment: segment; revenue; ebitda; assets</t>
        </is>
      </c>
      <c r="E1218" s="2" t="inlineStr">
        <is>
          <t>H1-2026</t>
        </is>
      </c>
      <c r="F1218" s="2" t="n">
        <v>24.6</v>
      </c>
      <c r="G1218" s="2" t="n"/>
      <c r="H1218" s="3" t="inlineStr">
        <is>
          <t>segment: Switzerland (revenue by region); revenue: 24.6</t>
        </is>
      </c>
      <c r="I1218" s="2" t="inlineStr">
        <is>
          <t>S5</t>
        </is>
      </c>
      <c r="J1218" s="2" t="n">
        <v>45</v>
      </c>
      <c r="K1218" s="2" t="inlineStr">
        <is>
          <t>Switzerland 24.6 15.1</t>
        </is>
      </c>
      <c r="L1218" s="2" t="inlineStr">
        <is>
          <t>ok</t>
        </is>
      </c>
      <c r="M1218" s="2" t="inlineStr">
        <is>
          <t>demo reviewer</t>
        </is>
      </c>
      <c r="N1218" s="2" t="n"/>
      <c r="O1218" s="3" t="inlineStr">
        <is>
          <t>https://vanillabonds.com/dossier-data/pdf/katjes/katjes-h1-2026-interim-report.pdf#page=45</t>
        </is>
      </c>
      <c r="P1218" s="3" t="inlineStr">
        <is>
          <t>https://vanillabonds.com/dossier.html?c=katjes&amp;viewer=1&amp;item=F1217</t>
        </is>
      </c>
      <c r="Q1218" s="2" t="inlineStr"/>
    </row>
    <row r="1219">
      <c r="A1219" s="2" t="inlineStr">
        <is>
          <t>F1218</t>
        </is>
      </c>
      <c r="B1219" s="2" t="inlineStr">
        <is>
          <t>financials</t>
        </is>
      </c>
      <c r="C1219" s="2" t="inlineStr">
        <is>
          <t>segment</t>
        </is>
      </c>
      <c r="D1219" s="3" t="inlineStr">
        <is>
          <t>Segment: segment; revenue; ebitda; assets</t>
        </is>
      </c>
      <c r="E1219" s="2" t="inlineStr">
        <is>
          <t>H1-2026</t>
        </is>
      </c>
      <c r="F1219" s="2" t="n">
        <v>8.800000000000001</v>
      </c>
      <c r="G1219" s="2" t="n"/>
      <c r="H1219" s="3" t="inlineStr">
        <is>
          <t>segment: Netherlands (revenue by region); revenue: 8.8</t>
        </is>
      </c>
      <c r="I1219" s="2" t="inlineStr">
        <is>
          <t>S5</t>
        </is>
      </c>
      <c r="J1219" s="2" t="n">
        <v>45</v>
      </c>
      <c r="K1219" s="2" t="inlineStr">
        <is>
          <t>Netherlands 8.8 8.5</t>
        </is>
      </c>
      <c r="L1219" s="2" t="inlineStr">
        <is>
          <t>ok</t>
        </is>
      </c>
      <c r="M1219" s="2" t="inlineStr">
        <is>
          <t>demo reviewer</t>
        </is>
      </c>
      <c r="N1219" s="2" t="n"/>
      <c r="O1219" s="3" t="inlineStr">
        <is>
          <t>https://vanillabonds.com/dossier-data/pdf/katjes/katjes-h1-2026-interim-report.pdf#page=45</t>
        </is>
      </c>
      <c r="P1219" s="3" t="inlineStr">
        <is>
          <t>https://vanillabonds.com/dossier.html?c=katjes&amp;viewer=1&amp;item=F1218</t>
        </is>
      </c>
      <c r="Q1219" s="2" t="inlineStr"/>
    </row>
    <row r="1220">
      <c r="A1220" s="2" t="inlineStr">
        <is>
          <t>F1219</t>
        </is>
      </c>
      <c r="B1220" s="2" t="inlineStr">
        <is>
          <t>financials</t>
        </is>
      </c>
      <c r="C1220" s="2" t="inlineStr">
        <is>
          <t>segment</t>
        </is>
      </c>
      <c r="D1220" s="3" t="inlineStr">
        <is>
          <t>Segment: segment; revenue; ebitda; assets</t>
        </is>
      </c>
      <c r="E1220" s="2" t="inlineStr">
        <is>
          <t>H1-2026</t>
        </is>
      </c>
      <c r="F1220" s="2" t="n">
        <v>7.2</v>
      </c>
      <c r="G1220" s="2" t="n"/>
      <c r="H1220" s="3" t="inlineStr">
        <is>
          <t>segment: North America (revenue by region); revenue: 7.2</t>
        </is>
      </c>
      <c r="I1220" s="2" t="inlineStr">
        <is>
          <t>S5</t>
        </is>
      </c>
      <c r="J1220" s="2" t="n">
        <v>45</v>
      </c>
      <c r="K1220" s="2" t="inlineStr">
        <is>
          <t>North America 7.2 2.4</t>
        </is>
      </c>
      <c r="L1220" s="2" t="inlineStr">
        <is>
          <t>ok</t>
        </is>
      </c>
      <c r="M1220" s="2" t="inlineStr">
        <is>
          <t>demo reviewer</t>
        </is>
      </c>
      <c r="N1220" s="2" t="n"/>
      <c r="O1220" s="3" t="inlineStr">
        <is>
          <t>https://vanillabonds.com/dossier-data/pdf/katjes/katjes-h1-2026-interim-report.pdf#page=45</t>
        </is>
      </c>
      <c r="P1220" s="3" t="inlineStr">
        <is>
          <t>https://vanillabonds.com/dossier.html?c=katjes&amp;viewer=1&amp;item=F1219</t>
        </is>
      </c>
      <c r="Q1220" s="2" t="inlineStr"/>
    </row>
    <row r="1221">
      <c r="A1221" s="2" t="inlineStr">
        <is>
          <t>F1220</t>
        </is>
      </c>
      <c r="B1221" s="2" t="inlineStr">
        <is>
          <t>financials</t>
        </is>
      </c>
      <c r="C1221" s="2" t="inlineStr">
        <is>
          <t>segment</t>
        </is>
      </c>
      <c r="D1221" s="3" t="inlineStr">
        <is>
          <t>Segment: segment; revenue; ebitda; assets</t>
        </is>
      </c>
      <c r="E1221" s="2" t="inlineStr">
        <is>
          <t>H1-2026</t>
        </is>
      </c>
      <c r="F1221" s="2" t="n">
        <v>5.2</v>
      </c>
      <c r="G1221" s="2" t="n"/>
      <c r="H1221" s="3" t="inlineStr">
        <is>
          <t>segment: France (revenue by region); revenue: 5.2</t>
        </is>
      </c>
      <c r="I1221" s="2" t="inlineStr">
        <is>
          <t>S5</t>
        </is>
      </c>
      <c r="J1221" s="2" t="n">
        <v>45</v>
      </c>
      <c r="K1221" s="2" t="inlineStr">
        <is>
          <t>France 5.2 6.8</t>
        </is>
      </c>
      <c r="L1221" s="2" t="inlineStr">
        <is>
          <t>ok</t>
        </is>
      </c>
      <c r="M1221" s="2" t="inlineStr">
        <is>
          <t>demo reviewer</t>
        </is>
      </c>
      <c r="N1221" s="2" t="n"/>
      <c r="O1221" s="3" t="inlineStr">
        <is>
          <t>https://vanillabonds.com/dossier-data/pdf/katjes/katjes-h1-2026-interim-report.pdf#page=45</t>
        </is>
      </c>
      <c r="P1221" s="3" t="inlineStr">
        <is>
          <t>https://vanillabonds.com/dossier.html?c=katjes&amp;viewer=1&amp;item=F1220</t>
        </is>
      </c>
      <c r="Q1221" s="2" t="inlineStr"/>
    </row>
    <row r="1222">
      <c r="A1222" s="2" t="inlineStr">
        <is>
          <t>F1221</t>
        </is>
      </c>
      <c r="B1222" s="2" t="inlineStr">
        <is>
          <t>financials</t>
        </is>
      </c>
      <c r="C1222" s="2" t="inlineStr">
        <is>
          <t>segment</t>
        </is>
      </c>
      <c r="D1222" s="3" t="inlineStr">
        <is>
          <t>Segment: segment; revenue; ebitda; assets</t>
        </is>
      </c>
      <c r="E1222" s="2" t="inlineStr">
        <is>
          <t>H1-2026</t>
        </is>
      </c>
      <c r="F1222" s="2" t="n">
        <v>34.5</v>
      </c>
      <c r="G1222" s="2" t="n"/>
      <c r="H1222" s="3" t="inlineStr">
        <is>
          <t>segment: Other EU countries (revenue by region); revenue: 34.5</t>
        </is>
      </c>
      <c r="I1222" s="2" t="inlineStr">
        <is>
          <t>S5</t>
        </is>
      </c>
      <c r="J1222" s="2" t="n">
        <v>45</v>
      </c>
      <c r="K1222" s="2" t="inlineStr">
        <is>
          <t>Other EU countries 34.5 27.1</t>
        </is>
      </c>
      <c r="L1222" s="2" t="inlineStr">
        <is>
          <t>ok</t>
        </is>
      </c>
      <c r="M1222" s="2" t="inlineStr">
        <is>
          <t>demo reviewer</t>
        </is>
      </c>
      <c r="N1222" s="2" t="n"/>
      <c r="O1222" s="3" t="inlineStr">
        <is>
          <t>https://vanillabonds.com/dossier-data/pdf/katjes/katjes-h1-2026-interim-report.pdf#page=45</t>
        </is>
      </c>
      <c r="P1222" s="3" t="inlineStr">
        <is>
          <t>https://vanillabonds.com/dossier.html?c=katjes&amp;viewer=1&amp;item=F1221</t>
        </is>
      </c>
      <c r="Q1222" s="2" t="inlineStr"/>
    </row>
    <row r="1223">
      <c r="A1223" s="2" t="inlineStr">
        <is>
          <t>F1222</t>
        </is>
      </c>
      <c r="B1223" s="2" t="inlineStr">
        <is>
          <t>financials</t>
        </is>
      </c>
      <c r="C1223" s="2" t="inlineStr">
        <is>
          <t>segment</t>
        </is>
      </c>
      <c r="D1223" s="3" t="inlineStr">
        <is>
          <t>Segment: segment; revenue; ebitda; assets</t>
        </is>
      </c>
      <c r="E1223" s="2" t="inlineStr">
        <is>
          <t>H1-2026</t>
        </is>
      </c>
      <c r="F1223" s="2" t="n">
        <v>13</v>
      </c>
      <c r="G1223" s="2" t="n"/>
      <c r="H1223" s="3" t="inlineStr">
        <is>
          <t>segment: Countries outside the EU (revenue by region); revenue: 13.0</t>
        </is>
      </c>
      <c r="I1223" s="2" t="inlineStr">
        <is>
          <t>S5</t>
        </is>
      </c>
      <c r="J1223" s="2" t="n">
        <v>45</v>
      </c>
      <c r="K1223" s="2" t="inlineStr">
        <is>
          <t>Countries outside the EU 13.0 1.3</t>
        </is>
      </c>
      <c r="L1223" s="2" t="inlineStr">
        <is>
          <t>ok</t>
        </is>
      </c>
      <c r="M1223" s="2" t="inlineStr">
        <is>
          <t>demo reviewer</t>
        </is>
      </c>
      <c r="N1223" s="2" t="n"/>
      <c r="O1223" s="3" t="inlineStr">
        <is>
          <t>https://vanillabonds.com/dossier-data/pdf/katjes/katjes-h1-2026-interim-report.pdf#page=45</t>
        </is>
      </c>
      <c r="P1223" s="3" t="inlineStr">
        <is>
          <t>https://vanillabonds.com/dossier.html?c=katjes&amp;viewer=1&amp;item=F1222</t>
        </is>
      </c>
      <c r="Q1223" s="2" t="inlineStr"/>
    </row>
    <row r="1224">
      <c r="A1224" s="2" t="inlineStr">
        <is>
          <t>F1223</t>
        </is>
      </c>
      <c r="B1224" s="2" t="inlineStr">
        <is>
          <t>financials</t>
        </is>
      </c>
      <c r="C1224" s="2" t="inlineStr">
        <is>
          <t>segment</t>
        </is>
      </c>
      <c r="D1224" s="3" t="inlineStr">
        <is>
          <t>Segment: segment; revenue; ebitda; assets</t>
        </is>
      </c>
      <c r="E1224" s="2" t="inlineStr">
        <is>
          <t>H1-2026</t>
        </is>
      </c>
      <c r="F1224" s="2" t="n"/>
      <c r="G1224" s="2" t="n"/>
      <c r="H1224" s="3" t="inlineStr">
        <is>
          <t>segment: Group (single IFRS 8 operating segment); revenue: 256.0; ebitda: 15.8</t>
        </is>
      </c>
      <c r="I1224" s="2" t="inlineStr">
        <is>
          <t>S5</t>
        </is>
      </c>
      <c r="J1224" s="2" t="n">
        <v>45</v>
      </c>
      <c r="K1224" s="3" t="inlineStr">
        <is>
          <t>the Group represents a single opera- ting segment within the meaning of IFRS 8 from the perspective of internal management.</t>
        </is>
      </c>
      <c r="L1224" s="2" t="inlineStr">
        <is>
          <t>ok</t>
        </is>
      </c>
      <c r="M1224" s="2" t="inlineStr">
        <is>
          <t>demo reviewer</t>
        </is>
      </c>
      <c r="N1224" s="2" t="n"/>
      <c r="O1224" s="3" t="inlineStr">
        <is>
          <t>https://vanillabonds.com/dossier-data/pdf/katjes/katjes-h1-2026-interim-report.pdf#page=45</t>
        </is>
      </c>
      <c r="P1224" s="3" t="inlineStr">
        <is>
          <t>https://vanillabonds.com/dossier.html?c=katjes&amp;viewer=1&amp;item=F1223</t>
        </is>
      </c>
      <c r="Q1224" s="2" t="inlineStr"/>
    </row>
    <row r="1225">
      <c r="A1225" s="2" t="inlineStr">
        <is>
          <t>F1224</t>
        </is>
      </c>
      <c r="B1225" s="2" t="inlineStr">
        <is>
          <t>financials</t>
        </is>
      </c>
      <c r="C1225" s="2" t="inlineStr">
        <is>
          <t>segment</t>
        </is>
      </c>
      <c r="D1225" s="3" t="inlineStr">
        <is>
          <t>Segment: segment; revenue; ebitda; assets</t>
        </is>
      </c>
      <c r="E1225" s="2" t="inlineStr">
        <is>
          <t>H1-2026</t>
        </is>
      </c>
      <c r="F1225" s="2" t="n"/>
      <c r="G1225" s="2" t="n"/>
      <c r="H1225" s="3" t="inlineStr">
        <is>
          <t>segment: Germany (material non-current assets by region, 30 June 2026); assets: 367.4</t>
        </is>
      </c>
      <c r="I1225" s="2" t="inlineStr">
        <is>
          <t>S5</t>
        </is>
      </c>
      <c r="J1225" s="2" t="n">
        <v>46</v>
      </c>
      <c r="K1225" s="2" t="inlineStr">
        <is>
          <t>Germany 367.4 305.4</t>
        </is>
      </c>
      <c r="L1225" s="2" t="inlineStr">
        <is>
          <t>ok</t>
        </is>
      </c>
      <c r="M1225" s="2" t="inlineStr">
        <is>
          <t>demo reviewer</t>
        </is>
      </c>
      <c r="N1225" s="2" t="n"/>
      <c r="O1225" s="3" t="inlineStr">
        <is>
          <t>https://vanillabonds.com/dossier-data/pdf/katjes/katjes-h1-2026-interim-report.pdf#page=46</t>
        </is>
      </c>
      <c r="P1225" s="3" t="inlineStr">
        <is>
          <t>https://vanillabonds.com/dossier.html?c=katjes&amp;viewer=1&amp;item=F1224</t>
        </is>
      </c>
      <c r="Q1225" s="2" t="inlineStr"/>
    </row>
    <row r="1226">
      <c r="A1226" s="2" t="inlineStr">
        <is>
          <t>F1225</t>
        </is>
      </c>
      <c r="B1226" s="2" t="inlineStr">
        <is>
          <t>financials</t>
        </is>
      </c>
      <c r="C1226" s="2" t="inlineStr">
        <is>
          <t>segment</t>
        </is>
      </c>
      <c r="D1226" s="3" t="inlineStr">
        <is>
          <t>Segment: segment; revenue; ebitda; assets</t>
        </is>
      </c>
      <c r="E1226" s="2" t="inlineStr">
        <is>
          <t>H1-2026</t>
        </is>
      </c>
      <c r="F1226" s="2" t="n"/>
      <c r="G1226" s="2" t="n"/>
      <c r="H1226" s="3" t="inlineStr">
        <is>
          <t>segment: Italy (material non-current assets by region, 30 June 2026); assets: 95.6</t>
        </is>
      </c>
      <c r="I1226" s="2" t="inlineStr">
        <is>
          <t>S5</t>
        </is>
      </c>
      <c r="J1226" s="2" t="n">
        <v>46</v>
      </c>
      <c r="K1226" s="2" t="inlineStr">
        <is>
          <t>Italy 95.6 93.9</t>
        </is>
      </c>
      <c r="L1226" s="2" t="inlineStr">
        <is>
          <t>ok</t>
        </is>
      </c>
      <c r="M1226" s="2" t="inlineStr">
        <is>
          <t>demo reviewer</t>
        </is>
      </c>
      <c r="N1226" s="2" t="n"/>
      <c r="O1226" s="3" t="inlineStr">
        <is>
          <t>https://vanillabonds.com/dossier-data/pdf/katjes/katjes-h1-2026-interim-report.pdf#page=46</t>
        </is>
      </c>
      <c r="P1226" s="3" t="inlineStr">
        <is>
          <t>https://vanillabonds.com/dossier.html?c=katjes&amp;viewer=1&amp;item=F1225</t>
        </is>
      </c>
      <c r="Q1226" s="2" t="inlineStr"/>
    </row>
    <row r="1227">
      <c r="A1227" s="2" t="inlineStr">
        <is>
          <t>F1226</t>
        </is>
      </c>
      <c r="B1227" s="2" t="inlineStr">
        <is>
          <t>financials</t>
        </is>
      </c>
      <c r="C1227" s="2" t="inlineStr">
        <is>
          <t>segment</t>
        </is>
      </c>
      <c r="D1227" s="3" t="inlineStr">
        <is>
          <t>Segment: segment; revenue; ebitda; assets</t>
        </is>
      </c>
      <c r="E1227" s="2" t="inlineStr">
        <is>
          <t>H1-2026</t>
        </is>
      </c>
      <c r="F1227" s="2" t="n"/>
      <c r="G1227" s="2" t="n"/>
      <c r="H1227" s="3" t="inlineStr">
        <is>
          <t>segment: UK (material non-current assets by region, 30 June 2026); assets: 71.1</t>
        </is>
      </c>
      <c r="I1227" s="2" t="inlineStr">
        <is>
          <t>S5</t>
        </is>
      </c>
      <c r="J1227" s="2" t="n">
        <v>46</v>
      </c>
      <c r="K1227" s="2" t="inlineStr">
        <is>
          <t>UK 71.1 10.9</t>
        </is>
      </c>
      <c r="L1227" s="2" t="inlineStr">
        <is>
          <t>ok</t>
        </is>
      </c>
      <c r="M1227" s="2" t="inlineStr">
        <is>
          <t>demo reviewer</t>
        </is>
      </c>
      <c r="N1227" s="2" t="n"/>
      <c r="O1227" s="3" t="inlineStr">
        <is>
          <t>https://vanillabonds.com/dossier-data/pdf/katjes/katjes-h1-2026-interim-report.pdf#page=46</t>
        </is>
      </c>
      <c r="P1227" s="3" t="inlineStr">
        <is>
          <t>https://vanillabonds.com/dossier.html?c=katjes&amp;viewer=1&amp;item=F1226</t>
        </is>
      </c>
      <c r="Q1227" s="2" t="inlineStr"/>
    </row>
    <row r="1228">
      <c r="A1228" s="2" t="inlineStr">
        <is>
          <t>F1227</t>
        </is>
      </c>
      <c r="B1228" s="2" t="inlineStr">
        <is>
          <t>financials</t>
        </is>
      </c>
      <c r="C1228" s="2" t="inlineStr">
        <is>
          <t>segment</t>
        </is>
      </c>
      <c r="D1228" s="3" t="inlineStr">
        <is>
          <t>Segment: segment; revenue; ebitda; assets</t>
        </is>
      </c>
      <c r="E1228" s="2" t="inlineStr">
        <is>
          <t>H1-2026</t>
        </is>
      </c>
      <c r="F1228" s="2" t="n"/>
      <c r="G1228" s="2" t="n"/>
      <c r="H1228" s="3" t="inlineStr">
        <is>
          <t>segment: Switzerland (material non-current assets by region, 30 June 2026); assets: 16.6</t>
        </is>
      </c>
      <c r="I1228" s="2" t="inlineStr">
        <is>
          <t>S5</t>
        </is>
      </c>
      <c r="J1228" s="2" t="n">
        <v>46</v>
      </c>
      <c r="K1228" s="2" t="inlineStr">
        <is>
          <t>Switzerland 16.6 17.5</t>
        </is>
      </c>
      <c r="L1228" s="2" t="inlineStr">
        <is>
          <t>ok</t>
        </is>
      </c>
      <c r="M1228" s="2" t="inlineStr">
        <is>
          <t>demo reviewer</t>
        </is>
      </c>
      <c r="N1228" s="2" t="n"/>
      <c r="O1228" s="3" t="inlineStr">
        <is>
          <t>https://vanillabonds.com/dossier-data/pdf/katjes/katjes-h1-2026-interim-report.pdf#page=46</t>
        </is>
      </c>
      <c r="P1228" s="3" t="inlineStr">
        <is>
          <t>https://vanillabonds.com/dossier.html?c=katjes&amp;viewer=1&amp;item=F1227</t>
        </is>
      </c>
      <c r="Q1228" s="2" t="inlineStr"/>
    </row>
    <row r="1229">
      <c r="A1229" s="2" t="inlineStr">
        <is>
          <t>F1228</t>
        </is>
      </c>
      <c r="B1229" s="2" t="inlineStr">
        <is>
          <t>financials</t>
        </is>
      </c>
      <c r="C1229" s="2" t="inlineStr">
        <is>
          <t>segment</t>
        </is>
      </c>
      <c r="D1229" s="3" t="inlineStr">
        <is>
          <t>Segment: segment; revenue; ebitda; assets</t>
        </is>
      </c>
      <c r="E1229" s="2" t="inlineStr">
        <is>
          <t>H1-2026</t>
        </is>
      </c>
      <c r="F1229" s="2" t="n"/>
      <c r="G1229" s="2" t="n"/>
      <c r="H1229" s="3" t="inlineStr">
        <is>
          <t>segment: Netherlands (material non-current assets by region, 30 June 2026); assets: 14.3</t>
        </is>
      </c>
      <c r="I1229" s="2" t="inlineStr">
        <is>
          <t>S5</t>
        </is>
      </c>
      <c r="J1229" s="2" t="n">
        <v>46</v>
      </c>
      <c r="K1229" s="2" t="inlineStr">
        <is>
          <t>Netherlands 14.3 12.3</t>
        </is>
      </c>
      <c r="L1229" s="2" t="inlineStr">
        <is>
          <t>ok</t>
        </is>
      </c>
      <c r="M1229" s="2" t="inlineStr">
        <is>
          <t>demo reviewer</t>
        </is>
      </c>
      <c r="N1229" s="2" t="n"/>
      <c r="O1229" s="3" t="inlineStr">
        <is>
          <t>https://vanillabonds.com/dossier-data/pdf/katjes/katjes-h1-2026-interim-report.pdf#page=46</t>
        </is>
      </c>
      <c r="P1229" s="3" t="inlineStr">
        <is>
          <t>https://vanillabonds.com/dossier.html?c=katjes&amp;viewer=1&amp;item=F1228</t>
        </is>
      </c>
      <c r="Q1229" s="2" t="inlineStr"/>
    </row>
    <row r="1230">
      <c r="A1230" s="2" t="inlineStr">
        <is>
          <t>F1229</t>
        </is>
      </c>
      <c r="B1230" s="2" t="inlineStr">
        <is>
          <t>financials</t>
        </is>
      </c>
      <c r="C1230" s="2" t="inlineStr">
        <is>
          <t>segment</t>
        </is>
      </c>
      <c r="D1230" s="3" t="inlineStr">
        <is>
          <t>Segment: segment; revenue; ebitda; assets</t>
        </is>
      </c>
      <c r="E1230" s="2" t="inlineStr">
        <is>
          <t>H1-2026</t>
        </is>
      </c>
      <c r="F1230" s="2" t="n"/>
      <c r="G1230" s="2" t="n"/>
      <c r="H1230" s="3" t="inlineStr">
        <is>
          <t>segment: North America (material non-current assets by region, 30 June 2026); assets: 8.9</t>
        </is>
      </c>
      <c r="I1230" s="2" t="inlineStr">
        <is>
          <t>S5</t>
        </is>
      </c>
      <c r="J1230" s="2" t="n">
        <v>46</v>
      </c>
      <c r="K1230" s="2" t="inlineStr">
        <is>
          <t>North America 8.9 9.7</t>
        </is>
      </c>
      <c r="L1230" s="2" t="inlineStr">
        <is>
          <t>ok</t>
        </is>
      </c>
      <c r="M1230" s="2" t="inlineStr">
        <is>
          <t>demo reviewer</t>
        </is>
      </c>
      <c r="N1230" s="2" t="n"/>
      <c r="O1230" s="3" t="inlineStr">
        <is>
          <t>https://vanillabonds.com/dossier-data/pdf/katjes/katjes-h1-2026-interim-report.pdf#page=46</t>
        </is>
      </c>
      <c r="P1230" s="3" t="inlineStr">
        <is>
          <t>https://vanillabonds.com/dossier.html?c=katjes&amp;viewer=1&amp;item=F1229</t>
        </is>
      </c>
      <c r="Q1230" s="2" t="inlineStr"/>
    </row>
    <row r="1231">
      <c r="A1231" s="2" t="inlineStr">
        <is>
          <t>F1230</t>
        </is>
      </c>
      <c r="B1231" s="2" t="inlineStr">
        <is>
          <t>financials</t>
        </is>
      </c>
      <c r="C1231" s="2" t="inlineStr">
        <is>
          <t>segment</t>
        </is>
      </c>
      <c r="D1231" s="3" t="inlineStr">
        <is>
          <t>Segment: segment; revenue; ebitda; assets</t>
        </is>
      </c>
      <c r="E1231" s="2" t="inlineStr">
        <is>
          <t>H1-2026</t>
        </is>
      </c>
      <c r="F1231" s="2" t="n"/>
      <c r="G1231" s="2" t="n"/>
      <c r="H1231" s="3" t="inlineStr">
        <is>
          <t>segment: Austria (material non-current assets by region, 30 June 2026); assets: 1.1</t>
        </is>
      </c>
      <c r="I1231" s="2" t="inlineStr">
        <is>
          <t>S5</t>
        </is>
      </c>
      <c r="J1231" s="2" t="n">
        <v>46</v>
      </c>
      <c r="K1231" s="2" t="inlineStr">
        <is>
          <t>Austria 1.1 1.2</t>
        </is>
      </c>
      <c r="L1231" s="2" t="inlineStr">
        <is>
          <t>ok</t>
        </is>
      </c>
      <c r="M1231" s="2" t="inlineStr">
        <is>
          <t>demo reviewer</t>
        </is>
      </c>
      <c r="N1231" s="2" t="n"/>
      <c r="O1231" s="3" t="inlineStr">
        <is>
          <t>https://vanillabonds.com/dossier-data/pdf/katjes/katjes-h1-2026-interim-report.pdf#page=46</t>
        </is>
      </c>
      <c r="P1231" s="3" t="inlineStr">
        <is>
          <t>https://vanillabonds.com/dossier.html?c=katjes&amp;viewer=1&amp;item=F1230</t>
        </is>
      </c>
      <c r="Q1231" s="2" t="inlineStr"/>
    </row>
    <row r="1232">
      <c r="A1232" s="2" t="inlineStr">
        <is>
          <t>F1231</t>
        </is>
      </c>
      <c r="B1232" s="2" t="inlineStr">
        <is>
          <t>financials</t>
        </is>
      </c>
      <c r="C1232" s="2" t="inlineStr">
        <is>
          <t>segment</t>
        </is>
      </c>
      <c r="D1232" s="3" t="inlineStr">
        <is>
          <t>Segment: segment; revenue; ebitda; assets</t>
        </is>
      </c>
      <c r="E1232" s="2" t="inlineStr">
        <is>
          <t>H1-2026</t>
        </is>
      </c>
      <c r="F1232" s="2" t="n"/>
      <c r="G1232" s="2" t="n"/>
      <c r="H1232" s="3" t="inlineStr">
        <is>
          <t>segment: Other (material non-current assets by region, 30 June 2026); assets: 0.4</t>
        </is>
      </c>
      <c r="I1232" s="2" t="inlineStr">
        <is>
          <t>S5</t>
        </is>
      </c>
      <c r="J1232" s="2" t="n">
        <v>46</v>
      </c>
      <c r="K1232" s="2" t="inlineStr">
        <is>
          <t>Other 0.4 0.5</t>
        </is>
      </c>
      <c r="L1232" s="2" t="inlineStr">
        <is>
          <t>ok</t>
        </is>
      </c>
      <c r="M1232" s="2" t="inlineStr">
        <is>
          <t>demo reviewer</t>
        </is>
      </c>
      <c r="N1232" s="2" t="n"/>
      <c r="O1232" s="3" t="inlineStr">
        <is>
          <t>https://vanillabonds.com/dossier-data/pdf/katjes/katjes-h1-2026-interim-report.pdf#page=46</t>
        </is>
      </c>
      <c r="P1232" s="3" t="inlineStr">
        <is>
          <t>https://vanillabonds.com/dossier.html?c=katjes&amp;viewer=1&amp;item=F1231</t>
        </is>
      </c>
      <c r="Q1232" s="2" t="inlineStr"/>
    </row>
    <row r="1233">
      <c r="A1233" s="2" t="inlineStr">
        <is>
          <t>F1232</t>
        </is>
      </c>
      <c r="B1233" s="2" t="inlineStr">
        <is>
          <t>financials</t>
        </is>
      </c>
      <c r="C1233" s="2" t="inlineStr">
        <is>
          <t>tax_paid</t>
        </is>
      </c>
      <c r="D1233" s="2" t="inlineStr">
        <is>
          <t>Income taxes paid (cash flow statement)</t>
        </is>
      </c>
      <c r="E1233" s="2" t="inlineStr">
        <is>
          <t>H1-2025</t>
        </is>
      </c>
      <c r="F1233" s="2" t="n">
        <v>0.3</v>
      </c>
      <c r="G1233" s="2" t="inlineStr">
        <is>
          <t>EUR m</t>
        </is>
      </c>
      <c r="H1233" s="3" t="inlineStr">
        <is>
          <t>Income taxes paid H1-2025 (cash flow statement).</t>
        </is>
      </c>
      <c r="I1233" s="2" t="inlineStr">
        <is>
          <t>S5</t>
        </is>
      </c>
      <c r="J1233" s="2" t="n">
        <v>34</v>
      </c>
      <c r="K1233" s="2" t="inlineStr">
        <is>
          <t>Income taxes paid -0.9 -0.3</t>
        </is>
      </c>
      <c r="L1233" s="2" t="inlineStr">
        <is>
          <t>ok</t>
        </is>
      </c>
      <c r="M1233" s="2" t="inlineStr">
        <is>
          <t>demo reviewer</t>
        </is>
      </c>
      <c r="N1233" s="2" t="n"/>
      <c r="O1233" s="3" t="inlineStr">
        <is>
          <t>https://vanillabonds.com/dossier-data/pdf/katjes/katjes-h1-2026-interim-report.pdf#page=34</t>
        </is>
      </c>
      <c r="P1233" s="3" t="inlineStr">
        <is>
          <t>https://vanillabonds.com/dossier.html?c=katjes&amp;viewer=1&amp;item=F1232</t>
        </is>
      </c>
      <c r="Q1233" s="2" t="inlineStr"/>
    </row>
    <row r="1234">
      <c r="A1234" s="2" t="inlineStr">
        <is>
          <t>F1233</t>
        </is>
      </c>
      <c r="B1234" s="2" t="inlineStr">
        <is>
          <t>financials</t>
        </is>
      </c>
      <c r="C1234" s="2" t="inlineStr">
        <is>
          <t>tax_paid</t>
        </is>
      </c>
      <c r="D1234" s="2" t="inlineStr">
        <is>
          <t>Income taxes paid (cash flow statement)</t>
        </is>
      </c>
      <c r="E1234" s="2" t="inlineStr">
        <is>
          <t>H1-2026</t>
        </is>
      </c>
      <c r="F1234" s="2" t="n">
        <v>0.9</v>
      </c>
      <c r="G1234" s="2" t="inlineStr">
        <is>
          <t>EUR m</t>
        </is>
      </c>
      <c r="H1234" s="3" t="inlineStr">
        <is>
          <t>Income taxes paid H1-2026 (cash flow statement).</t>
        </is>
      </c>
      <c r="I1234" s="2" t="inlineStr">
        <is>
          <t>S5</t>
        </is>
      </c>
      <c r="J1234" s="2" t="n">
        <v>34</v>
      </c>
      <c r="K1234" s="2" t="inlineStr">
        <is>
          <t>Income taxes paid -0.9 -0.3</t>
        </is>
      </c>
      <c r="L1234" s="2" t="inlineStr">
        <is>
          <t>ok</t>
        </is>
      </c>
      <c r="M1234" s="2" t="inlineStr">
        <is>
          <t>demo reviewer</t>
        </is>
      </c>
      <c r="N1234" s="2" t="n"/>
      <c r="O1234" s="3" t="inlineStr">
        <is>
          <t>https://vanillabonds.com/dossier-data/pdf/katjes/katjes-h1-2026-interim-report.pdf#page=34</t>
        </is>
      </c>
      <c r="P1234" s="3" t="inlineStr">
        <is>
          <t>https://vanillabonds.com/dossier.html?c=katjes&amp;viewer=1&amp;item=F1233</t>
        </is>
      </c>
      <c r="Q1234" s="2" t="inlineStr"/>
    </row>
    <row r="1235">
      <c r="A1235" s="2" t="inlineStr">
        <is>
          <t>F1234</t>
        </is>
      </c>
      <c r="B1235" s="2" t="inlineStr">
        <is>
          <t>debt</t>
        </is>
      </c>
      <c r="C1235" s="2" t="inlineStr">
        <is>
          <t>hedge</t>
        </is>
      </c>
      <c r="D1235" s="3" t="inlineStr">
        <is>
          <t>Hedge: instrument; counterparty; notional; maturity; hedged item (rate, FX)</t>
        </is>
      </c>
      <c r="E1235" s="2" t="n"/>
      <c r="F1235" s="2" t="n">
        <v>2.3</v>
      </c>
      <c r="G1235" s="2" t="n"/>
      <c r="H1235" s="3" t="inlineStr">
        <is>
          <t>instrument: interest rate swap; notional: 2.3; hedged item: rate (hedges an increase in the variable interest rate); 31 Dec 2025: one swap of 3.6</t>
        </is>
      </c>
      <c r="I1235" s="2" t="inlineStr">
        <is>
          <t>S5</t>
        </is>
      </c>
      <c r="J1235" s="2" t="n">
        <v>43</v>
      </c>
      <c r="K1235" s="3" t="inlineStr">
        <is>
          <t>As at June 30, 2026, the Group held one interest rate swap with a notional principal amount of EUR 2.3 million</t>
        </is>
      </c>
      <c r="L1235" s="2" t="inlineStr">
        <is>
          <t>ok</t>
        </is>
      </c>
      <c r="M1235" s="2" t="inlineStr">
        <is>
          <t>demo reviewer</t>
        </is>
      </c>
      <c r="N1235" s="2" t="n"/>
      <c r="O1235" s="3" t="inlineStr">
        <is>
          <t>https://vanillabonds.com/dossier-data/pdf/katjes/katjes-h1-2026-interim-report.pdf#page=43</t>
        </is>
      </c>
      <c r="P1235" s="3" t="inlineStr">
        <is>
          <t>https://vanillabonds.com/dossier.html?c=katjes&amp;viewer=1&amp;item=F1234</t>
        </is>
      </c>
      <c r="Q1235" s="2" t="inlineStr"/>
    </row>
    <row r="1236">
      <c r="A1236" s="2" t="inlineStr">
        <is>
          <t>F1235</t>
        </is>
      </c>
      <c r="B1236" s="2" t="inlineStr">
        <is>
          <t>debt</t>
        </is>
      </c>
      <c r="C1236" s="2" t="inlineStr">
        <is>
          <t>hedge</t>
        </is>
      </c>
      <c r="D1236" s="3" t="inlineStr">
        <is>
          <t>Hedge: instrument; counterparty; notional; maturity; hedged item (rate, FX)</t>
        </is>
      </c>
      <c r="E1236" s="2" t="n"/>
      <c r="F1236" s="2" t="n"/>
      <c r="G1236" s="2" t="n"/>
      <c r="H1236" s="3" t="inlineStr">
        <is>
          <t>instrument: foreign currency forward contracts (cash flow hedges); notional: USD 36.5m against hedged items of USD 61.7m; maturity: by early 2028 (USD 24.5m within 1 year, 12.0m in 1-2 years); hedged item: FX, expected revenue in euros and purchases in US dollars</t>
        </is>
      </c>
      <c r="I1236" s="2" t="inlineStr">
        <is>
          <t>S5</t>
        </is>
      </c>
      <c r="J1236" s="2" t="n">
        <v>44</v>
      </c>
      <c r="K1236" s="3" t="inlineStr">
        <is>
          <t>The foreign currency forward contracts used within cash flow hedges have a notional volume of USD 36.5 million, the hedged items amount to USD 61.7 million, and they mature by early 2028.</t>
        </is>
      </c>
      <c r="L1236" s="2" t="inlineStr">
        <is>
          <t>ok</t>
        </is>
      </c>
      <c r="M1236" s="2" t="inlineStr">
        <is>
          <t>demo reviewer</t>
        </is>
      </c>
      <c r="N1236" s="2" t="n"/>
      <c r="O1236" s="3" t="inlineStr">
        <is>
          <t>https://vanillabonds.com/dossier-data/pdf/katjes/katjes-h1-2026-interim-report.pdf#page=44</t>
        </is>
      </c>
      <c r="P1236" s="3" t="inlineStr">
        <is>
          <t>https://vanillabonds.com/dossier.html?c=katjes&amp;viewer=1&amp;item=F1235</t>
        </is>
      </c>
      <c r="Q1236" s="2" t="inlineStr"/>
    </row>
    <row r="1237">
      <c r="A1237" s="2" t="inlineStr">
        <is>
          <t>F1236</t>
        </is>
      </c>
      <c r="B1237" s="2" t="inlineStr">
        <is>
          <t>management</t>
        </is>
      </c>
      <c r="C1237" s="2" t="inlineStr">
        <is>
          <t>strategy_statement</t>
        </is>
      </c>
      <c r="D1237" s="3" t="inlineStr">
        <is>
          <t>Stated strategy: year; statement; what happened; source</t>
        </is>
      </c>
      <c r="E1237" s="2" t="n"/>
      <c r="F1237" s="2" t="n"/>
      <c r="G1237" s="2" t="n"/>
      <c r="H1237" s="3" t="inlineStr">
        <is>
          <t>year: 2026; statement: carve-out investor acquiring divisions of large corporations that fell below critical mass; what happened: Bübchen 2020, Oral Care 2022, Bogner 2025, Graze 2026, Missoni 2026; source: management report 1.2</t>
        </is>
      </c>
      <c r="I1237" s="2" t="inlineStr">
        <is>
          <t>S5</t>
        </is>
      </c>
      <c r="J1237" s="2" t="n">
        <v>17</v>
      </c>
      <c r="K1237" s="3" t="inlineStr">
        <is>
          <t>Katjes International also sees itself as a carve-out investor that acquires divisions of large corporations</t>
        </is>
      </c>
      <c r="L1237" s="2" t="inlineStr">
        <is>
          <t>ok</t>
        </is>
      </c>
      <c r="M1237" s="2" t="inlineStr">
        <is>
          <t>demo reviewer</t>
        </is>
      </c>
      <c r="N1237" s="2" t="n"/>
      <c r="O1237" s="3" t="inlineStr">
        <is>
          <t>https://vanillabonds.com/dossier-data/pdf/katjes/katjes-h1-2026-interim-report.pdf#page=17</t>
        </is>
      </c>
      <c r="P1237" s="3" t="inlineStr">
        <is>
          <t>https://vanillabonds.com/dossier.html?c=katjes&amp;viewer=1&amp;item=F1236</t>
        </is>
      </c>
      <c r="Q1237" s="2" t="inlineStr"/>
    </row>
    <row r="1238">
      <c r="A1238" s="2" t="inlineStr">
        <is>
          <t>F1237</t>
        </is>
      </c>
      <c r="B1238" s="2" t="inlineStr">
        <is>
          <t>management</t>
        </is>
      </c>
      <c r="C1238" s="2" t="inlineStr">
        <is>
          <t>strategy_statement</t>
        </is>
      </c>
      <c r="D1238" s="3" t="inlineStr">
        <is>
          <t>Stated strategy: year; statement; what happened; source</t>
        </is>
      </c>
      <c r="E1238" s="2" t="n"/>
      <c r="F1238" s="2" t="n"/>
      <c r="G1238" s="2" t="n"/>
      <c r="H1238" s="3" t="inlineStr">
        <is>
          <t>year: 2026; statement: continue the proven strategy of organic growth of subsidiaries plus further investments with a focus on 'strong consumer goods brands' with an emphasis on Europe; source: forecast report H1-2026</t>
        </is>
      </c>
      <c r="I1238" s="2" t="inlineStr">
        <is>
          <t>S5</t>
        </is>
      </c>
      <c r="J1238" s="2" t="n">
        <v>27</v>
      </c>
      <c r="K1238" s="3" t="inlineStr">
        <is>
          <t>Katjes International will continue to pursue its proven strategy for the remainder of 2026: this includes promoting the organic growth of the Group's subsidiaries as well as further invest-</t>
        </is>
      </c>
      <c r="L1238" s="2" t="inlineStr">
        <is>
          <t>ok</t>
        </is>
      </c>
      <c r="M1238" s="2" t="inlineStr">
        <is>
          <t>demo reviewer</t>
        </is>
      </c>
      <c r="N1238" s="3" t="inlineStr">
        <is>
          <t>text: company wording put in quotation marks (reviewer, 20 Oct 2026)</t>
        </is>
      </c>
      <c r="O1238" s="3" t="inlineStr">
        <is>
          <t>https://vanillabonds.com/dossier-data/pdf/katjes/katjes-h1-2026-interim-report.pdf#page=27</t>
        </is>
      </c>
      <c r="P1238" s="3" t="inlineStr">
        <is>
          <t>https://vanillabonds.com/dossier.html?c=katjes&amp;viewer=1&amp;item=F1237</t>
        </is>
      </c>
      <c r="Q1238" s="2" t="inlineStr"/>
    </row>
    <row r="1239">
      <c r="A1239" s="2" t="inlineStr">
        <is>
          <t>F1238</t>
        </is>
      </c>
      <c r="B1239" s="2" t="inlineStr">
        <is>
          <t>management</t>
        </is>
      </c>
      <c r="C1239" s="2" t="inlineStr">
        <is>
          <t>strategy_statement</t>
        </is>
      </c>
      <c r="D1239" s="3" t="inlineStr">
        <is>
          <t>Stated strategy: year; statement; what happened; source</t>
        </is>
      </c>
      <c r="E1239" s="2" t="n"/>
      <c r="F1239" s="2" t="n"/>
      <c r="G1239" s="2" t="n"/>
      <c r="H1239" s="3" t="inlineStr">
        <is>
          <t>year: 2026; statement: opportunities seen in succession situations, corporate carve-outs and market consolidation; the company is 'regularly involved in various stages of initiation or negotiation'; source: forecast report</t>
        </is>
      </c>
      <c r="I1239" s="2" t="inlineStr">
        <is>
          <t>S5</t>
        </is>
      </c>
      <c r="J1239" s="2" t="n">
        <v>27</v>
      </c>
      <c r="K1239" s="3" t="inlineStr">
        <is>
          <t>The Company sees various business opportunities arising in particular from succession situations, corporate carve-outs as part of portfolio streamlining</t>
        </is>
      </c>
      <c r="L1239" s="2" t="inlineStr">
        <is>
          <t>ok</t>
        </is>
      </c>
      <c r="M1239" s="2" t="inlineStr">
        <is>
          <t>demo reviewer</t>
        </is>
      </c>
      <c r="N1239" s="2" t="n"/>
      <c r="O1239" s="3" t="inlineStr">
        <is>
          <t>https://vanillabonds.com/dossier-data/pdf/katjes/katjes-h1-2026-interim-report.pdf#page=27</t>
        </is>
      </c>
      <c r="P1239" s="3" t="inlineStr">
        <is>
          <t>https://vanillabonds.com/dossier.html?c=katjes&amp;viewer=1&amp;item=F1238</t>
        </is>
      </c>
      <c r="Q1239" s="2" t="inlineStr"/>
    </row>
    <row r="1240">
      <c r="A1240" s="2" t="inlineStr">
        <is>
          <t>F1239</t>
        </is>
      </c>
      <c r="B1240" s="2" t="inlineStr">
        <is>
          <t>management</t>
        </is>
      </c>
      <c r="C1240" s="2" t="inlineStr">
        <is>
          <t>risk_policy</t>
        </is>
      </c>
      <c r="D1240" s="3" t="inlineStr">
        <is>
          <t>Financial policy, stated and revealed: item (leverage target, dividend, hedging, cash held, acquisition funding); stated; realised; year</t>
        </is>
      </c>
      <c r="E1240" s="2" t="n"/>
      <c r="F1240" s="2" t="n">
        <v>74.09999999999999</v>
      </c>
      <c r="G1240" s="2" t="n"/>
      <c r="H1240" s="3" t="inlineStr">
        <is>
          <t>item: cash held; stated: management calls EUR 74.1m a 'comfortable liquidity position' after the acquisitions; realised: cash 74.1 at 30 June 2026 vs 146.8 at year end; year: 2026</t>
        </is>
      </c>
      <c r="I1240" s="2" t="inlineStr">
        <is>
          <t>S5</t>
        </is>
      </c>
      <c r="J1240" s="2" t="n">
        <v>5</v>
      </c>
      <c r="K1240" s="3" t="inlineStr">
        <is>
          <t>we continued to hold a comfortable liquidity position of EUR 74.1 million.</t>
        </is>
      </c>
      <c r="L1240" s="2" t="inlineStr">
        <is>
          <t>ok</t>
        </is>
      </c>
      <c r="M1240" s="2" t="inlineStr">
        <is>
          <t>demo reviewer</t>
        </is>
      </c>
      <c r="N1240" s="2" t="n"/>
      <c r="O1240" s="3" t="inlineStr">
        <is>
          <t>https://vanillabonds.com/dossier-data/pdf/katjes/katjes-h1-2026-interim-report.pdf#page=5</t>
        </is>
      </c>
      <c r="P1240" s="3" t="inlineStr">
        <is>
          <t>https://vanillabonds.com/dossier.html?c=katjes&amp;viewer=1&amp;item=F1239</t>
        </is>
      </c>
      <c r="Q1240" s="2" t="inlineStr"/>
    </row>
    <row r="1241">
      <c r="A1241" s="2" t="inlineStr">
        <is>
          <t>F1240</t>
        </is>
      </c>
      <c r="B1241" s="2" t="inlineStr">
        <is>
          <t>management</t>
        </is>
      </c>
      <c r="C1241" s="2" t="inlineStr">
        <is>
          <t>risk_policy</t>
        </is>
      </c>
      <c r="D1241" s="3" t="inlineStr">
        <is>
          <t>Financial policy, stated and revealed: item (leverage target, dividend, hedging, cash held, acquisition funding); stated; realised; year</t>
        </is>
      </c>
      <c r="E1241" s="2" t="n"/>
      <c r="F1241" s="2" t="n"/>
      <c r="G1241" s="2" t="n"/>
      <c r="H1241" s="3" t="inlineStr">
        <is>
          <t>item: acquisition funding; stated: Missoni funded via bond increase, Graze partly via acquisition financing, plus new loans; realised: financing cash flow +22.6, investing cash flow -96.4 in H1-2026; year: 2026</t>
        </is>
      </c>
      <c r="I1241" s="2" t="inlineStr">
        <is>
          <t>S5</t>
        </is>
      </c>
      <c r="J1241" s="2" t="n">
        <v>23</v>
      </c>
      <c r="K1241" s="3" t="inlineStr">
        <is>
          <t>Cash flow from financing activities totalled EUR 22.6 million in the first half of 2026 (6M 2025: EUR 1.2 million).</t>
        </is>
      </c>
      <c r="L1241" s="2" t="inlineStr">
        <is>
          <t>ok</t>
        </is>
      </c>
      <c r="M1241" s="2" t="inlineStr">
        <is>
          <t>demo reviewer</t>
        </is>
      </c>
      <c r="N1241" s="2" t="n"/>
      <c r="O1241" s="3" t="inlineStr">
        <is>
          <t>https://vanillabonds.com/dossier-data/pdf/katjes/katjes-h1-2026-interim-report.pdf#page=23</t>
        </is>
      </c>
      <c r="P1241" s="3" t="inlineStr">
        <is>
          <t>https://vanillabonds.com/dossier.html?c=katjes&amp;viewer=1&amp;item=F1240</t>
        </is>
      </c>
      <c r="Q1241" s="2" t="inlineStr"/>
    </row>
    <row r="1242">
      <c r="A1242" s="2" t="inlineStr">
        <is>
          <t>F1241</t>
        </is>
      </c>
      <c r="B1242" s="2" t="inlineStr">
        <is>
          <t>management</t>
        </is>
      </c>
      <c r="C1242" s="2" t="inlineStr">
        <is>
          <t>insurance</t>
        </is>
      </c>
      <c r="D1242" s="3" t="inlineStr">
        <is>
          <t>Insurance: cover (property, business interruption, key person, cyber, D&amp;O); insurer; sum; expiry</t>
        </is>
      </c>
      <c r="E1242" s="2" t="n"/>
      <c r="F1242" s="2" t="n"/>
      <c r="G1242" s="2" t="n"/>
      <c r="H1242" s="3" t="inlineStr">
        <is>
          <t>cover: third-party damage, two instances in H1-2026; insurer: not named; sum: not stated; company states 'insurance coverage or a right of recourse generally exists'</t>
        </is>
      </c>
      <c r="I1242" s="2" t="inlineStr">
        <is>
          <t>S5</t>
        </is>
      </c>
      <c r="J1242" s="2" t="n">
        <v>23</v>
      </c>
      <c r="K1242" s="3" t="inlineStr">
        <is>
          <t>cases, insurance coverage or a right of recourse generally exists.</t>
        </is>
      </c>
      <c r="L1242" s="2" t="inlineStr">
        <is>
          <t>ok</t>
        </is>
      </c>
      <c r="M1242" s="2" t="inlineStr">
        <is>
          <t>demo reviewer</t>
        </is>
      </c>
      <c r="N1242" s="2" t="n"/>
      <c r="O1242" s="3" t="inlineStr">
        <is>
          <t>https://vanillabonds.com/dossier-data/pdf/katjes/katjes-h1-2026-interim-report.pdf#page=23</t>
        </is>
      </c>
      <c r="P1242" s="3" t="inlineStr">
        <is>
          <t>https://vanillabonds.com/dossier.html?c=katjes&amp;viewer=1&amp;item=F1241</t>
        </is>
      </c>
      <c r="Q1242" s="2" t="inlineStr"/>
    </row>
    <row r="1243">
      <c r="A1243" s="2" t="inlineStr">
        <is>
          <t>F1242</t>
        </is>
      </c>
      <c r="B1243" s="2" t="inlineStr">
        <is>
          <t>management</t>
        </is>
      </c>
      <c r="C1243" s="2" t="inlineStr">
        <is>
          <t>team_turnover</t>
        </is>
      </c>
      <c r="D1243" s="3" t="inlineStr">
        <is>
          <t>Top-team change: role; person; joined; left; reason as stated</t>
        </is>
      </c>
      <c r="E1243" s="2" t="n"/>
      <c r="F1243" s="2" t="n"/>
      <c r="G1243" s="2" t="n"/>
      <c r="H1243" s="3" t="inlineStr">
        <is>
          <t>role: CEO Bogner (subsidiary); person: Arne Freundt; joined: 2026-06-01; reason as stated: former PUMA CEO assumed leadership to develop the brand and its international expansion</t>
        </is>
      </c>
      <c r="I1243" s="2" t="inlineStr">
        <is>
          <t>S5</t>
        </is>
      </c>
      <c r="J1243" s="2" t="n">
        <v>15</v>
      </c>
      <c r="K1243" s="3" t="inlineStr">
        <is>
          <t>Since June 1, 2026, Arne Freundt has been responsible for BOGNER's future direction as CEO.</t>
        </is>
      </c>
      <c r="L1243" s="2" t="inlineStr">
        <is>
          <t>ok</t>
        </is>
      </c>
      <c r="M1243" s="2" t="inlineStr">
        <is>
          <t>demo reviewer</t>
        </is>
      </c>
      <c r="N1243" s="2" t="n"/>
      <c r="O1243" s="3" t="inlineStr">
        <is>
          <t>https://vanillabonds.com/dossier-data/pdf/katjes/katjes-h1-2026-interim-report.pdf#page=15</t>
        </is>
      </c>
      <c r="P1243" s="3" t="inlineStr">
        <is>
          <t>https://vanillabonds.com/dossier.html?c=katjes&amp;viewer=1&amp;item=F1242</t>
        </is>
      </c>
      <c r="Q1243" s="2" t="inlineStr"/>
    </row>
    <row r="1244">
      <c r="A1244" s="2" t="inlineStr">
        <is>
          <t>F1243</t>
        </is>
      </c>
      <c r="B1244" s="2" t="inlineStr">
        <is>
          <t>management</t>
        </is>
      </c>
      <c r="C1244" s="2" t="inlineStr">
        <is>
          <t>remuneration</t>
        </is>
      </c>
      <c r="D1244" s="3" t="inlineStr">
        <is>
          <t>Remuneration as disclosed in the filed accounts: person or body; amount; year</t>
        </is>
      </c>
      <c r="E1244" s="2" t="n"/>
      <c r="F1244" s="2" t="n">
        <v>0.3</v>
      </c>
      <c r="G1244" s="2" t="n"/>
      <c r="H1244" s="3" t="inlineStr">
        <is>
          <t>person or body: general partner Xaver Fassin International GmbH (total remuneration of management); amount: 0.3 (H1-2025: 0.1); year: H1-2026</t>
        </is>
      </c>
      <c r="I1244" s="2" t="inlineStr">
        <is>
          <t>S5</t>
        </is>
      </c>
      <c r="J1244" s="2" t="n">
        <v>48</v>
      </c>
      <c r="K1244" s="3" t="inlineStr">
        <is>
          <t>Total remuneration of management* 0.3 0.1</t>
        </is>
      </c>
      <c r="L1244" s="2" t="inlineStr">
        <is>
          <t>ok</t>
        </is>
      </c>
      <c r="M1244" s="2" t="inlineStr">
        <is>
          <t>demo reviewer</t>
        </is>
      </c>
      <c r="N1244" s="2" t="n"/>
      <c r="O1244" s="3" t="inlineStr">
        <is>
          <t>https://vanillabonds.com/dossier-data/pdf/katjes/katjes-h1-2026-interim-report.pdf#page=48</t>
        </is>
      </c>
      <c r="P1244" s="3" t="inlineStr">
        <is>
          <t>https://vanillabonds.com/dossier.html?c=katjes&amp;viewer=1&amp;item=F1243</t>
        </is>
      </c>
      <c r="Q1244" s="2" t="inlineStr"/>
    </row>
    <row r="1245">
      <c r="A1245" s="2" t="inlineStr">
        <is>
          <t>F1244</t>
        </is>
      </c>
      <c r="B1245" s="2" t="inlineStr">
        <is>
          <t>plan</t>
        </is>
      </c>
      <c r="C1245" s="2" t="inlineStr">
        <is>
          <t>plan_variable</t>
        </is>
      </c>
      <c r="D1245" s="3" t="inlineStr">
        <is>
          <t>Plan claim as a variable: variable; value; year; reference_class; n; median; spread; percentile; source</t>
        </is>
      </c>
      <c r="E1245" s="2" t="n"/>
      <c r="F1245" s="2" t="n"/>
      <c r="G1245" s="2" t="n"/>
      <c r="H1245" s="3" t="inlineStr">
        <is>
          <t>variable: earnings H2-2026; value: 'significant increase in earnings over the remainder of the year' expected by management; year: 2026; source: letter from management</t>
        </is>
      </c>
      <c r="I1245" s="2" t="inlineStr">
        <is>
          <t>S5</t>
        </is>
      </c>
      <c r="J1245" s="2" t="n">
        <v>5</v>
      </c>
      <c r="K1245" s="3" t="inlineStr">
        <is>
          <t>a significant increase in earnings over the remainder of the year.</t>
        </is>
      </c>
      <c r="L1245" s="2" t="inlineStr">
        <is>
          <t>ok</t>
        </is>
      </c>
      <c r="M1245" s="2" t="inlineStr">
        <is>
          <t>demo reviewer</t>
        </is>
      </c>
      <c r="N1245" s="2" t="n"/>
      <c r="O1245" s="3" t="inlineStr">
        <is>
          <t>https://vanillabonds.com/dossier-data/pdf/katjes/katjes-h1-2026-interim-report.pdf#page=5</t>
        </is>
      </c>
      <c r="P1245" s="3" t="inlineStr">
        <is>
          <t>https://vanillabonds.com/dossier.html?c=katjes&amp;viewer=1&amp;item=F1244</t>
        </is>
      </c>
      <c r="Q1245" s="2" t="inlineStr"/>
    </row>
    <row r="1246">
      <c r="A1246" s="2" t="inlineStr">
        <is>
          <t>F1245</t>
        </is>
      </c>
      <c r="B1246" s="2" t="inlineStr">
        <is>
          <t>plan</t>
        </is>
      </c>
      <c r="C1246" s="2" t="inlineStr">
        <is>
          <t>plan_variable</t>
        </is>
      </c>
      <c r="D1246" s="3" t="inlineStr">
        <is>
          <t>Plan claim as a variable: variable; value; year; reference_class; n; median; spread; percentile; source</t>
        </is>
      </c>
      <c r="E1246" s="2" t="n"/>
      <c r="F1246" s="2" t="n"/>
      <c r="G1246" s="2" t="n"/>
      <c r="H1246" s="3" t="inlineStr">
        <is>
          <t>variable: EBITDA margin; value: 0.10-0.12; year: 2026; source: company guidance confirmed in the forecast report</t>
        </is>
      </c>
      <c r="I1246" s="2" t="inlineStr">
        <is>
          <t>S5</t>
        </is>
      </c>
      <c r="J1246" s="2" t="n">
        <v>27</v>
      </c>
      <c r="K1246" s="2" t="inlineStr">
        <is>
          <t>on and an EBITDA margin of 10% – 12%.</t>
        </is>
      </c>
      <c r="L1246" s="2" t="inlineStr">
        <is>
          <t>ok</t>
        </is>
      </c>
      <c r="M1246" s="2" t="inlineStr">
        <is>
          <t>demo reviewer</t>
        </is>
      </c>
      <c r="N1246" s="2" t="n"/>
      <c r="O1246" s="3" t="inlineStr">
        <is>
          <t>https://vanillabonds.com/dossier-data/pdf/katjes/katjes-h1-2026-interim-report.pdf#page=27</t>
        </is>
      </c>
      <c r="P1246" s="3" t="inlineStr">
        <is>
          <t>https://vanillabonds.com/dossier.html?c=katjes&amp;viewer=1&amp;item=F1245</t>
        </is>
      </c>
      <c r="Q1246" s="2" t="inlineStr"/>
    </row>
    <row r="1247">
      <c r="A1247" s="2" t="inlineStr">
        <is>
          <t>F1246</t>
        </is>
      </c>
      <c r="B1247" s="2" t="inlineStr">
        <is>
          <t>compliance</t>
        </is>
      </c>
      <c r="C1247" s="2" t="inlineStr">
        <is>
          <t>esg_fact</t>
        </is>
      </c>
      <c r="D1247" s="3" t="inlineStr">
        <is>
          <t>ESG fact: item (CSRD / VSME status, energy, emissions, taxonomy, permit, incident, labour); value; year; source</t>
        </is>
      </c>
      <c r="E1247" s="2" t="n"/>
      <c r="F1247" s="2" t="n"/>
      <c r="G1247" s="2" t="n"/>
      <c r="H1247" s="3" t="inlineStr">
        <is>
          <t>item: product portfolio converted to 100% vegan (Treets dragees); value: all dragees free of animal-derived ingredients; year: 2026; source: introduction section 4.2</t>
        </is>
      </c>
      <c r="I1247" s="2" t="inlineStr">
        <is>
          <t>S5</t>
        </is>
      </c>
      <c r="J1247" s="2" t="n">
        <v>9</v>
      </c>
      <c r="K1247" s="3" t="inlineStr">
        <is>
          <t>all dragees have been free of animal-derived ingredients.</t>
        </is>
      </c>
      <c r="L1247" s="2" t="inlineStr">
        <is>
          <t>ok</t>
        </is>
      </c>
      <c r="M1247" s="2" t="inlineStr">
        <is>
          <t>demo reviewer</t>
        </is>
      </c>
      <c r="N1247" s="2" t="n"/>
      <c r="O1247" s="3" t="inlineStr">
        <is>
          <t>https://vanillabonds.com/dossier-data/pdf/katjes/katjes-h1-2026-interim-report.pdf#page=9</t>
        </is>
      </c>
      <c r="P1247" s="3" t="inlineStr">
        <is>
          <t>https://vanillabonds.com/dossier.html?c=katjes&amp;viewer=1&amp;item=F1246</t>
        </is>
      </c>
      <c r="Q1247" s="2" t="inlineStr"/>
    </row>
    <row r="1248">
      <c r="A1248" s="2" t="inlineStr">
        <is>
          <t>F1247</t>
        </is>
      </c>
      <c r="B1248" s="2" t="inlineStr">
        <is>
          <t>compliance</t>
        </is>
      </c>
      <c r="C1248" s="2" t="inlineStr">
        <is>
          <t>esg_fact</t>
        </is>
      </c>
      <c r="D1248" s="3" t="inlineStr">
        <is>
          <t>ESG fact: item (CSRD / VSME status, energy, emissions, taxonomy, permit, incident, labour); value; year; source</t>
        </is>
      </c>
      <c r="E1248" s="2" t="n"/>
      <c r="F1248" s="2" t="n"/>
      <c r="G1248" s="2" t="n"/>
      <c r="H1248" s="3" t="inlineStr">
        <is>
          <t>item: labour, temporary workers (average); value: 140 (H1-2025: 154); year: 2026; source: notes 4</t>
        </is>
      </c>
      <c r="I1248" s="2" t="inlineStr">
        <is>
          <t>S5</t>
        </is>
      </c>
      <c r="J1248" s="2" t="n">
        <v>40</v>
      </c>
      <c r="K1248" s="3" t="inlineStr">
        <is>
          <t>In addition, the Group employed an average of 140 temporary workers (6M 2025: 154).</t>
        </is>
      </c>
      <c r="L1248" s="2" t="inlineStr">
        <is>
          <t>ok</t>
        </is>
      </c>
      <c r="M1248" s="2" t="inlineStr">
        <is>
          <t>demo reviewer</t>
        </is>
      </c>
      <c r="N1248" s="2" t="n"/>
      <c r="O1248" s="3" t="inlineStr">
        <is>
          <t>https://vanillabonds.com/dossier-data/pdf/katjes/katjes-h1-2026-interim-report.pdf#page=40</t>
        </is>
      </c>
      <c r="P1248" s="3" t="inlineStr">
        <is>
          <t>https://vanillabonds.com/dossier.html?c=katjes&amp;viewer=1&amp;item=F1247</t>
        </is>
      </c>
      <c r="Q1248" s="2" t="inlineStr"/>
    </row>
    <row r="1249">
      <c r="A1249" s="2" t="inlineStr">
        <is>
          <t>F1248</t>
        </is>
      </c>
      <c r="B1249" s="2" t="inlineStr">
        <is>
          <t>compliance</t>
        </is>
      </c>
      <c r="C1249" s="2" t="inlineStr">
        <is>
          <t>esg_fact</t>
        </is>
      </c>
      <c r="D1249" s="3" t="inlineStr">
        <is>
          <t>ESG fact: item (CSRD / VSME status, energy, emissions, taxonomy, permit, incident, labour); value; year; source</t>
        </is>
      </c>
      <c r="E1249" s="2" t="n"/>
      <c r="F1249" s="2" t="n"/>
      <c r="G1249" s="2" t="n"/>
      <c r="H1249" s="3" t="inlineStr">
        <is>
          <t>item: labour, workforce split (average H1-2026); value: 803 blue-collar, 946 salaried, 38 other; year: 2026; source: notes 4</t>
        </is>
      </c>
      <c r="I1249" s="2" t="inlineStr">
        <is>
          <t>S5</t>
        </is>
      </c>
      <c r="J1249" s="2" t="n">
        <v>40</v>
      </c>
      <c r="K1249" s="3" t="inlineStr">
        <is>
          <t>Blue-collar workers 803 710 Salaried employees 946 388 Other 38 20</t>
        </is>
      </c>
      <c r="L1249" s="2" t="inlineStr">
        <is>
          <t>ok</t>
        </is>
      </c>
      <c r="M1249" s="2" t="inlineStr">
        <is>
          <t>demo reviewer</t>
        </is>
      </c>
      <c r="N1249" s="2" t="n"/>
      <c r="O1249" s="3" t="inlineStr">
        <is>
          <t>https://vanillabonds.com/dossier-data/pdf/katjes/katjes-h1-2026-interim-report.pdf#page=40</t>
        </is>
      </c>
      <c r="P1249" s="3" t="inlineStr">
        <is>
          <t>https://vanillabonds.com/dossier.html?c=katjes&amp;viewer=1&amp;item=F1248</t>
        </is>
      </c>
      <c r="Q1249" s="2" t="inlineStr"/>
    </row>
    <row r="1250">
      <c r="A1250" s="2" t="inlineStr">
        <is>
          <t>F1249</t>
        </is>
      </c>
      <c r="B1250" s="2" t="inlineStr">
        <is>
          <t>market_data</t>
        </is>
      </c>
      <c r="C1250" s="2" t="inlineStr">
        <is>
          <t>instrument_term</t>
        </is>
      </c>
      <c r="D1250" s="3" t="inlineStr">
        <is>
          <t>Instrument term: term (rate type, base rate, maturity, call, listing, ISIN, denomination, settlement, holders, transfer); value</t>
        </is>
      </c>
      <c r="E1250" s="2" t="n"/>
      <c r="F1250" s="2" t="n"/>
      <c r="G1250" s="2" t="n"/>
      <c r="H1250" s="3" t="inlineStr">
        <is>
          <t>term: maturity; value: 2028 (bond named '2023/2028 bond')</t>
        </is>
      </c>
      <c r="I1250" s="2" t="inlineStr">
        <is>
          <t>S5</t>
        </is>
      </c>
      <c r="J1250" s="2" t="n">
        <v>23</v>
      </c>
      <c r="K1250" s="3" t="inlineStr">
        <is>
          <t>attributable to the increase in the 2023/2028 bond in connection with the acquisition of Missoni</t>
        </is>
      </c>
      <c r="L1250" s="2" t="inlineStr">
        <is>
          <t>ok</t>
        </is>
      </c>
      <c r="M1250" s="2" t="inlineStr">
        <is>
          <t>demo reviewer</t>
        </is>
      </c>
      <c r="N1250" s="2" t="n"/>
      <c r="O1250" s="3" t="inlineStr">
        <is>
          <t>https://vanillabonds.com/dossier-data/pdf/katjes/katjes-h1-2026-interim-report.pdf#page=23</t>
        </is>
      </c>
      <c r="P1250" s="3" t="inlineStr">
        <is>
          <t>https://vanillabonds.com/dossier.html?c=katjes&amp;viewer=1&amp;item=F1249</t>
        </is>
      </c>
      <c r="Q1250" s="2" t="inlineStr"/>
    </row>
    <row r="1251">
      <c r="A1251" s="2" t="inlineStr">
        <is>
          <t>F1250</t>
        </is>
      </c>
      <c r="B1251" s="2" t="inlineStr">
        <is>
          <t>market_data</t>
        </is>
      </c>
      <c r="C1251" s="2" t="inlineStr">
        <is>
          <t>instrument_term</t>
        </is>
      </c>
      <c r="D1251" s="3" t="inlineStr">
        <is>
          <t>Instrument term: term (rate type, base rate, maturity, call, listing, ISIN, denomination, settlement, holders, transfer); value</t>
        </is>
      </c>
      <c r="E1251" s="2" t="n"/>
      <c r="F1251" s="2" t="n">
        <v>14.8</v>
      </c>
      <c r="G1251" s="2" t="n"/>
      <c r="H1251" s="3" t="inlineStr">
        <is>
          <t>term: tap; value: increase of the 2023/2028 bond, EUR 14.8m net of transaction costs received in H1-2026</t>
        </is>
      </c>
      <c r="I1251" s="2" t="inlineStr">
        <is>
          <t>S5</t>
        </is>
      </c>
      <c r="J1251" s="2" t="n">
        <v>34</v>
      </c>
      <c r="K1251" s="3" t="inlineStr">
        <is>
          <t>Increase in the 2023/2028 bond, net of transaction costs relating to the increase 14.8 0.0</t>
        </is>
      </c>
      <c r="L1251" s="2" t="inlineStr">
        <is>
          <t>ok</t>
        </is>
      </c>
      <c r="M1251" s="2" t="inlineStr">
        <is>
          <t>demo reviewer</t>
        </is>
      </c>
      <c r="N1251" s="2" t="n"/>
      <c r="O1251" s="3" t="inlineStr">
        <is>
          <t>https://vanillabonds.com/dossier-data/pdf/katjes/katjes-h1-2026-interim-report.pdf#page=34</t>
        </is>
      </c>
      <c r="P1251" s="3" t="inlineStr">
        <is>
          <t>https://vanillabonds.com/dossier.html?c=katjes&amp;viewer=1&amp;item=F1250</t>
        </is>
      </c>
      <c r="Q1251" s="2" t="inlineStr"/>
    </row>
    <row r="1252">
      <c r="A1252" s="2" t="inlineStr">
        <is>
          <t>F1251</t>
        </is>
      </c>
      <c r="B1252" s="2" t="inlineStr">
        <is>
          <t>market_data</t>
        </is>
      </c>
      <c r="C1252" s="2" t="inlineStr">
        <is>
          <t>instrument_term</t>
        </is>
      </c>
      <c r="D1252" s="3" t="inlineStr">
        <is>
          <t>Instrument term: term (rate type, base rate, maturity, call, listing, ISIN, denomination, settlement, holders, transfer); value</t>
        </is>
      </c>
      <c r="E1252" s="2" t="n"/>
      <c r="F1252" s="2" t="n">
        <v>191.3</v>
      </c>
      <c r="G1252" s="2" t="n"/>
      <c r="H1252" s="3" t="inlineStr">
        <is>
          <t>term: fair value; value: EUR 191.3m fair value (level II) vs 200.0 carrying amount at 30 June 2026, amortised cost</t>
        </is>
      </c>
      <c r="I1252" s="2" t="inlineStr">
        <is>
          <t>S5</t>
        </is>
      </c>
      <c r="J1252" s="2" t="n">
        <v>42</v>
      </c>
      <c r="K1252" s="3" t="inlineStr">
        <is>
          <t>Liabilities from the issuance of a bond2 200.0 191.3** Amortised cost</t>
        </is>
      </c>
      <c r="L1252" s="2" t="inlineStr">
        <is>
          <t>ok</t>
        </is>
      </c>
      <c r="M1252" s="2" t="inlineStr">
        <is>
          <t>demo reviewer</t>
        </is>
      </c>
      <c r="N1252" s="2" t="n"/>
      <c r="O1252" s="3" t="inlineStr">
        <is>
          <t>https://vanillabonds.com/dossier-data/pdf/katjes/katjes-h1-2026-interim-report.pdf#page=42</t>
        </is>
      </c>
      <c r="P1252" s="3" t="inlineStr">
        <is>
          <t>https://vanillabonds.com/dossier.html?c=katjes&amp;viewer=1&amp;item=F1251</t>
        </is>
      </c>
      <c r="Q1252" s="2" t="inlineStr"/>
    </row>
    <row r="1253">
      <c r="A1253" s="2" t="inlineStr">
        <is>
          <t>F1252</t>
        </is>
      </c>
      <c r="B1253" s="2" t="inlineStr">
        <is>
          <t>financials</t>
        </is>
      </c>
      <c r="C1253" s="2" t="inlineStr">
        <is>
          <t>gross_debt</t>
        </is>
      </c>
      <c r="D1253" s="3" t="inlineStr">
        <is>
          <t>Gross financial debt (bonds + loans, excl. leases)</t>
        </is>
      </c>
      <c r="E1253" s="2" t="inlineStr">
        <is>
          <t>FY2025</t>
        </is>
      </c>
      <c r="F1253" s="2" t="n"/>
      <c r="G1253" s="2" t="inlineStr">
        <is>
          <t>EUR m</t>
        </is>
      </c>
      <c r="H1253" s="3" t="inlineStr">
        <is>
          <t>No total excluding leases stated; components at 31 Dec 2025: bond 185.0; liabilities to banks and other financial liabilities 35.5 non-current and 53.8 current; interest liabilities 3.8 (lease liabilities 58.0 non-current and 16.7 current excluded). Sum left to schema.derive or the reviewer.</t>
        </is>
      </c>
      <c r="I1253" s="2" t="inlineStr">
        <is>
          <t>S3</t>
        </is>
      </c>
      <c r="J1253" s="2" t="n">
        <v>68</v>
      </c>
      <c r="K1253" s="3" t="inlineStr">
        <is>
          <t>Liabilities from the issuance of a bond 185.0 115.0 Liabilities to banks and other financial liabilities 35.5 27.5</t>
        </is>
      </c>
      <c r="L1253" s="2" t="inlineStr">
        <is>
          <t>ok</t>
        </is>
      </c>
      <c r="M1253" s="2" t="inlineStr">
        <is>
          <t>demo reviewer</t>
        </is>
      </c>
      <c r="N1253" s="2" t="n"/>
      <c r="O1253" s="3" t="inlineStr">
        <is>
          <t>https://vanillabonds.com/dossier-data/pdf/katjes/katjes-2025-annual-report.pdf#page=68</t>
        </is>
      </c>
      <c r="P1253" s="3" t="inlineStr">
        <is>
          <t>https://vanillabonds.com/dossier.html?c=katjes&amp;viewer=1&amp;item=F1252</t>
        </is>
      </c>
      <c r="Q1253" s="2" t="inlineStr"/>
    </row>
    <row r="1254">
      <c r="A1254" s="2" t="inlineStr">
        <is>
          <t>F1253</t>
        </is>
      </c>
      <c r="B1254" s="2" t="inlineStr">
        <is>
          <t>financials</t>
        </is>
      </c>
      <c r="C1254" s="2" t="inlineStr">
        <is>
          <t>audit_adjustment</t>
        </is>
      </c>
      <c r="D1254" s="3" t="inlineStr">
        <is>
          <t>Audit facts: adjustments (number); management_letter_points (number); restatements; key_audit_matters</t>
        </is>
      </c>
      <c r="E1254" s="2" t="inlineStr">
        <is>
          <t>FY2024</t>
        </is>
      </c>
      <c r="F1254" s="2" t="n"/>
      <c r="G1254" s="2" t="n"/>
      <c r="H1254" s="3" t="inlineStr">
        <is>
          <t>restatements: FY2024 regional revenue figures adjusted in the FY2025 report to reflect the inclusion of the Bogner entities</t>
        </is>
      </c>
      <c r="I1254" s="2" t="inlineStr">
        <is>
          <t>S3</t>
        </is>
      </c>
      <c r="J1254" s="2" t="n">
        <v>77</v>
      </c>
      <c r="K1254" s="3" t="inlineStr">
        <is>
          <t>To reflect the inclusion of the Bogner entities, prior year figures have been adjusted in certain areas.</t>
        </is>
      </c>
      <c r="L1254" s="2" t="inlineStr">
        <is>
          <t>ok</t>
        </is>
      </c>
      <c r="M1254" s="2" t="inlineStr">
        <is>
          <t>demo reviewer</t>
        </is>
      </c>
      <c r="N1254" s="2" t="n"/>
      <c r="O1254" s="3" t="inlineStr">
        <is>
          <t>https://vanillabonds.com/dossier-data/pdf/katjes/katjes-2025-annual-report.pdf#page=77</t>
        </is>
      </c>
      <c r="P1254" s="3" t="inlineStr">
        <is>
          <t>https://vanillabonds.com/dossier.html?c=katjes&amp;viewer=1&amp;item=F1253</t>
        </is>
      </c>
      <c r="Q1254" s="2" t="inlineStr"/>
    </row>
    <row r="1255">
      <c r="A1255" s="2" t="inlineStr">
        <is>
          <t>F1254</t>
        </is>
      </c>
      <c r="B1255" s="2" t="inlineStr">
        <is>
          <t>management</t>
        </is>
      </c>
      <c r="C1255" s="2" t="inlineStr">
        <is>
          <t>ebitda_budget</t>
        </is>
      </c>
      <c r="D1255" s="3" t="inlineStr">
        <is>
          <t>EBITDA as budgeted for that year (management plan at the time)</t>
        </is>
      </c>
      <c r="E1255" s="2" t="inlineStr">
        <is>
          <t>FY2025</t>
        </is>
      </c>
      <c r="F1255" s="2" t="n"/>
      <c r="G1255" s="2" t="inlineStr">
        <is>
          <t>EUR m</t>
        </is>
      </c>
      <c r="H1255" s="3" t="inlineStr">
        <is>
          <t>Guidance for 2025 as stated in the FY2024 report: EBITDA margin between 9% and 10% (no absolute figure).</t>
        </is>
      </c>
      <c r="I1255" s="2" t="inlineStr">
        <is>
          <t>S2</t>
        </is>
      </c>
      <c r="J1255" s="2" t="n">
        <v>38</v>
      </c>
      <c r="K1255" s="3" t="inlineStr">
        <is>
          <t>Katjes International is targeting an EBITDA margin between 9% and 10% in 2025.</t>
        </is>
      </c>
      <c r="L1255" s="2" t="inlineStr">
        <is>
          <t>ok</t>
        </is>
      </c>
      <c r="M1255" s="2" t="inlineStr">
        <is>
          <t>demo reviewer</t>
        </is>
      </c>
      <c r="N1255" s="2" t="n"/>
      <c r="O1255" s="3" t="inlineStr">
        <is>
          <t>https://vanillabonds.com/dossier-data/pdf/katjes/katjes-2024-annual-report.pdf#page=38</t>
        </is>
      </c>
      <c r="P1255" s="3" t="inlineStr">
        <is>
          <t>https://vanillabonds.com/dossier.html?c=katjes&amp;viewer=1&amp;item=F1254</t>
        </is>
      </c>
      <c r="Q1255" s="2" t="inlineStr"/>
    </row>
    <row r="1256">
      <c r="A1256" s="2" t="inlineStr">
        <is>
          <t>F1255</t>
        </is>
      </c>
      <c r="B1256" s="2" t="inlineStr">
        <is>
          <t>management</t>
        </is>
      </c>
      <c r="C1256" s="2" t="inlineStr">
        <is>
          <t>ebitda_budget</t>
        </is>
      </c>
      <c r="D1256" s="3" t="inlineStr">
        <is>
          <t>EBITDA as budgeted for that year (management plan at the time)</t>
        </is>
      </c>
      <c r="E1256" s="2" t="inlineStr">
        <is>
          <t>FY2026</t>
        </is>
      </c>
      <c r="F1256" s="2" t="n"/>
      <c r="G1256" s="2" t="inlineStr">
        <is>
          <t>EUR m</t>
        </is>
      </c>
      <c r="H1256" s="3" t="inlineStr">
        <is>
          <t>Guidance for 2026 as stated in the FY2025 report: EBITDA margin between 10% and 12% (no absolute figure).</t>
        </is>
      </c>
      <c r="I1256" s="2" t="inlineStr">
        <is>
          <t>S3</t>
        </is>
      </c>
      <c r="J1256" s="2" t="n">
        <v>35</v>
      </c>
      <c r="K1256" s="3" t="inlineStr">
        <is>
          <t>With regard to earnings, Katjes International plans to achieve an EBITDA margin between 10% and 12% in the financial year 2026.</t>
        </is>
      </c>
      <c r="L1256" s="2" t="inlineStr">
        <is>
          <t>ok</t>
        </is>
      </c>
      <c r="M1256" s="2" t="inlineStr">
        <is>
          <t>demo reviewer</t>
        </is>
      </c>
      <c r="N1256" s="2" t="n"/>
      <c r="O1256" s="3" t="inlineStr">
        <is>
          <t>https://vanillabonds.com/dossier-data/pdf/katjes/katjes-2025-annual-report.pdf#page=35</t>
        </is>
      </c>
      <c r="P1256" s="3" t="inlineStr">
        <is>
          <t>https://vanillabonds.com/dossier.html?c=katjes&amp;viewer=1&amp;item=F1255</t>
        </is>
      </c>
      <c r="Q1256" s="2" t="inlineStr"/>
    </row>
    <row r="1257">
      <c r="A1257" s="2" t="inlineStr">
        <is>
          <t>F1256</t>
        </is>
      </c>
      <c r="B1257" s="2" t="inlineStr">
        <is>
          <t>identity</t>
        </is>
      </c>
      <c r="C1257" s="2" t="inlineStr">
        <is>
          <t>lei</t>
        </is>
      </c>
      <c r="D1257" s="2" t="inlineStr">
        <is>
          <t>LEI</t>
        </is>
      </c>
      <c r="E1257" s="2" t="n"/>
      <c r="F1257" s="2" t="n"/>
      <c r="G1257" s="2" t="n"/>
      <c r="H1257" s="3" t="inlineStr">
        <is>
          <t>LEI: 529900UHZK3SEUYFH322; legal name: Katjes International GmbH &amp; Co. KG; registration status: ISSUED; entity status: ACTIVE; last update: 2026-09-19; next renewal: 2027-11-17</t>
        </is>
      </c>
      <c r="I1257" s="2" t="inlineStr">
        <is>
          <t>S6</t>
        </is>
      </c>
      <c r="J1257" s="2" t="n">
        <v>0</v>
      </c>
      <c r="K1257" s="3" t="inlineStr">
        <is>
          <t>LEI: 529900UHZK3SEUYFH322 ... Registration status: ISSUED ... Next renewal date: 2027-11-17</t>
        </is>
      </c>
      <c r="L1257" s="2" t="inlineStr">
        <is>
          <t>pend</t>
        </is>
      </c>
      <c r="M1257" s="2" t="n"/>
      <c r="N1257" s="2" t="inlineStr">
        <is>
          <t>web quote, verify at URL</t>
        </is>
      </c>
      <c r="O1257" s="3" t="inlineStr">
        <is>
          <t>https://api.gleif.org/api/v1/lei-records?filter[entity.legalName]=Katjes International</t>
        </is>
      </c>
      <c r="P1257" s="3" t="inlineStr">
        <is>
          <t>https://api.gleif.org/api/v1/lei-records?filter[entity.legalName]=Katjes International</t>
        </is>
      </c>
      <c r="Q1257" s="2" t="inlineStr">
        <is>
          <t>no</t>
        </is>
      </c>
    </row>
    <row r="1258">
      <c r="A1258" s="2" t="inlineStr">
        <is>
          <t>F1257</t>
        </is>
      </c>
      <c r="B1258" s="2" t="inlineStr">
        <is>
          <t>identity</t>
        </is>
      </c>
      <c r="C1258" s="2" t="inlineStr">
        <is>
          <t>registry</t>
        </is>
      </c>
      <c r="D1258" s="2" t="inlineStr">
        <is>
          <t>Commercial register / registration no.</t>
        </is>
      </c>
      <c r="E1258" s="2" t="n"/>
      <c r="F1258" s="2" t="n"/>
      <c r="G1258" s="2" t="n"/>
      <c r="H1258" s="3" t="inlineStr">
        <is>
          <t>register: Amtsgericht Kleve; number: HRA 1076; registration authority entity ID: RA000278 (as recorded in the GLEIF record)</t>
        </is>
      </c>
      <c r="I1258" s="2" t="inlineStr">
        <is>
          <t>S6</t>
        </is>
      </c>
      <c r="J1258" s="2" t="n">
        <v>0</v>
      </c>
      <c r="K1258" s="3" t="inlineStr">
        <is>
          <t>Registration authority entity ID: RA000278 (registered as HRA 1076)</t>
        </is>
      </c>
      <c r="L1258" s="2" t="inlineStr">
        <is>
          <t>pend</t>
        </is>
      </c>
      <c r="M1258" s="2" t="n"/>
      <c r="N1258" s="2" t="inlineStr">
        <is>
          <t>web quote, verify at URL</t>
        </is>
      </c>
      <c r="O1258" s="3" t="inlineStr">
        <is>
          <t>https://api.gleif.org/api/v1/lei-records?filter[entity.legalName]=Katjes International</t>
        </is>
      </c>
      <c r="P1258" s="3" t="inlineStr">
        <is>
          <t>https://api.gleif.org/api/v1/lei-records?filter[entity.legalName]=Katjes International</t>
        </is>
      </c>
      <c r="Q1258" s="2" t="inlineStr">
        <is>
          <t>no</t>
        </is>
      </c>
    </row>
    <row r="1259">
      <c r="A1259" s="2" t="inlineStr">
        <is>
          <t>F1258</t>
        </is>
      </c>
      <c r="B1259" s="2" t="inlineStr">
        <is>
          <t>market_data</t>
        </is>
      </c>
      <c r="C1259" s="2" t="inlineStr">
        <is>
          <t>instrument_term</t>
        </is>
      </c>
      <c r="D1259" s="3" t="inlineStr">
        <is>
          <t>Instrument term: term (rate type, base rate, maturity, call, listing, ISIN, denomination, settlement, holders, transfer); value</t>
        </is>
      </c>
      <c r="E1259" s="2" t="n"/>
      <c r="F1259" s="2" t="n">
        <v>102.45</v>
      </c>
      <c r="G1259" s="2" t="n"/>
      <c r="H1259" s="3" t="inlineStr">
        <is>
          <t>term: last price; value: 102.45 (price date shown in the yield section: 2026-10-19; venue: Munich; page shows 'heute' for the quote time)</t>
        </is>
      </c>
      <c r="I1259" s="2" t="inlineStr">
        <is>
          <t>S7</t>
        </is>
      </c>
      <c r="J1259" s="2" t="n">
        <v>0</v>
      </c>
      <c r="K1259" s="3" t="inlineStr">
        <is>
          <t>Kurs 102,450 % München 10:16:27; Kurs-Datum 19.10.2026</t>
        </is>
      </c>
      <c r="L1259" s="2" t="inlineStr">
        <is>
          <t>pend</t>
        </is>
      </c>
      <c r="M1259" s="2" t="n"/>
      <c r="N1259" s="2" t="inlineStr">
        <is>
          <t>web quote, verify at URL</t>
        </is>
      </c>
      <c r="O1259" s="3" t="inlineStr">
        <is>
          <t>https://www.onvista.de/anleihen/KATJES-INT-IHS-23-28-Anleihe-NO0012888769</t>
        </is>
      </c>
      <c r="P1259" s="3" t="inlineStr">
        <is>
          <t>https://www.onvista.de/anleihen/KATJES-INT-IHS-23-28-Anleihe-NO0012888769</t>
        </is>
      </c>
      <c r="Q1259" s="2" t="inlineStr"/>
    </row>
    <row r="1260">
      <c r="A1260" s="2" t="inlineStr">
        <is>
          <t>F1259</t>
        </is>
      </c>
      <c r="B1260" s="2" t="inlineStr">
        <is>
          <t>market_data</t>
        </is>
      </c>
      <c r="C1260" s="2" t="inlineStr">
        <is>
          <t>instrument_term</t>
        </is>
      </c>
      <c r="D1260" s="3" t="inlineStr">
        <is>
          <t>Instrument term: term (rate type, base rate, maturity, call, listing, ISIN, denomination, settlement, holders, transfer); value</t>
        </is>
      </c>
      <c r="E1260" s="2" t="n"/>
      <c r="F1260" s="2" t="n">
        <v>6.75</v>
      </c>
      <c r="G1260" s="2" t="n"/>
      <c r="H1260" s="3" t="inlineStr">
        <is>
          <t>term: coupon; value: 6.75 % fixed, annual; maturity: 2028-09-21; ISIN: NO0012888769; denomination: 1,000</t>
        </is>
      </c>
      <c r="I1260" s="2" t="inlineStr">
        <is>
          <t>S7</t>
        </is>
      </c>
      <c r="J1260" s="2" t="n">
        <v>0</v>
      </c>
      <c r="K1260" s="2" t="inlineStr">
        <is>
          <t>Fälligkeit 21.09.2028</t>
        </is>
      </c>
      <c r="L1260" s="2" t="inlineStr">
        <is>
          <t>pend</t>
        </is>
      </c>
      <c r="M1260" s="2" t="n"/>
      <c r="N1260" s="2" t="inlineStr">
        <is>
          <t>web quote, verify at URL</t>
        </is>
      </c>
      <c r="O1260" s="3" t="inlineStr">
        <is>
          <t>https://www.onvista.de/anleihen/KATJES-INT-IHS-23-28-Anleihe-NO0012888769</t>
        </is>
      </c>
      <c r="P1260" s="3" t="inlineStr">
        <is>
          <t>https://www.onvista.de/anleihen/KATJES-INT-IHS-23-28-Anleihe-NO0012888769</t>
        </is>
      </c>
      <c r="Q1260" s="2" t="inlineStr"/>
    </row>
    <row r="1261">
      <c r="A1261" s="2" t="inlineStr">
        <is>
          <t>F1260</t>
        </is>
      </c>
      <c r="B1261" s="2" t="inlineStr">
        <is>
          <t>business</t>
        </is>
      </c>
      <c r="C1261" s="2" t="inlineStr">
        <is>
          <t>key_event</t>
        </is>
      </c>
      <c r="D1261" s="2" t="inlineStr">
        <is>
          <t>Key event (M&amp;A, financing, strategy)</t>
        </is>
      </c>
      <c r="E1261" s="2" t="n"/>
      <c r="F1261" s="2" t="n">
        <v>70</v>
      </c>
      <c r="G1261" s="2" t="n"/>
      <c r="H1261" s="3" t="inlineStr">
        <is>
          <t>event: tap of the 2023/2028 corporate bond by EUR 70m via private placement; date: 2025-08-05; use of proceeds as stated by the company: acquisition of a 60% stake in Willy Bogner GmbH</t>
        </is>
      </c>
      <c r="I1261" s="2" t="inlineStr">
        <is>
          <t>S8</t>
        </is>
      </c>
      <c r="J1261" s="2" t="n">
        <v>0</v>
      </c>
      <c r="K1261" s="3" t="inlineStr">
        <is>
          <t>Tap of EUR 70 million based on significant oversubscription</t>
        </is>
      </c>
      <c r="L1261" s="2" t="inlineStr">
        <is>
          <t>pend</t>
        </is>
      </c>
      <c r="M1261" s="2" t="n"/>
      <c r="N1261" s="2" t="inlineStr">
        <is>
          <t>web quote, verify at URL</t>
        </is>
      </c>
      <c r="O1261" s="3" t="inlineStr">
        <is>
          <t>https://www.placera.se/pressmeddelanden/katjes-international-successfully-taps-its-corporate-bond-by-eur-70-million-20250805</t>
        </is>
      </c>
      <c r="P1261" s="3" t="inlineStr">
        <is>
          <t>https://www.placera.se/pressmeddelanden/katjes-international-successfully-taps-its-corporate-bond-by-eur-70-million-20250805</t>
        </is>
      </c>
      <c r="Q1261" s="2" t="inlineStr"/>
    </row>
    <row r="1262">
      <c r="A1262" s="2" t="inlineStr">
        <is>
          <t>F1261</t>
        </is>
      </c>
      <c r="B1262" s="2" t="inlineStr">
        <is>
          <t>business</t>
        </is>
      </c>
      <c r="C1262" s="2" t="inlineStr">
        <is>
          <t>key_event</t>
        </is>
      </c>
      <c r="D1262" s="2" t="inlineStr">
        <is>
          <t>Key event (M&amp;A, financing, strategy)</t>
        </is>
      </c>
      <c r="E1262" s="2" t="n"/>
      <c r="F1262" s="2" t="n">
        <v>185</v>
      </c>
      <c r="G1262" s="2" t="n"/>
      <c r="H1262" s="3" t="inlineStr">
        <is>
          <t>event: outstanding volume of the bond after the tap; amount: EUR 185m; date: 2025-08-05</t>
        </is>
      </c>
      <c r="I1262" s="2" t="inlineStr">
        <is>
          <t>S8</t>
        </is>
      </c>
      <c r="J1262" s="2" t="n">
        <v>0</v>
      </c>
      <c r="K1262" s="3" t="inlineStr">
        <is>
          <t>...bringing the total outstanding volume to EUR 185 million.</t>
        </is>
      </c>
      <c r="L1262" s="2" t="inlineStr">
        <is>
          <t>pend</t>
        </is>
      </c>
      <c r="M1262" s="2" t="n"/>
      <c r="N1262" s="2" t="inlineStr">
        <is>
          <t>web quote, verify at URL</t>
        </is>
      </c>
      <c r="O1262" s="3" t="inlineStr">
        <is>
          <t>https://www.placera.se/pressmeddelanden/katjes-international-successfully-taps-its-corporate-bond-by-eur-70-million-20250805</t>
        </is>
      </c>
      <c r="P1262" s="3" t="inlineStr">
        <is>
          <t>https://www.placera.se/pressmeddelanden/katjes-international-successfully-taps-its-corporate-bond-by-eur-70-million-20250805</t>
        </is>
      </c>
      <c r="Q1262" s="2" t="inlineStr"/>
    </row>
    <row r="1263">
      <c r="A1263" s="2" t="inlineStr">
        <is>
          <t>F1262</t>
        </is>
      </c>
      <c r="B1263" s="2" t="inlineStr">
        <is>
          <t>business</t>
        </is>
      </c>
      <c r="C1263" s="2" t="inlineStr">
        <is>
          <t>key_event</t>
        </is>
      </c>
      <c r="D1263" s="2" t="inlineStr">
        <is>
          <t>Key event (M&amp;A, financing, strategy)</t>
        </is>
      </c>
      <c r="E1263" s="2" t="n"/>
      <c r="F1263" s="2" t="n"/>
      <c r="G1263" s="2" t="n"/>
      <c r="H1263" s="3" t="inlineStr">
        <is>
          <t>event: law firm announcement on the tap under the existing increase option; date: 2025-08-06; outstanding amount stated: EUR 185m</t>
        </is>
      </c>
      <c r="I1263" s="2" t="inlineStr">
        <is>
          <t>S9</t>
        </is>
      </c>
      <c r="J1263" s="2" t="n">
        <v>0</v>
      </c>
      <c r="K1263" s="3" t="inlineStr">
        <is>
          <t>Insgesamt beträgt das ausstehende Anleihevolumen damit EUR 185 Mio.</t>
        </is>
      </c>
      <c r="L1263" s="2" t="inlineStr">
        <is>
          <t>pend</t>
        </is>
      </c>
      <c r="M1263" s="2" t="n"/>
      <c r="N1263" s="2" t="inlineStr">
        <is>
          <t>web quote, verify at URL</t>
        </is>
      </c>
      <c r="O1263" s="3" t="inlineStr">
        <is>
          <t>https://www.hlc.com/de/news/hogan-lovells-beraet-katjes-bei-aufstockung-ihrer-nordic-bonds</t>
        </is>
      </c>
      <c r="P1263" s="3" t="inlineStr">
        <is>
          <t>https://www.hlc.com/de/news/hogan-lovells-beraet-katjes-bei-aufstockung-ihrer-nordic-bonds</t>
        </is>
      </c>
      <c r="Q1263" s="2" t="inlineStr"/>
    </row>
    <row r="1264">
      <c r="A1264" s="2" t="inlineStr">
        <is>
          <t>F1263</t>
        </is>
      </c>
      <c r="B1264" s="2" t="inlineStr">
        <is>
          <t>business</t>
        </is>
      </c>
      <c r="C1264" s="2" t="inlineStr">
        <is>
          <t>key_event</t>
        </is>
      </c>
      <c r="D1264" s="2" t="inlineStr">
        <is>
          <t>Key event (M&amp;A, financing, strategy)</t>
        </is>
      </c>
      <c r="E1264" s="2" t="inlineStr">
        <is>
          <t>FY2025</t>
        </is>
      </c>
      <c r="F1264" s="2" t="n"/>
      <c r="G1264" s="2" t="n"/>
      <c r="H1264" s="3" t="inlineStr">
        <is>
          <t>event: publication of the 2025 consolidated financial statements; date: 2026-04-02 (Euronext Oslo company-news entry dated 2026-04-02); revenue as stated by the company: EUR 503.0m</t>
        </is>
      </c>
      <c r="I1264" s="2" t="inlineStr">
        <is>
          <t>S10</t>
        </is>
      </c>
      <c r="J1264" s="2" t="n">
        <v>0</v>
      </c>
      <c r="K1264" s="3" t="inlineStr">
        <is>
          <t>Der Konzernumsatz stieg auf EUR 503,0 Mio. (Vorjahr: EUR 392,6 Mio.; +28,1%).</t>
        </is>
      </c>
      <c r="L1264" s="2" t="inlineStr">
        <is>
          <t>pend</t>
        </is>
      </c>
      <c r="M1264" s="2" t="n"/>
      <c r="N1264" s="2" t="inlineStr">
        <is>
          <t>web quote, verify at URL</t>
        </is>
      </c>
      <c r="O1264" s="3" t="inlineStr">
        <is>
          <t>https://www.yumda.com/de/news/1188448/katjes-mit-rekord-bei-umsatz-und-ergebnis.html</t>
        </is>
      </c>
      <c r="P1264" s="3" t="inlineStr">
        <is>
          <t>https://www.yumda.com/de/news/1188448/katjes-mit-rekord-bei-umsatz-und-ergebnis.html</t>
        </is>
      </c>
      <c r="Q1264" s="2" t="inlineStr"/>
    </row>
    <row r="1265">
      <c r="A1265" s="2" t="inlineStr">
        <is>
          <t>F1264</t>
        </is>
      </c>
      <c r="B1265" s="2" t="inlineStr">
        <is>
          <t>compliance</t>
        </is>
      </c>
      <c r="C1265" s="2" t="inlineStr">
        <is>
          <t>litigation_item</t>
        </is>
      </c>
      <c r="D1265" s="3" t="inlineStr">
        <is>
          <t>Litigation, insolvency, fine or tax dispute: register; case; date; amount; status</t>
        </is>
      </c>
      <c r="E1265" s="2" t="n"/>
      <c r="F1265" s="2" t="n">
        <v>37</v>
      </c>
      <c r="G1265" s="2" t="n"/>
      <c r="H1265" s="3" t="inlineStr">
        <is>
          <t>register: press report (court register not queried); case: Katjes as claimant against Südzucker, Nordzucker, Pfeifer &amp; Langen (Diamant-Zucker), Mannheim; date: 2016-02-01 (article date); amount: about EUR 37m claimed; status: trial begun at date of article, current status not checked</t>
        </is>
      </c>
      <c r="I1265" s="2" t="inlineStr">
        <is>
          <t>S11</t>
        </is>
      </c>
      <c r="J1265" s="2" t="n">
        <v>0</v>
      </c>
      <c r="K1265" s="3" t="inlineStr">
        <is>
          <t>verlangt insgesamt rund 37 Millionen Euro Entschädigung</t>
        </is>
      </c>
      <c r="L1265" s="2" t="inlineStr">
        <is>
          <t>pend</t>
        </is>
      </c>
      <c r="M1265" s="2" t="n"/>
      <c r="N1265" s="2" t="inlineStr">
        <is>
          <t>web quote, verify at URL</t>
        </is>
      </c>
      <c r="O1265" s="3" t="inlineStr">
        <is>
          <t>https://www.yumda.com/de/news/1147058/katjes-und-zuckerproduzenten-streiten-vor-gericht-um-schadensersatz.html</t>
        </is>
      </c>
      <c r="P1265" s="3" t="inlineStr">
        <is>
          <t>https://www.yumda.com/de/news/1147058/katjes-und-zuckerproduzenten-streiten-vor-gericht-um-schadensersatz.html</t>
        </is>
      </c>
      <c r="Q1265" s="2" t="inlineStr"/>
    </row>
    <row r="1266">
      <c r="A1266" s="2" t="inlineStr">
        <is>
          <t>F1265</t>
        </is>
      </c>
      <c r="B1266" s="2" t="inlineStr">
        <is>
          <t>management</t>
        </is>
      </c>
      <c r="C1266" s="2" t="inlineStr">
        <is>
          <t>mgmt_person</t>
        </is>
      </c>
      <c r="D1266" s="3" t="inlineStr">
        <is>
          <t>Executive: name, role, since, prior roles (register / report)</t>
        </is>
      </c>
      <c r="E1266" s="2" t="n"/>
      <c r="F1266" s="2" t="n"/>
      <c r="G1266" s="2" t="n"/>
      <c r="H1266" s="3" t="inlineStr">
        <is>
          <t>names listed on Wikipedia as key people: Tobias Bachmüller, Bastian Fassin (managing shareholders), Stephan Milde (managing director, CFO); Handelsregister extract not retrieved, page may be dated</t>
        </is>
      </c>
      <c r="I1266" s="2" t="inlineStr">
        <is>
          <t>S12</t>
        </is>
      </c>
      <c r="J1266" s="2" t="n">
        <v>0</v>
      </c>
      <c r="K1266" s="3" t="inlineStr">
        <is>
          <t>Key people: Tobias Bachmüller, Bastian Fassin (managing shareholders) Stephan Milde (managing director, CFO)</t>
        </is>
      </c>
      <c r="L1266" s="2" t="inlineStr">
        <is>
          <t>pend</t>
        </is>
      </c>
      <c r="M1266" s="2" t="n"/>
      <c r="N1266" s="2" t="inlineStr">
        <is>
          <t>web quote, verify at URL</t>
        </is>
      </c>
      <c r="O1266" s="3" t="inlineStr">
        <is>
          <t>https://en.wikipedia.org/wiki/Katjes_International</t>
        </is>
      </c>
      <c r="P1266" s="3" t="inlineStr">
        <is>
          <t>https://en.wikipedia.org/wiki/Katjes_International</t>
        </is>
      </c>
      <c r="Q1266" s="2" t="inlineStr"/>
    </row>
    <row r="1267">
      <c r="A1267" s="2" t="inlineStr">
        <is>
          <t>F1266</t>
        </is>
      </c>
      <c r="B1267" s="2" t="inlineStr">
        <is>
          <t>identity</t>
        </is>
      </c>
      <c r="C1267" s="2" t="inlineStr">
        <is>
          <t>legal_name</t>
        </is>
      </c>
      <c r="D1267" s="2" t="inlineStr">
        <is>
          <t>Legal name</t>
        </is>
      </c>
      <c r="E1267" s="2" t="n"/>
      <c r="F1267" s="2" t="n"/>
      <c r="G1267" s="2" t="n"/>
      <c r="H1267" s="2" t="inlineStr">
        <is>
          <t>Katjes International GmbH &amp; Co. KG</t>
        </is>
      </c>
      <c r="I1267" s="2" t="inlineStr">
        <is>
          <t>S13</t>
        </is>
      </c>
      <c r="J1267" s="2" t="n">
        <v>3</v>
      </c>
      <c r="K1267" s="3" t="inlineStr">
        <is>
          <t>Katjes International GmbH &amp; Co. KG, a company existing under the laws of Germany with registration number HRA 1076</t>
        </is>
      </c>
      <c r="L1267" s="2" t="inlineStr">
        <is>
          <t>pend</t>
        </is>
      </c>
      <c r="M1267" s="2" t="n"/>
      <c r="N1267" s="2" t="n"/>
      <c r="O1267" s="3" t="inlineStr">
        <is>
          <t>https://vanillabonds.com/dossier-data/pdf/katjes/katjes-bond-2023-2028-bond-terms-signed.pdf#page=3</t>
        </is>
      </c>
      <c r="P1267" s="3" t="inlineStr">
        <is>
          <t>https://vanillabonds.com/dossier.html?c=katjes&amp;viewer=1&amp;item=F1266</t>
        </is>
      </c>
      <c r="Q1267" s="2" t="inlineStr">
        <is>
          <t>no</t>
        </is>
      </c>
    </row>
    <row r="1268">
      <c r="A1268" s="2" t="inlineStr">
        <is>
          <t>F1267</t>
        </is>
      </c>
      <c r="B1268" s="2" t="inlineStr">
        <is>
          <t>identity</t>
        </is>
      </c>
      <c r="C1268" s="2" t="inlineStr">
        <is>
          <t>legal_form</t>
        </is>
      </c>
      <c r="D1268" s="2" t="inlineStr">
        <is>
          <t>Legal form</t>
        </is>
      </c>
      <c r="E1268" s="2" t="n"/>
      <c r="F1268" s="2" t="n"/>
      <c r="G1268" s="2" t="n"/>
      <c r="H1268" s="3" t="inlineStr">
        <is>
          <t>German GmbH &amp; Co. KG (limited partnership)</t>
        </is>
      </c>
      <c r="I1268" s="2" t="inlineStr">
        <is>
          <t>S13</t>
        </is>
      </c>
      <c r="J1268" s="2" t="n">
        <v>3</v>
      </c>
      <c r="K1268" s="3" t="inlineStr">
        <is>
          <t>Katjes International GmbH &amp; Co. KG, a company existing under the laws of Germany with registration number HRA 1076</t>
        </is>
      </c>
      <c r="L1268" s="2" t="inlineStr">
        <is>
          <t>pend</t>
        </is>
      </c>
      <c r="M1268" s="2" t="n"/>
      <c r="N1268" s="2" t="n"/>
      <c r="O1268" s="3" t="inlineStr">
        <is>
          <t>https://vanillabonds.com/dossier-data/pdf/katjes/katjes-bond-2023-2028-bond-terms-signed.pdf#page=3</t>
        </is>
      </c>
      <c r="P1268" s="3" t="inlineStr">
        <is>
          <t>https://vanillabonds.com/dossier.html?c=katjes&amp;viewer=1&amp;item=F1267</t>
        </is>
      </c>
      <c r="Q1268" s="2" t="inlineStr">
        <is>
          <t>no</t>
        </is>
      </c>
    </row>
    <row r="1269">
      <c r="A1269" s="2" t="inlineStr">
        <is>
          <t>F1268</t>
        </is>
      </c>
      <c r="B1269" s="2" t="inlineStr">
        <is>
          <t>identity</t>
        </is>
      </c>
      <c r="C1269" s="2" t="inlineStr">
        <is>
          <t>registry</t>
        </is>
      </c>
      <c r="D1269" s="2" t="inlineStr">
        <is>
          <t>Commercial register / registration no.</t>
        </is>
      </c>
      <c r="E1269" s="2" t="n"/>
      <c r="F1269" s="2" t="n"/>
      <c r="G1269" s="2" t="n"/>
      <c r="H1269" s="2" t="inlineStr">
        <is>
          <t>HRA 1076</t>
        </is>
      </c>
      <c r="I1269" s="2" t="inlineStr">
        <is>
          <t>S13</t>
        </is>
      </c>
      <c r="J1269" s="2" t="n">
        <v>3</v>
      </c>
      <c r="K1269" s="3" t="inlineStr">
        <is>
          <t>a company existing under the laws of Germany with registration number HRA 1076</t>
        </is>
      </c>
      <c r="L1269" s="2" t="inlineStr">
        <is>
          <t>pend</t>
        </is>
      </c>
      <c r="M1269" s="2" t="n"/>
      <c r="N1269" s="2" t="n"/>
      <c r="O1269" s="3" t="inlineStr">
        <is>
          <t>https://vanillabonds.com/dossier-data/pdf/katjes/katjes-bond-2023-2028-bond-terms-signed.pdf#page=3</t>
        </is>
      </c>
      <c r="P1269" s="3" t="inlineStr">
        <is>
          <t>https://vanillabonds.com/dossier.html?c=katjes&amp;viewer=1&amp;item=F1268</t>
        </is>
      </c>
      <c r="Q1269" s="2" t="inlineStr">
        <is>
          <t>no</t>
        </is>
      </c>
    </row>
    <row r="1270">
      <c r="A1270" s="2" t="inlineStr">
        <is>
          <t>F1269</t>
        </is>
      </c>
      <c r="B1270" s="2" t="inlineStr">
        <is>
          <t>identity</t>
        </is>
      </c>
      <c r="C1270" s="2" t="inlineStr">
        <is>
          <t>lei</t>
        </is>
      </c>
      <c r="D1270" s="2" t="inlineStr">
        <is>
          <t>LEI</t>
        </is>
      </c>
      <c r="E1270" s="2" t="n"/>
      <c r="F1270" s="2" t="n"/>
      <c r="G1270" s="2" t="n"/>
      <c r="H1270" s="2" t="inlineStr">
        <is>
          <t>529900UHZK3SEUYFH322</t>
        </is>
      </c>
      <c r="I1270" s="2" t="inlineStr">
        <is>
          <t>S13</t>
        </is>
      </c>
      <c r="J1270" s="2" t="n">
        <v>3</v>
      </c>
      <c r="K1270" s="2" t="inlineStr">
        <is>
          <t>LEI-code 529900UHZK3SEUYFH322</t>
        </is>
      </c>
      <c r="L1270" s="2" t="inlineStr">
        <is>
          <t>pend</t>
        </is>
      </c>
      <c r="M1270" s="2" t="n"/>
      <c r="N1270" s="2" t="n"/>
      <c r="O1270" s="3" t="inlineStr">
        <is>
          <t>https://vanillabonds.com/dossier-data/pdf/katjes/katjes-bond-2023-2028-bond-terms-signed.pdf#page=3</t>
        </is>
      </c>
      <c r="P1270" s="3" t="inlineStr">
        <is>
          <t>https://vanillabonds.com/dossier.html?c=katjes&amp;viewer=1&amp;item=F1269</t>
        </is>
      </c>
      <c r="Q1270" s="2" t="inlineStr">
        <is>
          <t>yes</t>
        </is>
      </c>
    </row>
    <row r="1271">
      <c r="A1271" s="2" t="inlineStr">
        <is>
          <t>F1270</t>
        </is>
      </c>
      <c r="B1271" s="2" t="inlineStr">
        <is>
          <t>identity</t>
        </is>
      </c>
      <c r="C1271" s="2" t="inlineStr">
        <is>
          <t>country</t>
        </is>
      </c>
      <c r="D1271" s="2" t="inlineStr">
        <is>
          <t>Country of incorporation (ISO-2)</t>
        </is>
      </c>
      <c r="E1271" s="2" t="n"/>
      <c r="F1271" s="2" t="n"/>
      <c r="G1271" s="2" t="n"/>
      <c r="H1271" s="2" t="inlineStr">
        <is>
          <t>DE</t>
        </is>
      </c>
      <c r="I1271" s="2" t="inlineStr">
        <is>
          <t>S13</t>
        </is>
      </c>
      <c r="J1271" s="2" t="n">
        <v>3</v>
      </c>
      <c r="K1271" s="3" t="inlineStr">
        <is>
          <t>a company existing under the laws of Germany with registration number HRA 1076</t>
        </is>
      </c>
      <c r="L1271" s="2" t="inlineStr">
        <is>
          <t>pend</t>
        </is>
      </c>
      <c r="M1271" s="2" t="n"/>
      <c r="N1271" s="2" t="n"/>
      <c r="O1271" s="3" t="inlineStr">
        <is>
          <t>https://vanillabonds.com/dossier-data/pdf/katjes/katjes-bond-2023-2028-bond-terms-signed.pdf#page=3</t>
        </is>
      </c>
      <c r="P1271" s="3" t="inlineStr">
        <is>
          <t>https://vanillabonds.com/dossier.html?c=katjes&amp;viewer=1&amp;item=F1270</t>
        </is>
      </c>
      <c r="Q1271" s="2" t="inlineStr">
        <is>
          <t>no</t>
        </is>
      </c>
    </row>
    <row r="1272">
      <c r="A1272" s="2" t="inlineStr">
        <is>
          <t>F1271</t>
        </is>
      </c>
      <c r="B1272" s="2" t="inlineStr">
        <is>
          <t>identity</t>
        </is>
      </c>
      <c r="C1272" s="2" t="inlineStr">
        <is>
          <t>accounting_standard</t>
        </is>
      </c>
      <c r="D1272" s="2" t="inlineStr">
        <is>
          <t>Accounting standard</t>
        </is>
      </c>
      <c r="E1272" s="2" t="n"/>
      <c r="F1272" s="2" t="n"/>
      <c r="G1272" s="2" t="n"/>
      <c r="H1272" s="2" t="inlineStr">
        <is>
          <t>IFRS</t>
        </is>
      </c>
      <c r="I1272" s="2" t="inlineStr">
        <is>
          <t>S13</t>
        </is>
      </c>
      <c r="J1272" s="2" t="n">
        <v>3</v>
      </c>
      <c r="K1272" s="2" t="inlineStr">
        <is>
          <t>“Accounting Standard” means IFRS.</t>
        </is>
      </c>
      <c r="L1272" s="2" t="inlineStr">
        <is>
          <t>pend</t>
        </is>
      </c>
      <c r="M1272" s="2" t="n"/>
      <c r="N1272" s="2" t="n"/>
      <c r="O1272" s="3" t="inlineStr">
        <is>
          <t>https://vanillabonds.com/dossier-data/pdf/katjes/katjes-bond-2023-2028-bond-terms-signed.pdf#page=3</t>
        </is>
      </c>
      <c r="P1272" s="3" t="inlineStr">
        <is>
          <t>https://vanillabonds.com/dossier.html?c=katjes&amp;viewer=1&amp;item=F1271</t>
        </is>
      </c>
      <c r="Q1272" s="2" t="inlineStr">
        <is>
          <t>no</t>
        </is>
      </c>
    </row>
    <row r="1273">
      <c r="A1273" s="2" t="inlineStr">
        <is>
          <t>F1272</t>
        </is>
      </c>
      <c r="B1273" s="2" t="inlineStr">
        <is>
          <t>identity</t>
        </is>
      </c>
      <c r="C1273" s="2" t="inlineStr">
        <is>
          <t>fiscal_year_end</t>
        </is>
      </c>
      <c r="D1273" s="2" t="inlineStr">
        <is>
          <t>Fiscal year end</t>
        </is>
      </c>
      <c r="E1273" s="2" t="n"/>
      <c r="F1273" s="2" t="n"/>
      <c r="G1273" s="2" t="n"/>
      <c r="H1273" s="2" t="inlineStr">
        <is>
          <t>31 December</t>
        </is>
      </c>
      <c r="I1273" s="2" t="inlineStr">
        <is>
          <t>S13</t>
        </is>
      </c>
      <c r="J1273" s="2" t="n">
        <v>8</v>
      </c>
      <c r="K1273" s="3" t="inlineStr">
        <is>
          <t>“Financial Year” means the annual accounting period of the Group ending on 31 December in each year.</t>
        </is>
      </c>
      <c r="L1273" s="2" t="inlineStr">
        <is>
          <t>pend</t>
        </is>
      </c>
      <c r="M1273" s="2" t="n"/>
      <c r="N1273" s="2" t="n"/>
      <c r="O1273" s="3" t="inlineStr">
        <is>
          <t>https://vanillabonds.com/dossier-data/pdf/katjes/katjes-bond-2023-2028-bond-terms-signed.pdf#page=8</t>
        </is>
      </c>
      <c r="P1273" s="3" t="inlineStr">
        <is>
          <t>https://vanillabonds.com/dossier.html?c=katjes&amp;viewer=1&amp;item=F1272</t>
        </is>
      </c>
      <c r="Q1273" s="2" t="inlineStr">
        <is>
          <t>no</t>
        </is>
      </c>
    </row>
    <row r="1274">
      <c r="A1274" s="2" t="inlineStr">
        <is>
          <t>F1273</t>
        </is>
      </c>
      <c r="B1274" s="2" t="inlineStr">
        <is>
          <t>identity</t>
        </is>
      </c>
      <c r="C1274" s="2" t="inlineStr">
        <is>
          <t>ownership</t>
        </is>
      </c>
      <c r="D1274" s="2" t="inlineStr">
        <is>
          <t>Ownership / UBO</t>
        </is>
      </c>
      <c r="E1274" s="2" t="n"/>
      <c r="F1274" s="2" t="n"/>
      <c r="G1274" s="2" t="n"/>
      <c r="H1274" s="3" t="inlineStr">
        <is>
          <t>Investors: Bastian Fassin and Tobias Bachmüller</t>
        </is>
      </c>
      <c r="I1274" s="2" t="inlineStr">
        <is>
          <t>S13</t>
        </is>
      </c>
      <c r="J1274" s="2" t="n">
        <v>9</v>
      </c>
      <c r="K1274" s="3" t="inlineStr">
        <is>
          <t>“Investors” means Mr. Bastian Fassin and Mr. Tobias Bachmüller.</t>
        </is>
      </c>
      <c r="L1274" s="2" t="inlineStr">
        <is>
          <t>pend</t>
        </is>
      </c>
      <c r="M1274" s="2" t="n"/>
      <c r="N1274" s="2" t="n"/>
      <c r="O1274" s="3" t="inlineStr">
        <is>
          <t>https://vanillabonds.com/dossier-data/pdf/katjes/katjes-bond-2023-2028-bond-terms-signed.pdf#page=9</t>
        </is>
      </c>
      <c r="P1274" s="3" t="inlineStr">
        <is>
          <t>https://vanillabonds.com/dossier.html?c=katjes&amp;viewer=1&amp;item=F1273</t>
        </is>
      </c>
      <c r="Q1274" s="2" t="inlineStr">
        <is>
          <t>no</t>
        </is>
      </c>
    </row>
    <row r="1275">
      <c r="A1275" s="2" t="inlineStr">
        <is>
          <t>F1274</t>
        </is>
      </c>
      <c r="B1275" s="2" t="inlineStr">
        <is>
          <t>identity</t>
        </is>
      </c>
      <c r="C1275" s="2" t="inlineStr">
        <is>
          <t>listing</t>
        </is>
      </c>
      <c r="D1275" s="2" t="inlineStr">
        <is>
          <t>Listings (equity, bonds)</t>
        </is>
      </c>
      <c r="E1275" s="2" t="n"/>
      <c r="F1275" s="2" t="n"/>
      <c r="G1275" s="2" t="n"/>
      <c r="H1275" s="3" t="inlineStr">
        <is>
          <t>Bonds: Frankfurt Open Market and Nordic ABM (to be listed)</t>
        </is>
      </c>
      <c r="I1275" s="2" t="inlineStr">
        <is>
          <t>S13</t>
        </is>
      </c>
      <c r="J1275" s="2" t="n">
        <v>19</v>
      </c>
      <c r="K1275" s="3" t="inlineStr">
        <is>
          <t>ensure that the Bonds are listed on Nordic ABM within 6 months of the Issue Date.</t>
        </is>
      </c>
      <c r="L1275" s="2" t="inlineStr">
        <is>
          <t>pend</t>
        </is>
      </c>
      <c r="M1275" s="2" t="n"/>
      <c r="N1275" s="2" t="n"/>
      <c r="O1275" s="3" t="inlineStr">
        <is>
          <t>https://vanillabonds.com/dossier-data/pdf/katjes/katjes-bond-2023-2028-bond-terms-signed.pdf#page=19</t>
        </is>
      </c>
      <c r="P1275" s="3" t="inlineStr">
        <is>
          <t>https://vanillabonds.com/dossier.html?c=katjes&amp;viewer=1&amp;item=F1274</t>
        </is>
      </c>
      <c r="Q1275" s="2" t="inlineStr">
        <is>
          <t>no</t>
        </is>
      </c>
    </row>
    <row r="1276">
      <c r="A1276" s="2" t="inlineStr">
        <is>
          <t>F1275</t>
        </is>
      </c>
      <c r="B1276" s="2" t="inlineStr">
        <is>
          <t>business</t>
        </is>
      </c>
      <c r="C1276" s="2" t="inlineStr">
        <is>
          <t>business_fact</t>
        </is>
      </c>
      <c r="D1276" s="2" t="inlineStr">
        <is>
          <t>Business fact</t>
        </is>
      </c>
      <c r="E1276" s="2" t="n"/>
      <c r="F1276" s="2" t="n"/>
      <c r="G1276" s="2" t="n"/>
      <c r="H1276" s="3" t="inlineStr">
        <is>
          <t>The Issuer has a sister company, Katjes Fassin GmbH &amp; Co. KG, to which it may lend up to EUR 10.0m for cash management purposes.</t>
        </is>
      </c>
      <c r="I1276" s="2" t="inlineStr">
        <is>
          <t>S13</t>
        </is>
      </c>
      <c r="J1276" s="2" t="n">
        <v>13</v>
      </c>
      <c r="K1276" s="3" t="inlineStr">
        <is>
          <t>any loan or credit granted by the Issuer to its sister company, Katjes Fassin GmbH &amp; Co. KG for cash management purposes of the Issuer</t>
        </is>
      </c>
      <c r="L1276" s="2" t="inlineStr">
        <is>
          <t>pend</t>
        </is>
      </c>
      <c r="M1276" s="2" t="n"/>
      <c r="N1276" s="2" t="n"/>
      <c r="O1276" s="3" t="inlineStr">
        <is>
          <t>https://vanillabonds.com/dossier-data/pdf/katjes/katjes-bond-2023-2028-bond-terms-signed.pdf#page=13</t>
        </is>
      </c>
      <c r="P1276" s="3" t="inlineStr">
        <is>
          <t>https://vanillabonds.com/dossier.html?c=katjes&amp;viewer=1&amp;item=F1275</t>
        </is>
      </c>
      <c r="Q1276" s="2" t="inlineStr"/>
    </row>
    <row r="1277">
      <c r="A1277" s="2" t="inlineStr">
        <is>
          <t>F1276</t>
        </is>
      </c>
      <c r="B1277" s="2" t="inlineStr">
        <is>
          <t>debt</t>
        </is>
      </c>
      <c r="C1277" s="2" t="inlineStr">
        <is>
          <t>debt_instrument</t>
        </is>
      </c>
      <c r="D1277" s="2" t="inlineStr">
        <is>
          <t>Debt instrument</t>
        </is>
      </c>
      <c r="E1277" s="2" t="n"/>
      <c r="F1277" s="2" t="n"/>
      <c r="G1277" s="2" t="n"/>
      <c r="H1277" s="3" t="inlineStr">
        <is>
          <t>Senior unsecured bonds 2023/2028, initial issue EUR 115.0m of a EUR 200.0m maximum, 6.75% fixed, maturing 21 September 2028, unsecured, ISIN NO0012888769.</t>
        </is>
      </c>
      <c r="I1277" s="2" t="inlineStr">
        <is>
          <t>S13</t>
        </is>
      </c>
      <c r="J1277" s="2" t="n">
        <v>17</v>
      </c>
      <c r="K1277" s="3" t="inlineStr">
        <is>
          <t>the Initial Bond Issue will be in the amount of EUR 115,000,000.</t>
        </is>
      </c>
      <c r="L1277" s="2" t="inlineStr">
        <is>
          <t>pend</t>
        </is>
      </c>
      <c r="M1277" s="2" t="n"/>
      <c r="N1277" s="2" t="n"/>
      <c r="O1277" s="3" t="inlineStr">
        <is>
          <t>https://vanillabonds.com/dossier-data/pdf/katjes/katjes-bond-2023-2028-bond-terms-signed.pdf#page=17</t>
        </is>
      </c>
      <c r="P1277" s="3" t="inlineStr">
        <is>
          <t>https://vanillabonds.com/dossier.html?c=katjes&amp;viewer=1&amp;item=F1276</t>
        </is>
      </c>
      <c r="Q1277" s="2" t="inlineStr"/>
    </row>
    <row r="1278">
      <c r="A1278" s="2" t="inlineStr">
        <is>
          <t>F1277</t>
        </is>
      </c>
      <c r="B1278" s="2" t="inlineStr">
        <is>
          <t>debt</t>
        </is>
      </c>
      <c r="C1278" s="2" t="inlineStr">
        <is>
          <t>debt_instrument</t>
        </is>
      </c>
      <c r="D1278" s="2" t="inlineStr">
        <is>
          <t>Debt instrument</t>
        </is>
      </c>
      <c r="E1278" s="2" t="n"/>
      <c r="F1278" s="2" t="n"/>
      <c r="G1278" s="2" t="n"/>
      <c r="H1278" s="3" t="inlineStr">
        <is>
          <t>Existing Bonds: EUR 110.0m Katjes International 4.25% senior unsecured bonds 2019/2024, maturing 12 April 2024, ISIN DE000A2TST99.</t>
        </is>
      </c>
      <c r="I1278" s="2" t="inlineStr">
        <is>
          <t>S13</t>
        </is>
      </c>
      <c r="J1278" s="2" t="n">
        <v>6</v>
      </c>
      <c r="K1278" s="3" t="inlineStr">
        <is>
          <t>the EUR 110,000,000 Katjes International 4.25% senior unsecured bond issue 2019/2024 with ISIN DE000A2TST99.</t>
        </is>
      </c>
      <c r="L1278" s="2" t="inlineStr">
        <is>
          <t>pend</t>
        </is>
      </c>
      <c r="M1278" s="2" t="n"/>
      <c r="N1278" s="2" t="n"/>
      <c r="O1278" s="3" t="inlineStr">
        <is>
          <t>https://vanillabonds.com/dossier-data/pdf/katjes/katjes-bond-2023-2028-bond-terms-signed.pdf#page=6</t>
        </is>
      </c>
      <c r="P1278" s="3" t="inlineStr">
        <is>
          <t>https://vanillabonds.com/dossier.html?c=katjes&amp;viewer=1&amp;item=F1277</t>
        </is>
      </c>
      <c r="Q1278" s="2" t="inlineStr"/>
    </row>
    <row r="1279">
      <c r="A1279" s="2" t="inlineStr">
        <is>
          <t>F1278</t>
        </is>
      </c>
      <c r="B1279" s="2" t="inlineStr">
        <is>
          <t>plan</t>
        </is>
      </c>
      <c r="C1279" s="2" t="inlineStr">
        <is>
          <t>bond_amount</t>
        </is>
      </c>
      <c r="D1279" s="2" t="inlineStr">
        <is>
          <t>Proposed bond</t>
        </is>
      </c>
      <c r="E1279" s="2" t="n"/>
      <c r="F1279" s="2" t="n">
        <v>115</v>
      </c>
      <c r="G1279" s="2" t="inlineStr">
        <is>
          <t>EUR m</t>
        </is>
      </c>
      <c r="H1279" s="3" t="inlineStr">
        <is>
          <t>Initial Bond Issue EUR 115.0m under a Maximum Issue Amount of EUR 200.0m.</t>
        </is>
      </c>
      <c r="I1279" s="2" t="inlineStr">
        <is>
          <t>S13</t>
        </is>
      </c>
      <c r="J1279" s="2" t="n">
        <v>17</v>
      </c>
      <c r="K1279" s="3" t="inlineStr">
        <is>
          <t>The Issuer has resolved to issue a series of Bonds up to EUR 200,000,000 (the “Maximum Issue Amount”).</t>
        </is>
      </c>
      <c r="L1279" s="2" t="inlineStr">
        <is>
          <t>pend</t>
        </is>
      </c>
      <c r="M1279" s="2" t="n"/>
      <c r="N1279" s="2" t="inlineStr">
        <is>
          <t>conflict: S4·p1 110.0 vs S13·p17 115.0</t>
        </is>
      </c>
      <c r="O1279" s="3" t="inlineStr">
        <is>
          <t>https://vanillabonds.com/dossier-data/pdf/katjes/katjes-bond-2023-2028-bond-terms-signed.pdf#page=17</t>
        </is>
      </c>
      <c r="P1279" s="3" t="inlineStr">
        <is>
          <t>https://vanillabonds.com/dossier.html?c=katjes&amp;viewer=1&amp;item=F1278</t>
        </is>
      </c>
      <c r="Q1279" s="2" t="inlineStr">
        <is>
          <t>no</t>
        </is>
      </c>
    </row>
    <row r="1280">
      <c r="A1280" s="2" t="inlineStr">
        <is>
          <t>F1279</t>
        </is>
      </c>
      <c r="B1280" s="2" t="inlineStr">
        <is>
          <t>market_data</t>
        </is>
      </c>
      <c r="C1280" s="2" t="inlineStr">
        <is>
          <t>instrument_term</t>
        </is>
      </c>
      <c r="D1280" s="3" t="inlineStr">
        <is>
          <t>Instrument term: term (rate type, base rate, maturity, call, listing, ISIN, denomination, settlement, holders, transfer); value</t>
        </is>
      </c>
      <c r="E1280" s="2" t="n"/>
      <c r="F1280" s="2" t="n"/>
      <c r="G1280" s="2" t="n"/>
      <c r="H1280" s="2" t="inlineStr">
        <is>
          <t>term: ISIN; value: NO0012888769</t>
        </is>
      </c>
      <c r="I1280" s="2" t="inlineStr">
        <is>
          <t>S13</t>
        </is>
      </c>
      <c r="J1280" s="2" t="n">
        <v>1</v>
      </c>
      <c r="K1280" s="2" t="inlineStr">
        <is>
          <t>ISIN NO0012888769</t>
        </is>
      </c>
      <c r="L1280" s="2" t="inlineStr">
        <is>
          <t>pend</t>
        </is>
      </c>
      <c r="M1280" s="2" t="n"/>
      <c r="N1280" s="2" t="n"/>
      <c r="O1280" s="3" t="inlineStr">
        <is>
          <t>https://vanillabonds.com/dossier-data/pdf/katjes/katjes-bond-2023-2028-bond-terms-signed.pdf#page=1</t>
        </is>
      </c>
      <c r="P1280" s="3" t="inlineStr">
        <is>
          <t>https://vanillabonds.com/dossier.html?c=katjes&amp;viewer=1&amp;item=F1279</t>
        </is>
      </c>
      <c r="Q1280" s="2" t="inlineStr"/>
    </row>
    <row r="1281">
      <c r="A1281" s="2" t="inlineStr">
        <is>
          <t>F1280</t>
        </is>
      </c>
      <c r="B1281" s="2" t="inlineStr">
        <is>
          <t>market_data</t>
        </is>
      </c>
      <c r="C1281" s="2" t="inlineStr">
        <is>
          <t>instrument_term</t>
        </is>
      </c>
      <c r="D1281" s="3" t="inlineStr">
        <is>
          <t>Instrument term: term (rate type, base rate, maturity, call, listing, ISIN, denomination, settlement, holders, transfer); value</t>
        </is>
      </c>
      <c r="E1281" s="2" t="n"/>
      <c r="F1281" s="2" t="n">
        <v>6.75</v>
      </c>
      <c r="G1281" s="2" t="n"/>
      <c r="H1281" s="3" t="inlineStr">
        <is>
          <t>term: rate type; value: fixed 6.75 per cent per annum</t>
        </is>
      </c>
      <c r="I1281" s="2" t="inlineStr">
        <is>
          <t>S13</t>
        </is>
      </c>
      <c r="J1281" s="2" t="n">
        <v>9</v>
      </c>
      <c r="K1281" s="3" t="inlineStr">
        <is>
          <t>“Interest Rate” means 6.75 per cent. per annum.</t>
        </is>
      </c>
      <c r="L1281" s="2" t="inlineStr">
        <is>
          <t>pend</t>
        </is>
      </c>
      <c r="M1281" s="2" t="n"/>
      <c r="N1281" s="2" t="n"/>
      <c r="O1281" s="3" t="inlineStr">
        <is>
          <t>https://vanillabonds.com/dossier-data/pdf/katjes/katjes-bond-2023-2028-bond-terms-signed.pdf#page=9</t>
        </is>
      </c>
      <c r="P1281" s="3" t="inlineStr">
        <is>
          <t>https://vanillabonds.com/dossier.html?c=katjes&amp;viewer=1&amp;item=F1280</t>
        </is>
      </c>
      <c r="Q1281" s="2" t="inlineStr"/>
    </row>
    <row r="1282">
      <c r="A1282" s="2" t="inlineStr">
        <is>
          <t>F1281</t>
        </is>
      </c>
      <c r="B1282" s="2" t="inlineStr">
        <is>
          <t>market_data</t>
        </is>
      </c>
      <c r="C1282" s="2" t="inlineStr">
        <is>
          <t>instrument_term</t>
        </is>
      </c>
      <c r="D1282" s="3" t="inlineStr">
        <is>
          <t>Instrument term: term (rate type, base rate, maturity, call, listing, ISIN, denomination, settlement, holders, transfer); value</t>
        </is>
      </c>
      <c r="E1282" s="2" t="n"/>
      <c r="F1282" s="2" t="n"/>
      <c r="G1282" s="2" t="n"/>
      <c r="H1282" s="2" t="inlineStr">
        <is>
          <t>term: issue date; value: 2023-09-21</t>
        </is>
      </c>
      <c r="I1282" s="2" t="inlineStr">
        <is>
          <t>S13</t>
        </is>
      </c>
      <c r="J1282" s="2" t="n">
        <v>9</v>
      </c>
      <c r="K1282" s="2" t="inlineStr">
        <is>
          <t>“Issue Date” means 21 September 2023.</t>
        </is>
      </c>
      <c r="L1282" s="2" t="inlineStr">
        <is>
          <t>pend</t>
        </is>
      </c>
      <c r="M1282" s="2" t="n"/>
      <c r="N1282" s="2" t="n"/>
      <c r="O1282" s="3" t="inlineStr">
        <is>
          <t>https://vanillabonds.com/dossier-data/pdf/katjes/katjes-bond-2023-2028-bond-terms-signed.pdf#page=9</t>
        </is>
      </c>
      <c r="P1282" s="3" t="inlineStr">
        <is>
          <t>https://vanillabonds.com/dossier.html?c=katjes&amp;viewer=1&amp;item=F1281</t>
        </is>
      </c>
      <c r="Q1282" s="2" t="inlineStr"/>
    </row>
    <row r="1283">
      <c r="A1283" s="2" t="inlineStr">
        <is>
          <t>F1282</t>
        </is>
      </c>
      <c r="B1283" s="2" t="inlineStr">
        <is>
          <t>market_data</t>
        </is>
      </c>
      <c r="C1283" s="2" t="inlineStr">
        <is>
          <t>instrument_term</t>
        </is>
      </c>
      <c r="D1283" s="3" t="inlineStr">
        <is>
          <t>Instrument term: term (rate type, base rate, maturity, call, listing, ISIN, denomination, settlement, holders, transfer); value</t>
        </is>
      </c>
      <c r="E1283" s="2" t="n"/>
      <c r="F1283" s="2" t="n"/>
      <c r="G1283" s="2" t="n"/>
      <c r="H1283" s="2" t="inlineStr">
        <is>
          <t>term: maturity; value: 2028-09-21</t>
        </is>
      </c>
      <c r="I1283" s="2" t="inlineStr">
        <is>
          <t>S13</t>
        </is>
      </c>
      <c r="J1283" s="2" t="n">
        <v>10</v>
      </c>
      <c r="K1283" s="3" t="inlineStr">
        <is>
          <t>“Maturity Date” means 21 September 2028, adjusted according to the Business Day Convention.</t>
        </is>
      </c>
      <c r="L1283" s="2" t="inlineStr">
        <is>
          <t>pend</t>
        </is>
      </c>
      <c r="M1283" s="2" t="n"/>
      <c r="N1283" s="2" t="n"/>
      <c r="O1283" s="3" t="inlineStr">
        <is>
          <t>https://vanillabonds.com/dossier-data/pdf/katjes/katjes-bond-2023-2028-bond-terms-signed.pdf#page=10</t>
        </is>
      </c>
      <c r="P1283" s="3" t="inlineStr">
        <is>
          <t>https://vanillabonds.com/dossier.html?c=katjes&amp;viewer=1&amp;item=F1282</t>
        </is>
      </c>
      <c r="Q1283" s="2" t="inlineStr"/>
    </row>
    <row r="1284">
      <c r="A1284" s="2" t="inlineStr">
        <is>
          <t>F1283</t>
        </is>
      </c>
      <c r="B1284" s="2" t="inlineStr">
        <is>
          <t>market_data</t>
        </is>
      </c>
      <c r="C1284" s="2" t="inlineStr">
        <is>
          <t>instrument_term</t>
        </is>
      </c>
      <c r="D1284" s="3" t="inlineStr">
        <is>
          <t>Instrument term: term (rate type, base rate, maturity, call, listing, ISIN, denomination, settlement, holders, transfer); value</t>
        </is>
      </c>
      <c r="E1284" s="2" t="n"/>
      <c r="F1284" s="2" t="n"/>
      <c r="G1284" s="2" t="n"/>
      <c r="H1284" s="3" t="inlineStr">
        <is>
          <t>term: interest payment; value: semi-annual on 21 March and 21 September, first 2024-03-21, 30/360 basis</t>
        </is>
      </c>
      <c r="I1284" s="2" t="inlineStr">
        <is>
          <t>S13</t>
        </is>
      </c>
      <c r="J1284" s="2" t="n">
        <v>9</v>
      </c>
      <c r="K1284" s="3" t="inlineStr">
        <is>
          <t>the first Interest Payment Date being 21 March 2024 (being 6 months after the Issue Date) and the last Interest Payment Date being the Maturity Date.</t>
        </is>
      </c>
      <c r="L1284" s="2" t="inlineStr">
        <is>
          <t>pend</t>
        </is>
      </c>
      <c r="M1284" s="2" t="n"/>
      <c r="N1284" s="2" t="n"/>
      <c r="O1284" s="3" t="inlineStr">
        <is>
          <t>https://vanillabonds.com/dossier-data/pdf/katjes/katjes-bond-2023-2028-bond-terms-signed.pdf#page=9</t>
        </is>
      </c>
      <c r="P1284" s="3" t="inlineStr">
        <is>
          <t>https://vanillabonds.com/dossier.html?c=katjes&amp;viewer=1&amp;item=F1283</t>
        </is>
      </c>
      <c r="Q1284" s="2" t="inlineStr"/>
    </row>
    <row r="1285">
      <c r="A1285" s="2" t="inlineStr">
        <is>
          <t>F1284</t>
        </is>
      </c>
      <c r="B1285" s="2" t="inlineStr">
        <is>
          <t>market_data</t>
        </is>
      </c>
      <c r="C1285" s="2" t="inlineStr">
        <is>
          <t>instrument_term</t>
        </is>
      </c>
      <c r="D1285" s="3" t="inlineStr">
        <is>
          <t>Instrument term: term (rate type, base rate, maturity, call, listing, ISIN, denomination, settlement, holders, transfer); value</t>
        </is>
      </c>
      <c r="E1285" s="2" t="n"/>
      <c r="F1285" s="2" t="n">
        <v>1000</v>
      </c>
      <c r="G1285" s="2" t="n"/>
      <c r="H1285" s="3" t="inlineStr">
        <is>
          <t>term: denomination; value: EUR 1,000 per Bond</t>
        </is>
      </c>
      <c r="I1285" s="2" t="inlineStr">
        <is>
          <t>S13</t>
        </is>
      </c>
      <c r="J1285" s="2" t="n">
        <v>18</v>
      </c>
      <c r="K1285" s="3" t="inlineStr">
        <is>
          <t>The Initial Nominal Amount of each Bond is EUR 1,000.</t>
        </is>
      </c>
      <c r="L1285" s="2" t="inlineStr">
        <is>
          <t>pend</t>
        </is>
      </c>
      <c r="M1285" s="2" t="n"/>
      <c r="N1285" s="2" t="n"/>
      <c r="O1285" s="3" t="inlineStr">
        <is>
          <t>https://vanillabonds.com/dossier-data/pdf/katjes/katjes-bond-2023-2028-bond-terms-signed.pdf#page=18</t>
        </is>
      </c>
      <c r="P1285" s="3" t="inlineStr">
        <is>
          <t>https://vanillabonds.com/dossier.html?c=katjes&amp;viewer=1&amp;item=F1284</t>
        </is>
      </c>
      <c r="Q1285" s="2" t="inlineStr"/>
    </row>
    <row r="1286">
      <c r="A1286" s="2" t="inlineStr">
        <is>
          <t>F1285</t>
        </is>
      </c>
      <c r="B1286" s="2" t="inlineStr">
        <is>
          <t>market_data</t>
        </is>
      </c>
      <c r="C1286" s="2" t="inlineStr">
        <is>
          <t>instrument_term</t>
        </is>
      </c>
      <c r="D1286" s="3" t="inlineStr">
        <is>
          <t>Instrument term: term (rate type, base rate, maturity, call, listing, ISIN, denomination, settlement, holders, transfer); value</t>
        </is>
      </c>
      <c r="E1286" s="2" t="n"/>
      <c r="F1286" s="2" t="n"/>
      <c r="G1286" s="2" t="n"/>
      <c r="H1286" s="3" t="inlineStr">
        <is>
          <t>term: call; value: First Call Date 2026-03-21 at 103.375%, then 102.025% from 36 months, 101.350% from 42 months, 100.675% from 48 months, 100.338% from 54 months after Issue Date</t>
        </is>
      </c>
      <c r="I1286" s="2" t="inlineStr">
        <is>
          <t>S13</t>
        </is>
      </c>
      <c r="J1286" s="2" t="n">
        <v>27</v>
      </c>
      <c r="K1286" s="3" t="inlineStr">
        <is>
          <t>the First Call Date to, but not including, the Interest Payment Date falling 36 months after the Issue Date at a price equal to 103.375 per cent. of the Nominal Amount of the redeemed Bonds</t>
        </is>
      </c>
      <c r="L1286" s="2" t="inlineStr">
        <is>
          <t>pend</t>
        </is>
      </c>
      <c r="M1286" s="2" t="n"/>
      <c r="N1286" s="2" t="n"/>
      <c r="O1286" s="3" t="inlineStr">
        <is>
          <t>https://vanillabonds.com/dossier-data/pdf/katjes/katjes-bond-2023-2028-bond-terms-signed.pdf#page=27</t>
        </is>
      </c>
      <c r="P1286" s="3" t="inlineStr">
        <is>
          <t>https://vanillabonds.com/dossier.html?c=katjes&amp;viewer=1&amp;item=F1285</t>
        </is>
      </c>
      <c r="Q1286" s="2" t="inlineStr"/>
    </row>
    <row r="1287">
      <c r="A1287" s="2" t="inlineStr">
        <is>
          <t>F1286</t>
        </is>
      </c>
      <c r="B1287" s="2" t="inlineStr">
        <is>
          <t>market_data</t>
        </is>
      </c>
      <c r="C1287" s="2" t="inlineStr">
        <is>
          <t>instrument_term</t>
        </is>
      </c>
      <c r="D1287" s="3" t="inlineStr">
        <is>
          <t>Instrument term: term (rate type, base rate, maturity, call, listing, ISIN, denomination, settlement, holders, transfer); value</t>
        </is>
      </c>
      <c r="E1287" s="2" t="n"/>
      <c r="F1287" s="2" t="n"/>
      <c r="G1287" s="2" t="n"/>
      <c r="H1287" s="3" t="inlineStr">
        <is>
          <t>term: call before First Call Date; value: Make Whole Amount (103.375% plus remaining interest to 2026-03-21 discounted at 100 bps)</t>
        </is>
      </c>
      <c r="I1287" s="2" t="inlineStr">
        <is>
          <t>S13</t>
        </is>
      </c>
      <c r="J1287" s="2" t="n">
        <v>9</v>
      </c>
      <c r="K1287" s="3" t="inlineStr">
        <is>
          <t>where the present value shall be calculated by using a discount rate of 100 basis points per annum.</t>
        </is>
      </c>
      <c r="L1287" s="2" t="inlineStr">
        <is>
          <t>pend</t>
        </is>
      </c>
      <c r="M1287" s="2" t="n"/>
      <c r="N1287" s="2" t="n"/>
      <c r="O1287" s="3" t="inlineStr">
        <is>
          <t>https://vanillabonds.com/dossier-data/pdf/katjes/katjes-bond-2023-2028-bond-terms-signed.pdf#page=9</t>
        </is>
      </c>
      <c r="P1287" s="3" t="inlineStr">
        <is>
          <t>https://vanillabonds.com/dossier.html?c=katjes&amp;viewer=1&amp;item=F1286</t>
        </is>
      </c>
      <c r="Q1287" s="2" t="inlineStr"/>
    </row>
    <row r="1288">
      <c r="A1288" s="2" t="inlineStr">
        <is>
          <t>F1287</t>
        </is>
      </c>
      <c r="B1288" s="2" t="inlineStr">
        <is>
          <t>market_data</t>
        </is>
      </c>
      <c r="C1288" s="2" t="inlineStr">
        <is>
          <t>instrument_term</t>
        </is>
      </c>
      <c r="D1288" s="3" t="inlineStr">
        <is>
          <t>Instrument term: term (rate type, base rate, maturity, call, listing, ISIN, denomination, settlement, holders, transfer); value</t>
        </is>
      </c>
      <c r="E1288" s="2" t="n"/>
      <c r="F1288" s="2" t="n">
        <v>101</v>
      </c>
      <c r="G1288" s="2" t="n"/>
      <c r="H1288" s="3" t="inlineStr">
        <is>
          <t>term: put option; value: 101.00% of Nominal Amount upon a Change of Control (Put Option Event)</t>
        </is>
      </c>
      <c r="I1288" s="2" t="inlineStr">
        <is>
          <t>S13</t>
        </is>
      </c>
      <c r="J1288" s="2" t="n">
        <v>28</v>
      </c>
      <c r="K1288" s="3" t="inlineStr">
        <is>
          <t>require that the Issuer purchases all or some of the Bonds held by that Bondholder at a price equal to 101.00 per cent. of the Nominal Amount.</t>
        </is>
      </c>
      <c r="L1288" s="2" t="inlineStr">
        <is>
          <t>pend</t>
        </is>
      </c>
      <c r="M1288" s="2" t="n"/>
      <c r="N1288" s="2" t="n"/>
      <c r="O1288" s="3" t="inlineStr">
        <is>
          <t>https://vanillabonds.com/dossier-data/pdf/katjes/katjes-bond-2023-2028-bond-terms-signed.pdf#page=28</t>
        </is>
      </c>
      <c r="P1288" s="3" t="inlineStr">
        <is>
          <t>https://vanillabonds.com/dossier.html?c=katjes&amp;viewer=1&amp;item=F1287</t>
        </is>
      </c>
      <c r="Q1288" s="2" t="inlineStr"/>
    </row>
    <row r="1289">
      <c r="A1289" s="2" t="inlineStr">
        <is>
          <t>F1288</t>
        </is>
      </c>
      <c r="B1289" s="2" t="inlineStr">
        <is>
          <t>market_data</t>
        </is>
      </c>
      <c r="C1289" s="2" t="inlineStr">
        <is>
          <t>instrument_term</t>
        </is>
      </c>
      <c r="D1289" s="3" t="inlineStr">
        <is>
          <t>Instrument term: term (rate type, base rate, maturity, call, listing, ISIN, denomination, settlement, holders, transfer); value</t>
        </is>
      </c>
      <c r="E1289" s="2" t="n"/>
      <c r="F1289" s="2" t="n"/>
      <c r="G1289" s="2" t="n"/>
      <c r="H1289" s="3" t="inlineStr">
        <is>
          <t>term: tax call; value: 100% of Nominal Amount, all but not some, upon a gross-up obligation from a change in law</t>
        </is>
      </c>
      <c r="I1289" s="2" t="inlineStr">
        <is>
          <t>S13</t>
        </is>
      </c>
      <c r="J1289" s="2" t="n">
        <v>28</v>
      </c>
      <c r="K1289" s="3" t="inlineStr">
        <is>
          <t>the Issuer will have the right to redeem all, but not only some, of the Outstanding Bonds at a price equal to 100 per cent. of the Nominal Amount.</t>
        </is>
      </c>
      <c r="L1289" s="2" t="inlineStr">
        <is>
          <t>pend</t>
        </is>
      </c>
      <c r="M1289" s="2" t="n"/>
      <c r="N1289" s="2" t="n"/>
      <c r="O1289" s="3" t="inlineStr">
        <is>
          <t>https://vanillabonds.com/dossier-data/pdf/katjes/katjes-bond-2023-2028-bond-terms-signed.pdf#page=28</t>
        </is>
      </c>
      <c r="P1289" s="3" t="inlineStr">
        <is>
          <t>https://vanillabonds.com/dossier.html?c=katjes&amp;viewer=1&amp;item=F1288</t>
        </is>
      </c>
      <c r="Q1289" s="2" t="inlineStr"/>
    </row>
    <row r="1290">
      <c r="A1290" s="2" t="inlineStr">
        <is>
          <t>F1289</t>
        </is>
      </c>
      <c r="B1290" s="2" t="inlineStr">
        <is>
          <t>market_data</t>
        </is>
      </c>
      <c r="C1290" s="2" t="inlineStr">
        <is>
          <t>instrument_term</t>
        </is>
      </c>
      <c r="D1290" s="3" t="inlineStr">
        <is>
          <t>Instrument term: term (rate type, base rate, maturity, call, listing, ISIN, denomination, settlement, holders, transfer); value</t>
        </is>
      </c>
      <c r="E1290" s="2" t="n"/>
      <c r="F1290" s="2" t="n"/>
      <c r="G1290" s="2" t="n"/>
      <c r="H1290" s="3" t="inlineStr">
        <is>
          <t>term: mandatory redemption; value: all Bonds at the applicable Call Price if Outstanding Bonds fall below 40.00% of the Initial Bond Issue</t>
        </is>
      </c>
      <c r="I1290" s="2" t="inlineStr">
        <is>
          <t>S13</t>
        </is>
      </c>
      <c r="J1290" s="2" t="n">
        <v>10</v>
      </c>
      <c r="K1290" s="3" t="inlineStr">
        <is>
          <t>becomes less than an amount equal to 40.00 per cent. of the Initial Bond Issue.</t>
        </is>
      </c>
      <c r="L1290" s="2" t="inlineStr">
        <is>
          <t>pend</t>
        </is>
      </c>
      <c r="M1290" s="2" t="n"/>
      <c r="N1290" s="2" t="n"/>
      <c r="O1290" s="3" t="inlineStr">
        <is>
          <t>https://vanillabonds.com/dossier-data/pdf/katjes/katjes-bond-2023-2028-bond-terms-signed.pdf#page=10</t>
        </is>
      </c>
      <c r="P1290" s="3" t="inlineStr">
        <is>
          <t>https://vanillabonds.com/dossier.html?c=katjes&amp;viewer=1&amp;item=F1289</t>
        </is>
      </c>
      <c r="Q1290" s="2" t="inlineStr"/>
    </row>
    <row r="1291">
      <c r="A1291" s="2" t="inlineStr">
        <is>
          <t>F1290</t>
        </is>
      </c>
      <c r="B1291" s="2" t="inlineStr">
        <is>
          <t>market_data</t>
        </is>
      </c>
      <c r="C1291" s="2" t="inlineStr">
        <is>
          <t>instrument_term</t>
        </is>
      </c>
      <c r="D1291" s="3" t="inlineStr">
        <is>
          <t>Instrument term: term (rate type, base rate, maturity, call, listing, ISIN, denomination, settlement, holders, transfer); value</t>
        </is>
      </c>
      <c r="E1291" s="2" t="n"/>
      <c r="F1291" s="2" t="n"/>
      <c r="G1291" s="2" t="n"/>
      <c r="H1291" s="3" t="inlineStr">
        <is>
          <t>term: listing; value: Frankfurt Open Market within 30 days and Nordic ABM within 6 months of the Issue Date</t>
        </is>
      </c>
      <c r="I1291" s="2" t="inlineStr">
        <is>
          <t>S13</t>
        </is>
      </c>
      <c r="J1291" s="2" t="n">
        <v>19</v>
      </c>
      <c r="K1291" s="3" t="inlineStr">
        <is>
          <t>use reasonable endeavours to ensure that the Bonds are listed on the Frankfurt Open Market as soon as practically possible and in any event within 30 days of the Issue Date</t>
        </is>
      </c>
      <c r="L1291" s="2" t="inlineStr">
        <is>
          <t>pend</t>
        </is>
      </c>
      <c r="M1291" s="2" t="n"/>
      <c r="N1291" s="2" t="n"/>
      <c r="O1291" s="3" t="inlineStr">
        <is>
          <t>https://vanillabonds.com/dossier-data/pdf/katjes/katjes-bond-2023-2028-bond-terms-signed.pdf#page=19</t>
        </is>
      </c>
      <c r="P1291" s="3" t="inlineStr">
        <is>
          <t>https://vanillabonds.com/dossier.html?c=katjes&amp;viewer=1&amp;item=F1290</t>
        </is>
      </c>
      <c r="Q1291" s="2" t="inlineStr"/>
    </row>
    <row r="1292">
      <c r="A1292" s="2" t="inlineStr">
        <is>
          <t>F1291</t>
        </is>
      </c>
      <c r="B1292" s="2" t="inlineStr">
        <is>
          <t>market_data</t>
        </is>
      </c>
      <c r="C1292" s="2" t="inlineStr">
        <is>
          <t>instrument_term</t>
        </is>
      </c>
      <c r="D1292" s="3" t="inlineStr">
        <is>
          <t>Instrument term: term (rate type, base rate, maturity, call, listing, ISIN, denomination, settlement, holders, transfer); value</t>
        </is>
      </c>
      <c r="E1292" s="2" t="n"/>
      <c r="F1292" s="2" t="n"/>
      <c r="G1292" s="2" t="n"/>
      <c r="H1292" s="3" t="inlineStr">
        <is>
          <t>term: settlement; value: dematerialised registration in Verdipapirsentralen ASA (VPS), Norway</t>
        </is>
      </c>
      <c r="I1292" s="2" t="inlineStr">
        <is>
          <t>S13</t>
        </is>
      </c>
      <c r="J1292" s="2" t="n">
        <v>5</v>
      </c>
      <c r="K1292" s="3" t="inlineStr">
        <is>
          <t>“CSD” means the central securities depository in which the Bonds are registered, being Verdipapirsentralen ASA (VPS).</t>
        </is>
      </c>
      <c r="L1292" s="2" t="inlineStr">
        <is>
          <t>pend</t>
        </is>
      </c>
      <c r="M1292" s="2" t="n"/>
      <c r="N1292" s="2" t="n"/>
      <c r="O1292" s="3" t="inlineStr">
        <is>
          <t>https://vanillabonds.com/dossier-data/pdf/katjes/katjes-bond-2023-2028-bond-terms-signed.pdf#page=5</t>
        </is>
      </c>
      <c r="P1292" s="3" t="inlineStr">
        <is>
          <t>https://vanillabonds.com/dossier.html?c=katjes&amp;viewer=1&amp;item=F1291</t>
        </is>
      </c>
      <c r="Q1292" s="2" t="inlineStr"/>
    </row>
    <row r="1293">
      <c r="A1293" s="2" t="inlineStr">
        <is>
          <t>F1292</t>
        </is>
      </c>
      <c r="B1293" s="2" t="inlineStr">
        <is>
          <t>market_data</t>
        </is>
      </c>
      <c r="C1293" s="2" t="inlineStr">
        <is>
          <t>instrument_term</t>
        </is>
      </c>
      <c r="D1293" s="3" t="inlineStr">
        <is>
          <t>Instrument term: term (rate type, base rate, maturity, call, listing, ISIN, denomination, settlement, holders, transfer); value</t>
        </is>
      </c>
      <c r="E1293" s="2" t="n"/>
      <c r="F1293" s="2" t="n"/>
      <c r="G1293" s="2" t="n"/>
      <c r="H1293" s="3" t="inlineStr">
        <is>
          <t>term: default interest; value: Interest Rate plus 2.00 percentage points per annum on Overdue Amounts</t>
        </is>
      </c>
      <c r="I1293" s="2" t="inlineStr">
        <is>
          <t>S13</t>
        </is>
      </c>
      <c r="J1293" s="2" t="n">
        <v>24</v>
      </c>
      <c r="K1293" s="3" t="inlineStr">
        <is>
          <t>at the Interest Rate plus 2.00 percentage points per annum.</t>
        </is>
      </c>
      <c r="L1293" s="2" t="inlineStr">
        <is>
          <t>pend</t>
        </is>
      </c>
      <c r="M1293" s="2" t="n"/>
      <c r="N1293" s="2" t="n"/>
      <c r="O1293" s="3" t="inlineStr">
        <is>
          <t>https://vanillabonds.com/dossier-data/pdf/katjes/katjes-bond-2023-2028-bond-terms-signed.pdf#page=24</t>
        </is>
      </c>
      <c r="P1293" s="3" t="inlineStr">
        <is>
          <t>https://vanillabonds.com/dossier.html?c=katjes&amp;viewer=1&amp;item=F1292</t>
        </is>
      </c>
      <c r="Q1293" s="2" t="inlineStr"/>
    </row>
    <row r="1294">
      <c r="A1294" s="2" t="inlineStr">
        <is>
          <t>F1293</t>
        </is>
      </c>
      <c r="B1294" s="2" t="inlineStr">
        <is>
          <t>market_data</t>
        </is>
      </c>
      <c r="C1294" s="2" t="inlineStr">
        <is>
          <t>instrument_term</t>
        </is>
      </c>
      <c r="D1294" s="3" t="inlineStr">
        <is>
          <t>Instrument term: term (rate type, base rate, maturity, call, listing, ISIN, denomination, settlement, holders, transfer); value</t>
        </is>
      </c>
      <c r="E1294" s="2" t="n"/>
      <c r="F1294" s="2" t="n"/>
      <c r="G1294" s="2" t="n"/>
      <c r="H1294" s="3" t="inlineStr">
        <is>
          <t>term: trustee; value: Nordic Trustee AS, Norway, reg. no. 963 342 624</t>
        </is>
      </c>
      <c r="I1294" s="2" t="inlineStr">
        <is>
          <t>S13</t>
        </is>
      </c>
      <c r="J1294" s="2" t="n">
        <v>3</v>
      </c>
      <c r="K1294" s="3" t="inlineStr">
        <is>
          <t>Nordic Trustee AS, a company existing under the laws of Norway with registration number 963 342 624</t>
        </is>
      </c>
      <c r="L1294" s="2" t="inlineStr">
        <is>
          <t>pend</t>
        </is>
      </c>
      <c r="M1294" s="2" t="n"/>
      <c r="N1294" s="2" t="n"/>
      <c r="O1294" s="3" t="inlineStr">
        <is>
          <t>https://vanillabonds.com/dossier-data/pdf/katjes/katjes-bond-2023-2028-bond-terms-signed.pdf#page=3</t>
        </is>
      </c>
      <c r="P1294" s="3" t="inlineStr">
        <is>
          <t>https://vanillabonds.com/dossier.html?c=katjes&amp;viewer=1&amp;item=F1293</t>
        </is>
      </c>
      <c r="Q1294" s="2" t="inlineStr"/>
    </row>
    <row r="1295">
      <c r="A1295" s="2" t="inlineStr">
        <is>
          <t>F1294</t>
        </is>
      </c>
      <c r="B1295" s="2" t="inlineStr">
        <is>
          <t>market_data</t>
        </is>
      </c>
      <c r="C1295" s="2" t="inlineStr">
        <is>
          <t>instrument_term</t>
        </is>
      </c>
      <c r="D1295" s="3" t="inlineStr">
        <is>
          <t>Instrument term: term (rate type, base rate, maturity, call, listing, ISIN, denomination, settlement, holders, transfer); value</t>
        </is>
      </c>
      <c r="E1295" s="2" t="n"/>
      <c r="F1295" s="2" t="n"/>
      <c r="G1295" s="2" t="n"/>
      <c r="H1295" s="3" t="inlineStr">
        <is>
          <t>term: managers; value: IKB Deutsche Industriebank AG, Düsseldorf, and Pareto Securities AS, Frankfurt Branch</t>
        </is>
      </c>
      <c r="I1295" s="2" t="inlineStr">
        <is>
          <t>S13</t>
        </is>
      </c>
      <c r="J1295" s="2" t="n">
        <v>10</v>
      </c>
      <c r="K1295" s="3" t="inlineStr">
        <is>
          <t>“Managers” means IKB Deutsche Industriebank AG, Wilhelm-Bötzkes-Straße 1, 40474 Düsseldorf, Germany, and Pareto Securities AS, Frankfurt Branch</t>
        </is>
      </c>
      <c r="L1295" s="2" t="inlineStr">
        <is>
          <t>pend</t>
        </is>
      </c>
      <c r="M1295" s="2" t="n"/>
      <c r="N1295" s="2" t="n"/>
      <c r="O1295" s="3" t="inlineStr">
        <is>
          <t>https://vanillabonds.com/dossier-data/pdf/katjes/katjes-bond-2023-2028-bond-terms-signed.pdf#page=10</t>
        </is>
      </c>
      <c r="P1295" s="3" t="inlineStr">
        <is>
          <t>https://vanillabonds.com/dossier.html?c=katjes&amp;viewer=1&amp;item=F1294</t>
        </is>
      </c>
      <c r="Q1295" s="2" t="inlineStr"/>
    </row>
    <row r="1296">
      <c r="A1296" s="2" t="inlineStr">
        <is>
          <t>F1295</t>
        </is>
      </c>
      <c r="B1296" s="2" t="inlineStr">
        <is>
          <t>market_data</t>
        </is>
      </c>
      <c r="C1296" s="2" t="inlineStr">
        <is>
          <t>instrument_term</t>
        </is>
      </c>
      <c r="D1296" s="3" t="inlineStr">
        <is>
          <t>Instrument term: term (rate type, base rate, maturity, call, listing, ISIN, denomination, settlement, holders, transfer); value</t>
        </is>
      </c>
      <c r="E1296" s="2" t="n"/>
      <c r="F1296" s="2" t="n"/>
      <c r="G1296" s="2" t="n"/>
      <c r="H1296" s="3" t="inlineStr">
        <is>
          <t>term: governing law; value: Norwegian law, City Court of Oslo (capital of the Relevant Jurisdiction)</t>
        </is>
      </c>
      <c r="I1296" s="2" t="inlineStr">
        <is>
          <t>S13</t>
        </is>
      </c>
      <c r="J1296" s="2" t="n">
        <v>15</v>
      </c>
      <c r="K1296" s="3" t="inlineStr">
        <is>
          <t>“Relevant Jurisdiction” means the country in which the Bonds are issued, being Norway.</t>
        </is>
      </c>
      <c r="L1296" s="2" t="inlineStr">
        <is>
          <t>pend</t>
        </is>
      </c>
      <c r="M1296" s="2" t="n"/>
      <c r="N1296" s="2" t="n"/>
      <c r="O1296" s="3" t="inlineStr">
        <is>
          <t>https://vanillabonds.com/dossier-data/pdf/katjes/katjes-bond-2023-2028-bond-terms-signed.pdf#page=15</t>
        </is>
      </c>
      <c r="P1296" s="3" t="inlineStr">
        <is>
          <t>https://vanillabonds.com/dossier.html?c=katjes&amp;viewer=1&amp;item=F1295</t>
        </is>
      </c>
      <c r="Q1296" s="2" t="inlineStr"/>
    </row>
    <row r="1297">
      <c r="A1297" s="2" t="inlineStr">
        <is>
          <t>F1296</t>
        </is>
      </c>
      <c r="B1297" s="2" t="inlineStr">
        <is>
          <t>market_data</t>
        </is>
      </c>
      <c r="C1297" s="2" t="inlineStr">
        <is>
          <t>instrument_term</t>
        </is>
      </c>
      <c r="D1297" s="3" t="inlineStr">
        <is>
          <t>Instrument term: term (rate type, base rate, maturity, call, listing, ISIN, denomination, settlement, holders, transfer); value</t>
        </is>
      </c>
      <c r="E1297" s="2" t="n"/>
      <c r="F1297" s="2" t="n"/>
      <c r="G1297" s="2" t="n"/>
      <c r="H1297" s="3" t="inlineStr">
        <is>
          <t>term: tap issue; value: Additional Bonds up to EUR 200.0m total, subject to pro forma Incurrence Test</t>
        </is>
      </c>
      <c r="I1297" s="2" t="inlineStr">
        <is>
          <t>S13</t>
        </is>
      </c>
      <c r="J1297" s="2" t="n">
        <v>21</v>
      </c>
      <c r="K1297" s="3" t="inlineStr">
        <is>
          <t>the Issuer meets the Incurrence Test tested pro forma including the new Financial Indebtedness incurred as a result of issuing such Additional Bonds.</t>
        </is>
      </c>
      <c r="L1297" s="2" t="inlineStr">
        <is>
          <t>pend</t>
        </is>
      </c>
      <c r="M1297" s="2" t="n"/>
      <c r="N1297" s="2" t="n"/>
      <c r="O1297" s="3" t="inlineStr">
        <is>
          <t>https://vanillabonds.com/dossier-data/pdf/katjes/katjes-bond-2023-2028-bond-terms-signed.pdf#page=21</t>
        </is>
      </c>
      <c r="P1297" s="3" t="inlineStr">
        <is>
          <t>https://vanillabonds.com/dossier.html?c=katjes&amp;viewer=1&amp;item=F1296</t>
        </is>
      </c>
      <c r="Q1297" s="2" t="inlineStr"/>
    </row>
    <row r="1298">
      <c r="A1298" s="2" t="inlineStr">
        <is>
          <t>F1297</t>
        </is>
      </c>
      <c r="B1298" s="2" t="inlineStr">
        <is>
          <t>market_data</t>
        </is>
      </c>
      <c r="C1298" s="2" t="inlineStr">
        <is>
          <t>instrument_term</t>
        </is>
      </c>
      <c r="D1298" s="3" t="inlineStr">
        <is>
          <t>Instrument term: term (rate type, base rate, maturity, call, listing, ISIN, denomination, settlement, holders, transfer); value</t>
        </is>
      </c>
      <c r="E1298" s="2" t="n"/>
      <c r="F1298" s="2" t="n"/>
      <c r="G1298" s="2" t="n"/>
      <c r="H1298" s="3" t="inlineStr">
        <is>
          <t>term: ranking; value: senior unsecured, pari passu between themselves and with other unsubordinated obligations save statutory preferences, ahead of any subordinated debt</t>
        </is>
      </c>
      <c r="I1298" s="2" t="inlineStr">
        <is>
          <t>S13</t>
        </is>
      </c>
      <c r="J1298" s="2" t="n">
        <v>18</v>
      </c>
      <c r="K1298" s="3" t="inlineStr">
        <is>
          <t>The Bonds shall constitute senior debt obligations of the Issuer and rank: (a) pari passu between themselves;</t>
        </is>
      </c>
      <c r="L1298" s="2" t="inlineStr">
        <is>
          <t>pend</t>
        </is>
      </c>
      <c r="M1298" s="2" t="n"/>
      <c r="N1298" s="3" t="inlineStr">
        <is>
          <t>22 Oct 2026: filed as instrument_term, not intercreditor_term: the bond's own ranking clause; intercreditor_term holds the agreement with the house bank</t>
        </is>
      </c>
      <c r="O1298" s="3" t="inlineStr">
        <is>
          <t>https://vanillabonds.com/dossier-data/pdf/katjes/katjes-bond-2023-2028-bond-terms-signed.pdf#page=18</t>
        </is>
      </c>
      <c r="P1298" s="3" t="inlineStr">
        <is>
          <t>https://vanillabonds.com/dossier.html?c=katjes&amp;viewer=1&amp;item=F1297</t>
        </is>
      </c>
      <c r="Q1298" s="2" t="inlineStr"/>
    </row>
    <row r="1299">
      <c r="A1299" s="2" t="inlineStr">
        <is>
          <t>F1298</t>
        </is>
      </c>
      <c r="B1299" s="2" t="inlineStr">
        <is>
          <t>market_data</t>
        </is>
      </c>
      <c r="C1299" s="2" t="inlineStr">
        <is>
          <t>instrument_term</t>
        </is>
      </c>
      <c r="D1299" s="3" t="inlineStr">
        <is>
          <t>Instrument term: term (rate type, base rate, maturity, call, listing, ISIN, denomination, settlement, holders, transfer); value</t>
        </is>
      </c>
      <c r="E1299" s="2" t="n"/>
      <c r="F1299" s="2" t="n"/>
      <c r="G1299" s="2" t="n"/>
      <c r="H1299" s="3" t="inlineStr">
        <is>
          <t>term: ranking of shareholder loans; value: Shareholder Loans from Investors must be unsecured and subordinated under a Subordination Agreement</t>
        </is>
      </c>
      <c r="I1299" s="2" t="inlineStr">
        <is>
          <t>S13</t>
        </is>
      </c>
      <c r="J1299" s="2" t="n">
        <v>15</v>
      </c>
      <c r="K1299" s="3" t="inlineStr">
        <is>
          <t>“Shareholder Loan” means any loan or credit made to the Issuer by any Investor, provided that it is unsecured and subordinated to the obligations of the Issuer under the Finance Documents</t>
        </is>
      </c>
      <c r="L1299" s="2" t="inlineStr">
        <is>
          <t>pend</t>
        </is>
      </c>
      <c r="M1299" s="2" t="n"/>
      <c r="N1299" s="3" t="inlineStr">
        <is>
          <t>22 Oct 2026: filed as instrument_term, not intercreditor_term: the bond's own ranking clause; intercreditor_term holds the agreement with the house bank</t>
        </is>
      </c>
      <c r="O1299" s="3" t="inlineStr">
        <is>
          <t>https://vanillabonds.com/dossier-data/pdf/katjes/katjes-bond-2023-2028-bond-terms-signed.pdf#page=15</t>
        </is>
      </c>
      <c r="P1299" s="3" t="inlineStr">
        <is>
          <t>https://vanillabonds.com/dossier.html?c=katjes&amp;viewer=1&amp;item=F1298</t>
        </is>
      </c>
      <c r="Q1299" s="2" t="inlineStr"/>
    </row>
    <row r="1300">
      <c r="A1300" s="2" t="inlineStr">
        <is>
          <t>F1299</t>
        </is>
      </c>
      <c r="B1300" s="2" t="inlineStr">
        <is>
          <t>structure</t>
        </is>
      </c>
      <c r="C1300" s="2" t="inlineStr">
        <is>
          <t>covenant_definition</t>
        </is>
      </c>
      <c r="D1300" s="3" t="inlineStr">
        <is>
          <t>Covenant: covenant; formula as defined; threshold; direction (max / min); test frequency</t>
        </is>
      </c>
      <c r="E1300" s="2" t="n"/>
      <c r="F1300" s="2" t="n">
        <v>3.75</v>
      </c>
      <c r="G1300" s="2" t="n"/>
      <c r="H1300" s="3" t="inlineStr">
        <is>
          <t>covenant: Leverage (Incurrence Test); formula as defined: Total Net Debt on last day of Relevant Period divided by EBITDA for that 12-month Relevant Period; threshold: 3.75; direction: max; test frequency: incurrence basis on new Financial Indebtedness and Distributions, testing date no earlier than 3 months before the event</t>
        </is>
      </c>
      <c r="I1300" s="2" t="inlineStr">
        <is>
          <t>S13</t>
        </is>
      </c>
      <c r="J1300" s="2" t="n">
        <v>34</v>
      </c>
      <c r="K1300" s="3" t="inlineStr">
        <is>
          <t>The “Incurrence Test” is met if Leverage is less than: (a) with respect to any Financial Indebtedness in respect of which the Incurrence Test shall be made, 3.75:1 at any such time</t>
        </is>
      </c>
      <c r="L1300" s="2" t="inlineStr">
        <is>
          <t>pend</t>
        </is>
      </c>
      <c r="M1300" s="2" t="n"/>
      <c r="N1300" s="2" t="n"/>
      <c r="O1300" s="3" t="inlineStr">
        <is>
          <t>https://vanillabonds.com/dossier-data/pdf/katjes/katjes-bond-2023-2028-bond-terms-signed.pdf#page=34</t>
        </is>
      </c>
      <c r="P1300" s="3" t="inlineStr">
        <is>
          <t>https://vanillabonds.com/dossier.html?c=katjes&amp;viewer=1&amp;item=F1299</t>
        </is>
      </c>
      <c r="Q1300" s="2" t="inlineStr"/>
    </row>
    <row r="1301">
      <c r="A1301" s="2" t="inlineStr">
        <is>
          <t>F1300</t>
        </is>
      </c>
      <c r="B1301" s="2" t="inlineStr">
        <is>
          <t>structure</t>
        </is>
      </c>
      <c r="C1301" s="2" t="inlineStr">
        <is>
          <t>covenant_definition</t>
        </is>
      </c>
      <c r="D1301" s="3" t="inlineStr">
        <is>
          <t>Covenant: covenant; formula as defined; threshold; direction (max / min); test frequency</t>
        </is>
      </c>
      <c r="E1301" s="2" t="n"/>
      <c r="F1301" s="2" t="n"/>
      <c r="G1301" s="2" t="n"/>
      <c r="H1301" s="3" t="inlineStr">
        <is>
          <t>covenant: Leverage; formula as defined: ratio of Total Net Debt on the last day of the Relevant Period to EBITDA for that Relevant Period</t>
        </is>
      </c>
      <c r="I1301" s="2" t="inlineStr">
        <is>
          <t>S13</t>
        </is>
      </c>
      <c r="J1301" s="2" t="n">
        <v>9</v>
      </c>
      <c r="K1301" s="3" t="inlineStr">
        <is>
          <t>“Leverage” means, in respect of any Relevant Period, the ratio of Total Net Debt on the last day of that Relevant Period to EBITDA in respect of such Relevant Period</t>
        </is>
      </c>
      <c r="L1301" s="2" t="inlineStr">
        <is>
          <t>pend</t>
        </is>
      </c>
      <c r="M1301" s="2" t="n"/>
      <c r="N1301" s="2" t="n"/>
      <c r="O1301" s="3" t="inlineStr">
        <is>
          <t>https://vanillabonds.com/dossier-data/pdf/katjes/katjes-bond-2023-2028-bond-terms-signed.pdf#page=9</t>
        </is>
      </c>
      <c r="P1301" s="3" t="inlineStr">
        <is>
          <t>https://vanillabonds.com/dossier.html?c=katjes&amp;viewer=1&amp;item=F1300</t>
        </is>
      </c>
      <c r="Q1301" s="2" t="inlineStr"/>
    </row>
    <row r="1302">
      <c r="A1302" s="2" t="inlineStr">
        <is>
          <t>F1301</t>
        </is>
      </c>
      <c r="B1302" s="2" t="inlineStr">
        <is>
          <t>structure</t>
        </is>
      </c>
      <c r="C1302" s="2" t="inlineStr">
        <is>
          <t>covenant_definition</t>
        </is>
      </c>
      <c r="D1302" s="3" t="inlineStr">
        <is>
          <t>Covenant: covenant; formula as defined; threshold; direction (max / min); test frequency</t>
        </is>
      </c>
      <c r="E1302" s="2" t="n"/>
      <c r="F1302" s="2" t="n"/>
      <c r="G1302" s="2" t="n"/>
      <c r="H1302" s="3" t="inlineStr">
        <is>
          <t>covenant: Total Net Debt; formula as defined: Financial Indebtedness excluding derivatives, intra-group, Shareholder Loans, Subordinated Loans and Issuer-held Bonds, including capitalised finance leases, less unencumbered freely available cash and cash equivalents</t>
        </is>
      </c>
      <c r="I1302" s="2" t="inlineStr">
        <is>
          <t>S13</t>
        </is>
      </c>
      <c r="J1302" s="2" t="n">
        <v>16</v>
      </c>
      <c r="K1302" s="3" t="inlineStr">
        <is>
          <t>deducting the aggregate amount of any cash (which is unencumbered and freely and immediately available to any Group Company to be applied in redemption or repayment of the Bonds)</t>
        </is>
      </c>
      <c r="L1302" s="2" t="inlineStr">
        <is>
          <t>pend</t>
        </is>
      </c>
      <c r="M1302" s="2" t="n"/>
      <c r="N1302" s="2" t="n"/>
      <c r="O1302" s="3" t="inlineStr">
        <is>
          <t>https://vanillabonds.com/dossier-data/pdf/katjes/katjes-bond-2023-2028-bond-terms-signed.pdf#page=16</t>
        </is>
      </c>
      <c r="P1302" s="3" t="inlineStr">
        <is>
          <t>https://vanillabonds.com/dossier.html?c=katjes&amp;viewer=1&amp;item=F1301</t>
        </is>
      </c>
      <c r="Q1302" s="2" t="inlineStr"/>
    </row>
    <row r="1303">
      <c r="A1303" s="2" t="inlineStr">
        <is>
          <t>F1302</t>
        </is>
      </c>
      <c r="B1303" s="2" t="inlineStr">
        <is>
          <t>structure</t>
        </is>
      </c>
      <c r="C1303" s="2" t="inlineStr">
        <is>
          <t>covenant_definition</t>
        </is>
      </c>
      <c r="D1303" s="3" t="inlineStr">
        <is>
          <t>Covenant: covenant; formula as defined; threshold; direction (max / min); test frequency</t>
        </is>
      </c>
      <c r="E1303" s="2" t="n"/>
      <c r="F1303" s="2" t="n"/>
      <c r="G1303" s="2" t="n"/>
      <c r="H1303" s="3" t="inlineStr">
        <is>
          <t>covenant: EBITDA; formula as defined: consolidated operating profit before tax, finance items and D&amp;A, excluding discontinued operations, with exceptional/one-off items (not acquisition costs) added back only up to 10.00% of EBITDA, adjusted for badwill, minorities, associates, unrealised derivative gains, revaluations, pension items and stock options</t>
        </is>
      </c>
      <c r="I1303" s="2" t="inlineStr">
        <is>
          <t>S13</t>
        </is>
      </c>
      <c r="J1303" s="2" t="n">
        <v>6</v>
      </c>
      <c r="K1303" s="3" t="inlineStr">
        <is>
          <t>up to an aggregate amount for the Group not exceeding 10.00 per cent. of EBITDA (prior to making any adjustments for any such items) in respect of that Relevant Period</t>
        </is>
      </c>
      <c r="L1303" s="2" t="inlineStr">
        <is>
          <t>pend</t>
        </is>
      </c>
      <c r="M1303" s="2" t="n"/>
      <c r="N1303" s="2" t="n"/>
      <c r="O1303" s="3" t="inlineStr">
        <is>
          <t>https://vanillabonds.com/dossier-data/pdf/katjes/katjes-bond-2023-2028-bond-terms-signed.pdf#page=6</t>
        </is>
      </c>
      <c r="P1303" s="3" t="inlineStr">
        <is>
          <t>https://vanillabonds.com/dossier.html?c=katjes&amp;viewer=1&amp;item=F1302</t>
        </is>
      </c>
      <c r="Q1303" s="2" t="inlineStr"/>
    </row>
    <row r="1304">
      <c r="A1304" s="2" t="inlineStr">
        <is>
          <t>F1303</t>
        </is>
      </c>
      <c r="B1304" s="2" t="inlineStr">
        <is>
          <t>debt</t>
        </is>
      </c>
      <c r="C1304" s="2" t="inlineStr">
        <is>
          <t>covenant</t>
        </is>
      </c>
      <c r="D1304" s="2" t="inlineStr">
        <is>
          <t>Financial covenant / restriction</t>
        </is>
      </c>
      <c r="E1304" s="2" t="n"/>
      <c r="F1304" s="2" t="n"/>
      <c r="G1304" s="2" t="n"/>
      <c r="H1304" s="3" t="inlineStr">
        <is>
          <t>Incurrence test: new Financial Indebtedness by the Issuer (Tap Issue or Subordinated Loan) only if Leverage is below 3.75x pro forma and no Event of Default is continuing.</t>
        </is>
      </c>
      <c r="I1304" s="2" t="inlineStr">
        <is>
          <t>S13</t>
        </is>
      </c>
      <c r="J1304" s="2" t="n">
        <v>12</v>
      </c>
      <c r="K1304" s="3" t="inlineStr">
        <is>
          <t>incurred by the Issuer after the Issue Date, provided that (i) it complies with the Incurrence Test if tested pro forma immediately after the incurrence of such new Financial Indebtedness</t>
        </is>
      </c>
      <c r="L1304" s="2" t="inlineStr">
        <is>
          <t>pend</t>
        </is>
      </c>
      <c r="M1304" s="2" t="n"/>
      <c r="N1304" s="2" t="n"/>
      <c r="O1304" s="3" t="inlineStr">
        <is>
          <t>https://vanillabonds.com/dossier-data/pdf/katjes/katjes-bond-2023-2028-bond-terms-signed.pdf#page=12</t>
        </is>
      </c>
      <c r="P1304" s="3" t="inlineStr">
        <is>
          <t>https://vanillabonds.com/dossier.html?c=katjes&amp;viewer=1&amp;item=F1303</t>
        </is>
      </c>
      <c r="Q1304" s="2" t="inlineStr"/>
    </row>
    <row r="1305">
      <c r="A1305" s="2" t="inlineStr">
        <is>
          <t>F1304</t>
        </is>
      </c>
      <c r="B1305" s="2" t="inlineStr">
        <is>
          <t>debt</t>
        </is>
      </c>
      <c r="C1305" s="2" t="inlineStr">
        <is>
          <t>covenant</t>
        </is>
      </c>
      <c r="D1305" s="2" t="inlineStr">
        <is>
          <t>Financial covenant / restriction</t>
        </is>
      </c>
      <c r="E1305" s="2" t="n"/>
      <c r="F1305" s="2" t="n"/>
      <c r="G1305" s="2" t="n"/>
      <c r="H1305" s="3" t="inlineStr">
        <is>
          <t>Distributions by the Issuer are limited to 50.00% of the Group's consolidated net income after tax of the previous Financial Year, subject to the 3.75x Incurrence Test, with no carry-forward of unused amounts.</t>
        </is>
      </c>
      <c r="I1305" s="2" t="inlineStr">
        <is>
          <t>S13</t>
        </is>
      </c>
      <c r="J1305" s="2" t="n">
        <v>11</v>
      </c>
      <c r="K1305" s="3" t="inlineStr">
        <is>
          <t>does not exceed an amount equal to 50.00 per cent. of the Group's consolidated net income after tax for the previous Financial Year</t>
        </is>
      </c>
      <c r="L1305" s="2" t="inlineStr">
        <is>
          <t>pend</t>
        </is>
      </c>
      <c r="M1305" s="2" t="n"/>
      <c r="N1305" s="2" t="n"/>
      <c r="O1305" s="3" t="inlineStr">
        <is>
          <t>https://vanillabonds.com/dossier-data/pdf/katjes/katjes-bond-2023-2028-bond-terms-signed.pdf#page=11</t>
        </is>
      </c>
      <c r="P1305" s="3" t="inlineStr">
        <is>
          <t>https://vanillabonds.com/dossier.html?c=katjes&amp;viewer=1&amp;item=F1304</t>
        </is>
      </c>
      <c r="Q1305" s="2" t="inlineStr"/>
    </row>
    <row r="1306">
      <c r="A1306" s="2" t="inlineStr">
        <is>
          <t>F1305</t>
        </is>
      </c>
      <c r="B1306" s="2" t="inlineStr">
        <is>
          <t>debt</t>
        </is>
      </c>
      <c r="C1306" s="2" t="inlineStr">
        <is>
          <t>covenant</t>
        </is>
      </c>
      <c r="D1306" s="2" t="inlineStr">
        <is>
          <t>Financial covenant / restriction</t>
        </is>
      </c>
      <c r="E1306" s="2" t="n"/>
      <c r="F1306" s="2" t="n"/>
      <c r="G1306" s="2" t="n"/>
      <c r="H1306" s="3" t="inlineStr">
        <is>
          <t>Distributions to the Investors are additionally permitted up to the tax payable by each Investor attributable to being a shareholder of the Issuer.</t>
        </is>
      </c>
      <c r="I1306" s="2" t="inlineStr">
        <is>
          <t>S13</t>
        </is>
      </c>
      <c r="J1306" s="2" t="n">
        <v>11</v>
      </c>
      <c r="K1306" s="3" t="inlineStr">
        <is>
          <t>does not exceed the amount of any tax payable by such Investor during such Financial Year which is attributable to such Investor being a (direct or indirect) shareholder of the Issuer</t>
        </is>
      </c>
      <c r="L1306" s="2" t="inlineStr">
        <is>
          <t>pend</t>
        </is>
      </c>
      <c r="M1306" s="2" t="n"/>
      <c r="N1306" s="2" t="n"/>
      <c r="O1306" s="3" t="inlineStr">
        <is>
          <t>https://vanillabonds.com/dossier-data/pdf/katjes/katjes-bond-2023-2028-bond-terms-signed.pdf#page=11</t>
        </is>
      </c>
      <c r="P1306" s="3" t="inlineStr">
        <is>
          <t>https://vanillabonds.com/dossier.html?c=katjes&amp;viewer=1&amp;item=F1305</t>
        </is>
      </c>
      <c r="Q1306" s="2" t="inlineStr"/>
    </row>
    <row r="1307">
      <c r="A1307" s="2" t="inlineStr">
        <is>
          <t>F1306</t>
        </is>
      </c>
      <c r="B1307" s="2" t="inlineStr">
        <is>
          <t>debt</t>
        </is>
      </c>
      <c r="C1307" s="2" t="inlineStr">
        <is>
          <t>covenant</t>
        </is>
      </c>
      <c r="D1307" s="2" t="inlineStr">
        <is>
          <t>Financial covenant / restriction</t>
        </is>
      </c>
      <c r="E1307" s="2" t="n"/>
      <c r="F1307" s="2" t="n">
        <v>25</v>
      </c>
      <c r="G1307" s="2" t="n"/>
      <c r="H1307" s="3" t="inlineStr">
        <is>
          <t>Secured Subsidiary Indebtedness (debt of Group Companies other than the Issuer, guaranteed or secured) is capped at the higher of EUR 25.0m and 15.00% of Total Assets.</t>
        </is>
      </c>
      <c r="I1307" s="2" t="inlineStr">
        <is>
          <t>S13</t>
        </is>
      </c>
      <c r="J1307" s="2" t="n">
        <v>12</v>
      </c>
      <c r="K1307" s="3" t="inlineStr">
        <is>
          <t>does not exceed the higher of (i) EUR 25,000,000 (or its equivalent in other currencies) and (ii) an amount equal to 15.00 per cent. of Total Assets</t>
        </is>
      </c>
      <c r="L1307" s="2" t="inlineStr">
        <is>
          <t>pend</t>
        </is>
      </c>
      <c r="M1307" s="2" t="n"/>
      <c r="N1307" s="2" t="n"/>
      <c r="O1307" s="3" t="inlineStr">
        <is>
          <t>https://vanillabonds.com/dossier-data/pdf/katjes/katjes-bond-2023-2028-bond-terms-signed.pdf#page=12</t>
        </is>
      </c>
      <c r="P1307" s="3" t="inlineStr">
        <is>
          <t>https://vanillabonds.com/dossier.html?c=katjes&amp;viewer=1&amp;item=F1306</t>
        </is>
      </c>
      <c r="Q1307" s="2" t="inlineStr"/>
    </row>
    <row r="1308">
      <c r="A1308" s="2" t="inlineStr">
        <is>
          <t>F1307</t>
        </is>
      </c>
      <c r="B1308" s="2" t="inlineStr">
        <is>
          <t>debt</t>
        </is>
      </c>
      <c r="C1308" s="2" t="inlineStr">
        <is>
          <t>covenant</t>
        </is>
      </c>
      <c r="D1308" s="2" t="inlineStr">
        <is>
          <t>Financial covenant / restriction</t>
        </is>
      </c>
      <c r="E1308" s="2" t="n"/>
      <c r="F1308" s="2" t="n">
        <v>1</v>
      </c>
      <c r="G1308" s="2" t="n"/>
      <c r="H1308" s="3" t="inlineStr">
        <is>
          <t>Finance leases or hire purchase contracts of the Issuer are capped at the higher of EUR 1.0m and 5.00% of EBITDA.</t>
        </is>
      </c>
      <c r="I1308" s="2" t="inlineStr">
        <is>
          <t>S13</t>
        </is>
      </c>
      <c r="J1308" s="2" t="n">
        <v>12</v>
      </c>
      <c r="K1308" s="3" t="inlineStr">
        <is>
          <t>does not exceed the higher of (i) EUR 1,000,000 (or its equivalent in other currencies) and (ii) an amount equal to 5.00 per cent. of EBITDA</t>
        </is>
      </c>
      <c r="L1308" s="2" t="inlineStr">
        <is>
          <t>pend</t>
        </is>
      </c>
      <c r="M1308" s="2" t="n"/>
      <c r="N1308" s="2" t="n"/>
      <c r="O1308" s="3" t="inlineStr">
        <is>
          <t>https://vanillabonds.com/dossier-data/pdf/katjes/katjes-bond-2023-2028-bond-terms-signed.pdf#page=12</t>
        </is>
      </c>
      <c r="P1308" s="3" t="inlineStr">
        <is>
          <t>https://vanillabonds.com/dossier.html?c=katjes&amp;viewer=1&amp;item=F1307</t>
        </is>
      </c>
      <c r="Q1308" s="2" t="inlineStr"/>
    </row>
    <row r="1309">
      <c r="A1309" s="2" t="inlineStr">
        <is>
          <t>F1308</t>
        </is>
      </c>
      <c r="B1309" s="2" t="inlineStr">
        <is>
          <t>debt</t>
        </is>
      </c>
      <c r="C1309" s="2" t="inlineStr">
        <is>
          <t>covenant</t>
        </is>
      </c>
      <c r="D1309" s="2" t="inlineStr">
        <is>
          <t>Financial covenant / restriction</t>
        </is>
      </c>
      <c r="E1309" s="2" t="n"/>
      <c r="F1309" s="2" t="n">
        <v>1</v>
      </c>
      <c r="G1309" s="2" t="n"/>
      <c r="H1309" s="3" t="inlineStr">
        <is>
          <t>General basket for other Financial Indebtedness, financial support and security is each capped at the higher of EUR 1.0m and 5.00% of EBITDA.</t>
        </is>
      </c>
      <c r="I1309" s="2" t="inlineStr">
        <is>
          <t>S13</t>
        </is>
      </c>
      <c r="J1309" s="2" t="n">
        <v>13</v>
      </c>
      <c r="K1309" s="3" t="inlineStr">
        <is>
          <t>not permitted by the preceding paragraphs and the outstanding amount of which does not exceed the higher of (i) EUR 1,000,000 (or its equivalent in other currencies) and (ii) an amount equal to 5.00 per cent. of EBITDA</t>
        </is>
      </c>
      <c r="L1309" s="2" t="inlineStr">
        <is>
          <t>pend</t>
        </is>
      </c>
      <c r="M1309" s="2" t="n"/>
      <c r="N1309" s="2" t="n"/>
      <c r="O1309" s="3" t="inlineStr">
        <is>
          <t>https://vanillabonds.com/dossier-data/pdf/katjes/katjes-bond-2023-2028-bond-terms-signed.pdf#page=13</t>
        </is>
      </c>
      <c r="P1309" s="3" t="inlineStr">
        <is>
          <t>https://vanillabonds.com/dossier.html?c=katjes&amp;viewer=1&amp;item=F1308</t>
        </is>
      </c>
      <c r="Q1309" s="2" t="inlineStr"/>
    </row>
    <row r="1310">
      <c r="A1310" s="2" t="inlineStr">
        <is>
          <t>F1309</t>
        </is>
      </c>
      <c r="B1310" s="2" t="inlineStr">
        <is>
          <t>debt</t>
        </is>
      </c>
      <c r="C1310" s="2" t="inlineStr">
        <is>
          <t>covenant</t>
        </is>
      </c>
      <c r="D1310" s="2" t="inlineStr">
        <is>
          <t>Financial covenant / restriction</t>
        </is>
      </c>
      <c r="E1310" s="2" t="n"/>
      <c r="F1310" s="2" t="n"/>
      <c r="G1310" s="2" t="n"/>
      <c r="H1310" s="3" t="inlineStr">
        <is>
          <t>Negative pledge: no Group Company may create security over its assets other than Permitted Security.</t>
        </is>
      </c>
      <c r="I1310" s="2" t="inlineStr">
        <is>
          <t>S13</t>
        </is>
      </c>
      <c r="J1310" s="2" t="n">
        <v>32</v>
      </c>
      <c r="K1310" s="3" t="inlineStr">
        <is>
          <t>The Issuer shall not, and it shall ensure that no other Group Company will, create or allow to subsist any security over any of its assets other than any Permitted Security.</t>
        </is>
      </c>
      <c r="L1310" s="2" t="inlineStr">
        <is>
          <t>pend</t>
        </is>
      </c>
      <c r="M1310" s="2" t="n"/>
      <c r="N1310" s="2" t="n"/>
      <c r="O1310" s="3" t="inlineStr">
        <is>
          <t>https://vanillabonds.com/dossier-data/pdf/katjes/katjes-bond-2023-2028-bond-terms-signed.pdf#page=32</t>
        </is>
      </c>
      <c r="P1310" s="3" t="inlineStr">
        <is>
          <t>https://vanillabonds.com/dossier.html?c=katjes&amp;viewer=1&amp;item=F1309</t>
        </is>
      </c>
      <c r="Q1310" s="2" t="inlineStr"/>
    </row>
    <row r="1311">
      <c r="A1311" s="2" t="inlineStr">
        <is>
          <t>F1310</t>
        </is>
      </c>
      <c r="B1311" s="2" t="inlineStr">
        <is>
          <t>debt</t>
        </is>
      </c>
      <c r="C1311" s="2" t="inlineStr">
        <is>
          <t>covenant</t>
        </is>
      </c>
      <c r="D1311" s="2" t="inlineStr">
        <is>
          <t>Financial covenant / restriction</t>
        </is>
      </c>
      <c r="E1311" s="2" t="n"/>
      <c r="F1311" s="2" t="n"/>
      <c r="G1311" s="2" t="n"/>
      <c r="H1311" s="3" t="inlineStr">
        <is>
          <t>Financial support: no loans, credits, guarantees or indemnities to any person other than Permitted Financial Support.</t>
        </is>
      </c>
      <c r="I1311" s="2" t="inlineStr">
        <is>
          <t>S13</t>
        </is>
      </c>
      <c r="J1311" s="2" t="n">
        <v>32</v>
      </c>
      <c r="K1311" s="3" t="inlineStr">
        <is>
          <t>grant or allow to subsist (i) any loans or credits to any other person or (ii) any guarantees or indemnities in respect of any obligation of any other person, in each case other than any Permitted Financial Support.</t>
        </is>
      </c>
      <c r="L1311" s="2" t="inlineStr">
        <is>
          <t>pend</t>
        </is>
      </c>
      <c r="M1311" s="2" t="n"/>
      <c r="N1311" s="2" t="n"/>
      <c r="O1311" s="3" t="inlineStr">
        <is>
          <t>https://vanillabonds.com/dossier-data/pdf/katjes/katjes-bond-2023-2028-bond-terms-signed.pdf#page=32</t>
        </is>
      </c>
      <c r="P1311" s="3" t="inlineStr">
        <is>
          <t>https://vanillabonds.com/dossier.html?c=katjes&amp;viewer=1&amp;item=F1310</t>
        </is>
      </c>
      <c r="Q1311" s="2" t="inlineStr"/>
    </row>
    <row r="1312">
      <c r="A1312" s="2" t="inlineStr">
        <is>
          <t>F1311</t>
        </is>
      </c>
      <c r="B1312" s="2" t="inlineStr">
        <is>
          <t>debt</t>
        </is>
      </c>
      <c r="C1312" s="2" t="inlineStr">
        <is>
          <t>covenant</t>
        </is>
      </c>
      <c r="D1312" s="2" t="inlineStr">
        <is>
          <t>Financial covenant / restriction</t>
        </is>
      </c>
      <c r="E1312" s="2" t="n"/>
      <c r="F1312" s="2" t="n">
        <v>15</v>
      </c>
      <c r="G1312" s="2" t="n"/>
      <c r="H1312" s="3" t="inlineStr">
        <is>
          <t>Disposal proceeds of EUR 15.0m or more must be applied within 18-24 months to non-current assets or to redemption of Bonds at the applicable Call Price.</t>
        </is>
      </c>
      <c r="I1312" s="2" t="inlineStr">
        <is>
          <t>S13</t>
        </is>
      </c>
      <c r="J1312" s="2" t="n">
        <v>32</v>
      </c>
      <c r="K1312" s="3" t="inlineStr">
        <is>
          <t>equal or exceed EUR 15,000,000 (or its equivalent in other currencies).</t>
        </is>
      </c>
      <c r="L1312" s="2" t="inlineStr">
        <is>
          <t>pend</t>
        </is>
      </c>
      <c r="M1312" s="2" t="n"/>
      <c r="N1312" s="2" t="n"/>
      <c r="O1312" s="3" t="inlineStr">
        <is>
          <t>https://vanillabonds.com/dossier-data/pdf/katjes/katjes-bond-2023-2028-bond-terms-signed.pdf#page=32</t>
        </is>
      </c>
      <c r="P1312" s="3" t="inlineStr">
        <is>
          <t>https://vanillabonds.com/dossier.html?c=katjes&amp;viewer=1&amp;item=F1311</t>
        </is>
      </c>
      <c r="Q1312" s="2" t="inlineStr"/>
    </row>
    <row r="1313">
      <c r="A1313" s="2" t="inlineStr">
        <is>
          <t>F1312</t>
        </is>
      </c>
      <c r="B1313" s="2" t="inlineStr">
        <is>
          <t>debt</t>
        </is>
      </c>
      <c r="C1313" s="2" t="inlineStr">
        <is>
          <t>covenant</t>
        </is>
      </c>
      <c r="D1313" s="2" t="inlineStr">
        <is>
          <t>Financial covenant / restriction</t>
        </is>
      </c>
      <c r="E1313" s="2" t="n"/>
      <c r="F1313" s="2" t="n">
        <v>80</v>
      </c>
      <c r="G1313" s="2" t="n"/>
      <c r="H1313" s="3" t="inlineStr">
        <is>
          <t>Within three Business Days after the Issue Date the Issuer must call the Existing Bonds for at least EUR 80.0m, with the remainder (max EUR 30.0m) repaid at the 12 April 2024 maturity.</t>
        </is>
      </c>
      <c r="I1313" s="2" t="inlineStr">
        <is>
          <t>S13</t>
        </is>
      </c>
      <c r="J1313" s="2" t="n">
        <v>34</v>
      </c>
      <c r="K1313" s="3" t="inlineStr">
        <is>
          <t>early redemption and prepayment of the Existing Bonds in whole or in part and, if in part, in an amount equal to not less than EUR 80,000,000</t>
        </is>
      </c>
      <c r="L1313" s="2" t="inlineStr">
        <is>
          <t>pend</t>
        </is>
      </c>
      <c r="M1313" s="2" t="n"/>
      <c r="N1313" s="2" t="n"/>
      <c r="O1313" s="3" t="inlineStr">
        <is>
          <t>https://vanillabonds.com/dossier-data/pdf/katjes/katjes-bond-2023-2028-bond-terms-signed.pdf#page=34</t>
        </is>
      </c>
      <c r="P1313" s="3" t="inlineStr">
        <is>
          <t>https://vanillabonds.com/dossier.html?c=katjes&amp;viewer=1&amp;item=F1312</t>
        </is>
      </c>
      <c r="Q1313" s="2" t="inlineStr"/>
    </row>
    <row r="1314">
      <c r="A1314" s="2" t="inlineStr">
        <is>
          <t>F1313</t>
        </is>
      </c>
      <c r="B1314" s="2" t="inlineStr">
        <is>
          <t>debt</t>
        </is>
      </c>
      <c r="C1314" s="2" t="inlineStr">
        <is>
          <t>covenant</t>
        </is>
      </c>
      <c r="D1314" s="2" t="inlineStr">
        <is>
          <t>Financial covenant / restriction</t>
        </is>
      </c>
      <c r="E1314" s="2" t="n"/>
      <c r="F1314" s="2" t="n"/>
      <c r="G1314" s="2" t="n"/>
      <c r="H1314" s="3" t="inlineStr">
        <is>
          <t>No repayment, interest payment or discharge of Subordinated Loans except as allowed under a Subordination Agreement.</t>
        </is>
      </c>
      <c r="I1314" s="2" t="inlineStr">
        <is>
          <t>S13</t>
        </is>
      </c>
      <c r="J1314" s="2" t="n">
        <v>33</v>
      </c>
      <c r="K1314" s="3" t="inlineStr">
        <is>
          <t>(a) repay or prepay any principal amount (or capitalised interest) outstanding under any Subordinated Loan, (b) pay any interest, fee or charge accrued or due under any Subordinated Loan</t>
        </is>
      </c>
      <c r="L1314" s="2" t="inlineStr">
        <is>
          <t>pend</t>
        </is>
      </c>
      <c r="M1314" s="2" t="n"/>
      <c r="N1314" s="2" t="n"/>
      <c r="O1314" s="3" t="inlineStr">
        <is>
          <t>https://vanillabonds.com/dossier-data/pdf/katjes/katjes-bond-2023-2028-bond-terms-signed.pdf#page=33</t>
        </is>
      </c>
      <c r="P1314" s="3" t="inlineStr">
        <is>
          <t>https://vanillabonds.com/dossier.html?c=katjes&amp;viewer=1&amp;item=F1313</t>
        </is>
      </c>
      <c r="Q1314" s="2" t="inlineStr"/>
    </row>
    <row r="1315">
      <c r="A1315" s="2" t="inlineStr">
        <is>
          <t>F1314</t>
        </is>
      </c>
      <c r="B1315" s="2" t="inlineStr">
        <is>
          <t>debt</t>
        </is>
      </c>
      <c r="C1315" s="2" t="inlineStr">
        <is>
          <t>covenant</t>
        </is>
      </c>
      <c r="D1315" s="2" t="inlineStr">
        <is>
          <t>Financial covenant / restriction</t>
        </is>
      </c>
      <c r="E1315" s="2" t="n"/>
      <c r="F1315" s="2" t="n"/>
      <c r="G1315" s="2" t="n"/>
      <c r="H1315" s="3" t="inlineStr">
        <is>
          <t>No substantial change to the nature of the business, jurisdiction of incorporation, type of organisation or COMI of the Issuer.</t>
        </is>
      </c>
      <c r="I1315" s="2" t="inlineStr">
        <is>
          <t>S13</t>
        </is>
      </c>
      <c r="J1315" s="2" t="n">
        <v>33</v>
      </c>
      <c r="K1315" s="3" t="inlineStr">
        <is>
          <t>The Issuer shall not change its jurisdiction of incorporation or type of organisation.</t>
        </is>
      </c>
      <c r="L1315" s="2" t="inlineStr">
        <is>
          <t>pend</t>
        </is>
      </c>
      <c r="M1315" s="2" t="n"/>
      <c r="N1315" s="2" t="n"/>
      <c r="O1315" s="3" t="inlineStr">
        <is>
          <t>https://vanillabonds.com/dossier-data/pdf/katjes/katjes-bond-2023-2028-bond-terms-signed.pdf#page=33</t>
        </is>
      </c>
      <c r="P1315" s="3" t="inlineStr">
        <is>
          <t>https://vanillabonds.com/dossier.html?c=katjes&amp;viewer=1&amp;item=F1314</t>
        </is>
      </c>
      <c r="Q1315" s="2" t="inlineStr"/>
    </row>
    <row r="1316">
      <c r="A1316" s="2" t="inlineStr">
        <is>
          <t>F1315</t>
        </is>
      </c>
      <c r="B1316" s="2" t="inlineStr">
        <is>
          <t>debt</t>
        </is>
      </c>
      <c r="C1316" s="2" t="inlineStr">
        <is>
          <t>covenant</t>
        </is>
      </c>
      <c r="D1316" s="2" t="inlineStr">
        <is>
          <t>Financial covenant / restriction</t>
        </is>
      </c>
      <c r="E1316" s="2" t="n"/>
      <c r="F1316" s="2" t="n"/>
      <c r="G1316" s="2" t="n"/>
      <c r="H1316" s="3" t="inlineStr">
        <is>
          <t>All Group transactions must be on arm's length terms.</t>
        </is>
      </c>
      <c r="I1316" s="2" t="inlineStr">
        <is>
          <t>S13</t>
        </is>
      </c>
      <c r="J1316" s="2" t="n">
        <v>33</v>
      </c>
      <c r="K1316" s="3" t="inlineStr">
        <is>
          <t>the Issuer shall not, and it shall ensure that no other Group Company will, enter into any transaction with any other person other than on arm's length terms.</t>
        </is>
      </c>
      <c r="L1316" s="2" t="inlineStr">
        <is>
          <t>pend</t>
        </is>
      </c>
      <c r="M1316" s="2" t="n"/>
      <c r="N1316" s="2" t="n"/>
      <c r="O1316" s="3" t="inlineStr">
        <is>
          <t>https://vanillabonds.com/dossier-data/pdf/katjes/katjes-bond-2023-2028-bond-terms-signed.pdf#page=33</t>
        </is>
      </c>
      <c r="P1316" s="3" t="inlineStr">
        <is>
          <t>https://vanillabonds.com/dossier.html?c=katjes&amp;viewer=1&amp;item=F1315</t>
        </is>
      </c>
      <c r="Q1316" s="2" t="inlineStr"/>
    </row>
    <row r="1317">
      <c r="A1317" s="2" t="inlineStr">
        <is>
          <t>F1316</t>
        </is>
      </c>
      <c r="B1317" s="2" t="inlineStr">
        <is>
          <t>debt</t>
        </is>
      </c>
      <c r="C1317" s="2" t="inlineStr">
        <is>
          <t>covenant</t>
        </is>
      </c>
      <c r="D1317" s="2" t="inlineStr">
        <is>
          <t>Financial covenant / restriction</t>
        </is>
      </c>
      <c r="E1317" s="2" t="n"/>
      <c r="F1317" s="2" t="n">
        <v>7.5</v>
      </c>
      <c r="G1317" s="2" t="n"/>
      <c r="H1317" s="3" t="inlineStr">
        <is>
          <t>Cross default and cross acceleration apply to Group Financial Indebtedness exceeding EUR 7.5m in aggregate.</t>
        </is>
      </c>
      <c r="I1317" s="2" t="inlineStr">
        <is>
          <t>S13</t>
        </is>
      </c>
      <c r="J1317" s="2" t="n">
        <v>36</v>
      </c>
      <c r="K1317" s="3" t="inlineStr">
        <is>
          <t>exceeds a total of EUR 7,500,000 (or its equivalent in other currencies) in aggregate for the Group.</t>
        </is>
      </c>
      <c r="L1317" s="2" t="inlineStr">
        <is>
          <t>pend</t>
        </is>
      </c>
      <c r="M1317" s="2" t="n"/>
      <c r="N1317" s="2" t="n"/>
      <c r="O1317" s="3" t="inlineStr">
        <is>
          <t>https://vanillabonds.com/dossier-data/pdf/katjes/katjes-bond-2023-2028-bond-terms-signed.pdf#page=36</t>
        </is>
      </c>
      <c r="P1317" s="3" t="inlineStr">
        <is>
          <t>https://vanillabonds.com/dossier.html?c=katjes&amp;viewer=1&amp;item=F1316</t>
        </is>
      </c>
      <c r="Q1317" s="2" t="inlineStr"/>
    </row>
    <row r="1318">
      <c r="A1318" s="2" t="inlineStr">
        <is>
          <t>F1317</t>
        </is>
      </c>
      <c r="B1318" s="2" t="inlineStr">
        <is>
          <t>debt</t>
        </is>
      </c>
      <c r="C1318" s="2" t="inlineStr">
        <is>
          <t>covenant</t>
        </is>
      </c>
      <c r="D1318" s="2" t="inlineStr">
        <is>
          <t>Financial covenant / restriction</t>
        </is>
      </c>
      <c r="E1318" s="2" t="n"/>
      <c r="F1318" s="2" t="n"/>
      <c r="G1318" s="2" t="n"/>
      <c r="H1318" s="3" t="inlineStr">
        <is>
          <t>Acquisitions must be made at fair market value, on normal commercial terms and without a Material Adverse Effect; seller's credits or earn-outs permitted only if at least 50.00% of consideration is paid in cash at closing.</t>
        </is>
      </c>
      <c r="I1318" s="2" t="inlineStr">
        <is>
          <t>S13</t>
        </is>
      </c>
      <c r="J1318" s="2" t="n">
        <v>12</v>
      </c>
      <c r="K1318" s="3" t="inlineStr">
        <is>
          <t>provided that at least 50.00 per cent. of the total consideration payable by the Group in respect of such acquisition is paid in cash (or cash equivalents) at the closing date of the acquisition</t>
        </is>
      </c>
      <c r="L1318" s="2" t="inlineStr">
        <is>
          <t>pend</t>
        </is>
      </c>
      <c r="M1318" s="2" t="n"/>
      <c r="N1318" s="2" t="n"/>
      <c r="O1318" s="3" t="inlineStr">
        <is>
          <t>https://vanillabonds.com/dossier-data/pdf/katjes/katjes-bond-2023-2028-bond-terms-signed.pdf#page=12</t>
        </is>
      </c>
      <c r="P1318" s="3" t="inlineStr">
        <is>
          <t>https://vanillabonds.com/dossier.html?c=katjes&amp;viewer=1&amp;item=F1317</t>
        </is>
      </c>
      <c r="Q1318" s="2" t="inlineStr"/>
    </row>
    <row r="1319">
      <c r="A1319" s="2" t="inlineStr">
        <is>
          <t>F1318</t>
        </is>
      </c>
      <c r="B1319" s="2" t="inlineStr">
        <is>
          <t>governance</t>
        </is>
      </c>
      <c r="C1319" s="2" t="inlineStr">
        <is>
          <t>related_party_flow</t>
        </is>
      </c>
      <c r="D1319" s="3" t="inlineStr">
        <is>
          <t>Related-party flow: counterparty; kind (fee, rent, dividend, buyback, loan); amount; year; terms</t>
        </is>
      </c>
      <c r="E1319" s="2" t="n"/>
      <c r="F1319" s="2" t="n">
        <v>10</v>
      </c>
      <c r="G1319" s="2" t="n"/>
      <c r="H1319" s="3" t="inlineStr">
        <is>
          <t>counterparty: Katjes Fassin GmbH &amp; Co. KG (sister company); kind: loan; amount: 10.0 (permitted cap); terms: for cash management purposes of the Issuer, aggregate outstanding not to exceed EUR 10.0m at any time</t>
        </is>
      </c>
      <c r="I1319" s="2" t="inlineStr">
        <is>
          <t>S13</t>
        </is>
      </c>
      <c r="J1319" s="2" t="n">
        <v>13</v>
      </c>
      <c r="K1319" s="3" t="inlineStr">
        <is>
          <t>any loan or credit granted by the Issuer to its sister company, Katjes Fassin GmbH &amp; Co. KG for cash management purposes of the Issuer</t>
        </is>
      </c>
      <c r="L1319" s="2" t="inlineStr">
        <is>
          <t>pend</t>
        </is>
      </c>
      <c r="M1319" s="2" t="n"/>
      <c r="N1319" s="2" t="n"/>
      <c r="O1319" s="3" t="inlineStr">
        <is>
          <t>https://vanillabonds.com/dossier-data/pdf/katjes/katjes-bond-2023-2028-bond-terms-signed.pdf#page=13</t>
        </is>
      </c>
      <c r="P1319" s="3" t="inlineStr">
        <is>
          <t>https://vanillabonds.com/dossier.html?c=katjes&amp;viewer=1&amp;item=F1318</t>
        </is>
      </c>
      <c r="Q1319" s="2" t="inlineStr"/>
    </row>
    <row r="1320">
      <c r="A1320" s="2" t="inlineStr">
        <is>
          <t>F1319</t>
        </is>
      </c>
      <c r="B1320" s="2" t="inlineStr">
        <is>
          <t>management</t>
        </is>
      </c>
      <c r="C1320" s="2" t="inlineStr">
        <is>
          <t>governance</t>
        </is>
      </c>
      <c r="D1320" s="3" t="inlineStr">
        <is>
          <t>Board, independent members, group structure, related-party flows, dividends</t>
        </is>
      </c>
      <c r="E1320" s="2" t="n"/>
      <c r="F1320" s="2" t="n"/>
      <c r="G1320" s="2" t="n"/>
      <c r="H1320" s="3" t="inlineStr">
        <is>
          <t>Change of Control occurs if the Investors (Bastian Fassin and Tobias Bachmüller) cease to own and control more than 50.00% of shares and voting rights or lose the power to appoint the majority of the board.</t>
        </is>
      </c>
      <c r="I1320" s="2" t="inlineStr">
        <is>
          <t>S13</t>
        </is>
      </c>
      <c r="J1320" s="2" t="n">
        <v>4</v>
      </c>
      <c r="K1320" s="3" t="inlineStr">
        <is>
          <t>that the Investors (in total) cease to (i) own and control (directly or indirectly) more than 50.00 per cent. of the shares and the voting rights in the Issuer</t>
        </is>
      </c>
      <c r="L1320" s="2" t="inlineStr">
        <is>
          <t>pend</t>
        </is>
      </c>
      <c r="M1320" s="2" t="n"/>
      <c r="N1320" s="2" t="n"/>
      <c r="O1320" s="3" t="inlineStr">
        <is>
          <t>https://vanillabonds.com/dossier-data/pdf/katjes/katjes-bond-2023-2028-bond-terms-signed.pdf#page=4</t>
        </is>
      </c>
      <c r="P1320" s="3" t="inlineStr">
        <is>
          <t>https://vanillabonds.com/dossier.html?c=katjes&amp;viewer=1&amp;item=F1319</t>
        </is>
      </c>
      <c r="Q1320" s="2" t="inlineStr"/>
    </row>
    <row r="1321">
      <c r="A1321" s="2" t="inlineStr">
        <is>
          <t>F1320</t>
        </is>
      </c>
      <c r="B1321" s="2" t="inlineStr">
        <is>
          <t>management</t>
        </is>
      </c>
      <c r="C1321" s="2" t="inlineStr">
        <is>
          <t>reporting_practice</t>
        </is>
      </c>
      <c r="D1321" s="3" t="inlineStr">
        <is>
          <t>Monitoring: KPI reporting, frequency, budget process, controlling</t>
        </is>
      </c>
      <c r="E1321" s="2" t="n"/>
      <c r="F1321" s="2" t="n"/>
      <c r="G1321" s="2" t="n"/>
      <c r="H1321" s="3" t="inlineStr">
        <is>
          <t>Audited consolidated annual financial statements within 4 months of year end and unaudited semi-annual Interim Accounts within 75 days (first for H1-2023), in English on the website.</t>
        </is>
      </c>
      <c r="I1321" s="2" t="inlineStr">
        <is>
          <t>S13</t>
        </is>
      </c>
      <c r="J1321" s="2" t="n">
        <v>29</v>
      </c>
      <c r="K1321" s="3" t="inlineStr">
        <is>
          <t>not later than 75 days after the end of each Semi-Annual Period of each of its Financial Years, for the first time for the Semi-Annual Period ending on 30 June 2023</t>
        </is>
      </c>
      <c r="L1321" s="2" t="inlineStr">
        <is>
          <t>pend</t>
        </is>
      </c>
      <c r="M1321" s="2" t="n"/>
      <c r="N1321" s="2" t="n"/>
      <c r="O1321" s="3" t="inlineStr">
        <is>
          <t>https://vanillabonds.com/dossier-data/pdf/katjes/katjes-bond-2023-2028-bond-terms-signed.pdf#page=29</t>
        </is>
      </c>
      <c r="P1321" s="3" t="inlineStr">
        <is>
          <t>https://vanillabonds.com/dossier.html?c=katjes&amp;viewer=1&amp;item=F1320</t>
        </is>
      </c>
      <c r="Q1321" s="2" t="inlineStr"/>
    </row>
    <row r="1322">
      <c r="A1322" s="2" t="inlineStr">
        <is>
          <t>F1321</t>
        </is>
      </c>
      <c r="B1322" s="2" t="inlineStr">
        <is>
          <t>management</t>
        </is>
      </c>
      <c r="C1322" s="2" t="inlineStr">
        <is>
          <t>reporting_practice</t>
        </is>
      </c>
      <c r="D1322" s="3" t="inlineStr">
        <is>
          <t>Monitoring: KPI reporting, frequency, budget process, controlling</t>
        </is>
      </c>
      <c r="E1322" s="2" t="n"/>
      <c r="F1322" s="2" t="n"/>
      <c r="G1322" s="2" t="n"/>
      <c r="H1322" s="3" t="inlineStr">
        <is>
          <t>A Compliance Certificate signed by the CEO or CFO is delivered with each Financial Report and upon each Incurrence Test.</t>
        </is>
      </c>
      <c r="I1322" s="2" t="inlineStr">
        <is>
          <t>S13</t>
        </is>
      </c>
      <c r="J1322" s="2" t="n">
        <v>29</v>
      </c>
      <c r="K1322" s="3" t="inlineStr">
        <is>
          <t>The Issuer shall supply a Compliance Certificate signed by the chief executive officer or the chief financial officer of the Issuer to the Bond Trustee</t>
        </is>
      </c>
      <c r="L1322" s="2" t="inlineStr">
        <is>
          <t>pend</t>
        </is>
      </c>
      <c r="M1322" s="2" t="n"/>
      <c r="N1322" s="2" t="n"/>
      <c r="O1322" s="3" t="inlineStr">
        <is>
          <t>https://vanillabonds.com/dossier-data/pdf/katjes/katjes-bond-2023-2028-bond-terms-signed.pdf#page=29</t>
        </is>
      </c>
      <c r="P1322" s="3" t="inlineStr">
        <is>
          <t>https://vanillabonds.com/dossier.html?c=katjes&amp;viewer=1&amp;item=F1321</t>
        </is>
      </c>
      <c r="Q1322" s="2" t="inlineStr"/>
    </row>
    <row r="1323">
      <c r="A1323" s="2" t="inlineStr">
        <is>
          <t>F1322</t>
        </is>
      </c>
      <c r="B1323" s="2" t="inlineStr">
        <is>
          <t>plan</t>
        </is>
      </c>
      <c r="C1323" s="2" t="inlineStr">
        <is>
          <t>use_of_proceeds</t>
        </is>
      </c>
      <c r="D1323" s="2" t="inlineStr">
        <is>
          <t>Use of proceeds (one line per use)</t>
        </is>
      </c>
      <c r="E1323" s="2" t="n"/>
      <c r="F1323" s="2" t="n"/>
      <c r="G1323" s="2" t="n"/>
      <c r="H1323" s="3" t="inlineStr">
        <is>
          <t>Refinancing the Existing Bonds (EUR 110.0m 4.25% 2019/2024) in whole or in part.</t>
        </is>
      </c>
      <c r="I1323" s="2" t="inlineStr">
        <is>
          <t>S13</t>
        </is>
      </c>
      <c r="J1323" s="2" t="n">
        <v>18</v>
      </c>
      <c r="K1323" s="3" t="inlineStr">
        <is>
          <t>(i) refinancing the Existing Bonds in whole or in part as set out herein;</t>
        </is>
      </c>
      <c r="L1323" s="2" t="inlineStr">
        <is>
          <t>pend</t>
        </is>
      </c>
      <c r="M1323" s="2" t="n"/>
      <c r="N1323" s="2" t="n"/>
      <c r="O1323" s="3" t="inlineStr">
        <is>
          <t>https://vanillabonds.com/dossier-data/pdf/katjes/katjes-bond-2023-2028-bond-terms-signed.pdf#page=18</t>
        </is>
      </c>
      <c r="P1323" s="3" t="inlineStr">
        <is>
          <t>https://vanillabonds.com/dossier.html?c=katjes&amp;viewer=1&amp;item=F1322</t>
        </is>
      </c>
      <c r="Q1323" s="2" t="inlineStr"/>
    </row>
    <row r="1324">
      <c r="A1324" s="2" t="inlineStr">
        <is>
          <t>F1323</t>
        </is>
      </c>
      <c r="B1324" s="2" t="inlineStr">
        <is>
          <t>plan</t>
        </is>
      </c>
      <c r="C1324" s="2" t="inlineStr">
        <is>
          <t>use_of_proceeds</t>
        </is>
      </c>
      <c r="D1324" s="2" t="inlineStr">
        <is>
          <t>Use of proceeds (one line per use)</t>
        </is>
      </c>
      <c r="E1324" s="2" t="n"/>
      <c r="F1324" s="2" t="n"/>
      <c r="G1324" s="2" t="n"/>
      <c r="H1324" s="3" t="inlineStr">
        <is>
          <t>Financing or refinancing capital expenditure and acquisitions of companies, businesses or undertakings by the Group.</t>
        </is>
      </c>
      <c r="I1324" s="2" t="inlineStr">
        <is>
          <t>S13</t>
        </is>
      </c>
      <c r="J1324" s="2" t="n">
        <v>18</v>
      </c>
      <c r="K1324" s="3" t="inlineStr">
        <is>
          <t>(ii) financing or refinancing capital expenditure and acquisitions of companies, businesses or undertakings made by the Group;</t>
        </is>
      </c>
      <c r="L1324" s="2" t="inlineStr">
        <is>
          <t>pend</t>
        </is>
      </c>
      <c r="M1324" s="2" t="n"/>
      <c r="N1324" s="2" t="n"/>
      <c r="O1324" s="3" t="inlineStr">
        <is>
          <t>https://vanillabonds.com/dossier-data/pdf/katjes/katjes-bond-2023-2028-bond-terms-signed.pdf#page=18</t>
        </is>
      </c>
      <c r="P1324" s="3" t="inlineStr">
        <is>
          <t>https://vanillabonds.com/dossier.html?c=katjes&amp;viewer=1&amp;item=F1323</t>
        </is>
      </c>
      <c r="Q1324" s="2" t="inlineStr"/>
    </row>
    <row r="1325">
      <c r="A1325" s="2" t="inlineStr">
        <is>
          <t>F1324</t>
        </is>
      </c>
      <c r="B1325" s="2" t="inlineStr">
        <is>
          <t>plan</t>
        </is>
      </c>
      <c r="C1325" s="2" t="inlineStr">
        <is>
          <t>use_of_proceeds</t>
        </is>
      </c>
      <c r="D1325" s="2" t="inlineStr">
        <is>
          <t>Use of proceeds (one line per use)</t>
        </is>
      </c>
      <c r="E1325" s="2" t="n"/>
      <c r="F1325" s="2" t="n"/>
      <c r="G1325" s="2" t="n"/>
      <c r="H1325" s="3" t="inlineStr">
        <is>
          <t>General corporate and working capital purposes of the Group, excluding Distributions.</t>
        </is>
      </c>
      <c r="I1325" s="2" t="inlineStr">
        <is>
          <t>S13</t>
        </is>
      </c>
      <c r="J1325" s="2" t="n">
        <v>18</v>
      </c>
      <c r="K1325" s="3" t="inlineStr">
        <is>
          <t>(iii) the general corporate and working capital purposes of the Group (other than any Distributions); and</t>
        </is>
      </c>
      <c r="L1325" s="2" t="inlineStr">
        <is>
          <t>pend</t>
        </is>
      </c>
      <c r="M1325" s="2" t="n"/>
      <c r="N1325" s="2" t="n"/>
      <c r="O1325" s="3" t="inlineStr">
        <is>
          <t>https://vanillabonds.com/dossier-data/pdf/katjes/katjes-bond-2023-2028-bond-terms-signed.pdf#page=18</t>
        </is>
      </c>
      <c r="P1325" s="3" t="inlineStr">
        <is>
          <t>https://vanillabonds.com/dossier.html?c=katjes&amp;viewer=1&amp;item=F1324</t>
        </is>
      </c>
      <c r="Q1325" s="2" t="inlineStr"/>
    </row>
    <row r="1326">
      <c r="A1326" s="2" t="inlineStr">
        <is>
          <t>F1325</t>
        </is>
      </c>
      <c r="B1326" s="2" t="inlineStr">
        <is>
          <t>plan</t>
        </is>
      </c>
      <c r="C1326" s="2" t="inlineStr">
        <is>
          <t>use_of_proceeds</t>
        </is>
      </c>
      <c r="D1326" s="2" t="inlineStr">
        <is>
          <t>Use of proceeds (one line per use)</t>
        </is>
      </c>
      <c r="E1326" s="2" t="n"/>
      <c r="F1326" s="2" t="n"/>
      <c r="G1326" s="2" t="n"/>
      <c r="H1326" s="3" t="inlineStr">
        <is>
          <t>Financing fees, costs and expenses incurred by the Group in respect of such transactions or the Bonds.</t>
        </is>
      </c>
      <c r="I1326" s="2" t="inlineStr">
        <is>
          <t>S13</t>
        </is>
      </c>
      <c r="J1326" s="2" t="n">
        <v>18</v>
      </c>
      <c r="K1326" s="3" t="inlineStr">
        <is>
          <t>(iv) financing any fees, costs and expenses incurred by the Group in respect of any such transactions or that part of the Bonds.</t>
        </is>
      </c>
      <c r="L1326" s="2" t="inlineStr">
        <is>
          <t>pend</t>
        </is>
      </c>
      <c r="M1326" s="2" t="n"/>
      <c r="N1326" s="2" t="n"/>
      <c r="O1326" s="3" t="inlineStr">
        <is>
          <t>https://vanillabonds.com/dossier-data/pdf/katjes/katjes-bond-2023-2028-bond-terms-signed.pdf#page=18</t>
        </is>
      </c>
      <c r="P1326" s="3" t="inlineStr">
        <is>
          <t>https://vanillabonds.com/dossier.html?c=katjes&amp;viewer=1&amp;item=F1325</t>
        </is>
      </c>
      <c r="Q1326" s="2" t="inlineStr"/>
    </row>
    <row r="1327">
      <c r="A1327" s="2" t="inlineStr">
        <is>
          <t>F1326</t>
        </is>
      </c>
      <c r="B1327" s="2" t="inlineStr">
        <is>
          <t>business</t>
        </is>
      </c>
      <c r="C1327" s="2" t="inlineStr">
        <is>
          <t>key_event</t>
        </is>
      </c>
      <c r="D1327" s="2" t="inlineStr">
        <is>
          <t>Key event (M&amp;A, financing, strategy)</t>
        </is>
      </c>
      <c r="E1327" s="2" t="n"/>
      <c r="F1327" s="2" t="n"/>
      <c r="G1327" s="2" t="n"/>
      <c r="H1327" s="3" t="inlineStr">
        <is>
          <t>Issue of EUR 115.0m 6.75% senior unsecured bonds 2023/2028 (ISIN NO0012888769) on 21 September 2023 under bond terms dated 17 September 2023.</t>
        </is>
      </c>
      <c r="I1327" s="2" t="inlineStr">
        <is>
          <t>S13</t>
        </is>
      </c>
      <c r="J1327" s="2" t="n">
        <v>3</v>
      </c>
      <c r="K1327" s="2" t="inlineStr">
        <is>
          <t>DATED: 17 September 2023</t>
        </is>
      </c>
      <c r="L1327" s="2" t="inlineStr">
        <is>
          <t>pend</t>
        </is>
      </c>
      <c r="M1327" s="2" t="n"/>
      <c r="N1327" s="2" t="n"/>
      <c r="O1327" s="3" t="inlineStr">
        <is>
          <t>https://vanillabonds.com/dossier-data/pdf/katjes/katjes-bond-2023-2028-bond-terms-signed.pdf#page=3</t>
        </is>
      </c>
      <c r="P1327" s="3" t="inlineStr">
        <is>
          <t>https://vanillabonds.com/dossier.html?c=katjes&amp;viewer=1&amp;item=F1326</t>
        </is>
      </c>
      <c r="Q1327" s="2" t="inlineStr"/>
    </row>
    <row r="1328">
      <c r="A1328" s="2" t="inlineStr">
        <is>
          <t>F1327</t>
        </is>
      </c>
      <c r="B1328" s="2" t="inlineStr">
        <is>
          <t>business</t>
        </is>
      </c>
      <c r="C1328" s="2" t="inlineStr">
        <is>
          <t>key_event</t>
        </is>
      </c>
      <c r="D1328" s="2" t="inlineStr">
        <is>
          <t>Key event (M&amp;A, financing, strategy)</t>
        </is>
      </c>
      <c r="E1328" s="2" t="n"/>
      <c r="F1328" s="2" t="n"/>
      <c r="G1328" s="2" t="n"/>
      <c r="H1328" s="3" t="inlineStr">
        <is>
          <t>Holders of the Existing Bonds could exchange them bond-for-bond into the new Bonds and receive a roll-over fee of 0.50% of nominal, paid in cash at the Issue Date.</t>
        </is>
      </c>
      <c r="I1328" s="2" t="inlineStr">
        <is>
          <t>S13</t>
        </is>
      </c>
      <c r="J1328" s="2" t="n">
        <v>21</v>
      </c>
      <c r="K1328" s="3" t="inlineStr">
        <is>
          <t>will be entitled to receive a roll-over fee in an amount equal to 0.50 per cent. of the nominal amount of such Existing Bonds</t>
        </is>
      </c>
      <c r="L1328" s="2" t="inlineStr">
        <is>
          <t>pend</t>
        </is>
      </c>
      <c r="M1328" s="2" t="n"/>
      <c r="N1328" s="2" t="n"/>
      <c r="O1328" s="3" t="inlineStr">
        <is>
          <t>https://vanillabonds.com/dossier-data/pdf/katjes/katjes-bond-2023-2028-bond-terms-signed.pdf#page=21</t>
        </is>
      </c>
      <c r="P1328" s="3" t="inlineStr">
        <is>
          <t>https://vanillabonds.com/dossier.html?c=katjes&amp;viewer=1&amp;item=F1327</t>
        </is>
      </c>
      <c r="Q1328" s="2" t="inlineStr"/>
    </row>
    <row r="1329">
      <c r="A1329" s="2" t="inlineStr">
        <is>
          <t>F1328</t>
        </is>
      </c>
      <c r="B1329" s="2" t="inlineStr">
        <is>
          <t>debt</t>
        </is>
      </c>
      <c r="C1329" s="2" t="inlineStr">
        <is>
          <t>rollover_event</t>
        </is>
      </c>
      <c r="D1329" s="3" t="inlineStr">
        <is>
          <t>Past maturity: instrument; amount; due; outcome (repaid, refinanced, extended, waived)</t>
        </is>
      </c>
      <c r="E1329" s="2" t="n"/>
      <c r="F1329" s="2" t="n">
        <v>110</v>
      </c>
      <c r="G1329" s="2" t="n"/>
      <c r="H1329" s="3" t="inlineStr">
        <is>
          <t>instrument: EUR 110.0m 4.25% senior unsecured bonds 2019/2024 (ISIN DE000A2TST99); amount: 110.0; due: 2024-04-12; outcome: refinanced by the 2023/2028 bonds, at least EUR 80.0m to be called within three Business Days of 2023-09-21 and up to EUR 30.0m repaid at maturity</t>
        </is>
      </c>
      <c r="I1329" s="2" t="inlineStr">
        <is>
          <t>S13</t>
        </is>
      </c>
      <c r="J1329" s="2" t="n">
        <v>7</v>
      </c>
      <c r="K1329" s="3" t="inlineStr">
        <is>
          <t>“Existing Bonds Maturity Date” means 12 April 2024, being the original maturity date for the Existing Bonds under the Existing Terms and Conditions.</t>
        </is>
      </c>
      <c r="L1329" s="2" t="inlineStr">
        <is>
          <t>pend</t>
        </is>
      </c>
      <c r="M1329" s="2" t="n"/>
      <c r="N1329" s="2" t="n"/>
      <c r="O1329" s="3" t="inlineStr">
        <is>
          <t>https://vanillabonds.com/dossier-data/pdf/katjes/katjes-bond-2023-2028-bond-terms-signed.pdf#page=7</t>
        </is>
      </c>
      <c r="P1329" s="3" t="inlineStr">
        <is>
          <t>https://vanillabonds.com/dossier.html?c=katjes&amp;viewer=1&amp;item=F1328</t>
        </is>
      </c>
      <c r="Q1329" s="2" t="inlineStr"/>
    </row>
    <row r="1330">
      <c r="A1330" s="2" t="inlineStr">
        <is>
          <t>F1329</t>
        </is>
      </c>
      <c r="B1330" s="2" t="inlineStr">
        <is>
          <t>plan</t>
        </is>
      </c>
      <c r="C1330" s="2" t="inlineStr">
        <is>
          <t>debt_maturing</t>
        </is>
      </c>
      <c r="D1330" s="2" t="inlineStr">
        <is>
          <t>Debt principal falling due in the period</t>
        </is>
      </c>
      <c r="E1330" s="2" t="inlineStr">
        <is>
          <t>FY2028E</t>
        </is>
      </c>
      <c r="F1330" s="2" t="n">
        <v>115</v>
      </c>
      <c r="G1330" s="2" t="inlineStr">
        <is>
          <t>EUR m</t>
        </is>
      </c>
      <c r="H1330" s="3" t="inlineStr">
        <is>
          <t>Initial Bond Issue of EUR 115.0m matures in full on 21 September 2028 at 100.00% (plus any Additional Bonds up to EUR 200.0m).</t>
        </is>
      </c>
      <c r="I1330" s="2" t="inlineStr">
        <is>
          <t>S13</t>
        </is>
      </c>
      <c r="J1330" s="2" t="n">
        <v>26</v>
      </c>
      <c r="K1330" s="3" t="inlineStr">
        <is>
          <t>The Outstanding Bonds will mature in full on the Maturity Date and shall be redeemed by the Issuer on the Maturity Date at a price equal to 100.00 per cent. of the Nominal Amount.</t>
        </is>
      </c>
      <c r="L1330" s="2" t="inlineStr">
        <is>
          <t>pend</t>
        </is>
      </c>
      <c r="M1330" s="2" t="n"/>
      <c r="N1330" s="2" t="inlineStr">
        <is>
          <t>conflict: S3·p57 185.0 vs S13·p26 115.0</t>
        </is>
      </c>
      <c r="O1330" s="3" t="inlineStr">
        <is>
          <t>https://vanillabonds.com/dossier-data/pdf/katjes/katjes-bond-2023-2028-bond-terms-signed.pdf#page=26</t>
        </is>
      </c>
      <c r="P1330" s="3" t="inlineStr">
        <is>
          <t>https://vanillabonds.com/dossier.html?c=katjes&amp;viewer=1&amp;item=F1329</t>
        </is>
      </c>
      <c r="Q1330" s="2" t="inlineStr">
        <is>
          <t>no</t>
        </is>
      </c>
    </row>
    <row r="1331">
      <c r="A1331" s="2" t="inlineStr">
        <is>
          <t>F1330</t>
        </is>
      </c>
      <c r="B1331" s="2" t="inlineStr">
        <is>
          <t>plan</t>
        </is>
      </c>
      <c r="C1331" s="2" t="inlineStr">
        <is>
          <t>issue_cost</t>
        </is>
      </c>
      <c r="D1331" s="3" t="inlineStr">
        <is>
          <t>Issue cost item: item (notary, trustee, listing, legal, VAT); amount; source</t>
        </is>
      </c>
      <c r="E1331" s="2" t="n"/>
      <c r="F1331" s="2" t="n"/>
      <c r="G1331" s="2" t="n"/>
      <c r="H1331" s="3" t="inlineStr">
        <is>
          <t>item: roll-over fee to exchanging holders of Existing Bonds; amount: 0.50% of nominal amount exchanged; source: Bond Terms clause 6.3(b)</t>
        </is>
      </c>
      <c r="I1331" s="2" t="inlineStr">
        <is>
          <t>S13</t>
        </is>
      </c>
      <c r="J1331" s="2" t="n">
        <v>21</v>
      </c>
      <c r="K1331" s="3" t="inlineStr">
        <is>
          <t>will be entitled to receive a roll-over fee in an amount equal to 0.50 per cent. of the nominal amount of such Existing Bonds</t>
        </is>
      </c>
      <c r="L1331" s="2" t="inlineStr">
        <is>
          <t>pend</t>
        </is>
      </c>
      <c r="M1331" s="2" t="n"/>
      <c r="N1331" s="2" t="n"/>
      <c r="O1331" s="3" t="inlineStr">
        <is>
          <t>https://vanillabonds.com/dossier-data/pdf/katjes/katjes-bond-2023-2028-bond-terms-signed.pdf#page=21</t>
        </is>
      </c>
      <c r="P1331" s="3" t="inlineStr">
        <is>
          <t>https://vanillabonds.com/dossier.html?c=katjes&amp;viewer=1&amp;item=F1330</t>
        </is>
      </c>
      <c r="Q1331" s="2" t="inlineStr"/>
    </row>
    <row r="1332">
      <c r="A1332" s="2" t="inlineStr">
        <is>
          <t>F1331</t>
        </is>
      </c>
      <c r="B1332" s="2" t="inlineStr">
        <is>
          <t>risk</t>
        </is>
      </c>
      <c r="C1332" s="2" t="inlineStr">
        <is>
          <t>risk_fact</t>
        </is>
      </c>
      <c r="D1332" s="2" t="inlineStr">
        <is>
          <t>Risk fact</t>
        </is>
      </c>
      <c r="E1332" s="2" t="n"/>
      <c r="F1332" s="2" t="n"/>
      <c r="G1332" s="2" t="n"/>
      <c r="H1332" s="3" t="inlineStr">
        <is>
          <t>If the Bonds are not listed on Nordic ABM within 6 months of the Issue Date, interest steps up by 1.00 percentage point for as long as the Listing Failure Event continues.</t>
        </is>
      </c>
      <c r="I1332" s="2" t="inlineStr">
        <is>
          <t>S13</t>
        </is>
      </c>
      <c r="J1332" s="2" t="n">
        <v>24</v>
      </c>
      <c r="K1332" s="3" t="inlineStr">
        <is>
          <t>the interest on any principal amount outstanding under these Bonds Terms will accrue at the Interest Rate plus 1.00 percentage point per annum.</t>
        </is>
      </c>
      <c r="L1332" s="2" t="inlineStr">
        <is>
          <t>pend</t>
        </is>
      </c>
      <c r="M1332" s="2" t="n"/>
      <c r="N1332" s="2" t="n"/>
      <c r="O1332" s="3" t="inlineStr">
        <is>
          <t>https://vanillabonds.com/dossier-data/pdf/katjes/katjes-bond-2023-2028-bond-terms-signed.pdf#page=24</t>
        </is>
      </c>
      <c r="P1332" s="3" t="inlineStr">
        <is>
          <t>https://vanillabonds.com/dossier.html?c=katjes&amp;viewer=1&amp;item=F1331</t>
        </is>
      </c>
      <c r="Q1332" s="2" t="inlineStr"/>
    </row>
    <row r="1333">
      <c r="A1333" s="2" t="inlineStr">
        <is>
          <t>F1332</t>
        </is>
      </c>
      <c r="B1333" s="2" t="inlineStr">
        <is>
          <t>risk</t>
        </is>
      </c>
      <c r="C1333" s="2" t="inlineStr">
        <is>
          <t>risk_fact</t>
        </is>
      </c>
      <c r="D1333" s="2" t="inlineStr">
        <is>
          <t>Risk fact</t>
        </is>
      </c>
      <c r="E1333" s="2" t="n"/>
      <c r="F1333" s="2" t="n"/>
      <c r="G1333" s="2" t="n"/>
      <c r="H1333" s="3" t="inlineStr">
        <is>
          <t>Up to EUR 30.0m of the Existing Bonds may remain outstanding until their maturity on 12 April 2024, to be repaid by the Issuer on that date.</t>
        </is>
      </c>
      <c r="I1333" s="2" t="inlineStr">
        <is>
          <t>S13</t>
        </is>
      </c>
      <c r="J1333" s="2" t="n">
        <v>34</v>
      </c>
      <c r="K1333" s="3" t="inlineStr">
        <is>
          <t>redeem, repay and pay any portion of the Existing Bonds not redeemed, prepaid and paid as set out in paragraph (b) above (the amount of which may not exceed EUR 30,000,000)</t>
        </is>
      </c>
      <c r="L1333" s="2" t="inlineStr">
        <is>
          <t>pend</t>
        </is>
      </c>
      <c r="M1333" s="2" t="n"/>
      <c r="N1333" s="2" t="n"/>
      <c r="O1333" s="3" t="inlineStr">
        <is>
          <t>https://vanillabonds.com/dossier-data/pdf/katjes/katjes-bond-2023-2028-bond-terms-signed.pdf#page=34</t>
        </is>
      </c>
      <c r="P1333" s="3" t="inlineStr">
        <is>
          <t>https://vanillabonds.com/dossier.html?c=katjes&amp;viewer=1&amp;item=F1332</t>
        </is>
      </c>
      <c r="Q1333" s="2" t="inlineStr"/>
    </row>
    <row r="1334">
      <c r="A1334" s="2" t="inlineStr">
        <is>
          <t>F1333</t>
        </is>
      </c>
      <c r="B1334" s="2" t="inlineStr">
        <is>
          <t>risk</t>
        </is>
      </c>
      <c r="C1334" s="2" t="inlineStr">
        <is>
          <t>risk_fact</t>
        </is>
      </c>
      <c r="D1334" s="2" t="inlineStr">
        <is>
          <t>Risk fact</t>
        </is>
      </c>
      <c r="E1334" s="2" t="n"/>
      <c r="F1334" s="2" t="n"/>
      <c r="G1334" s="2" t="n"/>
      <c r="H1334" s="3" t="inlineStr">
        <is>
          <t>Bondholders may put the Bonds at 101.00% upon a Change of Control, including if the Investors cease to control more than 50.00% of the Issuer or on a sale of substantially all Group assets.</t>
        </is>
      </c>
      <c r="I1334" s="2" t="inlineStr">
        <is>
          <t>S13</t>
        </is>
      </c>
      <c r="J1334" s="2" t="n">
        <v>4</v>
      </c>
      <c r="K1334" s="3" t="inlineStr">
        <is>
          <t>at any time, the sale, transfer or other disposal of all or substantially all of the assets of the Group whether in a single transaction or a series of related transactions.</t>
        </is>
      </c>
      <c r="L1334" s="2" t="inlineStr">
        <is>
          <t>pend</t>
        </is>
      </c>
      <c r="M1334" s="2" t="n"/>
      <c r="N1334" s="2" t="n"/>
      <c r="O1334" s="3" t="inlineStr">
        <is>
          <t>https://vanillabonds.com/dossier-data/pdf/katjes/katjes-bond-2023-2028-bond-terms-signed.pdf#page=4</t>
        </is>
      </c>
      <c r="P1334" s="3" t="inlineStr">
        <is>
          <t>https://vanillabonds.com/dossier.html?c=katjes&amp;viewer=1&amp;item=F1333</t>
        </is>
      </c>
      <c r="Q1334" s="2" t="inlineStr"/>
    </row>
    <row r="1335">
      <c r="A1335" s="2" t="inlineStr">
        <is>
          <t>F1334</t>
        </is>
      </c>
      <c r="B1335" s="2" t="inlineStr">
        <is>
          <t>management</t>
        </is>
      </c>
      <c r="C1335" s="2" t="inlineStr">
        <is>
          <t>mgmt_person</t>
        </is>
      </c>
      <c r="D1335" s="3" t="inlineStr">
        <is>
          <t>Executive: name, role, since, prior roles (register / report)</t>
        </is>
      </c>
      <c r="E1335" s="2" t="n"/>
      <c r="F1335" s="2" t="n"/>
      <c r="G1335" s="2" t="n"/>
      <c r="H1335" s="3" t="inlineStr">
        <is>
          <t>Stephan Milde, CFO of Katjes International GmbH &amp; Co. KG, signed the Bond Terms for the Issuer.</t>
        </is>
      </c>
      <c r="I1335" s="2" t="inlineStr">
        <is>
          <t>S13</t>
        </is>
      </c>
      <c r="J1335" s="2" t="n">
        <v>52</v>
      </c>
      <c r="K1335" s="2" t="inlineStr">
        <is>
          <t>CFO Stephan Milde</t>
        </is>
      </c>
      <c r="L1335" s="2" t="inlineStr">
        <is>
          <t>pend</t>
        </is>
      </c>
      <c r="M1335" s="2" t="n"/>
      <c r="N1335" s="2" t="n"/>
      <c r="O1335" s="3" t="inlineStr">
        <is>
          <t>https://vanillabonds.com/dossier-data/pdf/katjes/katjes-bond-2023-2028-bond-terms-signed.pdf#page=52</t>
        </is>
      </c>
      <c r="P1335" s="3" t="inlineStr">
        <is>
          <t>https://vanillabonds.com/dossier.html?c=katjes&amp;viewer=1&amp;item=F1334</t>
        </is>
      </c>
      <c r="Q1335" s="2" t="inlineStr"/>
    </row>
    <row r="1336">
      <c r="A1336" s="2" t="inlineStr">
        <is>
          <t>F1335</t>
        </is>
      </c>
      <c r="B1336" s="2" t="inlineStr">
        <is>
          <t>structure</t>
        </is>
      </c>
      <c r="C1336" s="2" t="inlineStr">
        <is>
          <t>covenant_definition</t>
        </is>
      </c>
      <c r="D1336" s="3" t="inlineStr">
        <is>
          <t>Covenant: covenant; formula as defined; threshold; direction (max / min); test frequency</t>
        </is>
      </c>
      <c r="E1336" s="2" t="n"/>
      <c r="F1336" s="2" t="n"/>
      <c r="G1336" s="2" t="n"/>
      <c r="H1336" s="3" t="inlineStr">
        <is>
          <t>covenant: EBITDA, paragraph (e) badwill; formula as defined: badwill from a purchase of a company outside the Group for less than its fair market value during the Relevant Period is added to EBITDA</t>
        </is>
      </c>
      <c r="I1336" s="2" t="inlineStr">
        <is>
          <t>S13</t>
        </is>
      </c>
      <c r="J1336" s="2" t="n">
        <v>6</v>
      </c>
      <c r="K1336" s="3" t="inlineStr">
        <is>
          <t>after adding the amount of any badwill stemming from a purchase made by any Group Company during that Relevant Period of any company (not being another Group Company)</t>
        </is>
      </c>
      <c r="L1336" s="2" t="inlineStr">
        <is>
          <t>pend</t>
        </is>
      </c>
      <c r="M1336" s="2" t="n"/>
      <c r="N1336" s="2" t="n"/>
      <c r="O1336" s="3" t="inlineStr">
        <is>
          <t>https://vanillabonds.com/dossier-data/pdf/katjes/katjes-bond-2023-2028-bond-terms-signed.pdf#page=6</t>
        </is>
      </c>
      <c r="P1336" s="3" t="inlineStr">
        <is>
          <t>https://vanillabonds.com/dossier.html?c=katjes&amp;viewer=1&amp;item=F1335</t>
        </is>
      </c>
      <c r="Q1336" s="2" t="inlineStr"/>
    </row>
    <row r="1337">
      <c r="A1337" s="2" t="inlineStr">
        <is>
          <t>F1336</t>
        </is>
      </c>
      <c r="B1337" s="2" t="inlineStr">
        <is>
          <t>structure</t>
        </is>
      </c>
      <c r="C1337" s="2" t="inlineStr">
        <is>
          <t>covenant_definition</t>
        </is>
      </c>
      <c r="D1337" s="3" t="inlineStr">
        <is>
          <t>Covenant: covenant; formula as defined; threshold; direction (max / min); test frequency</t>
        </is>
      </c>
      <c r="E1337" s="2" t="n"/>
      <c r="F1337" s="2" t="n"/>
      <c r="G1337" s="2" t="n"/>
      <c r="H1337" s="3" t="inlineStr">
        <is>
          <t>covenant: EBITDA, paragraph (g) minority interests; formula as defined: the profit of Group Companies attributable to minority interests is deducted, a loss attributable to them added back</t>
        </is>
      </c>
      <c r="I1337" s="2" t="inlineStr">
        <is>
          <t>S13</t>
        </is>
      </c>
      <c r="J1337" s="2" t="n">
        <v>6</v>
      </c>
      <c r="K1337" s="3" t="inlineStr">
        <is>
          <t>after deducting the amount of any profit (or adding back the amount of any loss) of any Group Company which is attributable to minority interests</t>
        </is>
      </c>
      <c r="L1337" s="2" t="inlineStr">
        <is>
          <t>pend</t>
        </is>
      </c>
      <c r="M1337" s="2" t="n"/>
      <c r="N1337" s="2" t="n"/>
      <c r="O1337" s="3" t="inlineStr">
        <is>
          <t>https://vanillabonds.com/dossier-data/pdf/katjes/katjes-bond-2023-2028-bond-terms-signed.pdf#page=6</t>
        </is>
      </c>
      <c r="P1337" s="3" t="inlineStr">
        <is>
          <t>https://vanillabonds.com/dossier.html?c=katjes&amp;viewer=1&amp;item=F1336</t>
        </is>
      </c>
      <c r="Q1337" s="2" t="inlineStr"/>
    </row>
    <row r="1338">
      <c r="A1338" s="2" t="inlineStr">
        <is>
          <t>F1337</t>
        </is>
      </c>
      <c r="B1338" s="2" t="inlineStr">
        <is>
          <t>structure</t>
        </is>
      </c>
      <c r="C1338" s="2" t="inlineStr">
        <is>
          <t>covenant_definition</t>
        </is>
      </c>
      <c r="D1338" s="3" t="inlineStr">
        <is>
          <t>Covenant: covenant; formula as defined; threshold; direction (max / min); test frequency</t>
        </is>
      </c>
      <c r="E1338" s="2" t="n"/>
      <c r="F1338" s="2" t="n"/>
      <c r="G1338" s="2" t="n"/>
      <c r="H1338" s="3" t="inlineStr">
        <is>
          <t>covenant: EBITDA, paragraph (h) associates and joint ventures; formula as defined: plus or minus the Group's share of the profits or losses, after finance costs and tax, of entities that are not Group Companies, associates and joint ventures included</t>
        </is>
      </c>
      <c r="I1338" s="2" t="inlineStr">
        <is>
          <t>S13</t>
        </is>
      </c>
      <c r="J1338" s="2" t="n">
        <v>6</v>
      </c>
      <c r="K1338" s="3" t="inlineStr">
        <is>
          <t>plus or minus the Group's share of the profits or losses (after finance costs and tax) of any investment or entity (which is not itself a Group Company (including associates and joint ventures))</t>
        </is>
      </c>
      <c r="L1338" s="2" t="inlineStr">
        <is>
          <t>pend</t>
        </is>
      </c>
      <c r="M1338" s="2" t="n"/>
      <c r="N1338" s="2" t="n"/>
      <c r="O1338" s="3" t="inlineStr">
        <is>
          <t>https://vanillabonds.com/dossier-data/pdf/katjes/katjes-bond-2023-2028-bond-terms-signed.pdf#page=6</t>
        </is>
      </c>
      <c r="P1338" s="3" t="inlineStr">
        <is>
          <t>https://vanillabonds.com/dossier.html?c=katjes&amp;viewer=1&amp;item=F1337</t>
        </is>
      </c>
      <c r="Q1338" s="2" t="inlineStr"/>
    </row>
    <row r="1339">
      <c r="A1339" s="2" t="inlineStr">
        <is>
          <t>F1338</t>
        </is>
      </c>
      <c r="B1339" s="2" t="inlineStr">
        <is>
          <t>structure</t>
        </is>
      </c>
      <c r="C1339" s="2" t="inlineStr">
        <is>
          <t>covenant_definition</t>
        </is>
      </c>
      <c r="D1339" s="3" t="inlineStr">
        <is>
          <t>Covenant: covenant; formula as defined; threshold; direction (max / min); test frequency</t>
        </is>
      </c>
      <c r="E1339" s="2" t="n"/>
      <c r="F1339" s="2" t="n"/>
      <c r="G1339" s="2" t="n"/>
      <c r="H1339" s="3" t="inlineStr">
        <is>
          <t>covenant: Total Net Debt, paragraph (d) leases; formula as defined: finance leases and hire purchase contracts count in Total Net Debt at their capitalised value</t>
        </is>
      </c>
      <c r="I1339" s="2" t="inlineStr">
        <is>
          <t>S13</t>
        </is>
      </c>
      <c r="J1339" s="2" t="n">
        <v>16</v>
      </c>
      <c r="K1339" s="3" t="inlineStr">
        <is>
          <t>including, in the case of any finance leases or hire purchase contracts, their capitalised value</t>
        </is>
      </c>
      <c r="L1339" s="2" t="inlineStr">
        <is>
          <t>pend</t>
        </is>
      </c>
      <c r="M1339" s="2" t="n"/>
      <c r="N1339" s="2" t="n"/>
      <c r="O1339" s="3" t="inlineStr">
        <is>
          <t>https://vanillabonds.com/dossier-data/pdf/katjes/katjes-bond-2023-2028-bond-terms-signed.pdf#page=16</t>
        </is>
      </c>
      <c r="P1339" s="3" t="inlineStr">
        <is>
          <t>https://vanillabonds.com/dossier.html?c=katjes&amp;viewer=1&amp;item=F1338</t>
        </is>
      </c>
      <c r="Q1339" s="2" t="inlineStr"/>
    </row>
    <row r="1340">
      <c r="A1340" s="2" t="inlineStr">
        <is>
          <t>F1339</t>
        </is>
      </c>
      <c r="B1340" s="2" t="inlineStr">
        <is>
          <t>structure</t>
        </is>
      </c>
      <c r="C1340" s="2" t="inlineStr">
        <is>
          <t>covenant_definition</t>
        </is>
      </c>
      <c r="D1340" s="3" t="inlineStr">
        <is>
          <t>Covenant: covenant; formula as defined; threshold; direction (max / min); test frequency</t>
        </is>
      </c>
      <c r="E1340" s="2" t="n"/>
      <c r="F1340" s="2" t="n"/>
      <c r="G1340" s="2" t="n"/>
      <c r="H1340" s="3" t="inlineStr">
        <is>
          <t>covenant: Incurrence Test, pro forma Total Net Debt (cl. 13.19(d)(A)(1)); formula as defined: Total Net Debt at the testing date plus the full commitment, drawn and undrawn, of the new Financial Indebtedness, less the debt it refinances</t>
        </is>
      </c>
      <c r="I1340" s="2" t="inlineStr">
        <is>
          <t>S13</t>
        </is>
      </c>
      <c r="J1340" s="2" t="n">
        <v>35</v>
      </c>
      <c r="K1340" s="3" t="inlineStr">
        <is>
          <t>the full (i.e. unutilised and utilised) commitment or facility of any new Financial Indebtedness in respect of which the Incurrence Test shall be made</t>
        </is>
      </c>
      <c r="L1340" s="2" t="inlineStr">
        <is>
          <t>pend</t>
        </is>
      </c>
      <c r="M1340" s="2" t="n"/>
      <c r="N1340" s="2" t="n"/>
      <c r="O1340" s="3" t="inlineStr">
        <is>
          <t>https://vanillabonds.com/dossier-data/pdf/katjes/katjes-bond-2023-2028-bond-terms-signed.pdf#page=35</t>
        </is>
      </c>
      <c r="P1340" s="3" t="inlineStr">
        <is>
          <t>https://vanillabonds.com/dossier.html?c=katjes&amp;viewer=1&amp;item=F1339</t>
        </is>
      </c>
      <c r="Q1340" s="2" t="inlineStr"/>
    </row>
    <row r="1341">
      <c r="A1341" s="2" t="inlineStr">
        <is>
          <t>F1340</t>
        </is>
      </c>
      <c r="B1341" s="2" t="inlineStr">
        <is>
          <t>structure</t>
        </is>
      </c>
      <c r="C1341" s="2" t="inlineStr">
        <is>
          <t>covenant_definition</t>
        </is>
      </c>
      <c r="D1341" s="3" t="inlineStr">
        <is>
          <t>Covenant: covenant; formula as defined; threshold; direction (max / min); test frequency</t>
        </is>
      </c>
      <c r="E1341" s="2" t="n"/>
      <c r="F1341" s="2" t="n"/>
      <c r="G1341" s="2" t="n"/>
      <c r="H1341" s="3" t="inlineStr">
        <is>
          <t>covenant: Incurrence Test, cash from the new debt (cl. 13.19(d)(A)(2)); formula as defined: cash raised by the new Financial Indebtedness is not deducted from Total Net Debt</t>
        </is>
      </c>
      <c r="I1341" s="2" t="inlineStr">
        <is>
          <t>S13</t>
        </is>
      </c>
      <c r="J1341" s="2" t="n">
        <v>35</v>
      </c>
      <c r="K1341" s="3" t="inlineStr">
        <is>
          <t>any cash balance resulting from the incurrence of such new Financial Indebtedness shall not reduce the Total Net Debt</t>
        </is>
      </c>
      <c r="L1341" s="2" t="inlineStr">
        <is>
          <t>pend</t>
        </is>
      </c>
      <c r="M1341" s="2" t="n"/>
      <c r="N1341" s="2" t="n"/>
      <c r="O1341" s="3" t="inlineStr">
        <is>
          <t>https://vanillabonds.com/dossier-data/pdf/katjes/katjes-bond-2023-2028-bond-terms-signed.pdf#page=35</t>
        </is>
      </c>
      <c r="P1341" s="3" t="inlineStr">
        <is>
          <t>https://vanillabonds.com/dossier.html?c=katjes&amp;viewer=1&amp;item=F1340</t>
        </is>
      </c>
      <c r="Q1341" s="2" t="inlineStr"/>
    </row>
    <row r="1342">
      <c r="A1342" s="2" t="inlineStr">
        <is>
          <t>F1341</t>
        </is>
      </c>
      <c r="B1342" s="2" t="inlineStr">
        <is>
          <t>structure</t>
        </is>
      </c>
      <c r="C1342" s="2" t="inlineStr">
        <is>
          <t>covenant_definition</t>
        </is>
      </c>
      <c r="D1342" s="3" t="inlineStr">
        <is>
          <t>Covenant: covenant; formula as defined; threshold; direction (max / min); test frequency</t>
        </is>
      </c>
      <c r="E1342" s="2" t="n"/>
      <c r="F1342" s="2" t="n"/>
      <c r="G1342" s="2" t="n"/>
      <c r="H1342" s="3" t="inlineStr">
        <is>
          <t>covenant: Incurrence Test, pro forma EBITDA (cl. 13.19(d)(B)); formula as defined: EBITDA of the Relevant Period from the Financial Report, with any business acquired, disposed of or discontinued during the period or up to the testing date included or excluded for the entire period, and a business bought with the new debt included</t>
        </is>
      </c>
      <c r="I1342" s="2" t="inlineStr">
        <is>
          <t>S13</t>
        </is>
      </c>
      <c r="J1342" s="2" t="n">
        <v>35</v>
      </c>
      <c r="K1342" s="3" t="inlineStr">
        <is>
          <t>shall be included or excluded (as applicable) pro forma for the entire period</t>
        </is>
      </c>
      <c r="L1342" s="2" t="inlineStr">
        <is>
          <t>pend</t>
        </is>
      </c>
      <c r="M1342" s="2" t="n"/>
      <c r="N1342" s="2" t="n"/>
      <c r="O1342" s="3" t="inlineStr">
        <is>
          <t>https://vanillabonds.com/dossier-data/pdf/katjes/katjes-bond-2023-2028-bond-terms-signed.pdf#page=35</t>
        </is>
      </c>
      <c r="P1342" s="3" t="inlineStr">
        <is>
          <t>https://vanillabonds.com/dossier.html?c=katjes&amp;viewer=1&amp;item=F1341</t>
        </is>
      </c>
      <c r="Q1342" s="2" t="inlineStr"/>
    </row>
    <row r="1343">
      <c r="A1343" s="2" t="inlineStr">
        <is>
          <t>F1342</t>
        </is>
      </c>
      <c r="B1343" s="2" t="inlineStr">
        <is>
          <t>debt</t>
        </is>
      </c>
      <c r="C1343" s="2" t="inlineStr">
        <is>
          <t>covenant</t>
        </is>
      </c>
      <c r="D1343" s="2" t="inlineStr">
        <is>
          <t>Financial covenant / restriction</t>
        </is>
      </c>
      <c r="E1343" s="2" t="n"/>
      <c r="F1343" s="2" t="n"/>
      <c r="G1343" s="2" t="n"/>
      <c r="H1343" s="3" t="inlineStr">
        <is>
          <t>The Issuer and every Group Company may incur or maintain Financial Indebtedness only as Permitted Financial Indebtedness (cl. 13.5).</t>
        </is>
      </c>
      <c r="I1343" s="2" t="inlineStr">
        <is>
          <t>S13</t>
        </is>
      </c>
      <c r="J1343" s="2" t="n">
        <v>32</v>
      </c>
      <c r="K1343" s="3" t="inlineStr">
        <is>
          <t>The Issuer shall not, and it shall ensure that no other Group Company will, incur or maintain any Financial Indebtedness other than any Permitted Financial Indebtedness.</t>
        </is>
      </c>
      <c r="L1343" s="2" t="inlineStr">
        <is>
          <t>pend</t>
        </is>
      </c>
      <c r="M1343" s="2" t="n"/>
      <c r="N1343" s="2" t="n"/>
      <c r="O1343" s="3" t="inlineStr">
        <is>
          <t>https://vanillabonds.com/dossier-data/pdf/katjes/katjes-bond-2023-2028-bond-terms-signed.pdf#page=32</t>
        </is>
      </c>
      <c r="P1343" s="3" t="inlineStr">
        <is>
          <t>https://vanillabonds.com/dossier.html?c=katjes&amp;viewer=1&amp;item=F1342</t>
        </is>
      </c>
      <c r="Q1343" s="2" t="inlineStr"/>
    </row>
    <row r="1344">
      <c r="A1344" s="2" t="inlineStr">
        <is>
          <t>F1343</t>
        </is>
      </c>
      <c r="B1344" s="2" t="inlineStr">
        <is>
          <t>debt</t>
        </is>
      </c>
      <c r="C1344" s="2" t="inlineStr">
        <is>
          <t>covenant</t>
        </is>
      </c>
      <c r="D1344" s="2" t="inlineStr">
        <is>
          <t>Financial covenant / restriction</t>
        </is>
      </c>
      <c r="E1344" s="2" t="n"/>
      <c r="F1344" s="2" t="n"/>
      <c r="G1344" s="2" t="n"/>
      <c r="H1344" s="3" t="inlineStr">
        <is>
          <t>Debt of Group Companies other than the Issuer that no Group Company guarantees or secures is permitted with no amount limit (Permitted Financial Indebtedness (g)).</t>
        </is>
      </c>
      <c r="I1344" s="2" t="inlineStr">
        <is>
          <t>S13</t>
        </is>
      </c>
      <c r="J1344" s="2" t="n">
        <v>12</v>
      </c>
      <c r="K1344" s="3" t="inlineStr">
        <is>
          <t>incurred at any time by any Group Company (other than the Issuer), provided that it is neither guaranteed nor secured by any Group Companies</t>
        </is>
      </c>
      <c r="L1344" s="2" t="inlineStr">
        <is>
          <t>pend</t>
        </is>
      </c>
      <c r="M1344" s="2" t="n"/>
      <c r="N1344" s="2" t="n"/>
      <c r="O1344" s="3" t="inlineStr">
        <is>
          <t>https://vanillabonds.com/dossier-data/pdf/katjes/katjes-bond-2023-2028-bond-terms-signed.pdf#page=12</t>
        </is>
      </c>
      <c r="P1344" s="3" t="inlineStr">
        <is>
          <t>https://vanillabonds.com/dossier.html?c=katjes&amp;viewer=1&amp;item=F1343</t>
        </is>
      </c>
      <c r="Q1344" s="2" t="inlineStr"/>
    </row>
    <row r="1345">
      <c r="A1345" s="2" t="inlineStr">
        <is>
          <t>F1344</t>
        </is>
      </c>
      <c r="B1345" s="2" t="inlineStr">
        <is>
          <t>debt</t>
        </is>
      </c>
      <c r="C1345" s="2" t="inlineStr">
        <is>
          <t>covenant</t>
        </is>
      </c>
      <c r="D1345" s="2" t="inlineStr">
        <is>
          <t>Financial covenant / restriction</t>
        </is>
      </c>
      <c r="E1345" s="2" t="n"/>
      <c r="F1345" s="2" t="n"/>
      <c r="G1345" s="2" t="n"/>
      <c r="H1345" s="3" t="inlineStr">
        <is>
          <t>Debt whose proceeds refinance the Bonds in part or in full is permitted if the proceeds sit in a blocked escrow account, closed to the Group until the refinancing takes place (Permitted Financial Indebtedness (m)).</t>
        </is>
      </c>
      <c r="I1345" s="2" t="inlineStr">
        <is>
          <t>S13</t>
        </is>
      </c>
      <c r="J1345" s="2" t="n">
        <v>13</v>
      </c>
      <c r="K1345" s="3" t="inlineStr">
        <is>
          <t>the proceeds of which shall be applied towards a refinancing of the Bonds in part or in full, provided that such proceeds are held in a blocked escrow account</t>
        </is>
      </c>
      <c r="L1345" s="2" t="inlineStr">
        <is>
          <t>pend</t>
        </is>
      </c>
      <c r="M1345" s="2" t="n"/>
      <c r="N1345" s="2" t="n"/>
      <c r="O1345" s="3" t="inlineStr">
        <is>
          <t>https://vanillabonds.com/dossier-data/pdf/katjes/katjes-bond-2023-2028-bond-terms-signed.pdf#page=13</t>
        </is>
      </c>
      <c r="P1345" s="3" t="inlineStr">
        <is>
          <t>https://vanillabonds.com/dossier.html?c=katjes&amp;viewer=1&amp;item=F1344</t>
        </is>
      </c>
      <c r="Q1345" s="2" t="inlineStr"/>
    </row>
    <row r="1346">
      <c r="A1346" s="2" t="inlineStr">
        <is>
          <t>F1345</t>
        </is>
      </c>
      <c r="B1346" s="2" t="inlineStr">
        <is>
          <t>debt</t>
        </is>
      </c>
      <c r="C1346" s="2" t="inlineStr">
        <is>
          <t>covenant</t>
        </is>
      </c>
      <c r="D1346" s="2" t="inlineStr">
        <is>
          <t>Financial covenant / restriction</t>
        </is>
      </c>
      <c r="E1346" s="2" t="n"/>
      <c r="F1346" s="2" t="n">
        <v>1</v>
      </c>
      <c r="G1346" s="2" t="n"/>
      <c r="H1346" s="3" t="inlineStr">
        <is>
          <t>Security beyond the listed Permitted Security may secure indebtedness of at most the higher of EUR 1.0m and 5.00% of EBITDA in aggregate for the Group (Permitted Security (j)).</t>
        </is>
      </c>
      <c r="I1346" s="2" t="inlineStr">
        <is>
          <t>S13</t>
        </is>
      </c>
      <c r="J1346" s="2" t="n">
        <v>14</v>
      </c>
      <c r="K1346" s="3" t="inlineStr">
        <is>
          <t>securing indebtedness the outstanding principal amount of which (when aggregated with the outstanding principal amount of any other indebtedness which has the benefit of security</t>
        </is>
      </c>
      <c r="L1346" s="2" t="inlineStr">
        <is>
          <t>pend</t>
        </is>
      </c>
      <c r="M1346" s="2" t="n"/>
      <c r="N1346" s="2" t="n"/>
      <c r="O1346" s="3" t="inlineStr">
        <is>
          <t>https://vanillabonds.com/dossier-data/pdf/katjes/katjes-bond-2023-2028-bond-terms-signed.pdf#page=14</t>
        </is>
      </c>
      <c r="P1346" s="3" t="inlineStr">
        <is>
          <t>https://vanillabonds.com/dossier.html?c=katjes&amp;viewer=1&amp;item=F1345</t>
        </is>
      </c>
      <c r="Q1346" s="2" t="inlineStr"/>
    </row>
    <row r="1347">
      <c r="A1347" s="2" t="inlineStr">
        <is>
          <t>F1346</t>
        </is>
      </c>
      <c r="B1347" s="2" t="inlineStr">
        <is>
          <t>market_data</t>
        </is>
      </c>
      <c r="C1347" s="2" t="inlineStr">
        <is>
          <t>instrument_term</t>
        </is>
      </c>
      <c r="D1347" s="3" t="inlineStr">
        <is>
          <t>Instrument term: term (rate type, base rate, maturity, call, listing, ISIN, denomination, settlement, holders, transfer); value</t>
        </is>
      </c>
      <c r="E1347" s="2" t="n"/>
      <c r="F1347" s="2" t="n"/>
      <c r="G1347" s="2" t="n"/>
      <c r="H1347" s="3" t="inlineStr">
        <is>
          <t>term: event of default, non-payment (cl. 14.1(a)); value: an amount not paid when due is an Event of Default unless the failure is an administrative or technical error and payment follows within five Business Days, or, in the Bond Trustee's discretion, the Issuer 'has substantiated that it is likely that such payment will be made in full within five Business Days'</t>
        </is>
      </c>
      <c r="I1347" s="2" t="inlineStr">
        <is>
          <t>S13</t>
        </is>
      </c>
      <c r="J1347" s="2" t="n">
        <v>36</v>
      </c>
      <c r="K1347" s="3" t="inlineStr">
        <is>
          <t>its failure to pay is caused by administrative or technical error in payment systems or the CSD and payment is made within five Business Days following the original due date</t>
        </is>
      </c>
      <c r="L1347" s="2" t="inlineStr">
        <is>
          <t>pend</t>
        </is>
      </c>
      <c r="M1347" s="2" t="n"/>
      <c r="N1347" s="2" t="n"/>
      <c r="O1347" s="3" t="inlineStr">
        <is>
          <t>https://vanillabonds.com/dossier-data/pdf/katjes/katjes-bond-2023-2028-bond-terms-signed.pdf#page=36</t>
        </is>
      </c>
      <c r="P1347" s="3" t="inlineStr">
        <is>
          <t>https://vanillabonds.com/dossier.html?c=katjes&amp;viewer=1&amp;item=F1346</t>
        </is>
      </c>
      <c r="Q1347" s="2" t="inlineStr"/>
    </row>
    <row r="1348">
      <c r="A1348" s="2" t="inlineStr">
        <is>
          <t>F1347</t>
        </is>
      </c>
      <c r="B1348" s="2" t="inlineStr">
        <is>
          <t>market_data</t>
        </is>
      </c>
      <c r="C1348" s="2" t="inlineStr">
        <is>
          <t>instrument_term</t>
        </is>
      </c>
      <c r="D1348" s="3" t="inlineStr">
        <is>
          <t>Instrument term: term (rate type, base rate, maturity, call, listing, ISIN, denomination, settlement, holders, transfer); value</t>
        </is>
      </c>
      <c r="E1348" s="2" t="n"/>
      <c r="F1348" s="2" t="n"/>
      <c r="G1348" s="2" t="n"/>
      <c r="H1348" s="3" t="inlineStr">
        <is>
          <t>term: acceleration on the Bondholders' instruction (cl. 14.3); value: the Bond Trustee must serve a Default Notice on a written demand of Bondholders holding a simple majority of the Voting Bonds, unless a Bondholders' Meeting resolves otherwise, or on a simple-majority decision of a Bondholders' Meeting</t>
        </is>
      </c>
      <c r="I1348" s="2" t="inlineStr">
        <is>
          <t>S13</t>
        </is>
      </c>
      <c r="J1348" s="2" t="n">
        <v>38</v>
      </c>
      <c r="K1348" s="3" t="inlineStr">
        <is>
          <t>the Bond Trustee receives a demand in writing from Bondholders representing a simple majority of the Voting Bonds, that an Event of Default shall be declared</t>
        </is>
      </c>
      <c r="L1348" s="2" t="inlineStr">
        <is>
          <t>pend</t>
        </is>
      </c>
      <c r="M1348" s="2" t="n"/>
      <c r="N1348" s="2" t="n"/>
      <c r="O1348" s="3" t="inlineStr">
        <is>
          <t>https://vanillabonds.com/dossier-data/pdf/katjes/katjes-bond-2023-2028-bond-terms-signed.pdf#page=38</t>
        </is>
      </c>
      <c r="P1348" s="3" t="inlineStr">
        <is>
          <t>https://vanillabonds.com/dossier.html?c=katjes&amp;viewer=1&amp;item=F1347</t>
        </is>
      </c>
      <c r="Q1348" s="2" t="inlineStr"/>
    </row>
    <row r="1349">
      <c r="A1349" s="2" t="inlineStr">
        <is>
          <t>F1348</t>
        </is>
      </c>
      <c r="B1349" s="2" t="inlineStr">
        <is>
          <t>market_data</t>
        </is>
      </c>
      <c r="C1349" s="2" t="inlineStr">
        <is>
          <t>instrument_term</t>
        </is>
      </c>
      <c r="D1349" s="3" t="inlineStr">
        <is>
          <t>Instrument term: term (rate type, base rate, maturity, call, listing, ISIN, denomination, settlement, holders, transfer); value</t>
        </is>
      </c>
      <c r="E1349" s="2" t="n"/>
      <c r="F1349" s="2" t="n">
        <v>0.5</v>
      </c>
      <c r="G1349" s="2" t="n"/>
      <c r="H1349" s="3" t="inlineStr">
        <is>
          <t>term: quorum (cl. 15.1(e)); value: at least 50% of the Voting Bonds represented at a Bondholders' Meeting</t>
        </is>
      </c>
      <c r="I1349" s="2" t="inlineStr">
        <is>
          <t>S13</t>
        </is>
      </c>
      <c r="J1349" s="2" t="n">
        <v>39</v>
      </c>
      <c r="K1349" s="3" t="inlineStr">
        <is>
          <t>At least 50 per cent. of the Voting Bonds must be represented at a Bondholders’ Meeting for a quorum to be present.</t>
        </is>
      </c>
      <c r="L1349" s="2" t="inlineStr">
        <is>
          <t>pend</t>
        </is>
      </c>
      <c r="M1349" s="2" t="n"/>
      <c r="N1349" s="2" t="n"/>
      <c r="O1349" s="3" t="inlineStr">
        <is>
          <t>https://vanillabonds.com/dossier-data/pdf/katjes/katjes-bond-2023-2028-bond-terms-signed.pdf#page=39</t>
        </is>
      </c>
      <c r="P1349" s="3" t="inlineStr">
        <is>
          <t>https://vanillabonds.com/dossier.html?c=katjes&amp;viewer=1&amp;item=F1348</t>
        </is>
      </c>
      <c r="Q1349" s="2" t="inlineStr"/>
    </row>
    <row r="1350">
      <c r="A1350" s="2" t="inlineStr">
        <is>
          <t>F1349</t>
        </is>
      </c>
      <c r="B1350" s="2" t="inlineStr">
        <is>
          <t>market_data</t>
        </is>
      </c>
      <c r="C1350" s="2" t="inlineStr">
        <is>
          <t>instrument_term</t>
        </is>
      </c>
      <c r="D1350" s="3" t="inlineStr">
        <is>
          <t>Instrument term: term (rate type, base rate, maturity, call, listing, ISIN, denomination, settlement, holders, transfer); value</t>
        </is>
      </c>
      <c r="E1350" s="2" t="n"/>
      <c r="F1350" s="2" t="n"/>
      <c r="G1350" s="2" t="n"/>
      <c r="H1350" s="3" t="inlineStr">
        <is>
          <t>term: ordinary resolutions (cl. 15.1(f)); value: simple majority of the Voting Bonds represented at the Bondholders' Meeting</t>
        </is>
      </c>
      <c r="I1350" s="2" t="inlineStr">
        <is>
          <t>S13</t>
        </is>
      </c>
      <c r="J1350" s="2" t="n">
        <v>39</v>
      </c>
      <c r="K1350" s="3" t="inlineStr">
        <is>
          <t>Resolutions will be passed by simple majority of the Voting Bonds represented at the Bondholders’ Meeting</t>
        </is>
      </c>
      <c r="L1350" s="2" t="inlineStr">
        <is>
          <t>pend</t>
        </is>
      </c>
      <c r="M1350" s="2" t="n"/>
      <c r="N1350" s="2" t="n"/>
      <c r="O1350" s="3" t="inlineStr">
        <is>
          <t>https://vanillabonds.com/dossier-data/pdf/katjes/katjes-bond-2023-2028-bond-terms-signed.pdf#page=39</t>
        </is>
      </c>
      <c r="P1350" s="3" t="inlineStr">
        <is>
          <t>https://vanillabonds.com/dossier.html?c=katjes&amp;viewer=1&amp;item=F1349</t>
        </is>
      </c>
      <c r="Q1350" s="2" t="inlineStr"/>
    </row>
    <row r="1351">
      <c r="A1351" s="2" t="inlineStr">
        <is>
          <t>F1350</t>
        </is>
      </c>
      <c r="B1351" s="2" t="inlineStr">
        <is>
          <t>market_data</t>
        </is>
      </c>
      <c r="C1351" s="2" t="inlineStr">
        <is>
          <t>instrument_term</t>
        </is>
      </c>
      <c r="D1351" s="3" t="inlineStr">
        <is>
          <t>Instrument term: term (rate type, base rate, maturity, call, listing, ISIN, denomination, settlement, holders, transfer); value</t>
        </is>
      </c>
      <c r="E1351" s="2" t="n"/>
      <c r="F1351" s="2" t="n"/>
      <c r="G1351" s="2" t="n"/>
      <c r="H1351" s="3" t="inlineStr">
        <is>
          <t>term: waivers and amendments (cl. 15.1(g)); value: a majority of at least 2/3 of the Voting Bonds represented, save the amendments the Bond Trustee may make without a resolution under cl. 17.1(a)(i) and (ii)</t>
        </is>
      </c>
      <c r="I1351" s="2" t="inlineStr">
        <is>
          <t>S13</t>
        </is>
      </c>
      <c r="J1351" s="2" t="n">
        <v>39</v>
      </c>
      <c r="K1351" s="3" t="inlineStr">
        <is>
          <t>a majority of at least 2/3 of the Voting Bonds represented at the Bondholders’ Meeting is required for approval of any waiver or amendment of these Bond Terms</t>
        </is>
      </c>
      <c r="L1351" s="2" t="inlineStr">
        <is>
          <t>pend</t>
        </is>
      </c>
      <c r="M1351" s="2" t="n"/>
      <c r="N1351" s="2" t="n"/>
      <c r="O1351" s="3" t="inlineStr">
        <is>
          <t>https://vanillabonds.com/dossier-data/pdf/katjes/katjes-bond-2023-2028-bond-terms-signed.pdf#page=39</t>
        </is>
      </c>
      <c r="P1351" s="3" t="inlineStr">
        <is>
          <t>https://vanillabonds.com/dossier.html?c=katjes&amp;viewer=1&amp;item=F1350</t>
        </is>
      </c>
      <c r="Q1351" s="2" t="inlineStr"/>
    </row>
    <row r="1352">
      <c r="A1352" s="2" t="inlineStr">
        <is>
          <t>F1351</t>
        </is>
      </c>
      <c r="B1352" s="2" t="inlineStr">
        <is>
          <t>market_data</t>
        </is>
      </c>
      <c r="C1352" s="2" t="inlineStr">
        <is>
          <t>instrument_term</t>
        </is>
      </c>
      <c r="D1352" s="3" t="inlineStr">
        <is>
          <t>Instrument term: term (rate type, base rate, maturity, call, listing, ISIN, denomination, settlement, holders, transfer); value</t>
        </is>
      </c>
      <c r="E1352" s="2" t="n"/>
      <c r="F1352" s="2" t="n"/>
      <c r="G1352" s="2" t="n"/>
      <c r="H1352" s="3" t="inlineStr">
        <is>
          <t>term: written resolution (cl. 15.5(a)); value: anything a Bondholders' Meeting may resolve may also be resolved by Written Resolution, as valid as a meeting resolution</t>
        </is>
      </c>
      <c r="I1352" s="2" t="inlineStr">
        <is>
          <t>S13</t>
        </is>
      </c>
      <c r="J1352" s="2" t="n">
        <v>41</v>
      </c>
      <c r="K1352" s="3" t="inlineStr">
        <is>
          <t>anything which may be resolved by the Bondholders in a Bondholders’ Meeting pursuant to Clause 15.1 (Authority of the Bondholders’ Meeting) may also be resolved by way of a Written Resolution</t>
        </is>
      </c>
      <c r="L1352" s="2" t="inlineStr">
        <is>
          <t>pend</t>
        </is>
      </c>
      <c r="M1352" s="2" t="n"/>
      <c r="N1352" s="2" t="n"/>
      <c r="O1352" s="3" t="inlineStr">
        <is>
          <t>https://vanillabonds.com/dossier-data/pdf/katjes/katjes-bond-2023-2028-bond-terms-signed.pdf#page=41</t>
        </is>
      </c>
      <c r="P1352" s="3" t="inlineStr">
        <is>
          <t>https://vanillabonds.com/dossier.html?c=katjes&amp;viewer=1&amp;item=F1351</t>
        </is>
      </c>
      <c r="Q1352" s="2" t="inlineStr"/>
    </row>
    <row r="1353">
      <c r="A1353" s="2" t="inlineStr">
        <is>
          <t>F1352</t>
        </is>
      </c>
      <c r="B1353" s="2" t="inlineStr">
        <is>
          <t>market_data</t>
        </is>
      </c>
      <c r="C1353" s="2" t="inlineStr">
        <is>
          <t>instrument_term</t>
        </is>
      </c>
      <c r="D1353" s="3" t="inlineStr">
        <is>
          <t>Instrument term: term (rate type, base rate, maturity, call, listing, ISIN, denomination, settlement, holders, transfer); value</t>
        </is>
      </c>
      <c r="E1353" s="2" t="n"/>
      <c r="F1353" s="2" t="n"/>
      <c r="G1353" s="2" t="n"/>
      <c r="H1353" s="3" t="inlineStr">
        <is>
          <t>term: written resolution, voting period (cl. 15.5(e)(ii)); value: votes are received within at least 10 and at most 15 Business Days from the date of the Summons</t>
        </is>
      </c>
      <c r="I1353" s="2" t="inlineStr">
        <is>
          <t>S13</t>
        </is>
      </c>
      <c r="J1353" s="2" t="n">
        <v>42</v>
      </c>
      <c r="K1353" s="3" t="inlineStr">
        <is>
          <t>which shall be at least 10 Business Days but not more than 15 Business Days from the date of the Summons</t>
        </is>
      </c>
      <c r="L1353" s="2" t="inlineStr">
        <is>
          <t>pend</t>
        </is>
      </c>
      <c r="M1353" s="2" t="n"/>
      <c r="N1353" s="2" t="n"/>
      <c r="O1353" s="3" t="inlineStr">
        <is>
          <t>https://vanillabonds.com/dossier-data/pdf/katjes/katjes-bond-2023-2028-bond-terms-signed.pdf#page=42</t>
        </is>
      </c>
      <c r="P1353" s="3" t="inlineStr">
        <is>
          <t>https://vanillabonds.com/dossier.html?c=katjes&amp;viewer=1&amp;item=F1352</t>
        </is>
      </c>
      <c r="Q1353" s="2" t="inlineStr"/>
    </row>
    <row r="1354">
      <c r="A1354" s="2" t="inlineStr">
        <is>
          <t>F1353</t>
        </is>
      </c>
      <c r="B1354" s="2" t="inlineStr">
        <is>
          <t>market_data</t>
        </is>
      </c>
      <c r="C1354" s="2" t="inlineStr">
        <is>
          <t>instrument_term</t>
        </is>
      </c>
      <c r="D1354" s="3" t="inlineStr">
        <is>
          <t>Instrument term: term (rate type, base rate, maturity, call, listing, ISIN, denomination, settlement, holders, transfer); value</t>
        </is>
      </c>
      <c r="E1354" s="2" t="n"/>
      <c r="F1354" s="2" t="n"/>
      <c r="G1354" s="2" t="n"/>
      <c r="H1354" s="3" t="inlineStr">
        <is>
          <t>term: written resolution, when passed (cl. 15.5(g)); value: passed once the majority of cl. 15.1 paragraph (e) or (f) is obtained on a quorum of all Voting Bonds, even before the Voting Period ends</t>
        </is>
      </c>
      <c r="I1354" s="2" t="inlineStr">
        <is>
          <t>S13</t>
        </is>
      </c>
      <c r="J1354" s="2" t="n">
        <v>42</v>
      </c>
      <c r="K1354" s="3" t="inlineStr">
        <is>
          <t>A Written Resolution is passed when the requisite majority set out in paragraph (e) or (f) of Clause 15.1</t>
        </is>
      </c>
      <c r="L1354" s="2" t="inlineStr">
        <is>
          <t>pend</t>
        </is>
      </c>
      <c r="M1354" s="2" t="n"/>
      <c r="N1354" s="2" t="n"/>
      <c r="O1354" s="3" t="inlineStr">
        <is>
          <t>https://vanillabonds.com/dossier-data/pdf/katjes/katjes-bond-2023-2028-bond-terms-signed.pdf#page=42</t>
        </is>
      </c>
      <c r="P1354" s="3" t="inlineStr">
        <is>
          <t>https://vanillabonds.com/dossier.html?c=katjes&amp;viewer=1&amp;item=F1353</t>
        </is>
      </c>
      <c r="Q1354" s="2" t="inlineStr"/>
    </row>
    <row r="1355">
      <c r="A1355" s="2" t="inlineStr">
        <is>
          <t>F1354</t>
        </is>
      </c>
      <c r="B1355" s="2" t="inlineStr">
        <is>
          <t>governance</t>
        </is>
      </c>
      <c r="C1355" s="2" t="inlineStr">
        <is>
          <t>legal_owner</t>
        </is>
      </c>
      <c r="D1355"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55" s="2" t="n"/>
      <c r="F1355" s="2" t="n"/>
      <c r="G1355" s="2" t="n"/>
      <c r="H1355" s="3" t="inlineStr">
        <is>
          <t>owner: Xaver Fassin International GmbH; role: general partner (personally liable partner), manages the company; stake: no capital interest; basis: Note 1 to the 2025 consolidated statements; as_of: 2025-12-31</t>
        </is>
      </c>
      <c r="I1355" s="2" t="inlineStr">
        <is>
          <t>S3</t>
        </is>
      </c>
      <c r="J1355" s="2" t="n">
        <v>44</v>
      </c>
      <c r="K1355" s="3" t="inlineStr">
        <is>
          <t>The GmbH does not hold any capital interest in Katjes International GmbH &amp; Co. KG</t>
        </is>
      </c>
      <c r="L1355" s="2" t="inlineStr">
        <is>
          <t>pend</t>
        </is>
      </c>
      <c r="M1355" s="2" t="n"/>
      <c r="N1355" s="2" t="n"/>
      <c r="O1355" s="3" t="inlineStr">
        <is>
          <t>https://vanillabonds.com/dossier-data/pdf/katjes/katjes-2025-annual-report.pdf#page=44</t>
        </is>
      </c>
      <c r="P1355" s="3" t="inlineStr">
        <is>
          <t>https://vanillabonds.com/dossier.html?c=katjes&amp;viewer=1&amp;item=F1354</t>
        </is>
      </c>
      <c r="Q1355" s="2" t="inlineStr"/>
    </row>
    <row r="1356">
      <c r="A1356" s="2" t="inlineStr">
        <is>
          <t>F1355</t>
        </is>
      </c>
      <c r="B1356" s="2" t="inlineStr">
        <is>
          <t>governance</t>
        </is>
      </c>
      <c r="C1356" s="2" t="inlineStr">
        <is>
          <t>legal_owner</t>
        </is>
      </c>
      <c r="D1356"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56" s="2" t="n"/>
      <c r="F1356" s="2" t="n"/>
      <c r="G1356" s="2" t="n"/>
      <c r="H1356" s="3" t="inlineStr">
        <is>
          <t>owner: Bastian Fassin; role: limited partner; stake: EUR 0.9m registered liability contribution; basis: limited partnership capital EUR 1.0m; as_of: 2025-12-31</t>
        </is>
      </c>
      <c r="I1356" s="2" t="inlineStr">
        <is>
          <t>S3</t>
        </is>
      </c>
      <c r="J1356" s="2" t="n">
        <v>44</v>
      </c>
      <c r="K1356" s="3" t="inlineStr">
        <is>
          <t>The limited partners are Bastian Fassin with a registered liability contribution of EUR 900 thousand</t>
        </is>
      </c>
      <c r="L1356" s="2" t="inlineStr">
        <is>
          <t>pend</t>
        </is>
      </c>
      <c r="M1356" s="2" t="n"/>
      <c r="N1356" s="2" t="n"/>
      <c r="O1356" s="3" t="inlineStr">
        <is>
          <t>https://vanillabonds.com/dossier-data/pdf/katjes/katjes-2025-annual-report.pdf#page=44</t>
        </is>
      </c>
      <c r="P1356" s="3" t="inlineStr">
        <is>
          <t>https://vanillabonds.com/dossier.html?c=katjes&amp;viewer=1&amp;item=F1355</t>
        </is>
      </c>
      <c r="Q1356" s="2" t="inlineStr"/>
    </row>
    <row r="1357">
      <c r="A1357" s="2" t="inlineStr">
        <is>
          <t>F1356</t>
        </is>
      </c>
      <c r="B1357" s="2" t="inlineStr">
        <is>
          <t>governance</t>
        </is>
      </c>
      <c r="C1357" s="2" t="inlineStr">
        <is>
          <t>legal_owner</t>
        </is>
      </c>
      <c r="D1357"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57" s="2" t="n"/>
      <c r="F1357" s="2" t="n"/>
      <c r="G1357" s="2" t="n"/>
      <c r="H1357" s="3" t="inlineStr">
        <is>
          <t>owner: Tobias Bachmüller; role: limited partner; stake: EUR 0.1m registered liability contribution; basis: limited partnership capital EUR 1.0m; as_of: 2025-12-31</t>
        </is>
      </c>
      <c r="I1357" s="2" t="inlineStr">
        <is>
          <t>S3</t>
        </is>
      </c>
      <c r="J1357" s="2" t="n">
        <v>44</v>
      </c>
      <c r="K1357" s="3" t="inlineStr">
        <is>
          <t>Tobias Bachmüller with a registered liability contribution of EUR 100 thousand</t>
        </is>
      </c>
      <c r="L1357" s="2" t="inlineStr">
        <is>
          <t>pend</t>
        </is>
      </c>
      <c r="M1357" s="2" t="n"/>
      <c r="N1357" s="2" t="n"/>
      <c r="O1357" s="3" t="inlineStr">
        <is>
          <t>https://vanillabonds.com/dossier-data/pdf/katjes/katjes-2025-annual-report.pdf#page=44</t>
        </is>
      </c>
      <c r="P1357" s="3" t="inlineStr">
        <is>
          <t>https://vanillabonds.com/dossier.html?c=katjes&amp;viewer=1&amp;item=F1356</t>
        </is>
      </c>
      <c r="Q1357" s="2" t="inlineStr"/>
    </row>
    <row r="1358">
      <c r="A1358" s="2" t="inlineStr">
        <is>
          <t>F1357</t>
        </is>
      </c>
      <c r="B1358" s="2" t="inlineStr">
        <is>
          <t>governance</t>
        </is>
      </c>
      <c r="C1358" s="2" t="inlineStr">
        <is>
          <t>legal_owner</t>
        </is>
      </c>
      <c r="D1358"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58" s="2" t="n"/>
      <c r="F1358" s="2" t="n"/>
      <c r="G1358" s="2" t="n"/>
      <c r="H1358" s="3" t="inlineStr">
        <is>
          <t>owner: Bastian Fassin and Tobias Bachmüller; role: shareholders of the general partner Xaver Fassin International GmbH and its managing directors (with Stephan Milde as third managing director); basis: Note 1; as_of: 2025-12-31</t>
        </is>
      </c>
      <c r="I1358" s="2" t="inlineStr">
        <is>
          <t>S3</t>
        </is>
      </c>
      <c r="J1358" s="2" t="n">
        <v>44</v>
      </c>
      <c r="K1358" s="3" t="inlineStr">
        <is>
          <t>is Xaver Fassin International GmbH, whose shareholders are Bastian Fassin and Tobias Bachmüller</t>
        </is>
      </c>
      <c r="L1358" s="2" t="inlineStr">
        <is>
          <t>pend</t>
        </is>
      </c>
      <c r="M1358" s="2" t="n"/>
      <c r="N1358" s="2" t="n"/>
      <c r="O1358" s="3" t="inlineStr">
        <is>
          <t>https://vanillabonds.com/dossier-data/pdf/katjes/katjes-2025-annual-report.pdf#page=44</t>
        </is>
      </c>
      <c r="P1358" s="3" t="inlineStr">
        <is>
          <t>https://vanillabonds.com/dossier.html?c=katjes&amp;viewer=1&amp;item=F1357</t>
        </is>
      </c>
      <c r="Q1358" s="2" t="inlineStr"/>
    </row>
    <row r="1359">
      <c r="A1359" s="2" t="inlineStr">
        <is>
          <t>F1358</t>
        </is>
      </c>
      <c r="B1359" s="2" t="inlineStr">
        <is>
          <t>governance</t>
        </is>
      </c>
      <c r="C1359" s="2" t="inlineStr">
        <is>
          <t>legal_owner</t>
        </is>
      </c>
      <c r="D1359"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59" s="2" t="n"/>
      <c r="F1359" s="2" t="n"/>
      <c r="G1359" s="2" t="n"/>
      <c r="H1359" s="3" t="inlineStr">
        <is>
          <t>owner: Katjes Fassin GmbH + Co. KG (Katjes Germany); role: sister company, independent and legally separate, outside the consolidated group; basis: group management report; as_of: 2025-12-31</t>
        </is>
      </c>
      <c r="I1359" s="2" t="inlineStr">
        <is>
          <t>S3</t>
        </is>
      </c>
      <c r="J1359" s="2" t="n">
        <v>9</v>
      </c>
      <c r="K1359" s="3" t="inlineStr">
        <is>
          <t>with its two independent and legally separate sister companies, Katjes Fassin GmbH + Co. KG</t>
        </is>
      </c>
      <c r="L1359" s="2" t="inlineStr">
        <is>
          <t>pend</t>
        </is>
      </c>
      <c r="M1359" s="2" t="n"/>
      <c r="N1359" s="2" t="n"/>
      <c r="O1359" s="3" t="inlineStr">
        <is>
          <t>https://vanillabonds.com/dossier-data/pdf/katjes/katjes-2025-annual-report.pdf#page=9</t>
        </is>
      </c>
      <c r="P1359" s="3" t="inlineStr">
        <is>
          <t>https://vanillabonds.com/dossier.html?c=katjes&amp;viewer=1&amp;item=F1358</t>
        </is>
      </c>
      <c r="Q1359" s="2" t="inlineStr"/>
    </row>
    <row r="1360">
      <c r="A1360" s="2" t="inlineStr">
        <is>
          <t>F1359</t>
        </is>
      </c>
      <c r="B1360" s="2" t="inlineStr">
        <is>
          <t>governance</t>
        </is>
      </c>
      <c r="C1360" s="2" t="inlineStr">
        <is>
          <t>legal_owner</t>
        </is>
      </c>
      <c r="D1360"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60" s="2" t="n"/>
      <c r="F1360" s="2" t="n"/>
      <c r="G1360" s="2" t="n"/>
      <c r="H1360" s="3" t="inlineStr">
        <is>
          <t>owner: Katjesgreenfood GmbH &amp; Co. KG; role: sister company, independent and legally separate, outside the consolidated group; basis: group management report; as_of: 2025-12-31</t>
        </is>
      </c>
      <c r="I1360" s="2" t="inlineStr">
        <is>
          <t>S3</t>
        </is>
      </c>
      <c r="J1360" s="2" t="n">
        <v>9</v>
      </c>
      <c r="K1360" s="3" t="inlineStr">
        <is>
          <t>Katjesgreenfood GmbH &amp; Co. KG (“Katjesgreenfood”), forms the Katjes Group</t>
        </is>
      </c>
      <c r="L1360" s="2" t="inlineStr">
        <is>
          <t>pend</t>
        </is>
      </c>
      <c r="M1360" s="2" t="n"/>
      <c r="N1360" s="2" t="n"/>
      <c r="O1360" s="3" t="inlineStr">
        <is>
          <t>https://vanillabonds.com/dossier-data/pdf/katjes/katjes-2025-annual-report.pdf#page=9</t>
        </is>
      </c>
      <c r="P1360" s="3" t="inlineStr">
        <is>
          <t>https://vanillabonds.com/dossier.html?c=katjes&amp;viewer=1&amp;item=F1359</t>
        </is>
      </c>
      <c r="Q1360" s="2" t="inlineStr"/>
    </row>
    <row r="1361">
      <c r="A1361" s="2" t="inlineStr">
        <is>
          <t>F1360</t>
        </is>
      </c>
      <c r="B1361" s="2" t="inlineStr">
        <is>
          <t>governance</t>
        </is>
      </c>
      <c r="C1361" s="2" t="inlineStr">
        <is>
          <t>legal_owner</t>
        </is>
      </c>
      <c r="D1361"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61" s="2" t="n"/>
      <c r="F1361" s="2" t="n"/>
      <c r="G1361" s="2" t="n"/>
      <c r="H1361" s="3" t="inlineStr">
        <is>
          <t>owner: Bastian Fassin and Tobias Bachmüller; role: the Investors as the bond terms define them (the change-of-control test refers to them); basis: bond terms, definitions; as_of: 2023-09-17</t>
        </is>
      </c>
      <c r="I1361" s="2" t="inlineStr">
        <is>
          <t>S13</t>
        </is>
      </c>
      <c r="J1361" s="2" t="n">
        <v>9</v>
      </c>
      <c r="K1361" s="3" t="inlineStr">
        <is>
          <t>“Investors” means Mr. Bastian Fassin and Mr. Tobias Bachmüller.</t>
        </is>
      </c>
      <c r="L1361" s="2" t="inlineStr">
        <is>
          <t>pend</t>
        </is>
      </c>
      <c r="M1361" s="2" t="n"/>
      <c r="N1361" s="2" t="n"/>
      <c r="O1361" s="3" t="inlineStr">
        <is>
          <t>https://vanillabonds.com/dossier-data/pdf/katjes/katjes-bond-2023-2028-bond-terms-signed.pdf#page=9</t>
        </is>
      </c>
      <c r="P1361" s="3" t="inlineStr">
        <is>
          <t>https://vanillabonds.com/dossier.html?c=katjes&amp;viewer=1&amp;item=F1360</t>
        </is>
      </c>
      <c r="Q1361" s="2" t="inlineStr"/>
    </row>
    <row r="1362">
      <c r="A1362" s="2" t="inlineStr">
        <is>
          <t>F1361</t>
        </is>
      </c>
      <c r="B1362" s="2" t="inlineStr">
        <is>
          <t>governance</t>
        </is>
      </c>
      <c r="C1362" s="2" t="inlineStr">
        <is>
          <t>legal_owner</t>
        </is>
      </c>
      <c r="D1362"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62" s="2" t="n"/>
      <c r="F1362" s="2" t="n"/>
      <c r="G1362" s="2" t="n"/>
      <c r="H1362" s="3" t="inlineStr">
        <is>
          <t>owner: the Investors; role: change of control if, before an IPO, the Investors cease to own and control more than 50.00 per cent of the shares and voting rights in the Issuer or to appoint or remove the majority of its board; basis: bond terms, definition of Change of Control; as_of: 2023-09-17</t>
        </is>
      </c>
      <c r="I1362" s="2" t="inlineStr">
        <is>
          <t>S13</t>
        </is>
      </c>
      <c r="J1362" s="2" t="n">
        <v>4</v>
      </c>
      <c r="K1362" s="3" t="inlineStr">
        <is>
          <t>the Investors (in total) cease to (i) own and control (directly or indirectly) more than 50.00 per cent. of the shares and the voting rights in the Issuer</t>
        </is>
      </c>
      <c r="L1362" s="2" t="inlineStr">
        <is>
          <t>pend</t>
        </is>
      </c>
      <c r="M1362" s="2" t="n"/>
      <c r="N1362" s="2" t="n"/>
      <c r="O1362" s="3" t="inlineStr">
        <is>
          <t>https://vanillabonds.com/dossier-data/pdf/katjes/katjes-bond-2023-2028-bond-terms-signed.pdf#page=4</t>
        </is>
      </c>
      <c r="P1362" s="3" t="inlineStr">
        <is>
          <t>https://vanillabonds.com/dossier.html?c=katjes&amp;viewer=1&amp;item=F1361</t>
        </is>
      </c>
      <c r="Q1362" s="2" t="inlineStr"/>
    </row>
    <row r="1363">
      <c r="A1363" s="2" t="inlineStr">
        <is>
          <t>F1362</t>
        </is>
      </c>
      <c r="B1363" s="2" t="inlineStr">
        <is>
          <t>governance</t>
        </is>
      </c>
      <c r="C1363" s="2" t="inlineStr">
        <is>
          <t>legal_owner</t>
        </is>
      </c>
      <c r="D1363" s="3" t="inlineStr">
        <is>
          <t>Legal owner or partner: owner; role (legal shareholder, trust office, general partner, limited partner, depositary-receipt holder, sister company, investor as the bond terms define it); stake (share or registered liability contribution, as stated); basis; as_of (ISO)</t>
        </is>
      </c>
      <c r="E1363" s="2" t="n"/>
      <c r="F1363" s="2" t="n"/>
      <c r="G1363" s="2" t="n"/>
      <c r="H1363" s="3" t="inlineStr">
        <is>
          <t>owner: Katjes Fassin GmbH &amp; Co. KG; role: sister company as the bond terms name it (loans to it for cash management permitted up to EUR 10,000,000); basis: bond terms, permitted financial indebtedness; as_of: 2023-09-17</t>
        </is>
      </c>
      <c r="I1363" s="2" t="inlineStr">
        <is>
          <t>S13</t>
        </is>
      </c>
      <c r="J1363" s="2" t="n">
        <v>13</v>
      </c>
      <c r="K1363" s="3" t="inlineStr">
        <is>
          <t>any loan or credit granted by the Issuer to its sister company, Katjes Fassin GmbH &amp; Co. KG for cash management purposes</t>
        </is>
      </c>
      <c r="L1363" s="2" t="inlineStr">
        <is>
          <t>pend</t>
        </is>
      </c>
      <c r="M1363" s="2" t="n"/>
      <c r="N1363" s="2" t="n"/>
      <c r="O1363" s="3" t="inlineStr">
        <is>
          <t>https://vanillabonds.com/dossier-data/pdf/katjes/katjes-bond-2023-2028-bond-terms-signed.pdf#page=13</t>
        </is>
      </c>
      <c r="P1363" s="3" t="inlineStr">
        <is>
          <t>https://vanillabonds.com/dossier.html?c=katjes&amp;viewer=1&amp;item=F1362</t>
        </is>
      </c>
      <c r="Q1363" s="2" t="inlineStr"/>
    </row>
    <row r="1364">
      <c r="A1364" s="2" t="inlineStr">
        <is>
          <t>F1363</t>
        </is>
      </c>
      <c r="B1364" s="2" t="inlineStr">
        <is>
          <t>governance</t>
        </is>
      </c>
      <c r="C1364" s="2" t="inlineStr">
        <is>
          <t>ownership_event</t>
        </is>
      </c>
      <c r="D1364" s="3" t="inlineStr">
        <is>
          <t>Ownership or entity event: date (ISO); entity; event (incorporated, renamed, liquidated, acquired, disposed, demerged, capital change, bond tap, agreement); detail</t>
        </is>
      </c>
      <c r="E1364" s="2" t="n"/>
      <c r="F1364" s="2" t="n"/>
      <c r="G1364" s="2" t="n"/>
      <c r="H1364" s="3" t="inlineStr">
        <is>
          <t>date: 2024; entity: Katjes International GmbH &amp; Co. KG; event: capital change; detail: limited partnership capital EUR 1.0m, registered liability contributions Fassin EUR 900k and Bachmüller EUR 100k (2023 report: EUR 540k and EUR 60k)</t>
        </is>
      </c>
      <c r="I1364" s="2" t="inlineStr">
        <is>
          <t>S2</t>
        </is>
      </c>
      <c r="J1364" s="2" t="n">
        <v>47</v>
      </c>
      <c r="K1364" s="3" t="inlineStr">
        <is>
          <t>Bastian Fassin and Tobias Bachmüller are the limited partners, with registered liability amounts of EUR 900 thousand and EUR 100 thousand</t>
        </is>
      </c>
      <c r="L1364" s="2" t="inlineStr">
        <is>
          <t>pend</t>
        </is>
      </c>
      <c r="M1364" s="2" t="n"/>
      <c r="N1364" s="2" t="n"/>
      <c r="O1364" s="3" t="inlineStr">
        <is>
          <t>https://vanillabonds.com/dossier-data/pdf/katjes/katjes-2024-annual-report.pdf#page=47</t>
        </is>
      </c>
      <c r="P1364" s="3" t="inlineStr">
        <is>
          <t>https://vanillabonds.com/dossier.html?c=katjes&amp;viewer=1&amp;item=F1363</t>
        </is>
      </c>
      <c r="Q1364" s="2" t="inlineStr"/>
    </row>
    <row r="1365">
      <c r="A1365" s="2" t="inlineStr">
        <is>
          <t>F1364</t>
        </is>
      </c>
      <c r="B1365" s="2" t="inlineStr">
        <is>
          <t>governance</t>
        </is>
      </c>
      <c r="C1365" s="2" t="inlineStr">
        <is>
          <t>ownership_event</t>
        </is>
      </c>
      <c r="D1365" s="3" t="inlineStr">
        <is>
          <t>Ownership or entity event: date (ISO); entity; event (incorporated, renamed, liquidated, acquired, disposed, demerged, capital change, bond tap, agreement); detail</t>
        </is>
      </c>
      <c r="E1365" s="2" t="n"/>
      <c r="F1365" s="2" t="n"/>
      <c r="G1365" s="2" t="n"/>
      <c r="H1365" s="3" t="inlineStr">
        <is>
          <t>date: 2024-11-22; entity: Katjes International GmbH &amp; Co. KG; event: agreement; detail: partnership agreement dated 22 November 2024, object: holding and management of participations in companies of the Katjes International Group</t>
        </is>
      </c>
      <c r="I1365" s="2" t="inlineStr">
        <is>
          <t>S3</t>
        </is>
      </c>
      <c r="J1365" s="2" t="n">
        <v>44</v>
      </c>
      <c r="K1365" s="3" t="inlineStr">
        <is>
          <t>In accordance with Section 2 of the partnership agreement dated November 22, 2024</t>
        </is>
      </c>
      <c r="L1365" s="2" t="inlineStr">
        <is>
          <t>pend</t>
        </is>
      </c>
      <c r="M1365" s="2" t="n"/>
      <c r="N1365" s="2" t="n"/>
      <c r="O1365" s="3" t="inlineStr">
        <is>
          <t>https://vanillabonds.com/dossier-data/pdf/katjes/katjes-2025-annual-report.pdf#page=44</t>
        </is>
      </c>
      <c r="P1365" s="3" t="inlineStr">
        <is>
          <t>https://vanillabonds.com/dossier.html?c=katjes&amp;viewer=1&amp;item=F1364</t>
        </is>
      </c>
      <c r="Q1365" s="2" t="inlineStr"/>
    </row>
    <row r="1366">
      <c r="A1366" s="2" t="inlineStr">
        <is>
          <t>F1365</t>
        </is>
      </c>
      <c r="B1366" s="2" t="inlineStr">
        <is>
          <t>governance</t>
        </is>
      </c>
      <c r="C1366" s="2" t="inlineStr">
        <is>
          <t>ownership_event</t>
        </is>
      </c>
      <c r="D1366" s="3" t="inlineStr">
        <is>
          <t>Ownership or entity event: date (ISO); entity; event (incorporated, renamed, liquidated, acquired, disposed, demerged, capital change, bond tap, agreement); detail</t>
        </is>
      </c>
      <c r="E1366" s="2" t="n"/>
      <c r="F1366" s="2" t="n"/>
      <c r="G1366" s="2" t="n"/>
      <c r="H1366" s="3" t="inlineStr">
        <is>
          <t>date: 2025-08; entity: Katjes International GmbH &amp; Co. KG; event: bond tap; detail: the 2023/2028 bond increased by EUR 70m in August 2025 in connection with the Bogner acquisition</t>
        </is>
      </c>
      <c r="I1366" s="2" t="inlineStr">
        <is>
          <t>S3</t>
        </is>
      </c>
      <c r="J1366" s="2" t="n">
        <v>68</v>
      </c>
      <c r="K1366" s="3" t="inlineStr">
        <is>
          <t>the existing 2023/2028 bond was increased by EUR 70 million in August 2025</t>
        </is>
      </c>
      <c r="L1366" s="2" t="inlineStr">
        <is>
          <t>pend</t>
        </is>
      </c>
      <c r="M1366" s="2" t="n"/>
      <c r="N1366" s="2" t="n"/>
      <c r="O1366" s="3" t="inlineStr">
        <is>
          <t>https://vanillabonds.com/dossier-data/pdf/katjes/katjes-2025-annual-report.pdf#page=68</t>
        </is>
      </c>
      <c r="P1366" s="3" t="inlineStr">
        <is>
          <t>https://vanillabonds.com/dossier.html?c=katjes&amp;viewer=1&amp;item=F1365</t>
        </is>
      </c>
      <c r="Q1366" s="2" t="inlineStr"/>
    </row>
    <row r="1367">
      <c r="A1367" s="2" t="inlineStr">
        <is>
          <t>F1366</t>
        </is>
      </c>
      <c r="B1367" s="2" t="inlineStr">
        <is>
          <t>governance</t>
        </is>
      </c>
      <c r="C1367" s="2" t="inlineStr">
        <is>
          <t>ownership_event</t>
        </is>
      </c>
      <c r="D1367" s="3" t="inlineStr">
        <is>
          <t>Ownership or entity event: date (ISO); entity; event (incorporated, renamed, liquidated, acquired, disposed, demerged, capital change, bond tap, agreement); detail</t>
        </is>
      </c>
      <c r="E1367" s="2" t="n"/>
      <c r="F1367" s="2" t="n"/>
      <c r="G1367" s="2" t="n"/>
      <c r="H1367" s="3" t="inlineStr">
        <is>
          <t>date: 2025-09-01; entity: Willy Bogner GmbH; event: acquired; detail: 60% of the shares in Willy Bogner GmbH and its subsidiaries acquired through the wholly owned subsidiary Katjes Quiet Luxury GmbH, the Bogner family keeps 40%</t>
        </is>
      </c>
      <c r="I1367" s="2" t="inlineStr">
        <is>
          <t>S3</t>
        </is>
      </c>
      <c r="J1367" s="2" t="n">
        <v>24</v>
      </c>
      <c r="K1367" s="3" t="inlineStr">
        <is>
          <t>On September 1, 2025, 60% of the shares in Willy Bogner GmbH and its subsidiaries were acquired through the wholly owned subsidiary Katjes Quiet Luxury</t>
        </is>
      </c>
      <c r="L1367" s="2" t="inlineStr">
        <is>
          <t>pend</t>
        </is>
      </c>
      <c r="M1367" s="2" t="n"/>
      <c r="N1367" s="2" t="n"/>
      <c r="O1367" s="3" t="inlineStr">
        <is>
          <t>https://vanillabonds.com/dossier-data/pdf/katjes/katjes-2025-annual-report.pdf#page=24</t>
        </is>
      </c>
      <c r="P1367" s="3" t="inlineStr">
        <is>
          <t>https://vanillabonds.com/dossier.html?c=katjes&amp;viewer=1&amp;item=F1366</t>
        </is>
      </c>
      <c r="Q1367" s="2" t="inlineStr"/>
    </row>
    <row r="1368">
      <c r="A1368" s="2" t="inlineStr">
        <is>
          <t>F1367</t>
        </is>
      </c>
      <c r="B1368" s="2" t="inlineStr">
        <is>
          <t>governance</t>
        </is>
      </c>
      <c r="C1368" s="2" t="inlineStr">
        <is>
          <t>ownership_event</t>
        </is>
      </c>
      <c r="D1368" s="3" t="inlineStr">
        <is>
          <t>Ownership or entity event: date (ISO); entity; event (incorporated, renamed, liquidated, acquired, disposed, demerged, capital change, bond tap, agreement); detail</t>
        </is>
      </c>
      <c r="E1368" s="2" t="n"/>
      <c r="F1368" s="2" t="n"/>
      <c r="G1368" s="2" t="n"/>
      <c r="H1368" s="3" t="inlineStr">
        <is>
          <t>date: 2025-Q4; entity: CPK S.A.S.; event: disposed; detail: the 23% minority interest (equity method) disposed of under tag-along rights and obligations, cash proceeds of slightly more than EUR 80m</t>
        </is>
      </c>
      <c r="I1368" s="2" t="inlineStr">
        <is>
          <t>S3</t>
        </is>
      </c>
      <c r="J1368" s="2" t="n">
        <v>24</v>
      </c>
      <c r="K1368" s="3" t="inlineStr">
        <is>
          <t>the 23% minority interest in the French company CPK (accounted for using the equity method) was also disposed of as part of tag-along rights and obligations</t>
        </is>
      </c>
      <c r="L1368" s="2" t="inlineStr">
        <is>
          <t>pend</t>
        </is>
      </c>
      <c r="M1368" s="2" t="n"/>
      <c r="N1368" s="2" t="n"/>
      <c r="O1368" s="3" t="inlineStr">
        <is>
          <t>https://vanillabonds.com/dossier-data/pdf/katjes/katjes-2025-annual-report.pdf#page=24</t>
        </is>
      </c>
      <c r="P1368" s="3" t="inlineStr">
        <is>
          <t>https://vanillabonds.com/dossier.html?c=katjes&amp;viewer=1&amp;item=F1367</t>
        </is>
      </c>
      <c r="Q1368" s="2" t="inlineStr"/>
    </row>
    <row r="1369">
      <c r="A1369" s="2" t="inlineStr">
        <is>
          <t>F1368</t>
        </is>
      </c>
      <c r="B1369" s="2" t="inlineStr">
        <is>
          <t>governance</t>
        </is>
      </c>
      <c r="C1369" s="2" t="inlineStr">
        <is>
          <t>ownership_event</t>
        </is>
      </c>
      <c r="D1369" s="3" t="inlineStr">
        <is>
          <t>Ownership or entity event: date (ISO); entity; event (incorporated, renamed, liquidated, acquired, disposed, demerged, capital change, bond tap, agreement); detail</t>
        </is>
      </c>
      <c r="E1369" s="2" t="n"/>
      <c r="F1369" s="2" t="n"/>
      <c r="G1369" s="2" t="n"/>
      <c r="H1369" s="3" t="inlineStr">
        <is>
          <t>date: 2026-02; entity: Nature Delivered Ltd. (Graze); event: acquired; detail: 100% of the shares acquired from Unilever via the subsidiary Future Snacks Ltd. (UK), price not stated</t>
        </is>
      </c>
      <c r="I1369" s="2" t="inlineStr">
        <is>
          <t>S3</t>
        </is>
      </c>
      <c r="J1369" s="2" t="n">
        <v>81</v>
      </c>
      <c r="K1369" s="3" t="inlineStr">
        <is>
          <t>acquired 100% of the shares in Nature Delivered Ltd. (“Graze”) from Unilever</t>
        </is>
      </c>
      <c r="L1369" s="2" t="inlineStr">
        <is>
          <t>pend</t>
        </is>
      </c>
      <c r="M1369" s="2" t="n"/>
      <c r="N1369" s="2" t="n"/>
      <c r="O1369" s="3" t="inlineStr">
        <is>
          <t>https://vanillabonds.com/dossier-data/pdf/katjes/katjes-2025-annual-report.pdf#page=81</t>
        </is>
      </c>
      <c r="P1369" s="3" t="inlineStr">
        <is>
          <t>https://vanillabonds.com/dossier.html?c=katjes&amp;viewer=1&amp;item=F1368</t>
        </is>
      </c>
      <c r="Q1369" s="2" t="inlineStr"/>
    </row>
    <row r="1370">
      <c r="A1370" s="2" t="inlineStr">
        <is>
          <t>F1369</t>
        </is>
      </c>
      <c r="B1370" s="2" t="inlineStr">
        <is>
          <t>governance</t>
        </is>
      </c>
      <c r="C1370" s="2" t="inlineStr">
        <is>
          <t>ownership_event</t>
        </is>
      </c>
      <c r="D1370" s="3" t="inlineStr">
        <is>
          <t>Ownership or entity event: date (ISO); entity; event (incorporated, renamed, liquidated, acquired, disposed, demerged, capital change, bond tap, agreement); detail</t>
        </is>
      </c>
      <c r="E1370" s="2" t="n"/>
      <c r="F1370" s="2" t="n"/>
      <c r="G1370" s="2" t="n"/>
      <c r="H1370" s="3" t="inlineStr">
        <is>
          <t>date: 2026-03-03; entity: Missoni S.p.A.; event: agreement; detail: agreement to acquire approximately 27% of Missoni S.p.A., closing expected in the second quarter of 2026</t>
        </is>
      </c>
      <c r="I1370" s="2" t="inlineStr">
        <is>
          <t>S3</t>
        </is>
      </c>
      <c r="J1370" s="2" t="n">
        <v>81</v>
      </c>
      <c r="K1370" s="3" t="inlineStr">
        <is>
          <t>approximately 27% of Missoni S.p.A.; closing is expected in the second quarter of</t>
        </is>
      </c>
      <c r="L1370" s="2" t="inlineStr">
        <is>
          <t>pend</t>
        </is>
      </c>
      <c r="M1370" s="2" t="n"/>
      <c r="N1370" s="2" t="n"/>
      <c r="O1370" s="3" t="inlineStr">
        <is>
          <t>https://vanillabonds.com/dossier-data/pdf/katjes/katjes-2025-annual-report.pdf#page=81</t>
        </is>
      </c>
      <c r="P1370" s="3" t="inlineStr">
        <is>
          <t>https://vanillabonds.com/dossier.html?c=katjes&amp;viewer=1&amp;item=F1369</t>
        </is>
      </c>
      <c r="Q1370" s="2" t="inlineStr"/>
    </row>
    <row r="1371">
      <c r="A1371" s="2" t="inlineStr">
        <is>
          <t>F1370</t>
        </is>
      </c>
      <c r="B1371" s="2" t="inlineStr">
        <is>
          <t>governance</t>
        </is>
      </c>
      <c r="C1371" s="2" t="inlineStr">
        <is>
          <t>ownership_event</t>
        </is>
      </c>
      <c r="D1371" s="3" t="inlineStr">
        <is>
          <t>Ownership or entity event: date (ISO); entity; event (incorporated, renamed, liquidated, acquired, disposed, demerged, capital change, bond tap, agreement); detail</t>
        </is>
      </c>
      <c r="E1371" s="2" t="n"/>
      <c r="F1371" s="2" t="n"/>
      <c r="G1371" s="2" t="n"/>
      <c r="H1371" s="3" t="inlineStr">
        <is>
          <t>date: 2026; entity: Katjes International GmbH &amp; Co. KG; event: bond tap; detail: the 2023/2028 bond increased by EUR 15m to EUR 200m, its borrowing limit</t>
        </is>
      </c>
      <c r="I1371" s="2" t="inlineStr">
        <is>
          <t>S3</t>
        </is>
      </c>
      <c r="J1371" s="2" t="n">
        <v>81</v>
      </c>
      <c r="K1371" s="3" t="inlineStr">
        <is>
          <t>the 2023/2028 bond was increased by EUR 15 million to EUR 200</t>
        </is>
      </c>
      <c r="L1371" s="2" t="inlineStr">
        <is>
          <t>pend</t>
        </is>
      </c>
      <c r="M1371" s="2" t="n"/>
      <c r="N1371" s="2" t="n"/>
      <c r="O1371" s="3" t="inlineStr">
        <is>
          <t>https://vanillabonds.com/dossier-data/pdf/katjes/katjes-2025-annual-report.pdf#page=81</t>
        </is>
      </c>
      <c r="P1371" s="3" t="inlineStr">
        <is>
          <t>https://vanillabonds.com/dossier.html?c=katjes&amp;viewer=1&amp;item=F1370</t>
        </is>
      </c>
      <c r="Q1371" s="2" t="inlineStr"/>
    </row>
    <row r="1372">
      <c r="A1372" s="2" t="inlineStr">
        <is>
          <t>F1371</t>
        </is>
      </c>
      <c r="B1372" s="2" t="inlineStr">
        <is>
          <t>structure</t>
        </is>
      </c>
      <c r="C1372" s="2" t="inlineStr">
        <is>
          <t>party</t>
        </is>
      </c>
      <c r="D1372" s="3" t="inlineStr">
        <is>
          <t>Party or adviser: role; entity; identifier (register number, LEI); side (for the issuer / for the bondholders / statutory-neutral / lenders); source_class (named in the terms / named on the exchange / named by the adviser itself / named in the accounts); as_of (ISO)</t>
        </is>
      </c>
      <c r="E1372" s="2" t="n"/>
      <c r="F1372" s="2" t="n"/>
      <c r="G1372" s="2" t="n"/>
      <c r="H1372" s="3" t="inlineStr">
        <is>
          <t>role: issuer; entity: Katjes International GmbH &amp; Co. KG; identifier: HRA 1076 (Amtsgericht Kleve), LEI 529900UHZK3SEUYFH322; side: for the issuer; source_class: named in the terms; as_of: 2023-09-17</t>
        </is>
      </c>
      <c r="I1372" s="2" t="inlineStr">
        <is>
          <t>S13</t>
        </is>
      </c>
      <c r="J1372" s="2" t="n">
        <v>3</v>
      </c>
      <c r="K1372" s="3" t="inlineStr">
        <is>
          <t>ISSUER: Katjes International GmbH &amp; Co. KG, a company existing under the laws of Germany with registration number HRA 1076</t>
        </is>
      </c>
      <c r="L1372" s="2" t="inlineStr">
        <is>
          <t>pend</t>
        </is>
      </c>
      <c r="M1372" s="2" t="n"/>
      <c r="N1372" s="2" t="n"/>
      <c r="O1372" s="3" t="inlineStr">
        <is>
          <t>https://vanillabonds.com/dossier-data/pdf/katjes/katjes-bond-2023-2028-bond-terms-signed.pdf#page=3</t>
        </is>
      </c>
      <c r="P1372" s="3" t="inlineStr">
        <is>
          <t>https://vanillabonds.com/dossier.html?c=katjes&amp;viewer=1&amp;item=F1371</t>
        </is>
      </c>
      <c r="Q1372" s="2" t="inlineStr"/>
    </row>
    <row r="1373">
      <c r="A1373" s="2" t="inlineStr">
        <is>
          <t>F1372</t>
        </is>
      </c>
      <c r="B1373" s="2" t="inlineStr">
        <is>
          <t>structure</t>
        </is>
      </c>
      <c r="C1373" s="2" t="inlineStr">
        <is>
          <t>party</t>
        </is>
      </c>
      <c r="D1373" s="3" t="inlineStr">
        <is>
          <t>Party or adviser: role; entity; identifier (register number, LEI); side (for the issuer / for the bondholders / statutory-neutral / lenders); source_class (named in the terms / named on the exchange / named by the adviser itself / named in the accounts); as_of (ISO)</t>
        </is>
      </c>
      <c r="E1373" s="2" t="n"/>
      <c r="F1373" s="2" t="n"/>
      <c r="G1373" s="2" t="n"/>
      <c r="H1373" s="3" t="inlineStr">
        <is>
          <t>role: bond trustee; entity: Nordic Trustee AS, Oslo; identifier: registration number 963 342 624, LEI 549300XAKTM2BMKIPT85; side: for the bondholders; source_class: named in the terms; as_of: 2023-09-17</t>
        </is>
      </c>
      <c r="I1373" s="2" t="inlineStr">
        <is>
          <t>S13</t>
        </is>
      </c>
      <c r="J1373" s="2" t="n">
        <v>3</v>
      </c>
      <c r="K1373" s="3" t="inlineStr">
        <is>
          <t>BOND TRUSTEE: Nordic Trustee AS, a company existing under the laws of Norway with registration number 963 342 624</t>
        </is>
      </c>
      <c r="L1373" s="2" t="inlineStr">
        <is>
          <t>pend</t>
        </is>
      </c>
      <c r="M1373" s="2" t="n"/>
      <c r="N1373" s="2" t="n"/>
      <c r="O1373" s="3" t="inlineStr">
        <is>
          <t>https://vanillabonds.com/dossier-data/pdf/katjes/katjes-bond-2023-2028-bond-terms-signed.pdf#page=3</t>
        </is>
      </c>
      <c r="P1373" s="3" t="inlineStr">
        <is>
          <t>https://vanillabonds.com/dossier.html?c=katjes&amp;viewer=1&amp;item=F1372</t>
        </is>
      </c>
      <c r="Q1373" s="2" t="inlineStr"/>
    </row>
    <row r="1374">
      <c r="A1374" s="2" t="inlineStr">
        <is>
          <t>F1373</t>
        </is>
      </c>
      <c r="B1374" s="2" t="inlineStr">
        <is>
          <t>structure</t>
        </is>
      </c>
      <c r="C1374" s="2" t="inlineStr">
        <is>
          <t>party</t>
        </is>
      </c>
      <c r="D1374" s="3" t="inlineStr">
        <is>
          <t>Party or adviser: role; entity; identifier (register number, LEI); side (for the issuer / for the bondholders / statutory-neutral / lenders); source_class (named in the terms / named on the exchange / named by the adviser itself / named in the accounts); as_of (ISO)</t>
        </is>
      </c>
      <c r="E1374" s="2" t="n"/>
      <c r="F1374" s="2" t="n"/>
      <c r="G1374" s="2" t="n"/>
      <c r="H1374" s="3" t="inlineStr">
        <is>
          <t>role: signatory for the bond trustee; entity: Lars Erik Lærum, authorised signatory, Nordic Trustee AS; side: for the bondholders; source_class: named in the terms; as_of: 2023-09-17</t>
        </is>
      </c>
      <c r="I1374" s="2" t="inlineStr">
        <is>
          <t>S13</t>
        </is>
      </c>
      <c r="J1374" s="2" t="n">
        <v>52</v>
      </c>
      <c r="K1374" s="2" t="inlineStr">
        <is>
          <t>Lars Erik Lærum</t>
        </is>
      </c>
      <c r="L1374" s="2" t="inlineStr">
        <is>
          <t>pend</t>
        </is>
      </c>
      <c r="M1374" s="2" t="n"/>
      <c r="N1374" s="2" t="n"/>
      <c r="O1374" s="3" t="inlineStr">
        <is>
          <t>https://vanillabonds.com/dossier-data/pdf/katjes/katjes-bond-2023-2028-bond-terms-signed.pdf#page=52</t>
        </is>
      </c>
      <c r="P1374" s="3" t="inlineStr">
        <is>
          <t>https://vanillabonds.com/dossier.html?c=katjes&amp;viewer=1&amp;item=F1373</t>
        </is>
      </c>
      <c r="Q1374" s="2" t="inlineStr"/>
    </row>
    <row r="1375">
      <c r="A1375" s="2" t="inlineStr">
        <is>
          <t>F1374</t>
        </is>
      </c>
      <c r="B1375" s="2" t="inlineStr">
        <is>
          <t>structure</t>
        </is>
      </c>
      <c r="C1375" s="2" t="inlineStr">
        <is>
          <t>party</t>
        </is>
      </c>
      <c r="D1375" s="3" t="inlineStr">
        <is>
          <t>Party or adviser: role; entity; identifier (register number, LEI); side (for the issuer / for the bondholders / statutory-neutral / lenders); source_class (named in the terms / named on the exchange / named by the adviser itself / named in the accounts); as_of (ISO)</t>
        </is>
      </c>
      <c r="E1375" s="2" t="n"/>
      <c r="F1375" s="2" t="n"/>
      <c r="G1375" s="2" t="n"/>
      <c r="H1375" s="3" t="inlineStr">
        <is>
          <t>role: signatory for the issuer; entity: Stephan Milde, CFO, Katjes International GmbH &amp; Co. KG; side: for the issuer; source_class: named in the terms; as_of: 2023-09-17</t>
        </is>
      </c>
      <c r="I1375" s="2" t="inlineStr">
        <is>
          <t>S13</t>
        </is>
      </c>
      <c r="J1375" s="2" t="n">
        <v>52</v>
      </c>
      <c r="K1375" s="2" t="inlineStr">
        <is>
          <t>Stephan Milde</t>
        </is>
      </c>
      <c r="L1375" s="2" t="inlineStr">
        <is>
          <t>pend</t>
        </is>
      </c>
      <c r="M1375" s="2" t="n"/>
      <c r="N1375" s="2" t="n"/>
      <c r="O1375" s="3" t="inlineStr">
        <is>
          <t>https://vanillabonds.com/dossier-data/pdf/katjes/katjes-bond-2023-2028-bond-terms-signed.pdf#page=52</t>
        </is>
      </c>
      <c r="P1375" s="3" t="inlineStr">
        <is>
          <t>https://vanillabonds.com/dossier.html?c=katjes&amp;viewer=1&amp;item=F1374</t>
        </is>
      </c>
      <c r="Q1375" s="2" t="inlineStr"/>
    </row>
    <row r="1376">
      <c r="A1376" s="2" t="inlineStr">
        <is>
          <t>F1375</t>
        </is>
      </c>
      <c r="B1376" s="2" t="inlineStr">
        <is>
          <t>structure</t>
        </is>
      </c>
      <c r="C1376" s="2" t="inlineStr">
        <is>
          <t>party</t>
        </is>
      </c>
      <c r="D1376" s="3" t="inlineStr">
        <is>
          <t>Party or adviser: role; entity; identifier (register number, LEI); side (for the issuer / for the bondholders / statutory-neutral / lenders); source_class (named in the terms / named on the exchange / named by the adviser itself / named in the accounts); as_of (ISO)</t>
        </is>
      </c>
      <c r="E1376" s="2" t="n"/>
      <c r="F1376" s="2" t="n"/>
      <c r="G1376" s="2" t="n"/>
      <c r="H1376" s="3" t="inlineStr">
        <is>
          <t>role: manager (placement); entity: IKB Deutsche Industriebank AG, Düsseldorf; side: for the issuer; source_class: named in the terms; as_of: 2023-09-17</t>
        </is>
      </c>
      <c r="I1376" s="2" t="inlineStr">
        <is>
          <t>S13</t>
        </is>
      </c>
      <c r="J1376" s="2" t="n">
        <v>10</v>
      </c>
      <c r="K1376" s="3" t="inlineStr">
        <is>
          <t>“Managers” means IKB Deutsche Industriebank AG, Wilhelm-Bötzkes-Straße 1, 40474 Düsseldorf, Germany</t>
        </is>
      </c>
      <c r="L1376" s="2" t="inlineStr">
        <is>
          <t>pend</t>
        </is>
      </c>
      <c r="M1376" s="2" t="n"/>
      <c r="N1376" s="2" t="n"/>
      <c r="O1376" s="3" t="inlineStr">
        <is>
          <t>https://vanillabonds.com/dossier-data/pdf/katjes/katjes-bond-2023-2028-bond-terms-signed.pdf#page=10</t>
        </is>
      </c>
      <c r="P1376" s="3" t="inlineStr">
        <is>
          <t>https://vanillabonds.com/dossier.html?c=katjes&amp;viewer=1&amp;item=F1375</t>
        </is>
      </c>
      <c r="Q1376" s="2" t="inlineStr"/>
    </row>
    <row r="1377">
      <c r="A1377" s="2" t="inlineStr">
        <is>
          <t>F1376</t>
        </is>
      </c>
      <c r="B1377" s="2" t="inlineStr">
        <is>
          <t>structure</t>
        </is>
      </c>
      <c r="C1377" s="2" t="inlineStr">
        <is>
          <t>party</t>
        </is>
      </c>
      <c r="D1377" s="3" t="inlineStr">
        <is>
          <t>Party or adviser: role; entity; identifier (register number, LEI); side (for the issuer / for the bondholders / statutory-neutral / lenders); source_class (named in the terms / named on the exchange / named by the adviser itself / named in the accounts); as_of (ISO)</t>
        </is>
      </c>
      <c r="E1377" s="2" t="n"/>
      <c r="F1377" s="2" t="n"/>
      <c r="G1377" s="2" t="n"/>
      <c r="H1377" s="3" t="inlineStr">
        <is>
          <t>role: manager (placement); entity: Pareto Securities AS, Frankfurt Branch; side: for the issuer; source_class: named in the terms; as_of: 2023-09-17</t>
        </is>
      </c>
      <c r="I1377" s="2" t="inlineStr">
        <is>
          <t>S13</t>
        </is>
      </c>
      <c r="J1377" s="2" t="n">
        <v>10</v>
      </c>
      <c r="K1377" s="3" t="inlineStr">
        <is>
          <t>Pareto Securities AS, Frankfurt Branch, Graefstrasse 97, 60487 Frankfurt am Main, Germany, and any co-managers appointed by the foregoing</t>
        </is>
      </c>
      <c r="L1377" s="2" t="inlineStr">
        <is>
          <t>pend</t>
        </is>
      </c>
      <c r="M1377" s="2" t="n"/>
      <c r="N1377" s="2" t="n"/>
      <c r="O1377" s="3" t="inlineStr">
        <is>
          <t>https://vanillabonds.com/dossier-data/pdf/katjes/katjes-bond-2023-2028-bond-terms-signed.pdf#page=10</t>
        </is>
      </c>
      <c r="P1377" s="3" t="inlineStr">
        <is>
          <t>https://vanillabonds.com/dossier.html?c=katjes&amp;viewer=1&amp;item=F1376</t>
        </is>
      </c>
      <c r="Q1377" s="2" t="inlineStr"/>
    </row>
    <row r="1378">
      <c r="A1378" s="2" t="inlineStr">
        <is>
          <t>F1377</t>
        </is>
      </c>
      <c r="B1378" s="2" t="inlineStr">
        <is>
          <t>structure</t>
        </is>
      </c>
      <c r="C1378" s="2" t="inlineStr">
        <is>
          <t>party</t>
        </is>
      </c>
      <c r="D1378" s="3" t="inlineStr">
        <is>
          <t>Party or adviser: role; entity; identifier (register number, LEI); side (for the issuer / for the bondholders / statutory-neutral / lenders); source_class (named in the terms / named on the exchange / named by the adviser itself / named in the accounts); as_of (ISO)</t>
        </is>
      </c>
      <c r="E1378" s="2" t="n"/>
      <c r="F1378" s="2" t="n"/>
      <c r="G1378" s="2" t="n"/>
      <c r="H1378" s="3" t="inlineStr">
        <is>
          <t>role: central securities depository; entity: Verdipapirsentralen ASA (VPS), Norway; side: for the bondholders; source_class: named in the terms; as_of: 2023-09-17</t>
        </is>
      </c>
      <c r="I1378" s="2" t="inlineStr">
        <is>
          <t>S13</t>
        </is>
      </c>
      <c r="J1378" s="2" t="n">
        <v>5</v>
      </c>
      <c r="K1378" s="3" t="inlineStr">
        <is>
          <t>the central securities depository in which the Bonds are registered, being Verdipapirsentralen ASA (VPS)</t>
        </is>
      </c>
      <c r="L1378" s="2" t="inlineStr">
        <is>
          <t>pend</t>
        </is>
      </c>
      <c r="M1378" s="2" t="n"/>
      <c r="N1378" s="2" t="n"/>
      <c r="O1378" s="3" t="inlineStr">
        <is>
          <t>https://vanillabonds.com/dossier-data/pdf/katjes/katjes-bond-2023-2028-bond-terms-signed.pdf#page=5</t>
        </is>
      </c>
      <c r="P1378" s="3" t="inlineStr">
        <is>
          <t>https://vanillabonds.com/dossier.html?c=katjes&amp;viewer=1&amp;item=F1377</t>
        </is>
      </c>
      <c r="Q1378" s="2" t="inlineStr"/>
    </row>
    <row r="1379">
      <c r="A1379" s="2" t="inlineStr">
        <is>
          <t>F1378</t>
        </is>
      </c>
      <c r="B1379" s="2" t="inlineStr">
        <is>
          <t>structure</t>
        </is>
      </c>
      <c r="C1379" s="2" t="inlineStr">
        <is>
          <t>party</t>
        </is>
      </c>
      <c r="D1379" s="3" t="inlineStr">
        <is>
          <t>Party or adviser: role; entity; identifier (register number, LEI); side (for the issuer / for the bondholders / statutory-neutral / lenders); source_class (named in the terms / named on the exchange / named by the adviser itself / named in the accounts); as_of (ISO)</t>
        </is>
      </c>
      <c r="E1379" s="2" t="n"/>
      <c r="F1379" s="2" t="n"/>
      <c r="G1379" s="2" t="n"/>
      <c r="H1379" s="3" t="inlineStr">
        <is>
          <t>role: paying agent; entity: not named in the terms, defined by role (the legal entity appointed by the Issuer to act as its paying agent in the CSD); side: for the bondholders; source_class: named in the terms; as_of: 2023-09-17</t>
        </is>
      </c>
      <c r="I1379" s="2" t="inlineStr">
        <is>
          <t>S13</t>
        </is>
      </c>
      <c r="J1379" s="2" t="n">
        <v>10</v>
      </c>
      <c r="K1379" s="3" t="inlineStr">
        <is>
          <t>“Paying Agent” means the legal entity appointed by the Issuer to act as its paying agent with respect to the Bonds in the CSD</t>
        </is>
      </c>
      <c r="L1379" s="2" t="inlineStr">
        <is>
          <t>pend</t>
        </is>
      </c>
      <c r="M1379" s="2" t="n"/>
      <c r="N1379" s="2" t="n"/>
      <c r="O1379" s="3" t="inlineStr">
        <is>
          <t>https://vanillabonds.com/dossier-data/pdf/katjes/katjes-bond-2023-2028-bond-terms-signed.pdf#page=10</t>
        </is>
      </c>
      <c r="P1379" s="3" t="inlineStr">
        <is>
          <t>https://vanillabonds.com/dossier.html?c=katjes&amp;viewer=1&amp;item=F1378</t>
        </is>
      </c>
      <c r="Q1379" s="2" t="inlineStr"/>
    </row>
    <row r="1380">
      <c r="A1380" s="2" t="inlineStr">
        <is>
          <t>F1379</t>
        </is>
      </c>
      <c r="B1380" s="2" t="inlineStr">
        <is>
          <t>structure</t>
        </is>
      </c>
      <c r="C1380" s="2" t="inlineStr">
        <is>
          <t>party</t>
        </is>
      </c>
      <c r="D1380" s="3" t="inlineStr">
        <is>
          <t>Party or adviser: role; entity; identifier (register number, LEI); side (for the issuer / for the bondholders / statutory-neutral / lenders); source_class (named in the terms / named on the exchange / named by the adviser itself / named in the accounts); as_of (ISO)</t>
        </is>
      </c>
      <c r="E1380" s="2" t="n"/>
      <c r="F1380" s="2" t="n"/>
      <c r="G1380" s="2" t="n"/>
      <c r="H1380" s="3" t="inlineStr">
        <is>
          <t>role: exchange; entity: Frankfurt Open Market (Quotation Board of the Frankfurt Stock Exchange); side: statutory-neutral; source_class: named in the terms; as_of: 2023-09-17</t>
        </is>
      </c>
      <c r="I1380" s="2" t="inlineStr">
        <is>
          <t>S13</t>
        </is>
      </c>
      <c r="J1380" s="2" t="n">
        <v>6</v>
      </c>
      <c r="K1380" s="3" t="inlineStr">
        <is>
          <t>(a) Frankfurt Open Market; or (b) Nordic ABM</t>
        </is>
      </c>
      <c r="L1380" s="2" t="inlineStr">
        <is>
          <t>pend</t>
        </is>
      </c>
      <c r="M1380" s="2" t="n"/>
      <c r="N1380" s="2" t="n"/>
      <c r="O1380" s="3" t="inlineStr">
        <is>
          <t>https://vanillabonds.com/dossier-data/pdf/katjes/katjes-bond-2023-2028-bond-terms-signed.pdf#page=6</t>
        </is>
      </c>
      <c r="P1380" s="3" t="inlineStr">
        <is>
          <t>https://vanillabonds.com/dossier.html?c=katjes&amp;viewer=1&amp;item=F1379</t>
        </is>
      </c>
      <c r="Q1380" s="2" t="inlineStr"/>
    </row>
    <row r="1381">
      <c r="A1381" s="2" t="inlineStr">
        <is>
          <t>F1380</t>
        </is>
      </c>
      <c r="B1381" s="2" t="inlineStr">
        <is>
          <t>structure</t>
        </is>
      </c>
      <c r="C1381" s="2" t="inlineStr">
        <is>
          <t>party</t>
        </is>
      </c>
      <c r="D1381" s="3" t="inlineStr">
        <is>
          <t>Party or adviser: role; entity; identifier (register number, LEI); side (for the issuer / for the bondholders / statutory-neutral / lenders); source_class (named in the terms / named on the exchange / named by the adviser itself / named in the accounts); as_of (ISO)</t>
        </is>
      </c>
      <c r="E1381" s="2" t="n"/>
      <c r="F1381" s="2" t="n"/>
      <c r="G1381" s="2" t="n"/>
      <c r="H1381" s="3" t="inlineStr">
        <is>
          <t>role: exchange; entity: Nordic ABM of the Oslo Stock Exchange (Oslo Børs); identifier: listing undertaking within 6 months of the issue date; side: statutory-neutral; source_class: named in the terms; as_of: 2023-09-17</t>
        </is>
      </c>
      <c r="I1381" s="2" t="inlineStr">
        <is>
          <t>S13</t>
        </is>
      </c>
      <c r="J1381" s="2" t="n">
        <v>19</v>
      </c>
      <c r="K1381" s="3" t="inlineStr">
        <is>
          <t>ensure that the Bonds are listed on Nordic ABM within 6 months of the Issue Date</t>
        </is>
      </c>
      <c r="L1381" s="2" t="inlineStr">
        <is>
          <t>pend</t>
        </is>
      </c>
      <c r="M1381" s="2" t="n"/>
      <c r="N1381" s="2" t="n"/>
      <c r="O1381" s="3" t="inlineStr">
        <is>
          <t>https://vanillabonds.com/dossier-data/pdf/katjes/katjes-bond-2023-2028-bond-terms-signed.pdf#page=19</t>
        </is>
      </c>
      <c r="P1381" s="3" t="inlineStr">
        <is>
          <t>https://vanillabonds.com/dossier.html?c=katjes&amp;viewer=1&amp;item=F1380</t>
        </is>
      </c>
      <c r="Q1381" s="2" t="inlineStr"/>
    </row>
    <row r="1382">
      <c r="A1382" s="2" t="inlineStr">
        <is>
          <t>F1381</t>
        </is>
      </c>
      <c r="B1382" s="2" t="inlineStr">
        <is>
          <t>structure</t>
        </is>
      </c>
      <c r="C1382" s="2" t="inlineStr">
        <is>
          <t>party</t>
        </is>
      </c>
      <c r="D1382" s="3" t="inlineStr">
        <is>
          <t>Party or adviser: role; entity; identifier (register number, LEI); side (for the issuer / for the bondholders / statutory-neutral / lenders); source_class (named in the terms / named on the exchange / named by the adviser itself / named in the accounts); as_of (ISO)</t>
        </is>
      </c>
      <c r="E1382" s="2" t="n"/>
      <c r="F1382" s="2" t="n"/>
      <c r="G1382" s="2" t="n"/>
      <c r="H1382" s="3" t="inlineStr">
        <is>
          <t>role: exchange; entity: Nordic ABM of the Oslo Stock Exchange; identifier: ISIN NO0012888769; side: statutory-neutral; source_class: named in the accounts; as_of: 2024-01</t>
        </is>
      </c>
      <c r="I1382" s="2" t="inlineStr">
        <is>
          <t>S1</t>
        </is>
      </c>
      <c r="J1382" s="2" t="n">
        <v>85</v>
      </c>
      <c r="K1382" s="3" t="inlineStr">
        <is>
          <t>the Nordic ABM of the Oslo Stock Exchange at the end of January 2024 as planned</t>
        </is>
      </c>
      <c r="L1382" s="2" t="inlineStr">
        <is>
          <t>pend</t>
        </is>
      </c>
      <c r="M1382" s="2" t="n"/>
      <c r="N1382" s="2" t="n"/>
      <c r="O1382" s="3" t="inlineStr">
        <is>
          <t>https://vanillabonds.com/dossier-data/pdf/katjes/katjes-2023-annual-report.pdf#page=85</t>
        </is>
      </c>
      <c r="P1382" s="3" t="inlineStr">
        <is>
          <t>https://vanillabonds.com/dossier.html?c=katjes&amp;viewer=1&amp;item=F1381</t>
        </is>
      </c>
      <c r="Q1382" s="2" t="inlineStr"/>
    </row>
    <row r="1383">
      <c r="A1383" s="2" t="inlineStr">
        <is>
          <t>F1382</t>
        </is>
      </c>
      <c r="B1383" s="2" t="inlineStr">
        <is>
          <t>structure</t>
        </is>
      </c>
      <c r="C1383" s="2" t="inlineStr">
        <is>
          <t>party</t>
        </is>
      </c>
      <c r="D1383" s="3" t="inlineStr">
        <is>
          <t>Party or adviser: role; entity; identifier (register number, LEI); side (for the issuer / for the bondholders / statutory-neutral / lenders); source_class (named in the terms / named on the exchange / named by the adviser itself / named in the accounts); as_of (ISO)</t>
        </is>
      </c>
      <c r="E1383" s="2" t="n"/>
      <c r="F1383" s="2" t="n"/>
      <c r="G1383" s="2" t="n"/>
      <c r="H1383" s="3" t="inlineStr">
        <is>
          <t>role: bond trustee (as the issuer's German term sheet describes it: representative of all bondholders); entity: Nordic Trustee AS; side: for the bondholders; source_class: named in the terms; as_of: 2023-09-21</t>
        </is>
      </c>
      <c r="I1383" s="2" t="inlineStr">
        <is>
          <t>S4</t>
        </is>
      </c>
      <c r="J1383" s="2" t="n">
        <v>2</v>
      </c>
      <c r="K1383" s="3" t="inlineStr">
        <is>
          <t>Der Treuhänder handelt als Stellvertreter aller Anleihegläubiger</t>
        </is>
      </c>
      <c r="L1383" s="2" t="inlineStr">
        <is>
          <t>pend</t>
        </is>
      </c>
      <c r="M1383" s="2" t="n"/>
      <c r="N1383" s="2" t="n"/>
      <c r="O1383" s="3" t="inlineStr">
        <is>
          <t>https://vanillabonds.com/dossier-data/pdf/katjes/katjes-bond-2023-2028-terms.pdf#page=2</t>
        </is>
      </c>
      <c r="P1383" s="3" t="inlineStr">
        <is>
          <t>https://vanillabonds.com/dossier.html?c=katjes&amp;viewer=1&amp;item=F1382</t>
        </is>
      </c>
      <c r="Q1383" s="2" t="inlineStr"/>
    </row>
    <row r="1384">
      <c r="A1384" s="2" t="inlineStr">
        <is>
          <t>F1383</t>
        </is>
      </c>
      <c r="B1384" s="2" t="inlineStr">
        <is>
          <t>structure</t>
        </is>
      </c>
      <c r="C1384" s="2" t="inlineStr">
        <is>
          <t>party</t>
        </is>
      </c>
      <c r="D1384" s="3" t="inlineStr">
        <is>
          <t>Party or adviser: role; entity; identifier (register number, LEI); side (for the issuer / for the bondholders / statutory-neutral / lenders); source_class (named in the terms / named on the exchange / named by the adviser itself / named in the accounts); as_of (ISO)</t>
        </is>
      </c>
      <c r="E1384" s="2" t="n"/>
      <c r="F1384" s="2" t="n"/>
      <c r="G1384" s="2" t="n"/>
      <c r="H1384" s="3" t="inlineStr">
        <is>
          <t>role: arranger; entity: Pareto Securities AS, Frankfurt Branch; side: for the issuer; source_class: named on the exchange; as_of: 2024-01-12</t>
        </is>
      </c>
      <c r="I1384" s="2" t="inlineStr">
        <is>
          <t>S15</t>
        </is>
      </c>
      <c r="J1384" s="2" t="n">
        <v>1</v>
      </c>
      <c r="K1384" s="3" t="inlineStr">
        <is>
          <t>Arranger(s): Pareto Securities AS, Frankfurt Branch</t>
        </is>
      </c>
      <c r="L1384" s="2" t="inlineStr">
        <is>
          <t>pend</t>
        </is>
      </c>
      <c r="M1384" s="2" t="n"/>
      <c r="N1384" s="2" t="inlineStr">
        <is>
          <t>web quote, verify at URL</t>
        </is>
      </c>
      <c r="O1384" s="3" t="inlineStr">
        <is>
          <t>https://live.euronext.com/sites/default/files/contributions_live/2024-01/1706518108_25703_Katjes%20International%20GmbH%20%26amp%3B%20Co.%20KG-%20Loan%20description%2818671930.1%29.pdf</t>
        </is>
      </c>
      <c r="P1384" s="3" t="inlineStr">
        <is>
          <t>https://live.euronext.com/sites/default/files/contributions_live/2024-01/1706518108_25703_Katjes%20International%20GmbH%20%26amp%3B%20Co.%20KG-%20Loan%20description%2818671930.1%29.pdf</t>
        </is>
      </c>
      <c r="Q1384" s="2" t="inlineStr"/>
    </row>
    <row r="1385">
      <c r="A1385" s="2" t="inlineStr">
        <is>
          <t>F1384</t>
        </is>
      </c>
      <c r="B1385" s="2" t="inlineStr">
        <is>
          <t>structure</t>
        </is>
      </c>
      <c r="C1385" s="2" t="inlineStr">
        <is>
          <t>party</t>
        </is>
      </c>
      <c r="D1385" s="3" t="inlineStr">
        <is>
          <t>Party or adviser: role; entity; identifier (register number, LEI); side (for the issuer / for the bondholders / statutory-neutral / lenders); source_class (named in the terms / named on the exchange / named by the adviser itself / named in the accounts); as_of (ISO)</t>
        </is>
      </c>
      <c r="E1385" s="2" t="n"/>
      <c r="F1385" s="2" t="n"/>
      <c r="G1385" s="2" t="n"/>
      <c r="H1385" s="3" t="inlineStr">
        <is>
          <t>role: paying agent; entity: Pareto Securities AS; side: for the bondholders; source_class: named on the exchange; as_of: 2024-01-12</t>
        </is>
      </c>
      <c r="I1385" s="2" t="inlineStr">
        <is>
          <t>S15</t>
        </is>
      </c>
      <c r="J1385" s="2" t="n">
        <v>1</v>
      </c>
      <c r="K1385" s="2" t="inlineStr">
        <is>
          <t>Paying Agent: Pareto Securities AS</t>
        </is>
      </c>
      <c r="L1385" s="2" t="inlineStr">
        <is>
          <t>pend</t>
        </is>
      </c>
      <c r="M1385" s="2" t="n"/>
      <c r="N1385" s="2" t="inlineStr">
        <is>
          <t>web quote, verify at URL</t>
        </is>
      </c>
      <c r="O1385" s="3" t="inlineStr">
        <is>
          <t>https://live.euronext.com/sites/default/files/contributions_live/2024-01/1706518108_25703_Katjes%20International%20GmbH%20%26amp%3B%20Co.%20KG-%20Loan%20description%2818671930.1%29.pdf</t>
        </is>
      </c>
      <c r="P1385" s="3" t="inlineStr">
        <is>
          <t>https://live.euronext.com/sites/default/files/contributions_live/2024-01/1706518108_25703_Katjes%20International%20GmbH%20%26amp%3B%20Co.%20KG-%20Loan%20description%2818671930.1%29.pdf</t>
        </is>
      </c>
      <c r="Q1385" s="2" t="inlineStr"/>
    </row>
    <row r="1386">
      <c r="A1386" s="2" t="inlineStr">
        <is>
          <t>F1385</t>
        </is>
      </c>
      <c r="B1386" s="2" t="inlineStr">
        <is>
          <t>structure</t>
        </is>
      </c>
      <c r="C1386" s="2" t="inlineStr">
        <is>
          <t>party</t>
        </is>
      </c>
      <c r="D1386" s="3" t="inlineStr">
        <is>
          <t>Party or adviser: role; entity; identifier (register number, LEI); side (for the issuer / for the bondholders / statutory-neutral / lenders); source_class (named in the terms / named on the exchange / named by the adviser itself / named in the accounts); as_of (ISO)</t>
        </is>
      </c>
      <c r="E1386" s="2" t="n"/>
      <c r="F1386" s="2" t="n"/>
      <c r="G1386" s="2" t="n"/>
      <c r="H1386" s="3" t="inlineStr">
        <is>
          <t>role: securities depository; entity: Verdipapirsentralen ASA (VPS); side: for the bondholders; source_class: named on the exchange; as_of: 2024-01-12</t>
        </is>
      </c>
      <c r="I1386" s="2" t="inlineStr">
        <is>
          <t>S15</t>
        </is>
      </c>
      <c r="J1386" s="2" t="n">
        <v>2</v>
      </c>
      <c r="K1386" s="3" t="inlineStr">
        <is>
          <t>Securities Depository: Verdipapirsentralen ASA (VPS)</t>
        </is>
      </c>
      <c r="L1386" s="2" t="inlineStr">
        <is>
          <t>pend</t>
        </is>
      </c>
      <c r="M1386" s="2" t="n"/>
      <c r="N1386" s="2" t="inlineStr">
        <is>
          <t>web quote, verify at URL</t>
        </is>
      </c>
      <c r="O1386" s="3" t="inlineStr">
        <is>
          <t>https://live.euronext.com/sites/default/files/contributions_live/2024-01/1706518108_25703_Katjes%20International%20GmbH%20%26amp%3B%20Co.%20KG-%20Loan%20description%2818671930.1%29.pdf</t>
        </is>
      </c>
      <c r="P1386" s="3" t="inlineStr">
        <is>
          <t>https://live.euronext.com/sites/default/files/contributions_live/2024-01/1706518108_25703_Katjes%20International%20GmbH%20%26amp%3B%20Co.%20KG-%20Loan%20description%2818671930.1%29.pdf</t>
        </is>
      </c>
      <c r="Q1386" s="2" t="inlineStr"/>
    </row>
    <row r="1387">
      <c r="A1387" s="2" t="inlineStr">
        <is>
          <t>F1386</t>
        </is>
      </c>
      <c r="B1387" s="2" t="inlineStr">
        <is>
          <t>structure</t>
        </is>
      </c>
      <c r="C1387" s="2" t="inlineStr">
        <is>
          <t>party</t>
        </is>
      </c>
      <c r="D1387" s="3" t="inlineStr">
        <is>
          <t>Party or adviser: role; entity; identifier (register number, LEI); side (for the issuer / for the bondholders / statutory-neutral / lenders); source_class (named in the terms / named on the exchange / named by the adviser itself / named in the accounts); as_of (ISO)</t>
        </is>
      </c>
      <c r="E1387" s="2" t="n"/>
      <c r="F1387" s="2" t="n"/>
      <c r="G1387" s="2" t="n"/>
      <c r="H1387" s="3" t="inlineStr">
        <is>
          <t>role: market maker; entity: none (no market-maker agreement entered into); side: for the bondholders; source_class: named on the exchange; as_of: 2024-01-12</t>
        </is>
      </c>
      <c r="I1387" s="2" t="inlineStr">
        <is>
          <t>S15</t>
        </is>
      </c>
      <c r="J1387" s="2" t="n">
        <v>2</v>
      </c>
      <c r="K1387" s="3" t="inlineStr">
        <is>
          <t>No market-maker agreement has been entered into for the issuance of the Bonds.</t>
        </is>
      </c>
      <c r="L1387" s="2" t="inlineStr">
        <is>
          <t>pend</t>
        </is>
      </c>
      <c r="M1387" s="2" t="n"/>
      <c r="N1387" s="2" t="inlineStr">
        <is>
          <t>web quote, verify at URL</t>
        </is>
      </c>
      <c r="O1387" s="3" t="inlineStr">
        <is>
          <t>https://live.euronext.com/sites/default/files/contributions_live/2024-01/1706518108_25703_Katjes%20International%20GmbH%20%26amp%3B%20Co.%20KG-%20Loan%20description%2818671930.1%29.pdf</t>
        </is>
      </c>
      <c r="P1387" s="3" t="inlineStr">
        <is>
          <t>https://live.euronext.com/sites/default/files/contributions_live/2024-01/1706518108_25703_Katjes%20International%20GmbH%20%26amp%3B%20Co.%20KG-%20Loan%20description%2818671930.1%29.pdf</t>
        </is>
      </c>
      <c r="Q1387" s="2" t="inlineStr"/>
    </row>
    <row r="1388">
      <c r="A1388" s="2" t="inlineStr">
        <is>
          <t>F1387</t>
        </is>
      </c>
      <c r="B1388" s="2" t="inlineStr">
        <is>
          <t>structure</t>
        </is>
      </c>
      <c r="C1388" s="2" t="inlineStr">
        <is>
          <t>party</t>
        </is>
      </c>
      <c r="D1388" s="3" t="inlineStr">
        <is>
          <t>Party or adviser: role; entity; identifier (register number, LEI); side (for the issuer / for the bondholders / statutory-neutral / lenders); source_class (named in the terms / named on the exchange / named by the adviser itself / named in the accounts); as_of (ISO)</t>
        </is>
      </c>
      <c r="E1388" s="2" t="n"/>
      <c r="F1388" s="2" t="n"/>
      <c r="G1388" s="2" t="n"/>
      <c r="H1388" s="3" t="inlineStr">
        <is>
          <t>role: listing authority; entity: Oslo Børs (inspected the admission document under ABM rules sec. 2.7, issuance approved by the board of directors on 14 September 2023); side: statutory-neutral; source_class: named on the exchange; as_of: 2024-01-12</t>
        </is>
      </c>
      <c r="I1388" s="2" t="inlineStr">
        <is>
          <t>S15</t>
        </is>
      </c>
      <c r="J1388" s="2" t="n">
        <v>1</v>
      </c>
      <c r="K1388" s="3" t="inlineStr">
        <is>
          <t>The admission document has been inspected by Oslo Børs, cf. ABM-rules sec 2.7</t>
        </is>
      </c>
      <c r="L1388" s="2" t="inlineStr">
        <is>
          <t>pend</t>
        </is>
      </c>
      <c r="M1388" s="2" t="n"/>
      <c r="N1388" s="2" t="inlineStr">
        <is>
          <t>web quote, verify at URL</t>
        </is>
      </c>
      <c r="O1388" s="3" t="inlineStr">
        <is>
          <t>https://live.euronext.com/sites/default/files/contributions_live/2024-01/1706518108_25703_Katjes%20International%20GmbH%20%26amp%3B%20Co.%20KG-%20Loan%20description%2818671930.1%29.pdf</t>
        </is>
      </c>
      <c r="P1388" s="3" t="inlineStr">
        <is>
          <t>https://live.euronext.com/sites/default/files/contributions_live/2024-01/1706518108_25703_Katjes%20International%20GmbH%20%26amp%3B%20Co.%20KG-%20Loan%20description%2818671930.1%29.pdf</t>
        </is>
      </c>
      <c r="Q1388" s="2" t="inlineStr"/>
    </row>
    <row r="1389">
      <c r="A1389" s="2" t="inlineStr">
        <is>
          <t>F1388</t>
        </is>
      </c>
      <c r="B1389" s="2" t="inlineStr">
        <is>
          <t>structure</t>
        </is>
      </c>
      <c r="C1389" s="2" t="inlineStr">
        <is>
          <t>party</t>
        </is>
      </c>
      <c r="D1389" s="3" t="inlineStr">
        <is>
          <t>Party or adviser: role; entity; identifier (register number, LEI); side (for the issuer / for the bondholders / statutory-neutral / lenders); source_class (named in the terms / named on the exchange / named by the adviser itself / named in the accounts); as_of (ISO)</t>
        </is>
      </c>
      <c r="E1389" s="2" t="n"/>
      <c r="F1389" s="2" t="n"/>
      <c r="G1389" s="2" t="n"/>
      <c r="H1389" s="3" t="inlineStr">
        <is>
          <t>role: joint lead managers; entity: IKB Deutsche Industriebank AG and Pareto Securities AS, Frankfurt Branch; side: for the issuer; source_class: named by the adviser itself; as_of: 2023-09-26</t>
        </is>
      </c>
      <c r="I1389" s="2" t="inlineStr">
        <is>
          <t>S14</t>
        </is>
      </c>
      <c r="J1389" s="2" t="n">
        <v>0</v>
      </c>
      <c r="K1389" s="3" t="inlineStr">
        <is>
          <t>IKB Deutsche Industriebank AG and Pareto Securities AS, Frankfurt Branch, acted as Joint Lead Managers</t>
        </is>
      </c>
      <c r="L1389" s="2" t="inlineStr">
        <is>
          <t>pend</t>
        </is>
      </c>
      <c r="M1389" s="2" t="n"/>
      <c r="N1389" s="2" t="inlineStr">
        <is>
          <t>web quote, verify at URL</t>
        </is>
      </c>
      <c r="O1389" s="3" t="inlineStr">
        <is>
          <t>https://hlc.com/en/news/hogan-lovells-beraet-katjes-bei-anleiheumtausch-und--rueckkauf-sowie-oeffentlichem-angebot-und-platzierung-eines-115-mio-euro-nordic-bonds</t>
        </is>
      </c>
      <c r="P1389" s="3" t="inlineStr">
        <is>
          <t>https://hlc.com/en/news/hogan-lovells-beraet-katjes-bei-anleiheumtausch-und--rueckkauf-sowie-oeffentlichem-angebot-und-platzierung-eines-115-mio-euro-nordic-bonds</t>
        </is>
      </c>
      <c r="Q1389" s="2" t="inlineStr"/>
    </row>
    <row r="1390">
      <c r="A1390" s="2" t="inlineStr">
        <is>
          <t>F1389</t>
        </is>
      </c>
      <c r="B1390" s="2" t="inlineStr">
        <is>
          <t>structure</t>
        </is>
      </c>
      <c r="C1390" s="2" t="inlineStr">
        <is>
          <t>party</t>
        </is>
      </c>
      <c r="D1390" s="3" t="inlineStr">
        <is>
          <t>Party or adviser: role; entity; identifier (register number, LEI); side (for the issuer / for the bondholders / statutory-neutral / lenders); source_class (named in the terms / named on the exchange / named by the adviser itself / named in the accounts); as_of (ISO)</t>
        </is>
      </c>
      <c r="E1390" s="2" t="n"/>
      <c r="F1390" s="2" t="n"/>
      <c r="G1390" s="2" t="n"/>
      <c r="H1390" s="3" t="inlineStr">
        <is>
          <t>role: co-lead manager; entity: Bankhaus Metzler; side: for the issuer; source_class: named by the adviser itself; as_of: 2023-09-26</t>
        </is>
      </c>
      <c r="I1390" s="2" t="inlineStr">
        <is>
          <t>S14</t>
        </is>
      </c>
      <c r="J1390" s="2" t="n">
        <v>0</v>
      </c>
      <c r="K1390" s="3" t="inlineStr">
        <is>
          <t>and Bankhaus Metzler as Co-Lead Manager, on the private placement of the Nordic bond</t>
        </is>
      </c>
      <c r="L1390" s="2" t="inlineStr">
        <is>
          <t>pend</t>
        </is>
      </c>
      <c r="M1390" s="2" t="n"/>
      <c r="N1390" s="2" t="inlineStr">
        <is>
          <t>web quote, verify at URL</t>
        </is>
      </c>
      <c r="O1390" s="3" t="inlineStr">
        <is>
          <t>https://hlc.com/en/news/hogan-lovells-beraet-katjes-bei-anleiheumtausch-und--rueckkauf-sowie-oeffentlichem-angebot-und-platzierung-eines-115-mio-euro-nordic-bonds</t>
        </is>
      </c>
      <c r="P1390" s="3" t="inlineStr">
        <is>
          <t>https://hlc.com/en/news/hogan-lovells-beraet-katjes-bei-anleiheumtausch-und--rueckkauf-sowie-oeffentlichem-angebot-und-platzierung-eines-115-mio-euro-nordic-bonds</t>
        </is>
      </c>
      <c r="Q1390" s="2" t="inlineStr"/>
    </row>
    <row r="1391">
      <c r="A1391" s="2" t="inlineStr">
        <is>
          <t>F1390</t>
        </is>
      </c>
      <c r="B1391" s="2" t="inlineStr">
        <is>
          <t>structure</t>
        </is>
      </c>
      <c r="C1391" s="2" t="inlineStr">
        <is>
          <t>party</t>
        </is>
      </c>
      <c r="D1391" s="3" t="inlineStr">
        <is>
          <t>Party or adviser: role; entity; identifier (register number, LEI); side (for the issuer / for the bondholders / statutory-neutral / lenders); source_class (named in the terms / named on the exchange / named by the adviser itself / named in the accounts); as_of (ISO)</t>
        </is>
      </c>
      <c r="E1391" s="2" t="n"/>
      <c r="F1391" s="2" t="n"/>
      <c r="G1391" s="2" t="n"/>
      <c r="H1391" s="3" t="inlineStr">
        <is>
          <t>role: legal counsel to the issuer (exchange offer, placement of the Nordic bond, early redemption of the 2019 bond); entity: Hogan Lovells; side: for the issuer; source_class: named by the adviser itself; as_of: 2023-09-26</t>
        </is>
      </c>
      <c r="I1391" s="2" t="inlineStr">
        <is>
          <t>S14</t>
        </is>
      </c>
      <c r="J1391" s="2" t="n">
        <v>0</v>
      </c>
      <c r="K1391" s="3" t="inlineStr">
        <is>
          <t>Global law firm Hogan Lovells advised Katjes International GmbH &amp; Co. KG on the exchange offer</t>
        </is>
      </c>
      <c r="L1391" s="2" t="inlineStr">
        <is>
          <t>pend</t>
        </is>
      </c>
      <c r="M1391" s="2" t="n"/>
      <c r="N1391" s="2" t="inlineStr">
        <is>
          <t>web quote, verify at URL</t>
        </is>
      </c>
      <c r="O1391" s="3" t="inlineStr">
        <is>
          <t>https://hlc.com/en/news/hogan-lovells-beraet-katjes-bei-anleiheumtausch-und--rueckkauf-sowie-oeffentlichem-angebot-und-platzierung-eines-115-mio-euro-nordic-bonds</t>
        </is>
      </c>
      <c r="P1391" s="3" t="inlineStr">
        <is>
          <t>https://hlc.com/en/news/hogan-lovells-beraet-katjes-bei-anleiheumtausch-und--rueckkauf-sowie-oeffentlichem-angebot-und-platzierung-eines-115-mio-euro-nordic-bonds</t>
        </is>
      </c>
      <c r="Q1391" s="2" t="inlineStr"/>
    </row>
    <row r="1392">
      <c r="A1392" s="2" t="inlineStr">
        <is>
          <t>F1391</t>
        </is>
      </c>
      <c r="B1392" s="2" t="inlineStr">
        <is>
          <t>structure</t>
        </is>
      </c>
      <c r="C1392" s="2" t="inlineStr">
        <is>
          <t>party</t>
        </is>
      </c>
      <c r="D1392" s="3" t="inlineStr">
        <is>
          <t>Party or adviser: role; entity; identifier (register number, LEI); side (for the issuer / for the bondholders / statutory-neutral / lenders); source_class (named in the terms / named on the exchange / named by the adviser itself / named in the accounts); as_of (ISO)</t>
        </is>
      </c>
      <c r="E1392" s="2" t="n"/>
      <c r="F1392" s="2" t="n"/>
      <c r="G1392" s="2" t="n"/>
      <c r="H1392" s="3" t="inlineStr">
        <is>
          <t>role: legal counsel to the issuer (the EUR 70m tap of August 2025); entity: Hogan Lovells; side: for the issuer; source_class: named by the adviser itself; as_of: 2025-08-06</t>
        </is>
      </c>
      <c r="I1392" s="2" t="inlineStr">
        <is>
          <t>S9</t>
        </is>
      </c>
      <c r="J1392" s="2" t="n">
        <v>0</v>
      </c>
      <c r="K1392" s="3" t="inlineStr">
        <is>
          <t>Insgesamt beträgt das ausstehende Anleihevolumen damit EUR 185 Mio.</t>
        </is>
      </c>
      <c r="L1392" s="2" t="inlineStr">
        <is>
          <t>pend</t>
        </is>
      </c>
      <c r="M1392" s="2" t="n"/>
      <c r="N1392" s="2" t="inlineStr">
        <is>
          <t>web quote, verify at URL</t>
        </is>
      </c>
      <c r="O1392" s="3" t="inlineStr">
        <is>
          <t>https://www.hlc.com/de/news/hogan-lovells-beraet-katjes-bei-aufstockung-ihrer-nordic-bonds</t>
        </is>
      </c>
      <c r="P1392" s="3" t="inlineStr">
        <is>
          <t>https://www.hlc.com/de/news/hogan-lovells-beraet-katjes-bei-aufstockung-ihrer-nordic-bonds</t>
        </is>
      </c>
      <c r="Q1392" s="2" t="inlineStr"/>
    </row>
    <row r="1393">
      <c r="A1393" s="2" t="inlineStr">
        <is>
          <t>F1392</t>
        </is>
      </c>
      <c r="B1393" s="2" t="inlineStr">
        <is>
          <t>structure</t>
        </is>
      </c>
      <c r="C1393" s="2" t="inlineStr">
        <is>
          <t>party</t>
        </is>
      </c>
      <c r="D1393" s="3" t="inlineStr">
        <is>
          <t>Party or adviser: role; entity; identifier (register number, LEI); side (for the issuer / for the bondholders / statutory-neutral / lenders); source_class (named in the terms / named on the exchange / named by the adviser itself / named in the accounts); as_of (ISO)</t>
        </is>
      </c>
      <c r="E1393" s="2" t="n"/>
      <c r="F1393" s="2" t="n"/>
      <c r="G1393" s="2" t="n"/>
      <c r="H1393" s="3" t="inlineStr">
        <is>
          <t>role: auditor FY2023; entity: EY GmbH &amp; Co. KG Wirtschaftsprüfungsgesellschaft, Düsseldorf; identifier: signed by two Wirtschaftsprüfer (names not legible in the text layer); side: statutory-neutral; source_class: named in the accounts; as_of: 2024-03-27</t>
        </is>
      </c>
      <c r="I1393" s="2" t="inlineStr">
        <is>
          <t>S1</t>
        </is>
      </c>
      <c r="J1393" s="2" t="n">
        <v>94</v>
      </c>
      <c r="K1393" s="3" t="inlineStr">
        <is>
          <t>Düsseldorf, 27th March 2024 EY GmbH &amp; Co. KG Wirtschaftsprüfungsgesellschaft</t>
        </is>
      </c>
      <c r="L1393" s="2" t="inlineStr">
        <is>
          <t>pend</t>
        </is>
      </c>
      <c r="M1393" s="2" t="n"/>
      <c r="N1393" s="2" t="n"/>
      <c r="O1393" s="3" t="inlineStr">
        <is>
          <t>https://vanillabonds.com/dossier-data/pdf/katjes/katjes-2023-annual-report.pdf#page=94</t>
        </is>
      </c>
      <c r="P1393" s="3" t="inlineStr">
        <is>
          <t>https://vanillabonds.com/dossier.html?c=katjes&amp;viewer=1&amp;item=F1392</t>
        </is>
      </c>
      <c r="Q1393" s="2" t="inlineStr"/>
    </row>
    <row r="1394">
      <c r="A1394" s="2" t="inlineStr">
        <is>
          <t>F1393</t>
        </is>
      </c>
      <c r="B1394" s="2" t="inlineStr">
        <is>
          <t>structure</t>
        </is>
      </c>
      <c r="C1394" s="2" t="inlineStr">
        <is>
          <t>party</t>
        </is>
      </c>
      <c r="D1394" s="3" t="inlineStr">
        <is>
          <t>Party or adviser: role; entity; identifier (register number, LEI); side (for the issuer / for the bondholders / statutory-neutral / lenders); source_class (named in the terms / named on the exchange / named by the adviser itself / named in the accounts); as_of (ISO)</t>
        </is>
      </c>
      <c r="E1394" s="2" t="n"/>
      <c r="F1394" s="2" t="n"/>
      <c r="G1394" s="2" t="n"/>
      <c r="H1394" s="3" t="inlineStr">
        <is>
          <t>role: auditor FY2024; entity: EY GmbH &amp; Co. KG Wirtschaftsprüfungsgesellschaft, Düsseldorf; side: statutory-neutral; source_class: named in the accounts; as_of: 2025-04-09</t>
        </is>
      </c>
      <c r="I1394" s="2" t="inlineStr">
        <is>
          <t>S2</t>
        </is>
      </c>
      <c r="J1394" s="2" t="n">
        <v>90</v>
      </c>
      <c r="K1394" s="3" t="inlineStr">
        <is>
          <t>Dusseldorf, 9th April 2025 EY GmbH &amp; Co. KG Wirtschaftsprüfungsgesellschaft</t>
        </is>
      </c>
      <c r="L1394" s="2" t="inlineStr">
        <is>
          <t>pend</t>
        </is>
      </c>
      <c r="M1394" s="2" t="n"/>
      <c r="N1394" s="2" t="n"/>
      <c r="O1394" s="3" t="inlineStr">
        <is>
          <t>https://vanillabonds.com/dossier-data/pdf/katjes/katjes-2024-annual-report.pdf#page=90</t>
        </is>
      </c>
      <c r="P1394" s="3" t="inlineStr">
        <is>
          <t>https://vanillabonds.com/dossier.html?c=katjes&amp;viewer=1&amp;item=F1393</t>
        </is>
      </c>
      <c r="Q1394" s="2" t="inlineStr"/>
    </row>
    <row r="1395">
      <c r="A1395" s="2" t="inlineStr">
        <is>
          <t>F1394</t>
        </is>
      </c>
      <c r="B1395" s="2" t="inlineStr">
        <is>
          <t>structure</t>
        </is>
      </c>
      <c r="C1395" s="2" t="inlineStr">
        <is>
          <t>party</t>
        </is>
      </c>
      <c r="D1395" s="3" t="inlineStr">
        <is>
          <t>Party or adviser: role; entity; identifier (register number, LEI); side (for the issuer / for the bondholders / statutory-neutral / lenders); source_class (named in the terms / named on the exchange / named by the adviser itself / named in the accounts); as_of (ISO)</t>
        </is>
      </c>
      <c r="E1395" s="2" t="n"/>
      <c r="F1395" s="2" t="n"/>
      <c r="G1395" s="2" t="n"/>
      <c r="H1395" s="3" t="inlineStr">
        <is>
          <t>role: auditor FY2025; entity: EY GmbH &amp; Co. KG Wirtschaftsprüfungsgesellschaft, Köln; identifier: signed by Wirtschaftsprüferin Dell and Wirtschaftsprüfer Beier (surnames as the text layer prints them); side: statutory-neutral; source_class: named in the accounts; as_of: 2026-04-02</t>
        </is>
      </c>
      <c r="I1395" s="2" t="inlineStr">
        <is>
          <t>S3</t>
        </is>
      </c>
      <c r="J1395" s="2" t="n">
        <v>91</v>
      </c>
      <c r="K1395" s="3" t="inlineStr">
        <is>
          <t>Köln, April 2, 2026 EY GmbH &amp; Co. KG Wirtschaftsprüfungsgesellschaft</t>
        </is>
      </c>
      <c r="L1395" s="2" t="inlineStr">
        <is>
          <t>pend</t>
        </is>
      </c>
      <c r="M1395" s="2" t="n"/>
      <c r="N1395" s="2" t="n"/>
      <c r="O1395" s="3" t="inlineStr">
        <is>
          <t>https://vanillabonds.com/dossier-data/pdf/katjes/katjes-2025-annual-report.pdf#page=91</t>
        </is>
      </c>
      <c r="P1395" s="3" t="inlineStr">
        <is>
          <t>https://vanillabonds.com/dossier.html?c=katjes&amp;viewer=1&amp;item=F1394</t>
        </is>
      </c>
      <c r="Q1395" s="2" t="inlineStr"/>
    </row>
    <row r="1396">
      <c r="A1396" s="2" t="inlineStr">
        <is>
          <t>F1395</t>
        </is>
      </c>
      <c r="B1396" s="2" t="inlineStr">
        <is>
          <t>structure</t>
        </is>
      </c>
      <c r="C1396" s="2" t="inlineStr">
        <is>
          <t>party</t>
        </is>
      </c>
      <c r="D1396" s="3" t="inlineStr">
        <is>
          <t>Party or adviser: role; entity; identifier (register number, LEI); side (for the issuer / for the bondholders / statutory-neutral / lenders); source_class (named in the terms / named on the exchange / named by the adviser itself / named in the accounts); as_of (ISO)</t>
        </is>
      </c>
      <c r="E1396" s="2" t="n"/>
      <c r="F1396" s="2" t="n"/>
      <c r="G1396" s="2" t="n"/>
      <c r="H1396" s="3" t="inlineStr">
        <is>
          <t>role: auditor, interim report H1 2026; entity: none (neither audited nor reviewed); side: statutory-neutral; source_class: named in the accounts; as_of: 2026-06-30</t>
        </is>
      </c>
      <c r="I1396" s="2" t="inlineStr">
        <is>
          <t>S5</t>
        </is>
      </c>
      <c r="J1396" s="2" t="n">
        <v>37</v>
      </c>
      <c r="K1396" s="3" t="inlineStr">
        <is>
          <t>have neither been audited nor reviewed by the auditor</t>
        </is>
      </c>
      <c r="L1396" s="2" t="inlineStr">
        <is>
          <t>pend</t>
        </is>
      </c>
      <c r="M1396" s="2" t="n"/>
      <c r="N1396" s="2" t="n"/>
      <c r="O1396" s="3" t="inlineStr">
        <is>
          <t>https://vanillabonds.com/dossier-data/pdf/katjes/katjes-h1-2026-interim-report.pdf#page=37</t>
        </is>
      </c>
      <c r="P1396" s="3" t="inlineStr">
        <is>
          <t>https://vanillabonds.com/dossier.html?c=katjes&amp;viewer=1&amp;item=F1395</t>
        </is>
      </c>
      <c r="Q1396" s="2" t="inlineStr"/>
    </row>
    <row r="1397">
      <c r="A1397" s="2" t="inlineStr">
        <is>
          <t>F1396</t>
        </is>
      </c>
      <c r="B1397" s="2" t="inlineStr">
        <is>
          <t>structure</t>
        </is>
      </c>
      <c r="C1397" s="2" t="inlineStr">
        <is>
          <t>party</t>
        </is>
      </c>
      <c r="D1397" s="3" t="inlineStr">
        <is>
          <t>Party or adviser: role; entity; identifier (register number, LEI); side (for the issuer / for the bondholders / statutory-neutral / lenders); source_class (named in the terms / named on the exchange / named by the adviser itself / named in the accounts); as_of (ISO)</t>
        </is>
      </c>
      <c r="E1397" s="2" t="n"/>
      <c r="F1397" s="2" t="n"/>
      <c r="G1397" s="2" t="n"/>
      <c r="H1397" s="3" t="inlineStr">
        <is>
          <t>role: lender, revolving credit line up to kEUR 40,000 at 6.65% (EUR 16.3m drawn at 31 Dec 2025); entity: bank not named; side: lenders; source_class: named in the accounts; as_of: 2025-12-31</t>
        </is>
      </c>
      <c r="I1397" s="2" t="inlineStr">
        <is>
          <t>S3</t>
        </is>
      </c>
      <c r="J1397" s="2" t="n">
        <v>63</v>
      </c>
      <c r="K1397" s="3" t="inlineStr">
        <is>
          <t>Revolving line up kEUR 40.000 6.65 16.3 0.0</t>
        </is>
      </c>
      <c r="L1397" s="2" t="inlineStr">
        <is>
          <t>pend</t>
        </is>
      </c>
      <c r="M1397" s="2" t="n"/>
      <c r="N1397" s="2" t="n"/>
      <c r="O1397" s="3" t="inlineStr">
        <is>
          <t>https://vanillabonds.com/dossier-data/pdf/katjes/katjes-2025-annual-report.pdf#page=63</t>
        </is>
      </c>
      <c r="P1397" s="3" t="inlineStr">
        <is>
          <t>https://vanillabonds.com/dossier.html?c=katjes&amp;viewer=1&amp;item=F1396</t>
        </is>
      </c>
      <c r="Q1397" s="2" t="inlineStr"/>
    </row>
    <row r="1398">
      <c r="A1398" s="2" t="inlineStr">
        <is>
          <t>F1397</t>
        </is>
      </c>
      <c r="B1398" s="2" t="inlineStr">
        <is>
          <t>structure</t>
        </is>
      </c>
      <c r="C1398" s="2" t="inlineStr">
        <is>
          <t>party</t>
        </is>
      </c>
      <c r="D1398" s="3" t="inlineStr">
        <is>
          <t>Party or adviser: role; entity; identifier (register number, LEI); side (for the issuer / for the bondholders / statutory-neutral / lenders); source_class (named in the terms / named on the exchange / named by the adviser itself / named in the accounts); as_of (ISO)</t>
        </is>
      </c>
      <c r="E1398" s="2" t="n"/>
      <c r="F1398" s="2" t="n"/>
      <c r="G1398" s="2" t="n"/>
      <c r="H1398" s="3" t="inlineStr">
        <is>
          <t>role: lenders, bank loans kEUR 24,000 at 5.6%, kEUR 11,700 at 2.9%, kEUR 5,000 at 4.98%, kEUR 5,000 at 8.5%, kEUR 3,000 at 2.0%; entity: banks not named; side: lenders; source_class: named in the accounts; as_of: 2025-12-31</t>
        </is>
      </c>
      <c r="I1398" s="2" t="inlineStr">
        <is>
          <t>S3</t>
        </is>
      </c>
      <c r="J1398" s="2" t="n">
        <v>63</v>
      </c>
      <c r="K1398" s="2" t="inlineStr">
        <is>
          <t>Bank loan kEUR 24.000 5.6 16.8 20.9</t>
        </is>
      </c>
      <c r="L1398" s="2" t="inlineStr">
        <is>
          <t>pend</t>
        </is>
      </c>
      <c r="M1398" s="2" t="n"/>
      <c r="N1398" s="2" t="n"/>
      <c r="O1398" s="3" t="inlineStr">
        <is>
          <t>https://vanillabonds.com/dossier-data/pdf/katjes/katjes-2025-annual-report.pdf#page=63</t>
        </is>
      </c>
      <c r="P1398" s="3" t="inlineStr">
        <is>
          <t>https://vanillabonds.com/dossier.html?c=katjes&amp;viewer=1&amp;item=F1397</t>
        </is>
      </c>
      <c r="Q1398" s="2" t="inlineStr"/>
    </row>
    <row r="1399">
      <c r="A1399" s="2" t="inlineStr">
        <is>
          <t>F1398</t>
        </is>
      </c>
      <c r="B1399" s="2" t="inlineStr">
        <is>
          <t>structure</t>
        </is>
      </c>
      <c r="C1399" s="2" t="inlineStr">
        <is>
          <t>party</t>
        </is>
      </c>
      <c r="D1399" s="3" t="inlineStr">
        <is>
          <t>Party or adviser: role; entity; identifier (register number, LEI); side (for the issuer / for the bondholders / statutory-neutral / lenders); source_class (named in the terms / named on the exchange / named by the adviser itself / named in the accounts); as_of (ISO)</t>
        </is>
      </c>
      <c r="E1399" s="2" t="n"/>
      <c r="F1399" s="2" t="n"/>
      <c r="G1399" s="2" t="n"/>
      <c r="H1399" s="3" t="inlineStr">
        <is>
          <t>role: credit insurer (certain receivables); entity: not named; side: for the issuer; source_class: named in the accounts; as_of: 2025-12-31</t>
        </is>
      </c>
      <c r="I1399" s="2" t="inlineStr">
        <is>
          <t>S3</t>
        </is>
      </c>
      <c r="J1399" s="2" t="n">
        <v>56</v>
      </c>
      <c r="K1399" s="3" t="inlineStr">
        <is>
          <t>credit insurance is obtained for certain receivables</t>
        </is>
      </c>
      <c r="L1399" s="2" t="inlineStr">
        <is>
          <t>pend</t>
        </is>
      </c>
      <c r="M1399" s="2" t="n"/>
      <c r="N1399" s="2" t="n"/>
      <c r="O1399" s="3" t="inlineStr">
        <is>
          <t>https://vanillabonds.com/dossier-data/pdf/katjes/katjes-2025-annual-report.pdf#page=56</t>
        </is>
      </c>
      <c r="P1399" s="3" t="inlineStr">
        <is>
          <t>https://vanillabonds.com/dossier.html?c=katjes&amp;viewer=1&amp;item=F1398</t>
        </is>
      </c>
      <c r="Q1399" s="2" t="inlineStr"/>
    </row>
    <row r="1400">
      <c r="A1400" s="2" t="inlineStr">
        <is>
          <t>F1399</t>
        </is>
      </c>
      <c r="B1400" s="2" t="inlineStr">
        <is>
          <t>governance</t>
        </is>
      </c>
      <c r="C1400" s="2" t="inlineStr">
        <is>
          <t>group_link</t>
        </is>
      </c>
      <c r="D1400"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0" s="2" t="n"/>
      <c r="F1400" s="2" t="n"/>
      <c r="G1400" s="2" t="n"/>
      <c r="H1400" s="3" t="inlineStr">
        <is>
          <t>entity: Katjes France GmbH, Emmerich am Rhein; country: DE; stake: 1; consolidation: A</t>
        </is>
      </c>
      <c r="I1400" s="2" t="inlineStr">
        <is>
          <t>S3</t>
        </is>
      </c>
      <c r="J1400" s="2" t="n">
        <v>83</v>
      </c>
      <c r="K1400" s="3" t="inlineStr">
        <is>
          <t>Katjes France GmbH, Emmerich am Rhein 100 A 100 A</t>
        </is>
      </c>
      <c r="L1400" s="2" t="inlineStr">
        <is>
          <t>pend</t>
        </is>
      </c>
      <c r="M1400" s="2" t="n"/>
      <c r="N1400" s="2" t="n"/>
      <c r="O1400" s="3" t="inlineStr">
        <is>
          <t>https://vanillabonds.com/dossier-data/pdf/katjes/katjes-2025-annual-report.pdf#page=83</t>
        </is>
      </c>
      <c r="P1400" s="3" t="inlineStr">
        <is>
          <t>https://vanillabonds.com/dossier.html?c=katjes&amp;viewer=1&amp;item=F1399</t>
        </is>
      </c>
      <c r="Q1400" s="2" t="inlineStr"/>
    </row>
    <row r="1401">
      <c r="A1401" s="2" t="inlineStr">
        <is>
          <t>F1400</t>
        </is>
      </c>
      <c r="B1401" s="2" t="inlineStr">
        <is>
          <t>governance</t>
        </is>
      </c>
      <c r="C1401" s="2" t="inlineStr">
        <is>
          <t>group_link</t>
        </is>
      </c>
      <c r="D1401"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1" s="2" t="n"/>
      <c r="F1401" s="2" t="n"/>
      <c r="G1401" s="2" t="n"/>
      <c r="H1401" s="3" t="inlineStr">
        <is>
          <t>entity: Katjes Nederland GmbH, Emmerich am Rhein; country: DE; stake: 1; consolidation: A</t>
        </is>
      </c>
      <c r="I1401" s="2" t="inlineStr">
        <is>
          <t>S3</t>
        </is>
      </c>
      <c r="J1401" s="2" t="n">
        <v>83</v>
      </c>
      <c r="K1401" s="3" t="inlineStr">
        <is>
          <t>Katjes Nederland GmbH, Emmerich am Rhein 100 A 100 A</t>
        </is>
      </c>
      <c r="L1401" s="2" t="inlineStr">
        <is>
          <t>pend</t>
        </is>
      </c>
      <c r="M1401" s="2" t="n"/>
      <c r="N1401" s="2" t="n"/>
      <c r="O1401" s="3" t="inlineStr">
        <is>
          <t>https://vanillabonds.com/dossier-data/pdf/katjes/katjes-2025-annual-report.pdf#page=83</t>
        </is>
      </c>
      <c r="P1401" s="3" t="inlineStr">
        <is>
          <t>https://vanillabonds.com/dossier.html?c=katjes&amp;viewer=1&amp;item=F1400</t>
        </is>
      </c>
      <c r="Q1401" s="2" t="inlineStr"/>
    </row>
    <row r="1402">
      <c r="A1402" s="2" t="inlineStr">
        <is>
          <t>F1401</t>
        </is>
      </c>
      <c r="B1402" s="2" t="inlineStr">
        <is>
          <t>governance</t>
        </is>
      </c>
      <c r="C1402" s="2" t="inlineStr">
        <is>
          <t>group_link</t>
        </is>
      </c>
      <c r="D1402"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2" s="2" t="n"/>
      <c r="F1402" s="2" t="n"/>
      <c r="G1402" s="2" t="n"/>
      <c r="H1402" s="3" t="inlineStr">
        <is>
          <t>entity: Katjes 21 GmbH, Emmerich am Rhein; country: DE; stake: 1; consolidation: A</t>
        </is>
      </c>
      <c r="I1402" s="2" t="inlineStr">
        <is>
          <t>S3</t>
        </is>
      </c>
      <c r="J1402" s="2" t="n">
        <v>83</v>
      </c>
      <c r="K1402" s="3" t="inlineStr">
        <is>
          <t>Katjes 21 GmbH, Emmerich am Rhein 100 A 100 A</t>
        </is>
      </c>
      <c r="L1402" s="2" t="inlineStr">
        <is>
          <t>pend</t>
        </is>
      </c>
      <c r="M1402" s="2" t="n"/>
      <c r="N1402" s="2" t="n"/>
      <c r="O1402" s="3" t="inlineStr">
        <is>
          <t>https://vanillabonds.com/dossier-data/pdf/katjes/katjes-2025-annual-report.pdf#page=83</t>
        </is>
      </c>
      <c r="P1402" s="3" t="inlineStr">
        <is>
          <t>https://vanillabonds.com/dossier.html?c=katjes&amp;viewer=1&amp;item=F1401</t>
        </is>
      </c>
      <c r="Q1402" s="2" t="inlineStr"/>
    </row>
    <row r="1403">
      <c r="A1403" s="2" t="inlineStr">
        <is>
          <t>F1402</t>
        </is>
      </c>
      <c r="B1403" s="2" t="inlineStr">
        <is>
          <t>governance</t>
        </is>
      </c>
      <c r="C1403" s="2" t="inlineStr">
        <is>
          <t>group_link</t>
        </is>
      </c>
      <c r="D1403"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3" s="2" t="n"/>
      <c r="F1403" s="2" t="n"/>
      <c r="G1403" s="2" t="n"/>
      <c r="H1403" s="3" t="inlineStr">
        <is>
          <t>entity: Dallmann’s Pharma Candy GmbH, Hofheim am Taunus; country: DE; stake: 1; consolidation: A</t>
        </is>
      </c>
      <c r="I1403" s="2" t="inlineStr">
        <is>
          <t>S3</t>
        </is>
      </c>
      <c r="J1403" s="2" t="n">
        <v>83</v>
      </c>
      <c r="K1403" s="3" t="inlineStr">
        <is>
          <t>Dallmann’s Pharma Candy GmbH, Hofheim am Taunus 100 A 100 A</t>
        </is>
      </c>
      <c r="L1403" s="2" t="inlineStr">
        <is>
          <t>pend</t>
        </is>
      </c>
      <c r="M1403" s="2" t="n"/>
      <c r="N1403" s="2" t="n"/>
      <c r="O1403" s="3" t="inlineStr">
        <is>
          <t>https://vanillabonds.com/dossier-data/pdf/katjes/katjes-2025-annual-report.pdf#page=83</t>
        </is>
      </c>
      <c r="P1403" s="3" t="inlineStr">
        <is>
          <t>https://vanillabonds.com/dossier.html?c=katjes&amp;viewer=1&amp;item=F1402</t>
        </is>
      </c>
      <c r="Q1403" s="2" t="inlineStr"/>
    </row>
    <row r="1404">
      <c r="A1404" s="2" t="inlineStr">
        <is>
          <t>F1403</t>
        </is>
      </c>
      <c r="B1404" s="2" t="inlineStr">
        <is>
          <t>governance</t>
        </is>
      </c>
      <c r="C1404" s="2" t="inlineStr">
        <is>
          <t>group_link</t>
        </is>
      </c>
      <c r="D1404"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4" s="2" t="n"/>
      <c r="F1404" s="2" t="n"/>
      <c r="G1404" s="2" t="n"/>
      <c r="H1404" s="3" t="inlineStr">
        <is>
          <t>entity: Candy Pharma GmbH, Hofheim am Taunus; country: DE; stake: 1; consolidation: A</t>
        </is>
      </c>
      <c r="I1404" s="2" t="inlineStr">
        <is>
          <t>S3</t>
        </is>
      </c>
      <c r="J1404" s="2" t="n">
        <v>83</v>
      </c>
      <c r="K1404" s="3" t="inlineStr">
        <is>
          <t>Candy Pharma GmbH, Hofheim am Taunus 100 A 100 A</t>
        </is>
      </c>
      <c r="L1404" s="2" t="inlineStr">
        <is>
          <t>pend</t>
        </is>
      </c>
      <c r="M1404" s="2" t="n"/>
      <c r="N1404" s="2" t="n"/>
      <c r="O1404" s="3" t="inlineStr">
        <is>
          <t>https://vanillabonds.com/dossier-data/pdf/katjes/katjes-2025-annual-report.pdf#page=83</t>
        </is>
      </c>
      <c r="P1404" s="3" t="inlineStr">
        <is>
          <t>https://vanillabonds.com/dossier.html?c=katjes&amp;viewer=1&amp;item=F1403</t>
        </is>
      </c>
      <c r="Q1404" s="2" t="inlineStr"/>
    </row>
    <row r="1405">
      <c r="A1405" s="2" t="inlineStr">
        <is>
          <t>F1404</t>
        </is>
      </c>
      <c r="B1405" s="2" t="inlineStr">
        <is>
          <t>governance</t>
        </is>
      </c>
      <c r="C1405" s="2" t="inlineStr">
        <is>
          <t>group_link</t>
        </is>
      </c>
      <c r="D1405"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5" s="2" t="n"/>
      <c r="F1405" s="2" t="n"/>
      <c r="G1405" s="2" t="n"/>
      <c r="H1405" s="3" t="inlineStr">
        <is>
          <t>entity: Piasten GmbH, Forchheim; country: DE; stake: 1; consolidation: A</t>
        </is>
      </c>
      <c r="I1405" s="2" t="inlineStr">
        <is>
          <t>S3</t>
        </is>
      </c>
      <c r="J1405" s="2" t="n">
        <v>83</v>
      </c>
      <c r="K1405" s="2" t="inlineStr">
        <is>
          <t>Piasten GmbH, Forchheim 100 A 100 A</t>
        </is>
      </c>
      <c r="L1405" s="2" t="inlineStr">
        <is>
          <t>pend</t>
        </is>
      </c>
      <c r="M1405" s="2" t="n"/>
      <c r="N1405" s="2" t="n"/>
      <c r="O1405" s="3" t="inlineStr">
        <is>
          <t>https://vanillabonds.com/dossier-data/pdf/katjes/katjes-2025-annual-report.pdf#page=83</t>
        </is>
      </c>
      <c r="P1405" s="3" t="inlineStr">
        <is>
          <t>https://vanillabonds.com/dossier.html?c=katjes&amp;viewer=1&amp;item=F1404</t>
        </is>
      </c>
      <c r="Q1405" s="2" t="inlineStr"/>
    </row>
    <row r="1406">
      <c r="A1406" s="2" t="inlineStr">
        <is>
          <t>F1405</t>
        </is>
      </c>
      <c r="B1406" s="2" t="inlineStr">
        <is>
          <t>governance</t>
        </is>
      </c>
      <c r="C1406" s="2" t="inlineStr">
        <is>
          <t>group_link</t>
        </is>
      </c>
      <c r="D1406"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6" s="2" t="n"/>
      <c r="F1406" s="2" t="n"/>
      <c r="G1406" s="2" t="n"/>
      <c r="H1406" s="3" t="inlineStr">
        <is>
          <t>entity: Treets GmbH, Forchheim; country: DE; stake: 1; consolidation: A</t>
        </is>
      </c>
      <c r="I1406" s="2" t="inlineStr">
        <is>
          <t>S3</t>
        </is>
      </c>
      <c r="J1406" s="2" t="n">
        <v>83</v>
      </c>
      <c r="K1406" s="2" t="inlineStr">
        <is>
          <t>Treets GmbH, Forchheim 100 A 100 A</t>
        </is>
      </c>
      <c r="L1406" s="2" t="inlineStr">
        <is>
          <t>pend</t>
        </is>
      </c>
      <c r="M1406" s="2" t="n"/>
      <c r="N1406" s="2" t="n"/>
      <c r="O1406" s="3" t="inlineStr">
        <is>
          <t>https://vanillabonds.com/dossier-data/pdf/katjes/katjes-2025-annual-report.pdf#page=83</t>
        </is>
      </c>
      <c r="P1406" s="3" t="inlineStr">
        <is>
          <t>https://vanillabonds.com/dossier.html?c=katjes&amp;viewer=1&amp;item=F1405</t>
        </is>
      </c>
      <c r="Q1406" s="2" t="inlineStr"/>
    </row>
    <row r="1407">
      <c r="A1407" s="2" t="inlineStr">
        <is>
          <t>F1406</t>
        </is>
      </c>
      <c r="B1407" s="2" t="inlineStr">
        <is>
          <t>governance</t>
        </is>
      </c>
      <c r="C1407" s="2" t="inlineStr">
        <is>
          <t>group_link</t>
        </is>
      </c>
      <c r="D1407"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7" s="2" t="n"/>
      <c r="F1407" s="2" t="n"/>
      <c r="G1407" s="2" t="n"/>
      <c r="H1407" s="3" t="inlineStr">
        <is>
          <t>entity: CCV-Vertriebs-GmbH, Forchheim; country: DE; stake: 1; consolidation: A</t>
        </is>
      </c>
      <c r="I1407" s="2" t="inlineStr">
        <is>
          <t>S3</t>
        </is>
      </c>
      <c r="J1407" s="2" t="n">
        <v>83</v>
      </c>
      <c r="K1407" s="3" t="inlineStr">
        <is>
          <t>CCV-Vertriebs-GmbH, Forchheim 100 A 100 A</t>
        </is>
      </c>
      <c r="L1407" s="2" t="inlineStr">
        <is>
          <t>pend</t>
        </is>
      </c>
      <c r="M1407" s="2" t="n"/>
      <c r="N1407" s="2" t="n"/>
      <c r="O1407" s="3" t="inlineStr">
        <is>
          <t>https://vanillabonds.com/dossier-data/pdf/katjes/katjes-2025-annual-report.pdf#page=83</t>
        </is>
      </c>
      <c r="P1407" s="3" t="inlineStr">
        <is>
          <t>https://vanillabonds.com/dossier.html?c=katjes&amp;viewer=1&amp;item=F1406</t>
        </is>
      </c>
      <c r="Q1407" s="2" t="inlineStr"/>
    </row>
    <row r="1408">
      <c r="A1408" s="2" t="inlineStr">
        <is>
          <t>F1407</t>
        </is>
      </c>
      <c r="B1408" s="2" t="inlineStr">
        <is>
          <t>governance</t>
        </is>
      </c>
      <c r="C1408" s="2" t="inlineStr">
        <is>
          <t>group_link</t>
        </is>
      </c>
      <c r="D1408"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8" s="2" t="n"/>
      <c r="F1408" s="2" t="n"/>
      <c r="G1408" s="2" t="n"/>
      <c r="H1408" s="3" t="inlineStr">
        <is>
          <t>entity: Katjes 24 GmbH, Emmerich am Rhein; country: DE; stake: 1; consolidation: A</t>
        </is>
      </c>
      <c r="I1408" s="2" t="inlineStr">
        <is>
          <t>S3</t>
        </is>
      </c>
      <c r="J1408" s="2" t="n">
        <v>83</v>
      </c>
      <c r="K1408" s="3" t="inlineStr">
        <is>
          <t>Katjes 24 GmbH, Emmerich am Rhein 100 A 100 A</t>
        </is>
      </c>
      <c r="L1408" s="2" t="inlineStr">
        <is>
          <t>pend</t>
        </is>
      </c>
      <c r="M1408" s="2" t="n"/>
      <c r="N1408" s="2" t="n"/>
      <c r="O1408" s="3" t="inlineStr">
        <is>
          <t>https://vanillabonds.com/dossier-data/pdf/katjes/katjes-2025-annual-report.pdf#page=83</t>
        </is>
      </c>
      <c r="P1408" s="3" t="inlineStr">
        <is>
          <t>https://vanillabonds.com/dossier.html?c=katjes&amp;viewer=1&amp;item=F1407</t>
        </is>
      </c>
      <c r="Q1408" s="2" t="inlineStr"/>
    </row>
    <row r="1409">
      <c r="A1409" s="2" t="inlineStr">
        <is>
          <t>F1408</t>
        </is>
      </c>
      <c r="B1409" s="2" t="inlineStr">
        <is>
          <t>governance</t>
        </is>
      </c>
      <c r="C1409" s="2" t="inlineStr">
        <is>
          <t>group_link</t>
        </is>
      </c>
      <c r="D1409"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09" s="2" t="n"/>
      <c r="F1409" s="2" t="n"/>
      <c r="G1409" s="2" t="n"/>
      <c r="H1409" s="3" t="inlineStr">
        <is>
          <t>entity: Katjes Italy GmbH, Emmerich am Rhein; country: DE; stake: 1; consolidation: A</t>
        </is>
      </c>
      <c r="I1409" s="2" t="inlineStr">
        <is>
          <t>S3</t>
        </is>
      </c>
      <c r="J1409" s="2" t="n">
        <v>83</v>
      </c>
      <c r="K1409" s="3" t="inlineStr">
        <is>
          <t>Katjes Italy GmbH, Emmerich am Rhein 100 A 100 A</t>
        </is>
      </c>
      <c r="L1409" s="2" t="inlineStr">
        <is>
          <t>pend</t>
        </is>
      </c>
      <c r="M1409" s="2" t="n"/>
      <c r="N1409" s="2" t="n"/>
      <c r="O1409" s="3" t="inlineStr">
        <is>
          <t>https://vanillabonds.com/dossier-data/pdf/katjes/katjes-2025-annual-report.pdf#page=83</t>
        </is>
      </c>
      <c r="P1409" s="3" t="inlineStr">
        <is>
          <t>https://vanillabonds.com/dossier.html?c=katjes&amp;viewer=1&amp;item=F1408</t>
        </is>
      </c>
      <c r="Q1409" s="2" t="inlineStr"/>
    </row>
    <row r="1410">
      <c r="A1410" s="2" t="inlineStr">
        <is>
          <t>F1409</t>
        </is>
      </c>
      <c r="B1410" s="2" t="inlineStr">
        <is>
          <t>governance</t>
        </is>
      </c>
      <c r="C1410" s="2" t="inlineStr">
        <is>
          <t>group_link</t>
        </is>
      </c>
      <c r="D1410"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0" s="2" t="n"/>
      <c r="F1410" s="2" t="n"/>
      <c r="G1410" s="2" t="n"/>
      <c r="H1410" s="3" t="inlineStr">
        <is>
          <t>entity: Bübchen Skincare GmbH (former: Dallmann’s Pharma GmbH), Hofheim am Taunus; country: DE; stake: 1; consolidation: A</t>
        </is>
      </c>
      <c r="I1410" s="2" t="inlineStr">
        <is>
          <t>S3</t>
        </is>
      </c>
      <c r="J1410" s="2" t="n">
        <v>83</v>
      </c>
      <c r="K1410" s="3" t="inlineStr">
        <is>
          <t>Bübchen Skincare GmbH (former: Dallmann’s Pharma GmbH), Hofheim am Taunus 100 A 100 A</t>
        </is>
      </c>
      <c r="L1410" s="2" t="inlineStr">
        <is>
          <t>pend</t>
        </is>
      </c>
      <c r="M1410" s="2" t="n"/>
      <c r="N1410" s="2" t="n"/>
      <c r="O1410" s="3" t="inlineStr">
        <is>
          <t>https://vanillabonds.com/dossier-data/pdf/katjes/katjes-2025-annual-report.pdf#page=83</t>
        </is>
      </c>
      <c r="P1410" s="3" t="inlineStr">
        <is>
          <t>https://vanillabonds.com/dossier.html?c=katjes&amp;viewer=1&amp;item=F1409</t>
        </is>
      </c>
      <c r="Q1410" s="2" t="inlineStr"/>
    </row>
    <row r="1411">
      <c r="A1411" s="2" t="inlineStr">
        <is>
          <t>F1410</t>
        </is>
      </c>
      <c r="B1411" s="2" t="inlineStr">
        <is>
          <t>governance</t>
        </is>
      </c>
      <c r="C1411" s="2" t="inlineStr">
        <is>
          <t>group_link</t>
        </is>
      </c>
      <c r="D1411"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1" s="2" t="n"/>
      <c r="F1411" s="2" t="n"/>
      <c r="G1411" s="2" t="n"/>
      <c r="H1411" s="3" t="inlineStr">
        <is>
          <t>entity: Bübchen-Werk Ewald Hermes Pharmazeutische Fabrik GmbH, Soest; country: DE; stake: 1; consolidation: A</t>
        </is>
      </c>
      <c r="I1411" s="2" t="inlineStr">
        <is>
          <t>S3</t>
        </is>
      </c>
      <c r="J1411" s="2" t="n">
        <v>83</v>
      </c>
      <c r="K1411" s="3" t="inlineStr">
        <is>
          <t>Bübchen-Werk Ewald Hermes Pharmazeutische Fabrik GmbH, Soest 100 A 100 A</t>
        </is>
      </c>
      <c r="L1411" s="2" t="inlineStr">
        <is>
          <t>pend</t>
        </is>
      </c>
      <c r="M1411" s="2" t="n"/>
      <c r="N1411" s="2" t="n"/>
      <c r="O1411" s="3" t="inlineStr">
        <is>
          <t>https://vanillabonds.com/dossier-data/pdf/katjes/katjes-2025-annual-report.pdf#page=83</t>
        </is>
      </c>
      <c r="P1411" s="3" t="inlineStr">
        <is>
          <t>https://vanillabonds.com/dossier.html?c=katjes&amp;viewer=1&amp;item=F1410</t>
        </is>
      </c>
      <c r="Q1411" s="2" t="inlineStr"/>
    </row>
    <row r="1412">
      <c r="A1412" s="2" t="inlineStr">
        <is>
          <t>F1411</t>
        </is>
      </c>
      <c r="B1412" s="2" t="inlineStr">
        <is>
          <t>governance</t>
        </is>
      </c>
      <c r="C1412" s="2" t="inlineStr">
        <is>
          <t>group_link</t>
        </is>
      </c>
      <c r="D1412"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2" s="2" t="n"/>
      <c r="F1412" s="2" t="n"/>
      <c r="G1412" s="2" t="n"/>
      <c r="H1412" s="3" t="inlineStr">
        <is>
          <t>entity: Bübchen Bodycare GmbH, Düsseldorf; country: DE; stake: 1; consolidation: A</t>
        </is>
      </c>
      <c r="I1412" s="2" t="inlineStr">
        <is>
          <t>S3</t>
        </is>
      </c>
      <c r="J1412" s="2" t="n">
        <v>83</v>
      </c>
      <c r="K1412" s="3" t="inlineStr">
        <is>
          <t>Bübchen Bodycare GmbH, Düsseldorf 100 A 100 A</t>
        </is>
      </c>
      <c r="L1412" s="2" t="inlineStr">
        <is>
          <t>pend</t>
        </is>
      </c>
      <c r="M1412" s="2" t="n"/>
      <c r="N1412" s="2" t="n"/>
      <c r="O1412" s="3" t="inlineStr">
        <is>
          <t>https://vanillabonds.com/dossier-data/pdf/katjes/katjes-2025-annual-report.pdf#page=83</t>
        </is>
      </c>
      <c r="P1412" s="3" t="inlineStr">
        <is>
          <t>https://vanillabonds.com/dossier.html?c=katjes&amp;viewer=1&amp;item=F1411</t>
        </is>
      </c>
      <c r="Q1412" s="2" t="inlineStr"/>
    </row>
    <row r="1413">
      <c r="A1413" s="2" t="inlineStr">
        <is>
          <t>F1412</t>
        </is>
      </c>
      <c r="B1413" s="2" t="inlineStr">
        <is>
          <t>governance</t>
        </is>
      </c>
      <c r="C1413" s="2" t="inlineStr">
        <is>
          <t>group_link</t>
        </is>
      </c>
      <c r="D1413"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3" s="2" t="n"/>
      <c r="F1413" s="2" t="n"/>
      <c r="G1413" s="2" t="n"/>
      <c r="H1413" s="3" t="inlineStr">
        <is>
          <t>entity: Candy Kittens EU GmbH, Emmerich am Rhein; country: DE; stake: 1; consolidation: A</t>
        </is>
      </c>
      <c r="I1413" s="2" t="inlineStr">
        <is>
          <t>S3</t>
        </is>
      </c>
      <c r="J1413" s="2" t="n">
        <v>83</v>
      </c>
      <c r="K1413" s="3" t="inlineStr">
        <is>
          <t>Candy Kittens EU GmbH, Emmerich am Rhein 100 A 100 A</t>
        </is>
      </c>
      <c r="L1413" s="2" t="inlineStr">
        <is>
          <t>pend</t>
        </is>
      </c>
      <c r="M1413" s="2" t="n"/>
      <c r="N1413" s="2" t="n"/>
      <c r="O1413" s="3" t="inlineStr">
        <is>
          <t>https://vanillabonds.com/dossier-data/pdf/katjes/katjes-2025-annual-report.pdf#page=83</t>
        </is>
      </c>
      <c r="P1413" s="3" t="inlineStr">
        <is>
          <t>https://vanillabonds.com/dossier.html?c=katjes&amp;viewer=1&amp;item=F1412</t>
        </is>
      </c>
      <c r="Q1413" s="2" t="inlineStr"/>
    </row>
    <row r="1414">
      <c r="A1414" s="2" t="inlineStr">
        <is>
          <t>F1413</t>
        </is>
      </c>
      <c r="B1414" s="2" t="inlineStr">
        <is>
          <t>governance</t>
        </is>
      </c>
      <c r="C1414" s="2" t="inlineStr">
        <is>
          <t>group_link</t>
        </is>
      </c>
      <c r="D1414"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4" s="2" t="n"/>
      <c r="F1414" s="2" t="n"/>
      <c r="G1414" s="2" t="n"/>
      <c r="H1414" s="3" t="inlineStr">
        <is>
          <t>entity: Pharma Candy Management GmbH, Emmerich am Rhein; country: DE; stake: 1; consolidation: A</t>
        </is>
      </c>
      <c r="I1414" s="2" t="inlineStr">
        <is>
          <t>S3</t>
        </is>
      </c>
      <c r="J1414" s="2" t="n">
        <v>83</v>
      </c>
      <c r="K1414" s="3" t="inlineStr">
        <is>
          <t>Pharma Candy Management GmbH, Emmerich am Rhein 100 A 100 A</t>
        </is>
      </c>
      <c r="L1414" s="2" t="inlineStr">
        <is>
          <t>pend</t>
        </is>
      </c>
      <c r="M1414" s="2" t="n"/>
      <c r="N1414" s="2" t="n"/>
      <c r="O1414" s="3" t="inlineStr">
        <is>
          <t>https://vanillabonds.com/dossier-data/pdf/katjes/katjes-2025-annual-report.pdf#page=83</t>
        </is>
      </c>
      <c r="P1414" s="3" t="inlineStr">
        <is>
          <t>https://vanillabonds.com/dossier.html?c=katjes&amp;viewer=1&amp;item=F1413</t>
        </is>
      </c>
      <c r="Q1414" s="2" t="inlineStr"/>
    </row>
    <row r="1415">
      <c r="A1415" s="2" t="inlineStr">
        <is>
          <t>F1414</t>
        </is>
      </c>
      <c r="B1415" s="2" t="inlineStr">
        <is>
          <t>governance</t>
        </is>
      </c>
      <c r="C1415" s="2" t="inlineStr">
        <is>
          <t>group_link</t>
        </is>
      </c>
      <c r="D1415"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5" s="2" t="n"/>
      <c r="F1415" s="2" t="n"/>
      <c r="G1415" s="2" t="n"/>
      <c r="H1415" s="3" t="inlineStr">
        <is>
          <t>entity: Theramed GmbH, Düsseldorf; country: DE; stake: 1; consolidation: A</t>
        </is>
      </c>
      <c r="I1415" s="2" t="inlineStr">
        <is>
          <t>S3</t>
        </is>
      </c>
      <c r="J1415" s="2" t="n">
        <v>83</v>
      </c>
      <c r="K1415" s="2" t="inlineStr">
        <is>
          <t>Theramed GmbH, Düsseldorf 100 A 100 A</t>
        </is>
      </c>
      <c r="L1415" s="2" t="inlineStr">
        <is>
          <t>pend</t>
        </is>
      </c>
      <c r="M1415" s="2" t="n"/>
      <c r="N1415" s="2" t="n"/>
      <c r="O1415" s="3" t="inlineStr">
        <is>
          <t>https://vanillabonds.com/dossier-data/pdf/katjes/katjes-2025-annual-report.pdf#page=83</t>
        </is>
      </c>
      <c r="P1415" s="3" t="inlineStr">
        <is>
          <t>https://vanillabonds.com/dossier.html?c=katjes&amp;viewer=1&amp;item=F1414</t>
        </is>
      </c>
      <c r="Q1415" s="2" t="inlineStr"/>
    </row>
    <row r="1416">
      <c r="A1416" s="2" t="inlineStr">
        <is>
          <t>F1415</t>
        </is>
      </c>
      <c r="B1416" s="2" t="inlineStr">
        <is>
          <t>governance</t>
        </is>
      </c>
      <c r="C1416" s="2" t="inlineStr">
        <is>
          <t>group_link</t>
        </is>
      </c>
      <c r="D1416"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6" s="2" t="n"/>
      <c r="F1416" s="2" t="n"/>
      <c r="G1416" s="2" t="n"/>
      <c r="H1416" s="3" t="inlineStr">
        <is>
          <t>entity: Smile Cosmetics GmbH, Düsseldorf; country: DE; stake: 1; consolidation: A</t>
        </is>
      </c>
      <c r="I1416" s="2" t="inlineStr">
        <is>
          <t>S3</t>
        </is>
      </c>
      <c r="J1416" s="2" t="n">
        <v>83</v>
      </c>
      <c r="K1416" s="3" t="inlineStr">
        <is>
          <t>Smile Cosmetics GmbH, Düsseldorf 100 A 100 A</t>
        </is>
      </c>
      <c r="L1416" s="2" t="inlineStr">
        <is>
          <t>pend</t>
        </is>
      </c>
      <c r="M1416" s="2" t="n"/>
      <c r="N1416" s="2" t="n"/>
      <c r="O1416" s="3" t="inlineStr">
        <is>
          <t>https://vanillabonds.com/dossier-data/pdf/katjes/katjes-2025-annual-report.pdf#page=83</t>
        </is>
      </c>
      <c r="P1416" s="3" t="inlineStr">
        <is>
          <t>https://vanillabonds.com/dossier.html?c=katjes&amp;viewer=1&amp;item=F1415</t>
        </is>
      </c>
      <c r="Q1416" s="2" t="inlineStr"/>
    </row>
    <row r="1417">
      <c r="A1417" s="2" t="inlineStr">
        <is>
          <t>F1416</t>
        </is>
      </c>
      <c r="B1417" s="2" t="inlineStr">
        <is>
          <t>governance</t>
        </is>
      </c>
      <c r="C1417" s="2" t="inlineStr">
        <is>
          <t>group_link</t>
        </is>
      </c>
      <c r="D1417"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7" s="2" t="n"/>
      <c r="F1417" s="2" t="n"/>
      <c r="G1417" s="2" t="n"/>
      <c r="H1417" s="3" t="inlineStr">
        <is>
          <t>entity: Antica Erboristeria GmbH, Düsseldorf; country: DE; stake: 1; consolidation: A</t>
        </is>
      </c>
      <c r="I1417" s="2" t="inlineStr">
        <is>
          <t>S3</t>
        </is>
      </c>
      <c r="J1417" s="2" t="n">
        <v>83</v>
      </c>
      <c r="K1417" s="3" t="inlineStr">
        <is>
          <t>Antica Erboristeria GmbH, Düsseldorf 100 A 100 A</t>
        </is>
      </c>
      <c r="L1417" s="2" t="inlineStr">
        <is>
          <t>pend</t>
        </is>
      </c>
      <c r="M1417" s="2" t="n"/>
      <c r="N1417" s="2" t="n"/>
      <c r="O1417" s="3" t="inlineStr">
        <is>
          <t>https://vanillabonds.com/dossier-data/pdf/katjes/katjes-2025-annual-report.pdf#page=83</t>
        </is>
      </c>
      <c r="P1417" s="3" t="inlineStr">
        <is>
          <t>https://vanillabonds.com/dossier.html?c=katjes&amp;viewer=1&amp;item=F1416</t>
        </is>
      </c>
      <c r="Q1417" s="2" t="inlineStr"/>
    </row>
    <row r="1418">
      <c r="A1418" s="2" t="inlineStr">
        <is>
          <t>F1417</t>
        </is>
      </c>
      <c r="B1418" s="2" t="inlineStr">
        <is>
          <t>governance</t>
        </is>
      </c>
      <c r="C1418" s="2" t="inlineStr">
        <is>
          <t>group_link</t>
        </is>
      </c>
      <c r="D1418"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8" s="2" t="n"/>
      <c r="F1418" s="2" t="n"/>
      <c r="G1418" s="2" t="n"/>
      <c r="H1418" s="3" t="inlineStr">
        <is>
          <t>entity: Laboratoires Vademecum GmbH, Düsseldorf; country: DE; stake: 1; consolidation: A</t>
        </is>
      </c>
      <c r="I1418" s="2" t="inlineStr">
        <is>
          <t>S3</t>
        </is>
      </c>
      <c r="J1418" s="2" t="n">
        <v>83</v>
      </c>
      <c r="K1418" s="3" t="inlineStr">
        <is>
          <t>Laboratoires Vademecum GmbH, Düsseldorf 100 A 100 A</t>
        </is>
      </c>
      <c r="L1418" s="2" t="inlineStr">
        <is>
          <t>pend</t>
        </is>
      </c>
      <c r="M1418" s="2" t="n"/>
      <c r="N1418" s="2" t="n"/>
      <c r="O1418" s="3" t="inlineStr">
        <is>
          <t>https://vanillabonds.com/dossier-data/pdf/katjes/katjes-2025-annual-report.pdf#page=83</t>
        </is>
      </c>
      <c r="P1418" s="3" t="inlineStr">
        <is>
          <t>https://vanillabonds.com/dossier.html?c=katjes&amp;viewer=1&amp;item=F1417</t>
        </is>
      </c>
      <c r="Q1418" s="2" t="inlineStr"/>
    </row>
    <row r="1419">
      <c r="A1419" s="2" t="inlineStr">
        <is>
          <t>F1418</t>
        </is>
      </c>
      <c r="B1419" s="2" t="inlineStr">
        <is>
          <t>governance</t>
        </is>
      </c>
      <c r="C1419" s="2" t="inlineStr">
        <is>
          <t>group_link</t>
        </is>
      </c>
      <c r="D1419"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19" s="2" t="n"/>
      <c r="F1419" s="2" t="n"/>
      <c r="G1419" s="2" t="n"/>
      <c r="H1419" s="3" t="inlineStr">
        <is>
          <t>entity: Licor del Polo GmbH, Düsseldorf; country: DE; stake: 1; consolidation: A</t>
        </is>
      </c>
      <c r="I1419" s="2" t="inlineStr">
        <is>
          <t>S3</t>
        </is>
      </c>
      <c r="J1419" s="2" t="n">
        <v>83</v>
      </c>
      <c r="K1419" s="3" t="inlineStr">
        <is>
          <t>Licor del Polo GmbH, Düsseldorf 100 A 100 A</t>
        </is>
      </c>
      <c r="L1419" s="2" t="inlineStr">
        <is>
          <t>pend</t>
        </is>
      </c>
      <c r="M1419" s="2" t="n"/>
      <c r="N1419" s="2" t="n"/>
      <c r="O1419" s="3" t="inlineStr">
        <is>
          <t>https://vanillabonds.com/dossier-data/pdf/katjes/katjes-2025-annual-report.pdf#page=83</t>
        </is>
      </c>
      <c r="P1419" s="3" t="inlineStr">
        <is>
          <t>https://vanillabonds.com/dossier.html?c=katjes&amp;viewer=1&amp;item=F1418</t>
        </is>
      </c>
      <c r="Q1419" s="2" t="inlineStr"/>
    </row>
    <row r="1420">
      <c r="A1420" s="2" t="inlineStr">
        <is>
          <t>F1419</t>
        </is>
      </c>
      <c r="B1420" s="2" t="inlineStr">
        <is>
          <t>governance</t>
        </is>
      </c>
      <c r="C1420" s="2" t="inlineStr">
        <is>
          <t>group_link</t>
        </is>
      </c>
      <c r="D1420"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0" s="2" t="n"/>
      <c r="F1420" s="2" t="n"/>
      <c r="G1420" s="2" t="n"/>
      <c r="H1420" s="3" t="inlineStr">
        <is>
          <t>entity: Barnängen GmbH, Düsseldorf; country: DE; stake: 1; consolidation: A</t>
        </is>
      </c>
      <c r="I1420" s="2" t="inlineStr">
        <is>
          <t>S3</t>
        </is>
      </c>
      <c r="J1420" s="2" t="n">
        <v>83</v>
      </c>
      <c r="K1420" s="2" t="inlineStr">
        <is>
          <t>Barnängen GmbH, Düsseldorf 100 A 100 A</t>
        </is>
      </c>
      <c r="L1420" s="2" t="inlineStr">
        <is>
          <t>pend</t>
        </is>
      </c>
      <c r="M1420" s="2" t="n"/>
      <c r="N1420" s="2" t="n"/>
      <c r="O1420" s="3" t="inlineStr">
        <is>
          <t>https://vanillabonds.com/dossier-data/pdf/katjes/katjes-2025-annual-report.pdf#page=83</t>
        </is>
      </c>
      <c r="P1420" s="3" t="inlineStr">
        <is>
          <t>https://vanillabonds.com/dossier.html?c=katjes&amp;viewer=1&amp;item=F1419</t>
        </is>
      </c>
      <c r="Q1420" s="2" t="inlineStr"/>
    </row>
    <row r="1421">
      <c r="A1421" s="2" t="inlineStr">
        <is>
          <t>F1420</t>
        </is>
      </c>
      <c r="B1421" s="2" t="inlineStr">
        <is>
          <t>governance</t>
        </is>
      </c>
      <c r="C1421" s="2" t="inlineStr">
        <is>
          <t>group_link</t>
        </is>
      </c>
      <c r="D1421"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1" s="2" t="n"/>
      <c r="F1421" s="2" t="n"/>
      <c r="G1421" s="2" t="n"/>
      <c r="H1421" s="3" t="inlineStr">
        <is>
          <t>entity: ÖZW Österreichische Zuckerwaren GmbH, Düsseldorf; country: DE; stake: 1; consolidation: A</t>
        </is>
      </c>
      <c r="I1421" s="2" t="inlineStr">
        <is>
          <t>S3</t>
        </is>
      </c>
      <c r="J1421" s="2" t="n">
        <v>83</v>
      </c>
      <c r="K1421" s="3" t="inlineStr">
        <is>
          <t>ÖZW Österreichische Zuckerwaren GmbH, Düsseldorf 100 A 100 A</t>
        </is>
      </c>
      <c r="L1421" s="2" t="inlineStr">
        <is>
          <t>pend</t>
        </is>
      </c>
      <c r="M1421" s="2" t="n"/>
      <c r="N1421" s="2" t="n"/>
      <c r="O1421" s="3" t="inlineStr">
        <is>
          <t>https://vanillabonds.com/dossier-data/pdf/katjes/katjes-2025-annual-report.pdf#page=83</t>
        </is>
      </c>
      <c r="P1421" s="3" t="inlineStr">
        <is>
          <t>https://vanillabonds.com/dossier.html?c=katjes&amp;viewer=1&amp;item=F1420</t>
        </is>
      </c>
      <c r="Q1421" s="2" t="inlineStr"/>
    </row>
    <row r="1422">
      <c r="A1422" s="2" t="inlineStr">
        <is>
          <t>F1421</t>
        </is>
      </c>
      <c r="B1422" s="2" t="inlineStr">
        <is>
          <t>governance</t>
        </is>
      </c>
      <c r="C1422" s="2" t="inlineStr">
        <is>
          <t>group_link</t>
        </is>
      </c>
      <c r="D1422"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2" s="2" t="n"/>
      <c r="F1422" s="2" t="n"/>
      <c r="G1422" s="2" t="n"/>
      <c r="H1422" s="3" t="inlineStr">
        <is>
          <t>entity: Pharma Candy GmbH &amp; Co. KG, Emmerich am Rhein; country: DE; stake: 0.999; consolidation: A</t>
        </is>
      </c>
      <c r="I1422" s="2" t="inlineStr">
        <is>
          <t>S3</t>
        </is>
      </c>
      <c r="J1422" s="2" t="n">
        <v>83</v>
      </c>
      <c r="K1422" s="3" t="inlineStr">
        <is>
          <t>Pharma Candy GmbH &amp; Co. KG, Emmerich am Rhein 99.9 A 99.9 A</t>
        </is>
      </c>
      <c r="L1422" s="2" t="inlineStr">
        <is>
          <t>pend</t>
        </is>
      </c>
      <c r="M1422" s="2" t="n"/>
      <c r="N1422" s="2" t="n"/>
      <c r="O1422" s="3" t="inlineStr">
        <is>
          <t>https://vanillabonds.com/dossier-data/pdf/katjes/katjes-2025-annual-report.pdf#page=83</t>
        </is>
      </c>
      <c r="P1422" s="3" t="inlineStr">
        <is>
          <t>https://vanillabonds.com/dossier.html?c=katjes&amp;viewer=1&amp;item=F1421</t>
        </is>
      </c>
      <c r="Q1422" s="2" t="inlineStr"/>
    </row>
    <row r="1423">
      <c r="A1423" s="2" t="inlineStr">
        <is>
          <t>F1422</t>
        </is>
      </c>
      <c r="B1423" s="2" t="inlineStr">
        <is>
          <t>governance</t>
        </is>
      </c>
      <c r="C1423" s="2" t="inlineStr">
        <is>
          <t>group_link</t>
        </is>
      </c>
      <c r="D1423"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3" s="2" t="n"/>
      <c r="F1423" s="2" t="n"/>
      <c r="G1423" s="2" t="n"/>
      <c r="H1423" s="3" t="inlineStr">
        <is>
          <t>entity: Katjes Quiet Luxury GmbH, Düsseldorf; country: DE; stake: 1; consolidation: A; note: first listed in the 2025 shareholdings (2024: –)</t>
        </is>
      </c>
      <c r="I1423" s="2" t="inlineStr">
        <is>
          <t>S3</t>
        </is>
      </c>
      <c r="J1423" s="2" t="n">
        <v>83</v>
      </c>
      <c r="K1423" s="3" t="inlineStr">
        <is>
          <t>Katjes Quiet Luxury GmbH, Düsseldorf 100 A - -</t>
        </is>
      </c>
      <c r="L1423" s="2" t="inlineStr">
        <is>
          <t>pend</t>
        </is>
      </c>
      <c r="M1423" s="2" t="n"/>
      <c r="N1423" s="2" t="n"/>
      <c r="O1423" s="3" t="inlineStr">
        <is>
          <t>https://vanillabonds.com/dossier-data/pdf/katjes/katjes-2025-annual-report.pdf#page=83</t>
        </is>
      </c>
      <c r="P1423" s="3" t="inlineStr">
        <is>
          <t>https://vanillabonds.com/dossier.html?c=katjes&amp;viewer=1&amp;item=F1422</t>
        </is>
      </c>
      <c r="Q1423" s="2" t="inlineStr"/>
    </row>
    <row r="1424">
      <c r="A1424" s="2" t="inlineStr">
        <is>
          <t>F1423</t>
        </is>
      </c>
      <c r="B1424" s="2" t="inlineStr">
        <is>
          <t>governance</t>
        </is>
      </c>
      <c r="C1424" s="2" t="inlineStr">
        <is>
          <t>group_link</t>
        </is>
      </c>
      <c r="D1424"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4" s="2" t="n"/>
      <c r="F1424" s="2" t="n"/>
      <c r="G1424" s="2" t="n"/>
      <c r="H1424" s="3" t="inlineStr">
        <is>
          <t>entity: Petchen GmbH, Düsseldorf; country: DE; stake: 1; consolidation: A; note: first listed in the 2025 shareholdings (2024: –)</t>
        </is>
      </c>
      <c r="I1424" s="2" t="inlineStr">
        <is>
          <t>S3</t>
        </is>
      </c>
      <c r="J1424" s="2" t="n">
        <v>83</v>
      </c>
      <c r="K1424" s="2" t="inlineStr">
        <is>
          <t>Petchen GmbH, Düsseldorf 100 A - -</t>
        </is>
      </c>
      <c r="L1424" s="2" t="inlineStr">
        <is>
          <t>pend</t>
        </is>
      </c>
      <c r="M1424" s="2" t="n"/>
      <c r="N1424" s="2" t="n"/>
      <c r="O1424" s="3" t="inlineStr">
        <is>
          <t>https://vanillabonds.com/dossier-data/pdf/katjes/katjes-2025-annual-report.pdf#page=83</t>
        </is>
      </c>
      <c r="P1424" s="3" t="inlineStr">
        <is>
          <t>https://vanillabonds.com/dossier.html?c=katjes&amp;viewer=1&amp;item=F1423</t>
        </is>
      </c>
      <c r="Q1424" s="2" t="inlineStr"/>
    </row>
    <row r="1425">
      <c r="A1425" s="2" t="inlineStr">
        <is>
          <t>F1424</t>
        </is>
      </c>
      <c r="B1425" s="2" t="inlineStr">
        <is>
          <t>governance</t>
        </is>
      </c>
      <c r="C1425" s="2" t="inlineStr">
        <is>
          <t>group_link</t>
        </is>
      </c>
      <c r="D1425"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5" s="2" t="n"/>
      <c r="F1425" s="2" t="n"/>
      <c r="G1425" s="2" t="n"/>
      <c r="H1425" s="3" t="inlineStr">
        <is>
          <t>entity: Shades EU GmbH, Emmerich; country: DE; stake: 1; consolidation: A; note: first listed in the 2025 shareholdings (2024: –)</t>
        </is>
      </c>
      <c r="I1425" s="2" t="inlineStr">
        <is>
          <t>S3</t>
        </is>
      </c>
      <c r="J1425" s="2" t="n">
        <v>83</v>
      </c>
      <c r="K1425" s="2" t="inlineStr">
        <is>
          <t>Shades EU GmbH, Emmerich 100 A - -</t>
        </is>
      </c>
      <c r="L1425" s="2" t="inlineStr">
        <is>
          <t>pend</t>
        </is>
      </c>
      <c r="M1425" s="2" t="n"/>
      <c r="N1425" s="2" t="n"/>
      <c r="O1425" s="3" t="inlineStr">
        <is>
          <t>https://vanillabonds.com/dossier-data/pdf/katjes/katjes-2025-annual-report.pdf#page=83</t>
        </is>
      </c>
      <c r="P1425" s="3" t="inlineStr">
        <is>
          <t>https://vanillabonds.com/dossier.html?c=katjes&amp;viewer=1&amp;item=F1424</t>
        </is>
      </c>
      <c r="Q1425" s="2" t="inlineStr"/>
    </row>
    <row r="1426">
      <c r="A1426" s="2" t="inlineStr">
        <is>
          <t>F1425</t>
        </is>
      </c>
      <c r="B1426" s="2" t="inlineStr">
        <is>
          <t>governance</t>
        </is>
      </c>
      <c r="C1426" s="2" t="inlineStr">
        <is>
          <t>group_link</t>
        </is>
      </c>
      <c r="D1426"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6" s="2" t="n"/>
      <c r="F1426" s="2" t="n"/>
      <c r="G1426" s="2" t="n"/>
      <c r="H1426" s="3" t="inlineStr">
        <is>
          <t>entity: Bogner Commerce GmbH, München; country: DE; stake: 0.6; consolidation: A; note: Bogner Group company: 60% of Willy Bogner GmbH and its subsidiaries acquired on 1 Sep 2025 (p.24), the list does not name the holding entity</t>
        </is>
      </c>
      <c r="I1426" s="2" t="inlineStr">
        <is>
          <t>S3</t>
        </is>
      </c>
      <c r="J1426" s="2" t="n">
        <v>83</v>
      </c>
      <c r="K1426" s="2" t="inlineStr">
        <is>
          <t>Bogner Commerce GmbH, München 60 A - -</t>
        </is>
      </c>
      <c r="L1426" s="2" t="inlineStr">
        <is>
          <t>pend</t>
        </is>
      </c>
      <c r="M1426" s="2" t="n"/>
      <c r="N1426" s="2" t="n"/>
      <c r="O1426" s="3" t="inlineStr">
        <is>
          <t>https://vanillabonds.com/dossier-data/pdf/katjes/katjes-2025-annual-report.pdf#page=83</t>
        </is>
      </c>
      <c r="P1426" s="3" t="inlineStr">
        <is>
          <t>https://vanillabonds.com/dossier.html?c=katjes&amp;viewer=1&amp;item=F1425</t>
        </is>
      </c>
      <c r="Q1426" s="2" t="inlineStr"/>
    </row>
    <row r="1427">
      <c r="A1427" s="2" t="inlineStr">
        <is>
          <t>F1426</t>
        </is>
      </c>
      <c r="B1427" s="2" t="inlineStr">
        <is>
          <t>governance</t>
        </is>
      </c>
      <c r="C1427" s="2" t="inlineStr">
        <is>
          <t>group_link</t>
        </is>
      </c>
      <c r="D1427"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7" s="2" t="n"/>
      <c r="F1427" s="2" t="n"/>
      <c r="G1427" s="2" t="n"/>
      <c r="H1427" s="3" t="inlineStr">
        <is>
          <t>entity: Bogner Direkt Marketing GmbH, München; country: DE; stake: 0.6; consolidation: A; note: Bogner Group company: 60% of Willy Bogner GmbH and its subsidiaries acquired on 1 Sep 2025 (p.24), the list does not name the holding entity</t>
        </is>
      </c>
      <c r="I1427" s="2" t="inlineStr">
        <is>
          <t>S3</t>
        </is>
      </c>
      <c r="J1427" s="2" t="n">
        <v>83</v>
      </c>
      <c r="K1427" s="3" t="inlineStr">
        <is>
          <t>Bogner Direkt Marketing GmbH, München 60 A - -</t>
        </is>
      </c>
      <c r="L1427" s="2" t="inlineStr">
        <is>
          <t>pend</t>
        </is>
      </c>
      <c r="M1427" s="2" t="n"/>
      <c r="N1427" s="2" t="n"/>
      <c r="O1427" s="3" t="inlineStr">
        <is>
          <t>https://vanillabonds.com/dossier-data/pdf/katjes/katjes-2025-annual-report.pdf#page=83</t>
        </is>
      </c>
      <c r="P1427" s="3" t="inlineStr">
        <is>
          <t>https://vanillabonds.com/dossier.html?c=katjes&amp;viewer=1&amp;item=F1426</t>
        </is>
      </c>
      <c r="Q1427" s="2" t="inlineStr"/>
    </row>
    <row r="1428">
      <c r="A1428" s="2" t="inlineStr">
        <is>
          <t>F1427</t>
        </is>
      </c>
      <c r="B1428" s="2" t="inlineStr">
        <is>
          <t>governance</t>
        </is>
      </c>
      <c r="C1428" s="2" t="inlineStr">
        <is>
          <t>group_link</t>
        </is>
      </c>
      <c r="D1428"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8" s="2" t="n"/>
      <c r="F1428" s="2" t="n"/>
      <c r="G1428" s="2" t="n"/>
      <c r="H1428" s="3" t="inlineStr">
        <is>
          <t>entity: Bogner GCA IP Management GmbH, Grünwald; country: DE; stake: 0.6; consolidation: A; note: Bogner Group company: 60% of Willy Bogner GmbH and its subsidiaries acquired on 1 Sep 2025 (p.24), the list does not name the holding entity</t>
        </is>
      </c>
      <c r="I1428" s="2" t="inlineStr">
        <is>
          <t>S3</t>
        </is>
      </c>
      <c r="J1428" s="2" t="n">
        <v>83</v>
      </c>
      <c r="K1428" s="3" t="inlineStr">
        <is>
          <t>Bogner GCA IP Management GmbH, Grünwald 60 A - -</t>
        </is>
      </c>
      <c r="L1428" s="2" t="inlineStr">
        <is>
          <t>pend</t>
        </is>
      </c>
      <c r="M1428" s="2" t="n"/>
      <c r="N1428" s="2" t="n"/>
      <c r="O1428" s="3" t="inlineStr">
        <is>
          <t>https://vanillabonds.com/dossier-data/pdf/katjes/katjes-2025-annual-report.pdf#page=83</t>
        </is>
      </c>
      <c r="P1428" s="3" t="inlineStr">
        <is>
          <t>https://vanillabonds.com/dossier.html?c=katjes&amp;viewer=1&amp;item=F1427</t>
        </is>
      </c>
      <c r="Q1428" s="2" t="inlineStr"/>
    </row>
    <row r="1429">
      <c r="A1429" s="2" t="inlineStr">
        <is>
          <t>F1428</t>
        </is>
      </c>
      <c r="B1429" s="2" t="inlineStr">
        <is>
          <t>governance</t>
        </is>
      </c>
      <c r="C1429" s="2" t="inlineStr">
        <is>
          <t>group_link</t>
        </is>
      </c>
      <c r="D1429"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29" s="2" t="n"/>
      <c r="F1429" s="2" t="n"/>
      <c r="G1429" s="2" t="n"/>
      <c r="H1429" s="3" t="inlineStr">
        <is>
          <t>entity: Bogner GCA IP GmbH &amp; Co. KG, Grünwald; country: DE; stake: 0.6; consolidation: A; note: Bogner Group company: 60% of Willy Bogner GmbH and its subsidiaries acquired on 1 Sep 2025 (p.24), the list does not name the holding entity</t>
        </is>
      </c>
      <c r="I1429" s="2" t="inlineStr">
        <is>
          <t>S3</t>
        </is>
      </c>
      <c r="J1429" s="2" t="n">
        <v>83</v>
      </c>
      <c r="K1429" s="3" t="inlineStr">
        <is>
          <t>Bogner GCA IP GmbH &amp; Co. KG, Grünwald 60 A - -</t>
        </is>
      </c>
      <c r="L1429" s="2" t="inlineStr">
        <is>
          <t>pend</t>
        </is>
      </c>
      <c r="M1429" s="2" t="n"/>
      <c r="N1429" s="2" t="n"/>
      <c r="O1429" s="3" t="inlineStr">
        <is>
          <t>https://vanillabonds.com/dossier-data/pdf/katjes/katjes-2025-annual-report.pdf#page=83</t>
        </is>
      </c>
      <c r="P1429" s="3" t="inlineStr">
        <is>
          <t>https://vanillabonds.com/dossier.html?c=katjes&amp;viewer=1&amp;item=F1428</t>
        </is>
      </c>
      <c r="Q1429" s="2" t="inlineStr"/>
    </row>
    <row r="1430">
      <c r="A1430" s="2" t="inlineStr">
        <is>
          <t>F1429</t>
        </is>
      </c>
      <c r="B1430" s="2" t="inlineStr">
        <is>
          <t>governance</t>
        </is>
      </c>
      <c r="C1430" s="2" t="inlineStr">
        <is>
          <t>group_link</t>
        </is>
      </c>
      <c r="D1430"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0" s="2" t="n"/>
      <c r="F1430" s="2" t="n"/>
      <c r="G1430" s="2" t="n"/>
      <c r="H1430" s="3" t="inlineStr">
        <is>
          <t>entity: Willy Bogner GmbH, München; parent: Katjes Quiet Luxury GmbH; country: DE; stake: 0.6; consolidation: A; note: 60% acquired on 1 Sep 2025 through the wholly owned subsidiary Katjes Quiet Luxury GmbH (p.24), the Bogner family holds 40%</t>
        </is>
      </c>
      <c r="I1430" s="2" t="inlineStr">
        <is>
          <t>S3</t>
        </is>
      </c>
      <c r="J1430" s="2" t="n">
        <v>83</v>
      </c>
      <c r="K1430" s="2" t="inlineStr">
        <is>
          <t>Willy Bogner GmbH, München 60 A - -</t>
        </is>
      </c>
      <c r="L1430" s="2" t="inlineStr">
        <is>
          <t>pend</t>
        </is>
      </c>
      <c r="M1430" s="2" t="n"/>
      <c r="N1430" s="2" t="n"/>
      <c r="O1430" s="3" t="inlineStr">
        <is>
          <t>https://vanillabonds.com/dossier-data/pdf/katjes/katjes-2025-annual-report.pdf#page=83</t>
        </is>
      </c>
      <c r="P1430" s="3" t="inlineStr">
        <is>
          <t>https://vanillabonds.com/dossier.html?c=katjes&amp;viewer=1&amp;item=F1429</t>
        </is>
      </c>
      <c r="Q1430" s="2" t="inlineStr"/>
    </row>
    <row r="1431">
      <c r="A1431" s="2" t="inlineStr">
        <is>
          <t>F1430</t>
        </is>
      </c>
      <c r="B1431" s="2" t="inlineStr">
        <is>
          <t>governance</t>
        </is>
      </c>
      <c r="C1431" s="2" t="inlineStr">
        <is>
          <t>group_link</t>
        </is>
      </c>
      <c r="D1431"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1" s="2" t="n"/>
      <c r="F1431" s="2" t="n"/>
      <c r="G1431" s="2" t="n"/>
      <c r="H1431" s="3" t="inlineStr">
        <is>
          <t>entity: Shirin Beauty GmbH, Düsseldorf; country: DE; stake: 0.5; consolidation: C; role: joint venture</t>
        </is>
      </c>
      <c r="I1431" s="2" t="inlineStr">
        <is>
          <t>S3</t>
        </is>
      </c>
      <c r="J1431" s="2" t="n">
        <v>83</v>
      </c>
      <c r="K1431" s="2" t="inlineStr">
        <is>
          <t>Shirin Beauty GmbH, Düsseldorf 50 C 50 C</t>
        </is>
      </c>
      <c r="L1431" s="2" t="inlineStr">
        <is>
          <t>pend</t>
        </is>
      </c>
      <c r="M1431" s="2" t="n"/>
      <c r="N1431" s="2" t="n"/>
      <c r="O1431" s="3" t="inlineStr">
        <is>
          <t>https://vanillabonds.com/dossier-data/pdf/katjes/katjes-2025-annual-report.pdf#page=83</t>
        </is>
      </c>
      <c r="P1431" s="3" t="inlineStr">
        <is>
          <t>https://vanillabonds.com/dossier.html?c=katjes&amp;viewer=1&amp;item=F1430</t>
        </is>
      </c>
      <c r="Q1431" s="2" t="inlineStr"/>
    </row>
    <row r="1432">
      <c r="A1432" s="2" t="inlineStr">
        <is>
          <t>F1431</t>
        </is>
      </c>
      <c r="B1432" s="2" t="inlineStr">
        <is>
          <t>governance</t>
        </is>
      </c>
      <c r="C1432" s="2" t="inlineStr">
        <is>
          <t>group_link</t>
        </is>
      </c>
      <c r="D1432"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2" s="2" t="n"/>
      <c r="F1432" s="2" t="n"/>
      <c r="G1432" s="2" t="n"/>
      <c r="H1432" s="3" t="inlineStr">
        <is>
          <t>entity: Heel Veel Snoepjes B.V., Nijkerk, Netherlands; country: NL; stake: 1; consolidation: A</t>
        </is>
      </c>
      <c r="I1432" s="2" t="inlineStr">
        <is>
          <t>S3</t>
        </is>
      </c>
      <c r="J1432" s="2" t="n">
        <v>84</v>
      </c>
      <c r="K1432" s="2" t="inlineStr">
        <is>
          <t>Heel Veel Snoepjes B.V.</t>
        </is>
      </c>
      <c r="L1432" s="2" t="inlineStr">
        <is>
          <t>pend</t>
        </is>
      </c>
      <c r="M1432" s="2" t="n"/>
      <c r="N1432" s="2" t="n"/>
      <c r="O1432" s="3" t="inlineStr">
        <is>
          <t>https://vanillabonds.com/dossier-data/pdf/katjes/katjes-2025-annual-report.pdf#page=84</t>
        </is>
      </c>
      <c r="P1432" s="3" t="inlineStr">
        <is>
          <t>https://vanillabonds.com/dossier.html?c=katjes&amp;viewer=1&amp;item=F1431</t>
        </is>
      </c>
      <c r="Q1432" s="2" t="inlineStr"/>
    </row>
    <row r="1433">
      <c r="A1433" s="2" t="inlineStr">
        <is>
          <t>F1432</t>
        </is>
      </c>
      <c r="B1433" s="2" t="inlineStr">
        <is>
          <t>governance</t>
        </is>
      </c>
      <c r="C1433" s="2" t="inlineStr">
        <is>
          <t>group_link</t>
        </is>
      </c>
      <c r="D1433"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3" s="2" t="n"/>
      <c r="F1433" s="2" t="n"/>
      <c r="G1433" s="2" t="n"/>
      <c r="H1433" s="3" t="inlineStr">
        <is>
          <t>entity: Harlekijntjes B.V., Nijkerk, Netherlands; country: NL; stake: 1; consolidation: A</t>
        </is>
      </c>
      <c r="I1433" s="2" t="inlineStr">
        <is>
          <t>S3</t>
        </is>
      </c>
      <c r="J1433" s="2" t="n">
        <v>84</v>
      </c>
      <c r="K1433" s="3" t="inlineStr">
        <is>
          <t>Harlekĳntjes B.V., Nĳkerk, Netherlands 100 A 100 A</t>
        </is>
      </c>
      <c r="L1433" s="2" t="inlineStr">
        <is>
          <t>pend</t>
        </is>
      </c>
      <c r="M1433" s="2" t="n"/>
      <c r="N1433" s="2" t="n"/>
      <c r="O1433" s="3" t="inlineStr">
        <is>
          <t>https://vanillabonds.com/dossier-data/pdf/katjes/katjes-2025-annual-report.pdf#page=84</t>
        </is>
      </c>
      <c r="P1433" s="3" t="inlineStr">
        <is>
          <t>https://vanillabonds.com/dossier.html?c=katjes&amp;viewer=1&amp;item=F1432</t>
        </is>
      </c>
      <c r="Q1433" s="2" t="inlineStr"/>
    </row>
    <row r="1434">
      <c r="A1434" s="2" t="inlineStr">
        <is>
          <t>F1433</t>
        </is>
      </c>
      <c r="B1434" s="2" t="inlineStr">
        <is>
          <t>governance</t>
        </is>
      </c>
      <c r="C1434" s="2" t="inlineStr">
        <is>
          <t>group_link</t>
        </is>
      </c>
      <c r="D1434"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4" s="2" t="n"/>
      <c r="F1434" s="2" t="n"/>
      <c r="G1434" s="2" t="n"/>
      <c r="H1434" s="3" t="inlineStr">
        <is>
          <t>entity: Sperlari S.r.l., Cremona, Italy; country: IT; stake: 1; consolidation: A</t>
        </is>
      </c>
      <c r="I1434" s="2" t="inlineStr">
        <is>
          <t>S3</t>
        </is>
      </c>
      <c r="J1434" s="2" t="n">
        <v>84</v>
      </c>
      <c r="K1434" s="3" t="inlineStr">
        <is>
          <t>Sperlari S.r.l., Cremona, Italy 100 A 100 A</t>
        </is>
      </c>
      <c r="L1434" s="2" t="inlineStr">
        <is>
          <t>pend</t>
        </is>
      </c>
      <c r="M1434" s="2" t="n"/>
      <c r="N1434" s="2" t="n"/>
      <c r="O1434" s="3" t="inlineStr">
        <is>
          <t>https://vanillabonds.com/dossier-data/pdf/katjes/katjes-2025-annual-report.pdf#page=84</t>
        </is>
      </c>
      <c r="P1434" s="3" t="inlineStr">
        <is>
          <t>https://vanillabonds.com/dossier.html?c=katjes&amp;viewer=1&amp;item=F1433</t>
        </is>
      </c>
      <c r="Q1434" s="2" t="inlineStr"/>
    </row>
    <row r="1435">
      <c r="A1435" s="2" t="inlineStr">
        <is>
          <t>F1434</t>
        </is>
      </c>
      <c r="B1435" s="2" t="inlineStr">
        <is>
          <t>governance</t>
        </is>
      </c>
      <c r="C1435" s="2" t="inlineStr">
        <is>
          <t>group_link</t>
        </is>
      </c>
      <c r="D1435"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5" s="2" t="n"/>
      <c r="F1435" s="2" t="n"/>
      <c r="G1435" s="2" t="n"/>
      <c r="H1435" s="3" t="inlineStr">
        <is>
          <t>entity: Dulcioliva S.r.l., Borgo San Dalmazzo, Italy; country: IT; stake: 0.75; consolidation: A</t>
        </is>
      </c>
      <c r="I1435" s="2" t="inlineStr">
        <is>
          <t>S3</t>
        </is>
      </c>
      <c r="J1435" s="2" t="n">
        <v>84</v>
      </c>
      <c r="K1435" s="3" t="inlineStr">
        <is>
          <t>Dulcioliva S.r.l., Borgo San Dalmazzo, Italy 75 A 75 A</t>
        </is>
      </c>
      <c r="L1435" s="2" t="inlineStr">
        <is>
          <t>pend</t>
        </is>
      </c>
      <c r="M1435" s="2" t="n"/>
      <c r="N1435" s="2" t="n"/>
      <c r="O1435" s="3" t="inlineStr">
        <is>
          <t>https://vanillabonds.com/dossier-data/pdf/katjes/katjes-2025-annual-report.pdf#page=84</t>
        </is>
      </c>
      <c r="P1435" s="3" t="inlineStr">
        <is>
          <t>https://vanillabonds.com/dossier.html?c=katjes&amp;viewer=1&amp;item=F1434</t>
        </is>
      </c>
      <c r="Q1435" s="2" t="inlineStr"/>
    </row>
    <row r="1436">
      <c r="A1436" s="2" t="inlineStr">
        <is>
          <t>F1435</t>
        </is>
      </c>
      <c r="B1436" s="2" t="inlineStr">
        <is>
          <t>governance</t>
        </is>
      </c>
      <c r="C1436" s="2" t="inlineStr">
        <is>
          <t>group_link</t>
        </is>
      </c>
      <c r="D1436"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6" s="2" t="n"/>
      <c r="F1436" s="2" t="n"/>
      <c r="G1436" s="2" t="n"/>
      <c r="H1436" s="3" t="inlineStr">
        <is>
          <t>entity: Paluani 1921 S.r.l., Verona, Italy; country: IT; stake: 1; consolidation: A</t>
        </is>
      </c>
      <c r="I1436" s="2" t="inlineStr">
        <is>
          <t>S3</t>
        </is>
      </c>
      <c r="J1436" s="2" t="n">
        <v>84</v>
      </c>
      <c r="K1436" s="3" t="inlineStr">
        <is>
          <t>Paluani 1921 S.r.l., Verona, Italy 100 A 100 A</t>
        </is>
      </c>
      <c r="L1436" s="2" t="inlineStr">
        <is>
          <t>pend</t>
        </is>
      </c>
      <c r="M1436" s="2" t="n"/>
      <c r="N1436" s="2" t="n"/>
      <c r="O1436" s="3" t="inlineStr">
        <is>
          <t>https://vanillabonds.com/dossier-data/pdf/katjes/katjes-2025-annual-report.pdf#page=84</t>
        </is>
      </c>
      <c r="P1436" s="3" t="inlineStr">
        <is>
          <t>https://vanillabonds.com/dossier.html?c=katjes&amp;viewer=1&amp;item=F1435</t>
        </is>
      </c>
      <c r="Q1436" s="2" t="inlineStr"/>
    </row>
    <row r="1437">
      <c r="A1437" s="2" t="inlineStr">
        <is>
          <t>F1436</t>
        </is>
      </c>
      <c r="B1437" s="2" t="inlineStr">
        <is>
          <t>governance</t>
        </is>
      </c>
      <c r="C1437" s="2" t="inlineStr">
        <is>
          <t>group_link</t>
        </is>
      </c>
      <c r="D1437"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7" s="2" t="n"/>
      <c r="F1437" s="2" t="n"/>
      <c r="G1437" s="2" t="n"/>
      <c r="H1437" s="3" t="inlineStr">
        <is>
          <t>entity: Candy Kittens Ltd., London, UK; country: GB; stake: 0.88; consolidation: A</t>
        </is>
      </c>
      <c r="I1437" s="2" t="inlineStr">
        <is>
          <t>S3</t>
        </is>
      </c>
      <c r="J1437" s="2" t="n">
        <v>84</v>
      </c>
      <c r="K1437" s="3" t="inlineStr">
        <is>
          <t>Candy Kittens Ltd., London, UK 88.0 A 88.0 A</t>
        </is>
      </c>
      <c r="L1437" s="2" t="inlineStr">
        <is>
          <t>pend</t>
        </is>
      </c>
      <c r="M1437" s="2" t="n"/>
      <c r="N1437" s="2" t="n"/>
      <c r="O1437" s="3" t="inlineStr">
        <is>
          <t>https://vanillabonds.com/dossier-data/pdf/katjes/katjes-2025-annual-report.pdf#page=84</t>
        </is>
      </c>
      <c r="P1437" s="3" t="inlineStr">
        <is>
          <t>https://vanillabonds.com/dossier.html?c=katjes&amp;viewer=1&amp;item=F1436</t>
        </is>
      </c>
      <c r="Q1437" s="2" t="inlineStr"/>
    </row>
    <row r="1438">
      <c r="A1438" s="2" t="inlineStr">
        <is>
          <t>F1437</t>
        </is>
      </c>
      <c r="B1438" s="2" t="inlineStr">
        <is>
          <t>governance</t>
        </is>
      </c>
      <c r="C1438" s="2" t="inlineStr">
        <is>
          <t>group_link</t>
        </is>
      </c>
      <c r="D1438"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8" s="2" t="n"/>
      <c r="F1438" s="2" t="n"/>
      <c r="G1438" s="2" t="n"/>
      <c r="H1438" s="3" t="inlineStr">
        <is>
          <t>entity: Tuckshop Ltd, London, UK; country: GB; stake: 0.75; consolidation: A</t>
        </is>
      </c>
      <c r="I1438" s="2" t="inlineStr">
        <is>
          <t>S3</t>
        </is>
      </c>
      <c r="J1438" s="2" t="n">
        <v>84</v>
      </c>
      <c r="K1438" s="2" t="inlineStr">
        <is>
          <t>Tuckshop Ltd, London, UK 75 A 75 A</t>
        </is>
      </c>
      <c r="L1438" s="2" t="inlineStr">
        <is>
          <t>pend</t>
        </is>
      </c>
      <c r="M1438" s="2" t="n"/>
      <c r="N1438" s="2" t="n"/>
      <c r="O1438" s="3" t="inlineStr">
        <is>
          <t>https://vanillabonds.com/dossier-data/pdf/katjes/katjes-2025-annual-report.pdf#page=84</t>
        </is>
      </c>
      <c r="P1438" s="3" t="inlineStr">
        <is>
          <t>https://vanillabonds.com/dossier.html?c=katjes&amp;viewer=1&amp;item=F1437</t>
        </is>
      </c>
      <c r="Q1438" s="2" t="inlineStr"/>
    </row>
    <row r="1439">
      <c r="A1439" s="2" t="inlineStr">
        <is>
          <t>F1438</t>
        </is>
      </c>
      <c r="B1439" s="2" t="inlineStr">
        <is>
          <t>governance</t>
        </is>
      </c>
      <c r="C1439" s="2" t="inlineStr">
        <is>
          <t>group_link</t>
        </is>
      </c>
      <c r="D1439"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39" s="2" t="n"/>
      <c r="F1439" s="2" t="n"/>
      <c r="G1439" s="2" t="n"/>
      <c r="H1439" s="3" t="inlineStr">
        <is>
          <t>entity: Bogner Vertriebsgesellschaft GmbH, Salzburg, Austria; country: AT; stake: 0.6; consolidation: A; note: Bogner Group company: 60% of Willy Bogner GmbH and its subsidiaries acquired on 1 Sep 2025 (p.24), the list does not name the holding entity</t>
        </is>
      </c>
      <c r="I1439" s="2" t="inlineStr">
        <is>
          <t>S3</t>
        </is>
      </c>
      <c r="J1439" s="2" t="n">
        <v>84</v>
      </c>
      <c r="K1439" s="3" t="inlineStr">
        <is>
          <t>Bogner Vertriebsgesellschaft GmbH, Salzburg, Austria 60 A - -</t>
        </is>
      </c>
      <c r="L1439" s="2" t="inlineStr">
        <is>
          <t>pend</t>
        </is>
      </c>
      <c r="M1439" s="2" t="n"/>
      <c r="N1439" s="2" t="n"/>
      <c r="O1439" s="3" t="inlineStr">
        <is>
          <t>https://vanillabonds.com/dossier-data/pdf/katjes/katjes-2025-annual-report.pdf#page=84</t>
        </is>
      </c>
      <c r="P1439" s="3" t="inlineStr">
        <is>
          <t>https://vanillabonds.com/dossier.html?c=katjes&amp;viewer=1&amp;item=F1438</t>
        </is>
      </c>
      <c r="Q1439" s="2" t="inlineStr"/>
    </row>
    <row r="1440">
      <c r="A1440" s="2" t="inlineStr">
        <is>
          <t>F1439</t>
        </is>
      </c>
      <c r="B1440" s="2" t="inlineStr">
        <is>
          <t>governance</t>
        </is>
      </c>
      <c r="C1440" s="2" t="inlineStr">
        <is>
          <t>group_link</t>
        </is>
      </c>
      <c r="D1440"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0" s="2" t="n"/>
      <c r="F1440" s="2" t="n"/>
      <c r="G1440" s="2" t="n"/>
      <c r="H1440" s="3" t="inlineStr">
        <is>
          <t>entity: Bogner Eastern Europe LLC, Moscow, Russia; country: RU; stake: 0.6; consolidation: A; note: Bogner Group company: 60% of Willy Bogner GmbH and its subsidiaries acquired on 1 Sep 2025 (p.24), the list does not name the holding entity</t>
        </is>
      </c>
      <c r="I1440" s="2" t="inlineStr">
        <is>
          <t>S3</t>
        </is>
      </c>
      <c r="J1440" s="2" t="n">
        <v>84</v>
      </c>
      <c r="K1440" s="3" t="inlineStr">
        <is>
          <t>Bogner Eastern Europe LLC, Moscow, Russia 60 A - -</t>
        </is>
      </c>
      <c r="L1440" s="2" t="inlineStr">
        <is>
          <t>pend</t>
        </is>
      </c>
      <c r="M1440" s="2" t="n"/>
      <c r="N1440" s="2" t="n"/>
      <c r="O1440" s="3" t="inlineStr">
        <is>
          <t>https://vanillabonds.com/dossier-data/pdf/katjes/katjes-2025-annual-report.pdf#page=84</t>
        </is>
      </c>
      <c r="P1440" s="3" t="inlineStr">
        <is>
          <t>https://vanillabonds.com/dossier.html?c=katjes&amp;viewer=1&amp;item=F1439</t>
        </is>
      </c>
      <c r="Q1440" s="2" t="inlineStr"/>
    </row>
    <row r="1441">
      <c r="A1441" s="2" t="inlineStr">
        <is>
          <t>F1440</t>
        </is>
      </c>
      <c r="B1441" s="2" t="inlineStr">
        <is>
          <t>governance</t>
        </is>
      </c>
      <c r="C1441" s="2" t="inlineStr">
        <is>
          <t>group_link</t>
        </is>
      </c>
      <c r="D1441"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1" s="2" t="n"/>
      <c r="F1441" s="2" t="n"/>
      <c r="G1441" s="2" t="n"/>
      <c r="H1441" s="3" t="inlineStr">
        <is>
          <t>entity: Bogner Sport AG, Zürich, Switzerland; country: CH; stake: 0.6; consolidation: A; note: Bogner Group company: 60% of Willy Bogner GmbH and its subsidiaries acquired on 1 Sep 2025 (p.24), the list does not name the holding entity</t>
        </is>
      </c>
      <c r="I1441" s="2" t="inlineStr">
        <is>
          <t>S3</t>
        </is>
      </c>
      <c r="J1441" s="2" t="n">
        <v>84</v>
      </c>
      <c r="K1441" s="3" t="inlineStr">
        <is>
          <t>Bogner Sport AG, Zürich, Switzerland 60 A - -</t>
        </is>
      </c>
      <c r="L1441" s="2" t="inlineStr">
        <is>
          <t>pend</t>
        </is>
      </c>
      <c r="M1441" s="2" t="n"/>
      <c r="N1441" s="2" t="n"/>
      <c r="O1441" s="3" t="inlineStr">
        <is>
          <t>https://vanillabonds.com/dossier-data/pdf/katjes/katjes-2025-annual-report.pdf#page=84</t>
        </is>
      </c>
      <c r="P1441" s="3" t="inlineStr">
        <is>
          <t>https://vanillabonds.com/dossier.html?c=katjes&amp;viewer=1&amp;item=F1440</t>
        </is>
      </c>
      <c r="Q1441" s="2" t="inlineStr"/>
    </row>
    <row r="1442">
      <c r="A1442" s="2" t="inlineStr">
        <is>
          <t>F1441</t>
        </is>
      </c>
      <c r="B1442" s="2" t="inlineStr">
        <is>
          <t>governance</t>
        </is>
      </c>
      <c r="C1442" s="2" t="inlineStr">
        <is>
          <t>group_link</t>
        </is>
      </c>
      <c r="D1442"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2" s="2" t="n"/>
      <c r="F1442" s="2" t="n"/>
      <c r="G1442" s="2" t="n"/>
      <c r="H1442" s="3" t="inlineStr">
        <is>
          <t>entity: Bogner France SARL, La Bâthie, France; country: FR; stake: 0.6; consolidation: A; note: Bogner Group company: 60% of Willy Bogner GmbH and its subsidiaries acquired on 1 Sep 2025 (p.24), the list does not name the holding entity</t>
        </is>
      </c>
      <c r="I1442" s="2" t="inlineStr">
        <is>
          <t>S3</t>
        </is>
      </c>
      <c r="J1442" s="2" t="n">
        <v>84</v>
      </c>
      <c r="K1442" s="3" t="inlineStr">
        <is>
          <t>Bogner France SARL, La Bâthie, France 60 A - -</t>
        </is>
      </c>
      <c r="L1442" s="2" t="inlineStr">
        <is>
          <t>pend</t>
        </is>
      </c>
      <c r="M1442" s="2" t="n"/>
      <c r="N1442" s="2" t="n"/>
      <c r="O1442" s="3" t="inlineStr">
        <is>
          <t>https://vanillabonds.com/dossier-data/pdf/katjes/katjes-2025-annual-report.pdf#page=84</t>
        </is>
      </c>
      <c r="P1442" s="3" t="inlineStr">
        <is>
          <t>https://vanillabonds.com/dossier.html?c=katjes&amp;viewer=1&amp;item=F1441</t>
        </is>
      </c>
      <c r="Q1442" s="2" t="inlineStr"/>
    </row>
    <row r="1443">
      <c r="A1443" s="2" t="inlineStr">
        <is>
          <t>F1442</t>
        </is>
      </c>
      <c r="B1443" s="2" t="inlineStr">
        <is>
          <t>governance</t>
        </is>
      </c>
      <c r="C1443" s="2" t="inlineStr">
        <is>
          <t>group_link</t>
        </is>
      </c>
      <c r="D1443"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3" s="2" t="n"/>
      <c r="F1443" s="2" t="n"/>
      <c r="G1443" s="2" t="n"/>
      <c r="H1443" s="3" t="inlineStr">
        <is>
          <t>entity: Bogner Asia, Ltd., Hong Kong/China; country: HK; stake: 0.6; consolidation: A; note: Bogner Group company: 60% of Willy Bogner GmbH and its subsidiaries acquired on 1 Sep 2025 (p.24), the list does not name the holding entity</t>
        </is>
      </c>
      <c r="I1443" s="2" t="inlineStr">
        <is>
          <t>S3</t>
        </is>
      </c>
      <c r="J1443" s="2" t="n">
        <v>84</v>
      </c>
      <c r="K1443" s="3" t="inlineStr">
        <is>
          <t>Bogner Asia, Ltd., Hong Kong/China 60 A - -</t>
        </is>
      </c>
      <c r="L1443" s="2" t="inlineStr">
        <is>
          <t>pend</t>
        </is>
      </c>
      <c r="M1443" s="2" t="n"/>
      <c r="N1443" s="2" t="n"/>
      <c r="O1443" s="3" t="inlineStr">
        <is>
          <t>https://vanillabonds.com/dossier-data/pdf/katjes/katjes-2025-annual-report.pdf#page=84</t>
        </is>
      </c>
      <c r="P1443" s="3" t="inlineStr">
        <is>
          <t>https://vanillabonds.com/dossier.html?c=katjes&amp;viewer=1&amp;item=F1442</t>
        </is>
      </c>
      <c r="Q1443" s="2" t="inlineStr"/>
    </row>
    <row r="1444">
      <c r="A1444" s="2" t="inlineStr">
        <is>
          <t>F1443</t>
        </is>
      </c>
      <c r="B1444" s="2" t="inlineStr">
        <is>
          <t>governance</t>
        </is>
      </c>
      <c r="C1444" s="2" t="inlineStr">
        <is>
          <t>group_link</t>
        </is>
      </c>
      <c r="D1444"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4" s="2" t="n"/>
      <c r="F1444" s="2" t="n"/>
      <c r="G1444" s="2" t="n"/>
      <c r="H1444" s="3" t="inlineStr">
        <is>
          <t>entity: Bogner of America Inc., New York City, USA; country: US; stake: 0.6; consolidation: A; note: Bogner Group company: 60% of Willy Bogner GmbH and its subsidiaries acquired on 1 Sep 2025 (p.24), the list does not name the holding entity</t>
        </is>
      </c>
      <c r="I1444" s="2" t="inlineStr">
        <is>
          <t>S3</t>
        </is>
      </c>
      <c r="J1444" s="2" t="n">
        <v>84</v>
      </c>
      <c r="K1444" s="3" t="inlineStr">
        <is>
          <t>Bogner of America Inc., New York City, USA 60 A - -</t>
        </is>
      </c>
      <c r="L1444" s="2" t="inlineStr">
        <is>
          <t>pend</t>
        </is>
      </c>
      <c r="M1444" s="2" t="n"/>
      <c r="N1444" s="2" t="n"/>
      <c r="O1444" s="3" t="inlineStr">
        <is>
          <t>https://vanillabonds.com/dossier-data/pdf/katjes/katjes-2025-annual-report.pdf#page=84</t>
        </is>
      </c>
      <c r="P1444" s="3" t="inlineStr">
        <is>
          <t>https://vanillabonds.com/dossier.html?c=katjes&amp;viewer=1&amp;item=F1443</t>
        </is>
      </c>
      <c r="Q1444" s="2" t="inlineStr"/>
    </row>
    <row r="1445">
      <c r="A1445" s="2" t="inlineStr">
        <is>
          <t>F1444</t>
        </is>
      </c>
      <c r="B1445" s="2" t="inlineStr">
        <is>
          <t>governance</t>
        </is>
      </c>
      <c r="C1445" s="2" t="inlineStr">
        <is>
          <t>group_link</t>
        </is>
      </c>
      <c r="D1445"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5" s="2" t="n"/>
      <c r="F1445" s="2" t="n"/>
      <c r="G1445" s="2" t="n"/>
      <c r="H1445" s="3" t="inlineStr">
        <is>
          <t>entity: Bogner du Canada LLC, Cowansville, Canada; country: CA; stake: 0.6; consolidation: A; note: Bogner Group company: 60% of Willy Bogner GmbH and its subsidiaries acquired on 1 Sep 2025 (p.24), the list does not name the holding entity</t>
        </is>
      </c>
      <c r="I1445" s="2" t="inlineStr">
        <is>
          <t>S3</t>
        </is>
      </c>
      <c r="J1445" s="2" t="n">
        <v>84</v>
      </c>
      <c r="K1445" s="3" t="inlineStr">
        <is>
          <t>Bogner du Canada LLC, Cowansville, Canada 60 A - -</t>
        </is>
      </c>
      <c r="L1445" s="2" t="inlineStr">
        <is>
          <t>pend</t>
        </is>
      </c>
      <c r="M1445" s="2" t="n"/>
      <c r="N1445" s="2" t="n"/>
      <c r="O1445" s="3" t="inlineStr">
        <is>
          <t>https://vanillabonds.com/dossier-data/pdf/katjes/katjes-2025-annual-report.pdf#page=84</t>
        </is>
      </c>
      <c r="P1445" s="3" t="inlineStr">
        <is>
          <t>https://vanillabonds.com/dossier.html?c=katjes&amp;viewer=1&amp;item=F1444</t>
        </is>
      </c>
      <c r="Q1445" s="2" t="inlineStr"/>
    </row>
    <row r="1446">
      <c r="A1446" s="2" t="inlineStr">
        <is>
          <t>F1445</t>
        </is>
      </c>
      <c r="B1446" s="2" t="inlineStr">
        <is>
          <t>governance</t>
        </is>
      </c>
      <c r="C1446" s="2" t="inlineStr">
        <is>
          <t>group_link</t>
        </is>
      </c>
      <c r="D1446"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6" s="2" t="n"/>
      <c r="F1446" s="2" t="n"/>
      <c r="G1446" s="2" t="n"/>
      <c r="H1446" s="3" t="inlineStr">
        <is>
          <t>entity: Future Snacks Ltd., London, UK; country: GB; stake: 1; consolidation: A; note: first listed in the 2025 shareholdings (2024: –)</t>
        </is>
      </c>
      <c r="I1446" s="2" t="inlineStr">
        <is>
          <t>S3</t>
        </is>
      </c>
      <c r="J1446" s="2" t="n">
        <v>84</v>
      </c>
      <c r="K1446" s="2" t="inlineStr">
        <is>
          <t>Future Snacks Ltd., London, UK 100 A - -</t>
        </is>
      </c>
      <c r="L1446" s="2" t="inlineStr">
        <is>
          <t>pend</t>
        </is>
      </c>
      <c r="M1446" s="2" t="n"/>
      <c r="N1446" s="2" t="n"/>
      <c r="O1446" s="3" t="inlineStr">
        <is>
          <t>https://vanillabonds.com/dossier-data/pdf/katjes/katjes-2025-annual-report.pdf#page=84</t>
        </is>
      </c>
      <c r="P1446" s="3" t="inlineStr">
        <is>
          <t>https://vanillabonds.com/dossier.html?c=katjes&amp;viewer=1&amp;item=F1445</t>
        </is>
      </c>
      <c r="Q1446" s="2" t="inlineStr"/>
    </row>
    <row r="1447">
      <c r="A1447" s="2" t="inlineStr">
        <is>
          <t>F1446</t>
        </is>
      </c>
      <c r="B1447" s="2" t="inlineStr">
        <is>
          <t>governance</t>
        </is>
      </c>
      <c r="C1447" s="2" t="inlineStr">
        <is>
          <t>group_link</t>
        </is>
      </c>
      <c r="D1447"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7" s="2" t="n"/>
      <c r="F1447" s="2" t="n"/>
      <c r="G1447" s="2" t="n"/>
      <c r="H1447" s="3" t="inlineStr">
        <is>
          <t>entity: Bogner GCA Holding PTE. Ltd., Singapore; country: SG; stake: 0.45; consolidation: B; role: associate; note: first listed in the 2025 shareholdings (2024: –)</t>
        </is>
      </c>
      <c r="I1447" s="2" t="inlineStr">
        <is>
          <t>S3</t>
        </is>
      </c>
      <c r="J1447" s="2" t="n">
        <v>84</v>
      </c>
      <c r="K1447" s="3" t="inlineStr">
        <is>
          <t>Bogner GCA Holding PTE. Ltd., Singapore 45 B - -</t>
        </is>
      </c>
      <c r="L1447" s="2" t="inlineStr">
        <is>
          <t>pend</t>
        </is>
      </c>
      <c r="M1447" s="2" t="n"/>
      <c r="N1447" s="2" t="n"/>
      <c r="O1447" s="3" t="inlineStr">
        <is>
          <t>https://vanillabonds.com/dossier-data/pdf/katjes/katjes-2025-annual-report.pdf#page=84</t>
        </is>
      </c>
      <c r="P1447" s="3" t="inlineStr">
        <is>
          <t>https://vanillabonds.com/dossier.html?c=katjes&amp;viewer=1&amp;item=F1446</t>
        </is>
      </c>
      <c r="Q1447" s="2" t="inlineStr"/>
    </row>
    <row r="1448">
      <c r="A1448" s="2" t="inlineStr">
        <is>
          <t>F1447</t>
        </is>
      </c>
      <c r="B1448" s="2" t="inlineStr">
        <is>
          <t>governance</t>
        </is>
      </c>
      <c r="C1448" s="2" t="inlineStr">
        <is>
          <t>group_link</t>
        </is>
      </c>
      <c r="D1448"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8" s="2" t="n"/>
      <c r="F1448" s="2" t="n"/>
      <c r="G1448" s="2" t="n"/>
      <c r="H1448" s="3" t="inlineStr">
        <is>
          <t>entity: Shades Snacks Ltd., London, UK; country: GB; stake: 0.49; consolidation: C; role: joint venture; note: first listed in the 2025 shareholdings (2024: –)</t>
        </is>
      </c>
      <c r="I1448" s="2" t="inlineStr">
        <is>
          <t>S3</t>
        </is>
      </c>
      <c r="J1448" s="2" t="n">
        <v>84</v>
      </c>
      <c r="K1448" s="2" t="inlineStr">
        <is>
          <t>Shades Snacks Ltd., London, UK 49 C - -</t>
        </is>
      </c>
      <c r="L1448" s="2" t="inlineStr">
        <is>
          <t>pend</t>
        </is>
      </c>
      <c r="M1448" s="2" t="n"/>
      <c r="N1448" s="2" t="n"/>
      <c r="O1448" s="3" t="inlineStr">
        <is>
          <t>https://vanillabonds.com/dossier-data/pdf/katjes/katjes-2025-annual-report.pdf#page=84</t>
        </is>
      </c>
      <c r="P1448" s="3" t="inlineStr">
        <is>
          <t>https://vanillabonds.com/dossier.html?c=katjes&amp;viewer=1&amp;item=F1447</t>
        </is>
      </c>
      <c r="Q1448" s="2" t="inlineStr"/>
    </row>
    <row r="1449">
      <c r="A1449" s="2" t="inlineStr">
        <is>
          <t>F1448</t>
        </is>
      </c>
      <c r="B1449" s="2" t="inlineStr">
        <is>
          <t>governance</t>
        </is>
      </c>
      <c r="C1449" s="2" t="inlineStr">
        <is>
          <t>group_link</t>
        </is>
      </c>
      <c r="D1449"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49" s="2" t="n"/>
      <c r="F1449" s="2" t="n"/>
      <c r="G1449" s="2" t="n"/>
      <c r="H1449" s="3" t="inlineStr">
        <is>
          <t>entity: Longaim Ltd, London, UK; parent: Candy Kittens Ltd.; country: GB; stake: 0.88; consolidation: A; note: subsidiary of Candy Kittens as the notes state (p.67)</t>
        </is>
      </c>
      <c r="I1449" s="2" t="inlineStr">
        <is>
          <t>S3</t>
        </is>
      </c>
      <c r="J1449" s="2" t="n">
        <v>84</v>
      </c>
      <c r="K1449" s="2" t="inlineStr">
        <is>
          <t>Longaim Ltd, London, UK 88.0 A 88.0 A</t>
        </is>
      </c>
      <c r="L1449" s="2" t="inlineStr">
        <is>
          <t>pend</t>
        </is>
      </c>
      <c r="M1449" s="2" t="n"/>
      <c r="N1449" s="2" t="n"/>
      <c r="O1449" s="3" t="inlineStr">
        <is>
          <t>https://vanillabonds.com/dossier-data/pdf/katjes/katjes-2025-annual-report.pdf#page=84</t>
        </is>
      </c>
      <c r="P1449" s="3" t="inlineStr">
        <is>
          <t>https://vanillabonds.com/dossier.html?c=katjes&amp;viewer=1&amp;item=F1448</t>
        </is>
      </c>
      <c r="Q1449" s="2" t="inlineStr"/>
    </row>
    <row r="1450">
      <c r="A1450" s="2" t="inlineStr">
        <is>
          <t>F1449</t>
        </is>
      </c>
      <c r="B1450" s="2" t="inlineStr">
        <is>
          <t>governance</t>
        </is>
      </c>
      <c r="C1450" s="2" t="inlineStr">
        <is>
          <t>group_link</t>
        </is>
      </c>
      <c r="D1450"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50" s="2" t="n"/>
      <c r="F1450" s="2" t="n"/>
      <c r="G1450" s="2" t="n"/>
      <c r="H1450" s="3" t="inlineStr">
        <is>
          <t>entity: CPK S.A.S., Paris, France; country: FR; stake: 0; consolidation: none; role: associate; note: 2024: 23% at equity (B), the 23% minority interest was disposed of in Q4 2025 (p.24)</t>
        </is>
      </c>
      <c r="I1450" s="2" t="inlineStr">
        <is>
          <t>S3</t>
        </is>
      </c>
      <c r="J1450" s="2" t="n">
        <v>84</v>
      </c>
      <c r="K1450" s="2" t="inlineStr">
        <is>
          <t>CPK S.A.S., Paris, France</t>
        </is>
      </c>
      <c r="L1450" s="2" t="inlineStr">
        <is>
          <t>pend</t>
        </is>
      </c>
      <c r="M1450" s="2" t="n"/>
      <c r="N1450" s="2" t="n"/>
      <c r="O1450" s="3" t="inlineStr">
        <is>
          <t>https://vanillabonds.com/dossier-data/pdf/katjes/katjes-2025-annual-report.pdf#page=84</t>
        </is>
      </c>
      <c r="P1450" s="3" t="inlineStr">
        <is>
          <t>https://vanillabonds.com/dossier.html?c=katjes&amp;viewer=1&amp;item=F1449</t>
        </is>
      </c>
      <c r="Q1450" s="2" t="inlineStr"/>
    </row>
    <row r="1451">
      <c r="A1451" s="2" t="inlineStr">
        <is>
          <t>F1450</t>
        </is>
      </c>
      <c r="B1451" s="2" t="inlineStr">
        <is>
          <t>governance</t>
        </is>
      </c>
      <c r="C1451" s="2" t="inlineStr">
        <is>
          <t>group_link</t>
        </is>
      </c>
      <c r="D1451"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51" s="2" t="n"/>
      <c r="F1451" s="2" t="n"/>
      <c r="G1451" s="2" t="n"/>
      <c r="H1451" s="3" t="inlineStr">
        <is>
          <t>entity: Nuud Snacks Ltd., London, UK; country: GB; stake: 0.08; consolidation: none; role: minority</t>
        </is>
      </c>
      <c r="I1451" s="2" t="inlineStr">
        <is>
          <t>S3</t>
        </is>
      </c>
      <c r="J1451" s="2" t="n">
        <v>84</v>
      </c>
      <c r="K1451" s="2" t="inlineStr">
        <is>
          <t>Nuud Snacks Ltd., London, UK</t>
        </is>
      </c>
      <c r="L1451" s="2" t="inlineStr">
        <is>
          <t>pend</t>
        </is>
      </c>
      <c r="M1451" s="2" t="n"/>
      <c r="N1451" s="2" t="n"/>
      <c r="O1451" s="3" t="inlineStr">
        <is>
          <t>https://vanillabonds.com/dossier-data/pdf/katjes/katjes-2025-annual-report.pdf#page=84</t>
        </is>
      </c>
      <c r="P1451" s="3" t="inlineStr">
        <is>
          <t>https://vanillabonds.com/dossier.html?c=katjes&amp;viewer=1&amp;item=F1450</t>
        </is>
      </c>
      <c r="Q1451" s="2" t="inlineStr"/>
    </row>
    <row r="1452">
      <c r="A1452" s="2" t="inlineStr">
        <is>
          <t>F1451</t>
        </is>
      </c>
      <c r="B1452" s="2" t="inlineStr">
        <is>
          <t>governance</t>
        </is>
      </c>
      <c r="C1452" s="2" t="inlineStr">
        <is>
          <t>group_link</t>
        </is>
      </c>
      <c r="D1452"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52" s="2" t="n"/>
      <c r="F1452" s="2" t="n"/>
      <c r="G1452" s="2" t="n"/>
      <c r="H1452" s="3" t="inlineStr">
        <is>
          <t>entity: Nature Delivered Ltd. (Graze), United Kingdom; parent: Future Snacks Ltd.; country: GB; stake: 1; consolidation: none; note: acquired in February 2026, after the balance-sheet date, not in the 2025 shareholdings</t>
        </is>
      </c>
      <c r="I1452" s="2" t="inlineStr">
        <is>
          <t>S3</t>
        </is>
      </c>
      <c r="J1452" s="2" t="n">
        <v>81</v>
      </c>
      <c r="K1452" s="3" t="inlineStr">
        <is>
          <t>acquired 100% of the shares in Nature Delivered Ltd. (“Graze”) from Unilever</t>
        </is>
      </c>
      <c r="L1452" s="2" t="inlineStr">
        <is>
          <t>pend</t>
        </is>
      </c>
      <c r="M1452" s="2" t="n"/>
      <c r="N1452" s="2" t="n"/>
      <c r="O1452" s="3" t="inlineStr">
        <is>
          <t>https://vanillabonds.com/dossier-data/pdf/katjes/katjes-2025-annual-report.pdf#page=81</t>
        </is>
      </c>
      <c r="P1452" s="3" t="inlineStr">
        <is>
          <t>https://vanillabonds.com/dossier.html?c=katjes&amp;viewer=1&amp;item=F1451</t>
        </is>
      </c>
      <c r="Q1452" s="2" t="inlineStr"/>
    </row>
    <row r="1453">
      <c r="A1453" s="2" t="inlineStr">
        <is>
          <t>F1452</t>
        </is>
      </c>
      <c r="B1453" s="2" t="inlineStr">
        <is>
          <t>governance</t>
        </is>
      </c>
      <c r="C1453" s="2" t="inlineStr">
        <is>
          <t>group_link</t>
        </is>
      </c>
      <c r="D1453" s="3" t="inlineStr">
        <is>
          <t>Group tree link: entity; parent (as the document states it); country (ISO-2); stake (0-1); consolidation (A fully consolidated / B equity method / C joint venture / none); role (issuer, parent, guarantor, material group company, sister company, joint venture, associate, minority, general partner); note</t>
        </is>
      </c>
      <c r="E1453" s="2" t="n"/>
      <c r="F1453" s="2" t="n"/>
      <c r="G1453" s="2" t="n"/>
      <c r="H1453" s="3" t="inlineStr">
        <is>
          <t>entity: Missoni S.p.A., Italy; country: IT; stake: 0.27; consolidation: none; role: associate; note: approximately 27%, agreement signed, closing expected in Q2 2026, not in the 2025 shareholdings</t>
        </is>
      </c>
      <c r="I1453" s="2" t="inlineStr">
        <is>
          <t>S3</t>
        </is>
      </c>
      <c r="J1453" s="2" t="n">
        <v>81</v>
      </c>
      <c r="K1453" s="2" t="inlineStr">
        <is>
          <t>approximately 27% of Missoni S.p.A.</t>
        </is>
      </c>
      <c r="L1453" s="2" t="inlineStr">
        <is>
          <t>pend</t>
        </is>
      </c>
      <c r="M1453" s="2" t="n"/>
      <c r="N1453" s="2" t="n"/>
      <c r="O1453" s="3" t="inlineStr">
        <is>
          <t>https://vanillabonds.com/dossier-data/pdf/katjes/katjes-2025-annual-report.pdf#page=81</t>
        </is>
      </c>
      <c r="P1453" s="3" t="inlineStr">
        <is>
          <t>https://vanillabonds.com/dossier.html?c=katjes&amp;viewer=1&amp;item=F1452</t>
        </is>
      </c>
      <c r="Q1453" s="2" t="inlineStr"/>
    </row>
  </sheetData>
  <hyperlinks>
    <hyperlink xmlns:r="http://schemas.openxmlformats.org/officeDocument/2006/relationships" ref="O2" r:id="rId1"/>
    <hyperlink xmlns:r="http://schemas.openxmlformats.org/officeDocument/2006/relationships" ref="P2" r:id="rId2"/>
    <hyperlink xmlns:r="http://schemas.openxmlformats.org/officeDocument/2006/relationships" ref="O3" r:id="rId3"/>
    <hyperlink xmlns:r="http://schemas.openxmlformats.org/officeDocument/2006/relationships" ref="P3" r:id="rId4"/>
    <hyperlink xmlns:r="http://schemas.openxmlformats.org/officeDocument/2006/relationships" ref="O4" r:id="rId5"/>
    <hyperlink xmlns:r="http://schemas.openxmlformats.org/officeDocument/2006/relationships" ref="P4" r:id="rId6"/>
    <hyperlink xmlns:r="http://schemas.openxmlformats.org/officeDocument/2006/relationships" ref="O5" r:id="rId7"/>
    <hyperlink xmlns:r="http://schemas.openxmlformats.org/officeDocument/2006/relationships" ref="P5" r:id="rId8"/>
    <hyperlink xmlns:r="http://schemas.openxmlformats.org/officeDocument/2006/relationships" ref="O6" r:id="rId9"/>
    <hyperlink xmlns:r="http://schemas.openxmlformats.org/officeDocument/2006/relationships" ref="P6" r:id="rId10"/>
    <hyperlink xmlns:r="http://schemas.openxmlformats.org/officeDocument/2006/relationships" ref="O7" r:id="rId11"/>
    <hyperlink xmlns:r="http://schemas.openxmlformats.org/officeDocument/2006/relationships" ref="P7" r:id="rId12"/>
    <hyperlink xmlns:r="http://schemas.openxmlformats.org/officeDocument/2006/relationships" ref="O8" r:id="rId13"/>
    <hyperlink xmlns:r="http://schemas.openxmlformats.org/officeDocument/2006/relationships" ref="P8" r:id="rId14"/>
    <hyperlink xmlns:r="http://schemas.openxmlformats.org/officeDocument/2006/relationships" ref="O9" r:id="rId15"/>
    <hyperlink xmlns:r="http://schemas.openxmlformats.org/officeDocument/2006/relationships" ref="P9" r:id="rId16"/>
    <hyperlink xmlns:r="http://schemas.openxmlformats.org/officeDocument/2006/relationships" ref="O10" r:id="rId17"/>
    <hyperlink xmlns:r="http://schemas.openxmlformats.org/officeDocument/2006/relationships" ref="P10" r:id="rId18"/>
    <hyperlink xmlns:r="http://schemas.openxmlformats.org/officeDocument/2006/relationships" ref="O11" r:id="rId19"/>
    <hyperlink xmlns:r="http://schemas.openxmlformats.org/officeDocument/2006/relationships" ref="P11" r:id="rId20"/>
    <hyperlink xmlns:r="http://schemas.openxmlformats.org/officeDocument/2006/relationships" ref="O12" r:id="rId21"/>
    <hyperlink xmlns:r="http://schemas.openxmlformats.org/officeDocument/2006/relationships" ref="P12" r:id="rId22"/>
    <hyperlink xmlns:r="http://schemas.openxmlformats.org/officeDocument/2006/relationships" ref="O13" r:id="rId23"/>
    <hyperlink xmlns:r="http://schemas.openxmlformats.org/officeDocument/2006/relationships" ref="P13" r:id="rId24"/>
    <hyperlink xmlns:r="http://schemas.openxmlformats.org/officeDocument/2006/relationships" ref="O14" r:id="rId25"/>
    <hyperlink xmlns:r="http://schemas.openxmlformats.org/officeDocument/2006/relationships" ref="P14" r:id="rId26"/>
    <hyperlink xmlns:r="http://schemas.openxmlformats.org/officeDocument/2006/relationships" ref="O15" r:id="rId27"/>
    <hyperlink xmlns:r="http://schemas.openxmlformats.org/officeDocument/2006/relationships" ref="P15" r:id="rId28"/>
    <hyperlink xmlns:r="http://schemas.openxmlformats.org/officeDocument/2006/relationships" ref="O16" r:id="rId29"/>
    <hyperlink xmlns:r="http://schemas.openxmlformats.org/officeDocument/2006/relationships" ref="P16" r:id="rId30"/>
    <hyperlink xmlns:r="http://schemas.openxmlformats.org/officeDocument/2006/relationships" ref="O17" r:id="rId31"/>
    <hyperlink xmlns:r="http://schemas.openxmlformats.org/officeDocument/2006/relationships" ref="P17" r:id="rId32"/>
    <hyperlink xmlns:r="http://schemas.openxmlformats.org/officeDocument/2006/relationships" ref="O18" r:id="rId33"/>
    <hyperlink xmlns:r="http://schemas.openxmlformats.org/officeDocument/2006/relationships" ref="P18" r:id="rId34"/>
    <hyperlink xmlns:r="http://schemas.openxmlformats.org/officeDocument/2006/relationships" ref="O19" r:id="rId35"/>
    <hyperlink xmlns:r="http://schemas.openxmlformats.org/officeDocument/2006/relationships" ref="P19" r:id="rId36"/>
    <hyperlink xmlns:r="http://schemas.openxmlformats.org/officeDocument/2006/relationships" ref="O20" r:id="rId37"/>
    <hyperlink xmlns:r="http://schemas.openxmlformats.org/officeDocument/2006/relationships" ref="P20" r:id="rId38"/>
    <hyperlink xmlns:r="http://schemas.openxmlformats.org/officeDocument/2006/relationships" ref="O21" r:id="rId39"/>
    <hyperlink xmlns:r="http://schemas.openxmlformats.org/officeDocument/2006/relationships" ref="P21" r:id="rId40"/>
    <hyperlink xmlns:r="http://schemas.openxmlformats.org/officeDocument/2006/relationships" ref="O22" r:id="rId41"/>
    <hyperlink xmlns:r="http://schemas.openxmlformats.org/officeDocument/2006/relationships" ref="P22" r:id="rId42"/>
    <hyperlink xmlns:r="http://schemas.openxmlformats.org/officeDocument/2006/relationships" ref="O23" r:id="rId43"/>
    <hyperlink xmlns:r="http://schemas.openxmlformats.org/officeDocument/2006/relationships" ref="P23" r:id="rId44"/>
    <hyperlink xmlns:r="http://schemas.openxmlformats.org/officeDocument/2006/relationships" ref="O24" r:id="rId45"/>
    <hyperlink xmlns:r="http://schemas.openxmlformats.org/officeDocument/2006/relationships" ref="P24" r:id="rId46"/>
    <hyperlink xmlns:r="http://schemas.openxmlformats.org/officeDocument/2006/relationships" ref="O25" r:id="rId47"/>
    <hyperlink xmlns:r="http://schemas.openxmlformats.org/officeDocument/2006/relationships" ref="P25" r:id="rId48"/>
    <hyperlink xmlns:r="http://schemas.openxmlformats.org/officeDocument/2006/relationships" ref="O26" r:id="rId49"/>
    <hyperlink xmlns:r="http://schemas.openxmlformats.org/officeDocument/2006/relationships" ref="P26" r:id="rId50"/>
    <hyperlink xmlns:r="http://schemas.openxmlformats.org/officeDocument/2006/relationships" ref="O27" r:id="rId51"/>
    <hyperlink xmlns:r="http://schemas.openxmlformats.org/officeDocument/2006/relationships" ref="P27" r:id="rId52"/>
    <hyperlink xmlns:r="http://schemas.openxmlformats.org/officeDocument/2006/relationships" ref="O28" r:id="rId53"/>
    <hyperlink xmlns:r="http://schemas.openxmlformats.org/officeDocument/2006/relationships" ref="P28" r:id="rId54"/>
    <hyperlink xmlns:r="http://schemas.openxmlformats.org/officeDocument/2006/relationships" ref="O29" r:id="rId55"/>
    <hyperlink xmlns:r="http://schemas.openxmlformats.org/officeDocument/2006/relationships" ref="P29" r:id="rId56"/>
    <hyperlink xmlns:r="http://schemas.openxmlformats.org/officeDocument/2006/relationships" ref="O30" r:id="rId57"/>
    <hyperlink xmlns:r="http://schemas.openxmlformats.org/officeDocument/2006/relationships" ref="P30" r:id="rId58"/>
    <hyperlink xmlns:r="http://schemas.openxmlformats.org/officeDocument/2006/relationships" ref="O31" r:id="rId59"/>
    <hyperlink xmlns:r="http://schemas.openxmlformats.org/officeDocument/2006/relationships" ref="P31" r:id="rId60"/>
    <hyperlink xmlns:r="http://schemas.openxmlformats.org/officeDocument/2006/relationships" ref="O32" r:id="rId61"/>
    <hyperlink xmlns:r="http://schemas.openxmlformats.org/officeDocument/2006/relationships" ref="P32" r:id="rId62"/>
    <hyperlink xmlns:r="http://schemas.openxmlformats.org/officeDocument/2006/relationships" ref="O33" r:id="rId63"/>
    <hyperlink xmlns:r="http://schemas.openxmlformats.org/officeDocument/2006/relationships" ref="P33" r:id="rId64"/>
    <hyperlink xmlns:r="http://schemas.openxmlformats.org/officeDocument/2006/relationships" ref="O34" r:id="rId65"/>
    <hyperlink xmlns:r="http://schemas.openxmlformats.org/officeDocument/2006/relationships" ref="P34" r:id="rId66"/>
    <hyperlink xmlns:r="http://schemas.openxmlformats.org/officeDocument/2006/relationships" ref="O35" r:id="rId67"/>
    <hyperlink xmlns:r="http://schemas.openxmlformats.org/officeDocument/2006/relationships" ref="P35" r:id="rId68"/>
    <hyperlink xmlns:r="http://schemas.openxmlformats.org/officeDocument/2006/relationships" ref="O36" r:id="rId69"/>
    <hyperlink xmlns:r="http://schemas.openxmlformats.org/officeDocument/2006/relationships" ref="P36" r:id="rId70"/>
    <hyperlink xmlns:r="http://schemas.openxmlformats.org/officeDocument/2006/relationships" ref="O37" r:id="rId71"/>
    <hyperlink xmlns:r="http://schemas.openxmlformats.org/officeDocument/2006/relationships" ref="P37" r:id="rId72"/>
    <hyperlink xmlns:r="http://schemas.openxmlformats.org/officeDocument/2006/relationships" ref="O38" r:id="rId73"/>
    <hyperlink xmlns:r="http://schemas.openxmlformats.org/officeDocument/2006/relationships" ref="P38" r:id="rId74"/>
    <hyperlink xmlns:r="http://schemas.openxmlformats.org/officeDocument/2006/relationships" ref="O39" r:id="rId75"/>
    <hyperlink xmlns:r="http://schemas.openxmlformats.org/officeDocument/2006/relationships" ref="P39" r:id="rId76"/>
    <hyperlink xmlns:r="http://schemas.openxmlformats.org/officeDocument/2006/relationships" ref="O40" r:id="rId77"/>
    <hyperlink xmlns:r="http://schemas.openxmlformats.org/officeDocument/2006/relationships" ref="P40" r:id="rId78"/>
    <hyperlink xmlns:r="http://schemas.openxmlformats.org/officeDocument/2006/relationships" ref="O41" r:id="rId79"/>
    <hyperlink xmlns:r="http://schemas.openxmlformats.org/officeDocument/2006/relationships" ref="P41" r:id="rId80"/>
    <hyperlink xmlns:r="http://schemas.openxmlformats.org/officeDocument/2006/relationships" ref="O42" r:id="rId81"/>
    <hyperlink xmlns:r="http://schemas.openxmlformats.org/officeDocument/2006/relationships" ref="P42" r:id="rId82"/>
    <hyperlink xmlns:r="http://schemas.openxmlformats.org/officeDocument/2006/relationships" ref="O43" r:id="rId83"/>
    <hyperlink xmlns:r="http://schemas.openxmlformats.org/officeDocument/2006/relationships" ref="P43" r:id="rId84"/>
    <hyperlink xmlns:r="http://schemas.openxmlformats.org/officeDocument/2006/relationships" ref="O44" r:id="rId85"/>
    <hyperlink xmlns:r="http://schemas.openxmlformats.org/officeDocument/2006/relationships" ref="P44" r:id="rId86"/>
    <hyperlink xmlns:r="http://schemas.openxmlformats.org/officeDocument/2006/relationships" ref="O45" r:id="rId87"/>
    <hyperlink xmlns:r="http://schemas.openxmlformats.org/officeDocument/2006/relationships" ref="P45" r:id="rId88"/>
    <hyperlink xmlns:r="http://schemas.openxmlformats.org/officeDocument/2006/relationships" ref="O46" r:id="rId89"/>
    <hyperlink xmlns:r="http://schemas.openxmlformats.org/officeDocument/2006/relationships" ref="P46" r:id="rId90"/>
    <hyperlink xmlns:r="http://schemas.openxmlformats.org/officeDocument/2006/relationships" ref="O47" r:id="rId91"/>
    <hyperlink xmlns:r="http://schemas.openxmlformats.org/officeDocument/2006/relationships" ref="P47" r:id="rId92"/>
    <hyperlink xmlns:r="http://schemas.openxmlformats.org/officeDocument/2006/relationships" ref="O48" r:id="rId93"/>
    <hyperlink xmlns:r="http://schemas.openxmlformats.org/officeDocument/2006/relationships" ref="P48" r:id="rId94"/>
    <hyperlink xmlns:r="http://schemas.openxmlformats.org/officeDocument/2006/relationships" ref="O49" r:id="rId95"/>
    <hyperlink xmlns:r="http://schemas.openxmlformats.org/officeDocument/2006/relationships" ref="P49" r:id="rId96"/>
    <hyperlink xmlns:r="http://schemas.openxmlformats.org/officeDocument/2006/relationships" ref="O50" r:id="rId97"/>
    <hyperlink xmlns:r="http://schemas.openxmlformats.org/officeDocument/2006/relationships" ref="P50" r:id="rId98"/>
    <hyperlink xmlns:r="http://schemas.openxmlformats.org/officeDocument/2006/relationships" ref="O51" r:id="rId99"/>
    <hyperlink xmlns:r="http://schemas.openxmlformats.org/officeDocument/2006/relationships" ref="P51" r:id="rId100"/>
    <hyperlink xmlns:r="http://schemas.openxmlformats.org/officeDocument/2006/relationships" ref="O52" r:id="rId101"/>
    <hyperlink xmlns:r="http://schemas.openxmlformats.org/officeDocument/2006/relationships" ref="P52" r:id="rId102"/>
    <hyperlink xmlns:r="http://schemas.openxmlformats.org/officeDocument/2006/relationships" ref="O53" r:id="rId103"/>
    <hyperlink xmlns:r="http://schemas.openxmlformats.org/officeDocument/2006/relationships" ref="P53" r:id="rId104"/>
    <hyperlink xmlns:r="http://schemas.openxmlformats.org/officeDocument/2006/relationships" ref="O54" r:id="rId105"/>
    <hyperlink xmlns:r="http://schemas.openxmlformats.org/officeDocument/2006/relationships" ref="P54" r:id="rId106"/>
    <hyperlink xmlns:r="http://schemas.openxmlformats.org/officeDocument/2006/relationships" ref="O55" r:id="rId107"/>
    <hyperlink xmlns:r="http://schemas.openxmlformats.org/officeDocument/2006/relationships" ref="P55" r:id="rId108"/>
    <hyperlink xmlns:r="http://schemas.openxmlformats.org/officeDocument/2006/relationships" ref="O56" r:id="rId109"/>
    <hyperlink xmlns:r="http://schemas.openxmlformats.org/officeDocument/2006/relationships" ref="P56" r:id="rId110"/>
    <hyperlink xmlns:r="http://schemas.openxmlformats.org/officeDocument/2006/relationships" ref="O57" r:id="rId111"/>
    <hyperlink xmlns:r="http://schemas.openxmlformats.org/officeDocument/2006/relationships" ref="P57" r:id="rId112"/>
    <hyperlink xmlns:r="http://schemas.openxmlformats.org/officeDocument/2006/relationships" ref="O58" r:id="rId113"/>
    <hyperlink xmlns:r="http://schemas.openxmlformats.org/officeDocument/2006/relationships" ref="P58" r:id="rId114"/>
    <hyperlink xmlns:r="http://schemas.openxmlformats.org/officeDocument/2006/relationships" ref="O59" r:id="rId115"/>
    <hyperlink xmlns:r="http://schemas.openxmlformats.org/officeDocument/2006/relationships" ref="P59" r:id="rId116"/>
    <hyperlink xmlns:r="http://schemas.openxmlformats.org/officeDocument/2006/relationships" ref="O60" r:id="rId117"/>
    <hyperlink xmlns:r="http://schemas.openxmlformats.org/officeDocument/2006/relationships" ref="P60" r:id="rId118"/>
    <hyperlink xmlns:r="http://schemas.openxmlformats.org/officeDocument/2006/relationships" ref="O61" r:id="rId119"/>
    <hyperlink xmlns:r="http://schemas.openxmlformats.org/officeDocument/2006/relationships" ref="P61" r:id="rId120"/>
    <hyperlink xmlns:r="http://schemas.openxmlformats.org/officeDocument/2006/relationships" ref="O62" r:id="rId121"/>
    <hyperlink xmlns:r="http://schemas.openxmlformats.org/officeDocument/2006/relationships" ref="P62" r:id="rId122"/>
    <hyperlink xmlns:r="http://schemas.openxmlformats.org/officeDocument/2006/relationships" ref="O63" r:id="rId123"/>
    <hyperlink xmlns:r="http://schemas.openxmlformats.org/officeDocument/2006/relationships" ref="P63" r:id="rId124"/>
    <hyperlink xmlns:r="http://schemas.openxmlformats.org/officeDocument/2006/relationships" ref="O64" r:id="rId125"/>
    <hyperlink xmlns:r="http://schemas.openxmlformats.org/officeDocument/2006/relationships" ref="P64" r:id="rId126"/>
    <hyperlink xmlns:r="http://schemas.openxmlformats.org/officeDocument/2006/relationships" ref="O65" r:id="rId127"/>
    <hyperlink xmlns:r="http://schemas.openxmlformats.org/officeDocument/2006/relationships" ref="P65" r:id="rId128"/>
    <hyperlink xmlns:r="http://schemas.openxmlformats.org/officeDocument/2006/relationships" ref="O66" r:id="rId129"/>
    <hyperlink xmlns:r="http://schemas.openxmlformats.org/officeDocument/2006/relationships" ref="P66" r:id="rId130"/>
    <hyperlink xmlns:r="http://schemas.openxmlformats.org/officeDocument/2006/relationships" ref="O67" r:id="rId131"/>
    <hyperlink xmlns:r="http://schemas.openxmlformats.org/officeDocument/2006/relationships" ref="P67" r:id="rId132"/>
    <hyperlink xmlns:r="http://schemas.openxmlformats.org/officeDocument/2006/relationships" ref="O68" r:id="rId133"/>
    <hyperlink xmlns:r="http://schemas.openxmlformats.org/officeDocument/2006/relationships" ref="P68" r:id="rId134"/>
    <hyperlink xmlns:r="http://schemas.openxmlformats.org/officeDocument/2006/relationships" ref="O69" r:id="rId135"/>
    <hyperlink xmlns:r="http://schemas.openxmlformats.org/officeDocument/2006/relationships" ref="P69" r:id="rId136"/>
    <hyperlink xmlns:r="http://schemas.openxmlformats.org/officeDocument/2006/relationships" ref="O70" r:id="rId137"/>
    <hyperlink xmlns:r="http://schemas.openxmlformats.org/officeDocument/2006/relationships" ref="P70" r:id="rId138"/>
    <hyperlink xmlns:r="http://schemas.openxmlformats.org/officeDocument/2006/relationships" ref="O71" r:id="rId139"/>
    <hyperlink xmlns:r="http://schemas.openxmlformats.org/officeDocument/2006/relationships" ref="P71" r:id="rId140"/>
    <hyperlink xmlns:r="http://schemas.openxmlformats.org/officeDocument/2006/relationships" ref="O72" r:id="rId141"/>
    <hyperlink xmlns:r="http://schemas.openxmlformats.org/officeDocument/2006/relationships" ref="P72" r:id="rId142"/>
    <hyperlink xmlns:r="http://schemas.openxmlformats.org/officeDocument/2006/relationships" ref="O73" r:id="rId143"/>
    <hyperlink xmlns:r="http://schemas.openxmlformats.org/officeDocument/2006/relationships" ref="P73" r:id="rId144"/>
    <hyperlink xmlns:r="http://schemas.openxmlformats.org/officeDocument/2006/relationships" ref="O74" r:id="rId145"/>
    <hyperlink xmlns:r="http://schemas.openxmlformats.org/officeDocument/2006/relationships" ref="P74" r:id="rId146"/>
    <hyperlink xmlns:r="http://schemas.openxmlformats.org/officeDocument/2006/relationships" ref="O75" r:id="rId147"/>
    <hyperlink xmlns:r="http://schemas.openxmlformats.org/officeDocument/2006/relationships" ref="P75" r:id="rId148"/>
    <hyperlink xmlns:r="http://schemas.openxmlformats.org/officeDocument/2006/relationships" ref="O76" r:id="rId149"/>
    <hyperlink xmlns:r="http://schemas.openxmlformats.org/officeDocument/2006/relationships" ref="P76" r:id="rId150"/>
    <hyperlink xmlns:r="http://schemas.openxmlformats.org/officeDocument/2006/relationships" ref="O77" r:id="rId151"/>
    <hyperlink xmlns:r="http://schemas.openxmlformats.org/officeDocument/2006/relationships" ref="P77" r:id="rId152"/>
    <hyperlink xmlns:r="http://schemas.openxmlformats.org/officeDocument/2006/relationships" ref="O78" r:id="rId153"/>
    <hyperlink xmlns:r="http://schemas.openxmlformats.org/officeDocument/2006/relationships" ref="P78" r:id="rId154"/>
    <hyperlink xmlns:r="http://schemas.openxmlformats.org/officeDocument/2006/relationships" ref="O79" r:id="rId155"/>
    <hyperlink xmlns:r="http://schemas.openxmlformats.org/officeDocument/2006/relationships" ref="P79" r:id="rId156"/>
    <hyperlink xmlns:r="http://schemas.openxmlformats.org/officeDocument/2006/relationships" ref="O80" r:id="rId157"/>
    <hyperlink xmlns:r="http://schemas.openxmlformats.org/officeDocument/2006/relationships" ref="P80" r:id="rId158"/>
    <hyperlink xmlns:r="http://schemas.openxmlformats.org/officeDocument/2006/relationships" ref="O81" r:id="rId159"/>
    <hyperlink xmlns:r="http://schemas.openxmlformats.org/officeDocument/2006/relationships" ref="P81" r:id="rId160"/>
    <hyperlink xmlns:r="http://schemas.openxmlformats.org/officeDocument/2006/relationships" ref="O82" r:id="rId161"/>
    <hyperlink xmlns:r="http://schemas.openxmlformats.org/officeDocument/2006/relationships" ref="P82" r:id="rId162"/>
    <hyperlink xmlns:r="http://schemas.openxmlformats.org/officeDocument/2006/relationships" ref="O83" r:id="rId163"/>
    <hyperlink xmlns:r="http://schemas.openxmlformats.org/officeDocument/2006/relationships" ref="P83" r:id="rId164"/>
    <hyperlink xmlns:r="http://schemas.openxmlformats.org/officeDocument/2006/relationships" ref="O84" r:id="rId165"/>
    <hyperlink xmlns:r="http://schemas.openxmlformats.org/officeDocument/2006/relationships" ref="P84" r:id="rId166"/>
    <hyperlink xmlns:r="http://schemas.openxmlformats.org/officeDocument/2006/relationships" ref="O85" r:id="rId167"/>
    <hyperlink xmlns:r="http://schemas.openxmlformats.org/officeDocument/2006/relationships" ref="P85" r:id="rId168"/>
    <hyperlink xmlns:r="http://schemas.openxmlformats.org/officeDocument/2006/relationships" ref="O86" r:id="rId169"/>
    <hyperlink xmlns:r="http://schemas.openxmlformats.org/officeDocument/2006/relationships" ref="P86" r:id="rId170"/>
    <hyperlink xmlns:r="http://schemas.openxmlformats.org/officeDocument/2006/relationships" ref="O87" r:id="rId171"/>
    <hyperlink xmlns:r="http://schemas.openxmlformats.org/officeDocument/2006/relationships" ref="P87" r:id="rId172"/>
    <hyperlink xmlns:r="http://schemas.openxmlformats.org/officeDocument/2006/relationships" ref="O88" r:id="rId173"/>
    <hyperlink xmlns:r="http://schemas.openxmlformats.org/officeDocument/2006/relationships" ref="P88" r:id="rId174"/>
    <hyperlink xmlns:r="http://schemas.openxmlformats.org/officeDocument/2006/relationships" ref="O89" r:id="rId175"/>
    <hyperlink xmlns:r="http://schemas.openxmlformats.org/officeDocument/2006/relationships" ref="P89" r:id="rId176"/>
    <hyperlink xmlns:r="http://schemas.openxmlformats.org/officeDocument/2006/relationships" ref="O90" r:id="rId177"/>
    <hyperlink xmlns:r="http://schemas.openxmlformats.org/officeDocument/2006/relationships" ref="P90" r:id="rId178"/>
    <hyperlink xmlns:r="http://schemas.openxmlformats.org/officeDocument/2006/relationships" ref="O91" r:id="rId179"/>
    <hyperlink xmlns:r="http://schemas.openxmlformats.org/officeDocument/2006/relationships" ref="P91" r:id="rId180"/>
    <hyperlink xmlns:r="http://schemas.openxmlformats.org/officeDocument/2006/relationships" ref="O92" r:id="rId181"/>
    <hyperlink xmlns:r="http://schemas.openxmlformats.org/officeDocument/2006/relationships" ref="P92" r:id="rId182"/>
    <hyperlink xmlns:r="http://schemas.openxmlformats.org/officeDocument/2006/relationships" ref="O93" r:id="rId183"/>
    <hyperlink xmlns:r="http://schemas.openxmlformats.org/officeDocument/2006/relationships" ref="P93" r:id="rId184"/>
    <hyperlink xmlns:r="http://schemas.openxmlformats.org/officeDocument/2006/relationships" ref="O94" r:id="rId185"/>
    <hyperlink xmlns:r="http://schemas.openxmlformats.org/officeDocument/2006/relationships" ref="P94" r:id="rId186"/>
    <hyperlink xmlns:r="http://schemas.openxmlformats.org/officeDocument/2006/relationships" ref="O95" r:id="rId187"/>
    <hyperlink xmlns:r="http://schemas.openxmlformats.org/officeDocument/2006/relationships" ref="P95" r:id="rId188"/>
    <hyperlink xmlns:r="http://schemas.openxmlformats.org/officeDocument/2006/relationships" ref="O96" r:id="rId189"/>
    <hyperlink xmlns:r="http://schemas.openxmlformats.org/officeDocument/2006/relationships" ref="P96" r:id="rId190"/>
    <hyperlink xmlns:r="http://schemas.openxmlformats.org/officeDocument/2006/relationships" ref="O97" r:id="rId191"/>
    <hyperlink xmlns:r="http://schemas.openxmlformats.org/officeDocument/2006/relationships" ref="P97" r:id="rId192"/>
    <hyperlink xmlns:r="http://schemas.openxmlformats.org/officeDocument/2006/relationships" ref="O98" r:id="rId193"/>
    <hyperlink xmlns:r="http://schemas.openxmlformats.org/officeDocument/2006/relationships" ref="P98" r:id="rId194"/>
    <hyperlink xmlns:r="http://schemas.openxmlformats.org/officeDocument/2006/relationships" ref="O99" r:id="rId195"/>
    <hyperlink xmlns:r="http://schemas.openxmlformats.org/officeDocument/2006/relationships" ref="P99" r:id="rId196"/>
    <hyperlink xmlns:r="http://schemas.openxmlformats.org/officeDocument/2006/relationships" ref="O100" r:id="rId197"/>
    <hyperlink xmlns:r="http://schemas.openxmlformats.org/officeDocument/2006/relationships" ref="P100" r:id="rId198"/>
    <hyperlink xmlns:r="http://schemas.openxmlformats.org/officeDocument/2006/relationships" ref="O101" r:id="rId199"/>
    <hyperlink xmlns:r="http://schemas.openxmlformats.org/officeDocument/2006/relationships" ref="P101" r:id="rId200"/>
    <hyperlink xmlns:r="http://schemas.openxmlformats.org/officeDocument/2006/relationships" ref="O102" r:id="rId201"/>
    <hyperlink xmlns:r="http://schemas.openxmlformats.org/officeDocument/2006/relationships" ref="P102" r:id="rId202"/>
    <hyperlink xmlns:r="http://schemas.openxmlformats.org/officeDocument/2006/relationships" ref="O103" r:id="rId203"/>
    <hyperlink xmlns:r="http://schemas.openxmlformats.org/officeDocument/2006/relationships" ref="P103" r:id="rId204"/>
    <hyperlink xmlns:r="http://schemas.openxmlformats.org/officeDocument/2006/relationships" ref="O104" r:id="rId205"/>
    <hyperlink xmlns:r="http://schemas.openxmlformats.org/officeDocument/2006/relationships" ref="P104" r:id="rId206"/>
    <hyperlink xmlns:r="http://schemas.openxmlformats.org/officeDocument/2006/relationships" ref="O105" r:id="rId207"/>
    <hyperlink xmlns:r="http://schemas.openxmlformats.org/officeDocument/2006/relationships" ref="P105" r:id="rId208"/>
    <hyperlink xmlns:r="http://schemas.openxmlformats.org/officeDocument/2006/relationships" ref="O106" r:id="rId209"/>
    <hyperlink xmlns:r="http://schemas.openxmlformats.org/officeDocument/2006/relationships" ref="P106" r:id="rId210"/>
    <hyperlink xmlns:r="http://schemas.openxmlformats.org/officeDocument/2006/relationships" ref="O107" r:id="rId211"/>
    <hyperlink xmlns:r="http://schemas.openxmlformats.org/officeDocument/2006/relationships" ref="P107" r:id="rId212"/>
    <hyperlink xmlns:r="http://schemas.openxmlformats.org/officeDocument/2006/relationships" ref="O108" r:id="rId213"/>
    <hyperlink xmlns:r="http://schemas.openxmlformats.org/officeDocument/2006/relationships" ref="P108" r:id="rId214"/>
    <hyperlink xmlns:r="http://schemas.openxmlformats.org/officeDocument/2006/relationships" ref="O109" r:id="rId215"/>
    <hyperlink xmlns:r="http://schemas.openxmlformats.org/officeDocument/2006/relationships" ref="P109" r:id="rId216"/>
    <hyperlink xmlns:r="http://schemas.openxmlformats.org/officeDocument/2006/relationships" ref="O110" r:id="rId217"/>
    <hyperlink xmlns:r="http://schemas.openxmlformats.org/officeDocument/2006/relationships" ref="P110" r:id="rId218"/>
    <hyperlink xmlns:r="http://schemas.openxmlformats.org/officeDocument/2006/relationships" ref="O111" r:id="rId219"/>
    <hyperlink xmlns:r="http://schemas.openxmlformats.org/officeDocument/2006/relationships" ref="P111" r:id="rId220"/>
    <hyperlink xmlns:r="http://schemas.openxmlformats.org/officeDocument/2006/relationships" ref="O112" r:id="rId221"/>
    <hyperlink xmlns:r="http://schemas.openxmlformats.org/officeDocument/2006/relationships" ref="P112" r:id="rId222"/>
    <hyperlink xmlns:r="http://schemas.openxmlformats.org/officeDocument/2006/relationships" ref="O113" r:id="rId223"/>
    <hyperlink xmlns:r="http://schemas.openxmlformats.org/officeDocument/2006/relationships" ref="P113" r:id="rId224"/>
    <hyperlink xmlns:r="http://schemas.openxmlformats.org/officeDocument/2006/relationships" ref="O114" r:id="rId225"/>
    <hyperlink xmlns:r="http://schemas.openxmlformats.org/officeDocument/2006/relationships" ref="P114" r:id="rId226"/>
    <hyperlink xmlns:r="http://schemas.openxmlformats.org/officeDocument/2006/relationships" ref="O115" r:id="rId227"/>
    <hyperlink xmlns:r="http://schemas.openxmlformats.org/officeDocument/2006/relationships" ref="P115" r:id="rId228"/>
    <hyperlink xmlns:r="http://schemas.openxmlformats.org/officeDocument/2006/relationships" ref="O116" r:id="rId229"/>
    <hyperlink xmlns:r="http://schemas.openxmlformats.org/officeDocument/2006/relationships" ref="P116" r:id="rId230"/>
    <hyperlink xmlns:r="http://schemas.openxmlformats.org/officeDocument/2006/relationships" ref="O117" r:id="rId231"/>
    <hyperlink xmlns:r="http://schemas.openxmlformats.org/officeDocument/2006/relationships" ref="P117" r:id="rId232"/>
    <hyperlink xmlns:r="http://schemas.openxmlformats.org/officeDocument/2006/relationships" ref="O118" r:id="rId233"/>
    <hyperlink xmlns:r="http://schemas.openxmlformats.org/officeDocument/2006/relationships" ref="P118" r:id="rId234"/>
    <hyperlink xmlns:r="http://schemas.openxmlformats.org/officeDocument/2006/relationships" ref="O119" r:id="rId235"/>
    <hyperlink xmlns:r="http://schemas.openxmlformats.org/officeDocument/2006/relationships" ref="P119" r:id="rId236"/>
    <hyperlink xmlns:r="http://schemas.openxmlformats.org/officeDocument/2006/relationships" ref="O120" r:id="rId237"/>
    <hyperlink xmlns:r="http://schemas.openxmlformats.org/officeDocument/2006/relationships" ref="P120" r:id="rId238"/>
    <hyperlink xmlns:r="http://schemas.openxmlformats.org/officeDocument/2006/relationships" ref="O121" r:id="rId239"/>
    <hyperlink xmlns:r="http://schemas.openxmlformats.org/officeDocument/2006/relationships" ref="P121" r:id="rId240"/>
    <hyperlink xmlns:r="http://schemas.openxmlformats.org/officeDocument/2006/relationships" ref="O122" r:id="rId241"/>
    <hyperlink xmlns:r="http://schemas.openxmlformats.org/officeDocument/2006/relationships" ref="P122" r:id="rId242"/>
    <hyperlink xmlns:r="http://schemas.openxmlformats.org/officeDocument/2006/relationships" ref="O123" r:id="rId243"/>
    <hyperlink xmlns:r="http://schemas.openxmlformats.org/officeDocument/2006/relationships" ref="P123" r:id="rId244"/>
    <hyperlink xmlns:r="http://schemas.openxmlformats.org/officeDocument/2006/relationships" ref="O124" r:id="rId245"/>
    <hyperlink xmlns:r="http://schemas.openxmlformats.org/officeDocument/2006/relationships" ref="P124" r:id="rId246"/>
    <hyperlink xmlns:r="http://schemas.openxmlformats.org/officeDocument/2006/relationships" ref="O125" r:id="rId247"/>
    <hyperlink xmlns:r="http://schemas.openxmlformats.org/officeDocument/2006/relationships" ref="P125" r:id="rId248"/>
    <hyperlink xmlns:r="http://schemas.openxmlformats.org/officeDocument/2006/relationships" ref="O126" r:id="rId249"/>
    <hyperlink xmlns:r="http://schemas.openxmlformats.org/officeDocument/2006/relationships" ref="P126" r:id="rId250"/>
    <hyperlink xmlns:r="http://schemas.openxmlformats.org/officeDocument/2006/relationships" ref="O127" r:id="rId251"/>
    <hyperlink xmlns:r="http://schemas.openxmlformats.org/officeDocument/2006/relationships" ref="P127" r:id="rId252"/>
    <hyperlink xmlns:r="http://schemas.openxmlformats.org/officeDocument/2006/relationships" ref="O128" r:id="rId253"/>
    <hyperlink xmlns:r="http://schemas.openxmlformats.org/officeDocument/2006/relationships" ref="P128" r:id="rId254"/>
    <hyperlink xmlns:r="http://schemas.openxmlformats.org/officeDocument/2006/relationships" ref="O129" r:id="rId255"/>
    <hyperlink xmlns:r="http://schemas.openxmlformats.org/officeDocument/2006/relationships" ref="P129" r:id="rId256"/>
    <hyperlink xmlns:r="http://schemas.openxmlformats.org/officeDocument/2006/relationships" ref="O130" r:id="rId257"/>
    <hyperlink xmlns:r="http://schemas.openxmlformats.org/officeDocument/2006/relationships" ref="P130" r:id="rId258"/>
    <hyperlink xmlns:r="http://schemas.openxmlformats.org/officeDocument/2006/relationships" ref="O131" r:id="rId259"/>
    <hyperlink xmlns:r="http://schemas.openxmlformats.org/officeDocument/2006/relationships" ref="P131" r:id="rId260"/>
    <hyperlink xmlns:r="http://schemas.openxmlformats.org/officeDocument/2006/relationships" ref="O132" r:id="rId261"/>
    <hyperlink xmlns:r="http://schemas.openxmlformats.org/officeDocument/2006/relationships" ref="P132" r:id="rId262"/>
    <hyperlink xmlns:r="http://schemas.openxmlformats.org/officeDocument/2006/relationships" ref="O133" r:id="rId263"/>
    <hyperlink xmlns:r="http://schemas.openxmlformats.org/officeDocument/2006/relationships" ref="P133" r:id="rId264"/>
    <hyperlink xmlns:r="http://schemas.openxmlformats.org/officeDocument/2006/relationships" ref="O134" r:id="rId265"/>
    <hyperlink xmlns:r="http://schemas.openxmlformats.org/officeDocument/2006/relationships" ref="P134" r:id="rId266"/>
    <hyperlink xmlns:r="http://schemas.openxmlformats.org/officeDocument/2006/relationships" ref="O135" r:id="rId267"/>
    <hyperlink xmlns:r="http://schemas.openxmlformats.org/officeDocument/2006/relationships" ref="P135" r:id="rId268"/>
    <hyperlink xmlns:r="http://schemas.openxmlformats.org/officeDocument/2006/relationships" ref="O136" r:id="rId269"/>
    <hyperlink xmlns:r="http://schemas.openxmlformats.org/officeDocument/2006/relationships" ref="P136" r:id="rId270"/>
    <hyperlink xmlns:r="http://schemas.openxmlformats.org/officeDocument/2006/relationships" ref="O137" r:id="rId271"/>
    <hyperlink xmlns:r="http://schemas.openxmlformats.org/officeDocument/2006/relationships" ref="P137" r:id="rId272"/>
    <hyperlink xmlns:r="http://schemas.openxmlformats.org/officeDocument/2006/relationships" ref="O138" r:id="rId273"/>
    <hyperlink xmlns:r="http://schemas.openxmlformats.org/officeDocument/2006/relationships" ref="P138" r:id="rId274"/>
    <hyperlink xmlns:r="http://schemas.openxmlformats.org/officeDocument/2006/relationships" ref="O139" r:id="rId275"/>
    <hyperlink xmlns:r="http://schemas.openxmlformats.org/officeDocument/2006/relationships" ref="P139" r:id="rId276"/>
    <hyperlink xmlns:r="http://schemas.openxmlformats.org/officeDocument/2006/relationships" ref="O140" r:id="rId277"/>
    <hyperlink xmlns:r="http://schemas.openxmlformats.org/officeDocument/2006/relationships" ref="P140" r:id="rId278"/>
    <hyperlink xmlns:r="http://schemas.openxmlformats.org/officeDocument/2006/relationships" ref="O141" r:id="rId279"/>
    <hyperlink xmlns:r="http://schemas.openxmlformats.org/officeDocument/2006/relationships" ref="P141" r:id="rId280"/>
    <hyperlink xmlns:r="http://schemas.openxmlformats.org/officeDocument/2006/relationships" ref="O142" r:id="rId281"/>
    <hyperlink xmlns:r="http://schemas.openxmlformats.org/officeDocument/2006/relationships" ref="P142" r:id="rId282"/>
    <hyperlink xmlns:r="http://schemas.openxmlformats.org/officeDocument/2006/relationships" ref="O143" r:id="rId283"/>
    <hyperlink xmlns:r="http://schemas.openxmlformats.org/officeDocument/2006/relationships" ref="P143" r:id="rId284"/>
    <hyperlink xmlns:r="http://schemas.openxmlformats.org/officeDocument/2006/relationships" ref="O144" r:id="rId285"/>
    <hyperlink xmlns:r="http://schemas.openxmlformats.org/officeDocument/2006/relationships" ref="P144" r:id="rId286"/>
    <hyperlink xmlns:r="http://schemas.openxmlformats.org/officeDocument/2006/relationships" ref="O145" r:id="rId287"/>
    <hyperlink xmlns:r="http://schemas.openxmlformats.org/officeDocument/2006/relationships" ref="P145" r:id="rId288"/>
    <hyperlink xmlns:r="http://schemas.openxmlformats.org/officeDocument/2006/relationships" ref="O146" r:id="rId289"/>
    <hyperlink xmlns:r="http://schemas.openxmlformats.org/officeDocument/2006/relationships" ref="P146" r:id="rId290"/>
    <hyperlink xmlns:r="http://schemas.openxmlformats.org/officeDocument/2006/relationships" ref="O147" r:id="rId291"/>
    <hyperlink xmlns:r="http://schemas.openxmlformats.org/officeDocument/2006/relationships" ref="P147" r:id="rId292"/>
    <hyperlink xmlns:r="http://schemas.openxmlformats.org/officeDocument/2006/relationships" ref="O148" r:id="rId293"/>
    <hyperlink xmlns:r="http://schemas.openxmlformats.org/officeDocument/2006/relationships" ref="P148" r:id="rId294"/>
    <hyperlink xmlns:r="http://schemas.openxmlformats.org/officeDocument/2006/relationships" ref="O149" r:id="rId295"/>
    <hyperlink xmlns:r="http://schemas.openxmlformats.org/officeDocument/2006/relationships" ref="P149" r:id="rId296"/>
    <hyperlink xmlns:r="http://schemas.openxmlformats.org/officeDocument/2006/relationships" ref="O150" r:id="rId297"/>
    <hyperlink xmlns:r="http://schemas.openxmlformats.org/officeDocument/2006/relationships" ref="P150" r:id="rId298"/>
    <hyperlink xmlns:r="http://schemas.openxmlformats.org/officeDocument/2006/relationships" ref="O151" r:id="rId299"/>
    <hyperlink xmlns:r="http://schemas.openxmlformats.org/officeDocument/2006/relationships" ref="P151" r:id="rId300"/>
    <hyperlink xmlns:r="http://schemas.openxmlformats.org/officeDocument/2006/relationships" ref="O152" r:id="rId301"/>
    <hyperlink xmlns:r="http://schemas.openxmlformats.org/officeDocument/2006/relationships" ref="P152" r:id="rId302"/>
    <hyperlink xmlns:r="http://schemas.openxmlformats.org/officeDocument/2006/relationships" ref="O153" r:id="rId303"/>
    <hyperlink xmlns:r="http://schemas.openxmlformats.org/officeDocument/2006/relationships" ref="P153" r:id="rId304"/>
    <hyperlink xmlns:r="http://schemas.openxmlformats.org/officeDocument/2006/relationships" ref="O154" r:id="rId305"/>
    <hyperlink xmlns:r="http://schemas.openxmlformats.org/officeDocument/2006/relationships" ref="P154" r:id="rId306"/>
    <hyperlink xmlns:r="http://schemas.openxmlformats.org/officeDocument/2006/relationships" ref="O155" r:id="rId307"/>
    <hyperlink xmlns:r="http://schemas.openxmlformats.org/officeDocument/2006/relationships" ref="P155" r:id="rId308"/>
    <hyperlink xmlns:r="http://schemas.openxmlformats.org/officeDocument/2006/relationships" ref="O156" r:id="rId309"/>
    <hyperlink xmlns:r="http://schemas.openxmlformats.org/officeDocument/2006/relationships" ref="P156" r:id="rId310"/>
    <hyperlink xmlns:r="http://schemas.openxmlformats.org/officeDocument/2006/relationships" ref="O157" r:id="rId311"/>
    <hyperlink xmlns:r="http://schemas.openxmlformats.org/officeDocument/2006/relationships" ref="P157" r:id="rId312"/>
    <hyperlink xmlns:r="http://schemas.openxmlformats.org/officeDocument/2006/relationships" ref="O158" r:id="rId313"/>
    <hyperlink xmlns:r="http://schemas.openxmlformats.org/officeDocument/2006/relationships" ref="P158" r:id="rId314"/>
    <hyperlink xmlns:r="http://schemas.openxmlformats.org/officeDocument/2006/relationships" ref="O159" r:id="rId315"/>
    <hyperlink xmlns:r="http://schemas.openxmlformats.org/officeDocument/2006/relationships" ref="P159" r:id="rId316"/>
    <hyperlink xmlns:r="http://schemas.openxmlformats.org/officeDocument/2006/relationships" ref="O160" r:id="rId317"/>
    <hyperlink xmlns:r="http://schemas.openxmlformats.org/officeDocument/2006/relationships" ref="P160" r:id="rId318"/>
    <hyperlink xmlns:r="http://schemas.openxmlformats.org/officeDocument/2006/relationships" ref="O161" r:id="rId319"/>
    <hyperlink xmlns:r="http://schemas.openxmlformats.org/officeDocument/2006/relationships" ref="P161" r:id="rId320"/>
    <hyperlink xmlns:r="http://schemas.openxmlformats.org/officeDocument/2006/relationships" ref="O162" r:id="rId321"/>
    <hyperlink xmlns:r="http://schemas.openxmlformats.org/officeDocument/2006/relationships" ref="P162" r:id="rId322"/>
    <hyperlink xmlns:r="http://schemas.openxmlformats.org/officeDocument/2006/relationships" ref="O163" r:id="rId323"/>
    <hyperlink xmlns:r="http://schemas.openxmlformats.org/officeDocument/2006/relationships" ref="P163" r:id="rId324"/>
    <hyperlink xmlns:r="http://schemas.openxmlformats.org/officeDocument/2006/relationships" ref="O164" r:id="rId325"/>
    <hyperlink xmlns:r="http://schemas.openxmlformats.org/officeDocument/2006/relationships" ref="P164" r:id="rId326"/>
    <hyperlink xmlns:r="http://schemas.openxmlformats.org/officeDocument/2006/relationships" ref="O165" r:id="rId327"/>
    <hyperlink xmlns:r="http://schemas.openxmlformats.org/officeDocument/2006/relationships" ref="P165" r:id="rId328"/>
    <hyperlink xmlns:r="http://schemas.openxmlformats.org/officeDocument/2006/relationships" ref="O166" r:id="rId329"/>
    <hyperlink xmlns:r="http://schemas.openxmlformats.org/officeDocument/2006/relationships" ref="P166" r:id="rId330"/>
    <hyperlink xmlns:r="http://schemas.openxmlformats.org/officeDocument/2006/relationships" ref="O167" r:id="rId331"/>
    <hyperlink xmlns:r="http://schemas.openxmlformats.org/officeDocument/2006/relationships" ref="P167" r:id="rId332"/>
    <hyperlink xmlns:r="http://schemas.openxmlformats.org/officeDocument/2006/relationships" ref="O168" r:id="rId333"/>
    <hyperlink xmlns:r="http://schemas.openxmlformats.org/officeDocument/2006/relationships" ref="P168" r:id="rId334"/>
    <hyperlink xmlns:r="http://schemas.openxmlformats.org/officeDocument/2006/relationships" ref="O169" r:id="rId335"/>
    <hyperlink xmlns:r="http://schemas.openxmlformats.org/officeDocument/2006/relationships" ref="P169" r:id="rId336"/>
    <hyperlink xmlns:r="http://schemas.openxmlformats.org/officeDocument/2006/relationships" ref="O170" r:id="rId337"/>
    <hyperlink xmlns:r="http://schemas.openxmlformats.org/officeDocument/2006/relationships" ref="P170" r:id="rId338"/>
    <hyperlink xmlns:r="http://schemas.openxmlformats.org/officeDocument/2006/relationships" ref="O171" r:id="rId339"/>
    <hyperlink xmlns:r="http://schemas.openxmlformats.org/officeDocument/2006/relationships" ref="P171" r:id="rId340"/>
    <hyperlink xmlns:r="http://schemas.openxmlformats.org/officeDocument/2006/relationships" ref="O172" r:id="rId341"/>
    <hyperlink xmlns:r="http://schemas.openxmlformats.org/officeDocument/2006/relationships" ref="P172" r:id="rId342"/>
    <hyperlink xmlns:r="http://schemas.openxmlformats.org/officeDocument/2006/relationships" ref="O173" r:id="rId343"/>
    <hyperlink xmlns:r="http://schemas.openxmlformats.org/officeDocument/2006/relationships" ref="P173" r:id="rId344"/>
    <hyperlink xmlns:r="http://schemas.openxmlformats.org/officeDocument/2006/relationships" ref="O174" r:id="rId345"/>
    <hyperlink xmlns:r="http://schemas.openxmlformats.org/officeDocument/2006/relationships" ref="P174" r:id="rId346"/>
    <hyperlink xmlns:r="http://schemas.openxmlformats.org/officeDocument/2006/relationships" ref="O175" r:id="rId347"/>
    <hyperlink xmlns:r="http://schemas.openxmlformats.org/officeDocument/2006/relationships" ref="P175" r:id="rId348"/>
    <hyperlink xmlns:r="http://schemas.openxmlformats.org/officeDocument/2006/relationships" ref="O176" r:id="rId349"/>
    <hyperlink xmlns:r="http://schemas.openxmlformats.org/officeDocument/2006/relationships" ref="P176" r:id="rId350"/>
    <hyperlink xmlns:r="http://schemas.openxmlformats.org/officeDocument/2006/relationships" ref="O177" r:id="rId351"/>
    <hyperlink xmlns:r="http://schemas.openxmlformats.org/officeDocument/2006/relationships" ref="P177" r:id="rId352"/>
    <hyperlink xmlns:r="http://schemas.openxmlformats.org/officeDocument/2006/relationships" ref="O178" r:id="rId353"/>
    <hyperlink xmlns:r="http://schemas.openxmlformats.org/officeDocument/2006/relationships" ref="P178" r:id="rId354"/>
    <hyperlink xmlns:r="http://schemas.openxmlformats.org/officeDocument/2006/relationships" ref="O179" r:id="rId355"/>
    <hyperlink xmlns:r="http://schemas.openxmlformats.org/officeDocument/2006/relationships" ref="P179" r:id="rId356"/>
    <hyperlink xmlns:r="http://schemas.openxmlformats.org/officeDocument/2006/relationships" ref="O180" r:id="rId357"/>
    <hyperlink xmlns:r="http://schemas.openxmlformats.org/officeDocument/2006/relationships" ref="P180" r:id="rId358"/>
    <hyperlink xmlns:r="http://schemas.openxmlformats.org/officeDocument/2006/relationships" ref="O181" r:id="rId359"/>
    <hyperlink xmlns:r="http://schemas.openxmlformats.org/officeDocument/2006/relationships" ref="P181" r:id="rId360"/>
    <hyperlink xmlns:r="http://schemas.openxmlformats.org/officeDocument/2006/relationships" ref="O182" r:id="rId361"/>
    <hyperlink xmlns:r="http://schemas.openxmlformats.org/officeDocument/2006/relationships" ref="P182" r:id="rId362"/>
    <hyperlink xmlns:r="http://schemas.openxmlformats.org/officeDocument/2006/relationships" ref="O183" r:id="rId363"/>
    <hyperlink xmlns:r="http://schemas.openxmlformats.org/officeDocument/2006/relationships" ref="P183" r:id="rId364"/>
    <hyperlink xmlns:r="http://schemas.openxmlformats.org/officeDocument/2006/relationships" ref="O184" r:id="rId365"/>
    <hyperlink xmlns:r="http://schemas.openxmlformats.org/officeDocument/2006/relationships" ref="P184" r:id="rId366"/>
    <hyperlink xmlns:r="http://schemas.openxmlformats.org/officeDocument/2006/relationships" ref="O185" r:id="rId367"/>
    <hyperlink xmlns:r="http://schemas.openxmlformats.org/officeDocument/2006/relationships" ref="P185" r:id="rId368"/>
    <hyperlink xmlns:r="http://schemas.openxmlformats.org/officeDocument/2006/relationships" ref="O186" r:id="rId369"/>
    <hyperlink xmlns:r="http://schemas.openxmlformats.org/officeDocument/2006/relationships" ref="P186" r:id="rId370"/>
    <hyperlink xmlns:r="http://schemas.openxmlformats.org/officeDocument/2006/relationships" ref="O187" r:id="rId371"/>
    <hyperlink xmlns:r="http://schemas.openxmlformats.org/officeDocument/2006/relationships" ref="P187" r:id="rId372"/>
    <hyperlink xmlns:r="http://schemas.openxmlformats.org/officeDocument/2006/relationships" ref="O188" r:id="rId373"/>
    <hyperlink xmlns:r="http://schemas.openxmlformats.org/officeDocument/2006/relationships" ref="P188" r:id="rId374"/>
    <hyperlink xmlns:r="http://schemas.openxmlformats.org/officeDocument/2006/relationships" ref="O189" r:id="rId375"/>
    <hyperlink xmlns:r="http://schemas.openxmlformats.org/officeDocument/2006/relationships" ref="P189" r:id="rId376"/>
    <hyperlink xmlns:r="http://schemas.openxmlformats.org/officeDocument/2006/relationships" ref="O190" r:id="rId377"/>
    <hyperlink xmlns:r="http://schemas.openxmlformats.org/officeDocument/2006/relationships" ref="P190" r:id="rId378"/>
    <hyperlink xmlns:r="http://schemas.openxmlformats.org/officeDocument/2006/relationships" ref="O191" r:id="rId379"/>
    <hyperlink xmlns:r="http://schemas.openxmlformats.org/officeDocument/2006/relationships" ref="P191" r:id="rId380"/>
    <hyperlink xmlns:r="http://schemas.openxmlformats.org/officeDocument/2006/relationships" ref="O192" r:id="rId381"/>
    <hyperlink xmlns:r="http://schemas.openxmlformats.org/officeDocument/2006/relationships" ref="P192" r:id="rId382"/>
    <hyperlink xmlns:r="http://schemas.openxmlformats.org/officeDocument/2006/relationships" ref="O193" r:id="rId383"/>
    <hyperlink xmlns:r="http://schemas.openxmlformats.org/officeDocument/2006/relationships" ref="P193" r:id="rId384"/>
    <hyperlink xmlns:r="http://schemas.openxmlformats.org/officeDocument/2006/relationships" ref="O194" r:id="rId385"/>
    <hyperlink xmlns:r="http://schemas.openxmlformats.org/officeDocument/2006/relationships" ref="P194" r:id="rId386"/>
    <hyperlink xmlns:r="http://schemas.openxmlformats.org/officeDocument/2006/relationships" ref="O195" r:id="rId387"/>
    <hyperlink xmlns:r="http://schemas.openxmlformats.org/officeDocument/2006/relationships" ref="P195" r:id="rId388"/>
    <hyperlink xmlns:r="http://schemas.openxmlformats.org/officeDocument/2006/relationships" ref="O196" r:id="rId389"/>
    <hyperlink xmlns:r="http://schemas.openxmlformats.org/officeDocument/2006/relationships" ref="P196" r:id="rId390"/>
    <hyperlink xmlns:r="http://schemas.openxmlformats.org/officeDocument/2006/relationships" ref="O197" r:id="rId391"/>
    <hyperlink xmlns:r="http://schemas.openxmlformats.org/officeDocument/2006/relationships" ref="P197" r:id="rId392"/>
    <hyperlink xmlns:r="http://schemas.openxmlformats.org/officeDocument/2006/relationships" ref="O198" r:id="rId393"/>
    <hyperlink xmlns:r="http://schemas.openxmlformats.org/officeDocument/2006/relationships" ref="P198" r:id="rId394"/>
    <hyperlink xmlns:r="http://schemas.openxmlformats.org/officeDocument/2006/relationships" ref="O199" r:id="rId395"/>
    <hyperlink xmlns:r="http://schemas.openxmlformats.org/officeDocument/2006/relationships" ref="P199" r:id="rId396"/>
    <hyperlink xmlns:r="http://schemas.openxmlformats.org/officeDocument/2006/relationships" ref="O200" r:id="rId397"/>
    <hyperlink xmlns:r="http://schemas.openxmlformats.org/officeDocument/2006/relationships" ref="P200" r:id="rId398"/>
    <hyperlink xmlns:r="http://schemas.openxmlformats.org/officeDocument/2006/relationships" ref="O201" r:id="rId399"/>
    <hyperlink xmlns:r="http://schemas.openxmlformats.org/officeDocument/2006/relationships" ref="P201" r:id="rId400"/>
    <hyperlink xmlns:r="http://schemas.openxmlformats.org/officeDocument/2006/relationships" ref="O202" r:id="rId401"/>
    <hyperlink xmlns:r="http://schemas.openxmlformats.org/officeDocument/2006/relationships" ref="P202" r:id="rId402"/>
    <hyperlink xmlns:r="http://schemas.openxmlformats.org/officeDocument/2006/relationships" ref="O203" r:id="rId403"/>
    <hyperlink xmlns:r="http://schemas.openxmlformats.org/officeDocument/2006/relationships" ref="P203" r:id="rId404"/>
    <hyperlink xmlns:r="http://schemas.openxmlformats.org/officeDocument/2006/relationships" ref="O204" r:id="rId405"/>
    <hyperlink xmlns:r="http://schemas.openxmlformats.org/officeDocument/2006/relationships" ref="P204" r:id="rId406"/>
    <hyperlink xmlns:r="http://schemas.openxmlformats.org/officeDocument/2006/relationships" ref="O205" r:id="rId407"/>
    <hyperlink xmlns:r="http://schemas.openxmlformats.org/officeDocument/2006/relationships" ref="P205" r:id="rId408"/>
    <hyperlink xmlns:r="http://schemas.openxmlformats.org/officeDocument/2006/relationships" ref="O206" r:id="rId409"/>
    <hyperlink xmlns:r="http://schemas.openxmlformats.org/officeDocument/2006/relationships" ref="P206" r:id="rId410"/>
    <hyperlink xmlns:r="http://schemas.openxmlformats.org/officeDocument/2006/relationships" ref="O207" r:id="rId411"/>
    <hyperlink xmlns:r="http://schemas.openxmlformats.org/officeDocument/2006/relationships" ref="P207" r:id="rId412"/>
    <hyperlink xmlns:r="http://schemas.openxmlformats.org/officeDocument/2006/relationships" ref="O208" r:id="rId413"/>
    <hyperlink xmlns:r="http://schemas.openxmlformats.org/officeDocument/2006/relationships" ref="P208" r:id="rId414"/>
    <hyperlink xmlns:r="http://schemas.openxmlformats.org/officeDocument/2006/relationships" ref="O209" r:id="rId415"/>
    <hyperlink xmlns:r="http://schemas.openxmlformats.org/officeDocument/2006/relationships" ref="P209" r:id="rId416"/>
    <hyperlink xmlns:r="http://schemas.openxmlformats.org/officeDocument/2006/relationships" ref="O210" r:id="rId417"/>
    <hyperlink xmlns:r="http://schemas.openxmlformats.org/officeDocument/2006/relationships" ref="P210" r:id="rId418"/>
    <hyperlink xmlns:r="http://schemas.openxmlformats.org/officeDocument/2006/relationships" ref="O211" r:id="rId419"/>
    <hyperlink xmlns:r="http://schemas.openxmlformats.org/officeDocument/2006/relationships" ref="P211" r:id="rId420"/>
    <hyperlink xmlns:r="http://schemas.openxmlformats.org/officeDocument/2006/relationships" ref="O212" r:id="rId421"/>
    <hyperlink xmlns:r="http://schemas.openxmlformats.org/officeDocument/2006/relationships" ref="P212" r:id="rId422"/>
    <hyperlink xmlns:r="http://schemas.openxmlformats.org/officeDocument/2006/relationships" ref="O213" r:id="rId423"/>
    <hyperlink xmlns:r="http://schemas.openxmlformats.org/officeDocument/2006/relationships" ref="P213" r:id="rId424"/>
    <hyperlink xmlns:r="http://schemas.openxmlformats.org/officeDocument/2006/relationships" ref="O214" r:id="rId425"/>
    <hyperlink xmlns:r="http://schemas.openxmlformats.org/officeDocument/2006/relationships" ref="P214" r:id="rId426"/>
    <hyperlink xmlns:r="http://schemas.openxmlformats.org/officeDocument/2006/relationships" ref="O215" r:id="rId427"/>
    <hyperlink xmlns:r="http://schemas.openxmlformats.org/officeDocument/2006/relationships" ref="P215" r:id="rId428"/>
    <hyperlink xmlns:r="http://schemas.openxmlformats.org/officeDocument/2006/relationships" ref="O216" r:id="rId429"/>
    <hyperlink xmlns:r="http://schemas.openxmlformats.org/officeDocument/2006/relationships" ref="P216" r:id="rId430"/>
    <hyperlink xmlns:r="http://schemas.openxmlformats.org/officeDocument/2006/relationships" ref="O217" r:id="rId431"/>
    <hyperlink xmlns:r="http://schemas.openxmlformats.org/officeDocument/2006/relationships" ref="P217" r:id="rId432"/>
    <hyperlink xmlns:r="http://schemas.openxmlformats.org/officeDocument/2006/relationships" ref="O218" r:id="rId433"/>
    <hyperlink xmlns:r="http://schemas.openxmlformats.org/officeDocument/2006/relationships" ref="P218" r:id="rId434"/>
    <hyperlink xmlns:r="http://schemas.openxmlformats.org/officeDocument/2006/relationships" ref="O219" r:id="rId435"/>
    <hyperlink xmlns:r="http://schemas.openxmlformats.org/officeDocument/2006/relationships" ref="P219" r:id="rId436"/>
    <hyperlink xmlns:r="http://schemas.openxmlformats.org/officeDocument/2006/relationships" ref="O220" r:id="rId437"/>
    <hyperlink xmlns:r="http://schemas.openxmlformats.org/officeDocument/2006/relationships" ref="P220" r:id="rId438"/>
    <hyperlink xmlns:r="http://schemas.openxmlformats.org/officeDocument/2006/relationships" ref="O221" r:id="rId439"/>
    <hyperlink xmlns:r="http://schemas.openxmlformats.org/officeDocument/2006/relationships" ref="P221" r:id="rId440"/>
    <hyperlink xmlns:r="http://schemas.openxmlformats.org/officeDocument/2006/relationships" ref="O222" r:id="rId441"/>
    <hyperlink xmlns:r="http://schemas.openxmlformats.org/officeDocument/2006/relationships" ref="P222" r:id="rId442"/>
    <hyperlink xmlns:r="http://schemas.openxmlformats.org/officeDocument/2006/relationships" ref="O223" r:id="rId443"/>
    <hyperlink xmlns:r="http://schemas.openxmlformats.org/officeDocument/2006/relationships" ref="P223" r:id="rId444"/>
    <hyperlink xmlns:r="http://schemas.openxmlformats.org/officeDocument/2006/relationships" ref="O224" r:id="rId445"/>
    <hyperlink xmlns:r="http://schemas.openxmlformats.org/officeDocument/2006/relationships" ref="P224" r:id="rId446"/>
    <hyperlink xmlns:r="http://schemas.openxmlformats.org/officeDocument/2006/relationships" ref="O225" r:id="rId447"/>
    <hyperlink xmlns:r="http://schemas.openxmlformats.org/officeDocument/2006/relationships" ref="P225" r:id="rId448"/>
    <hyperlink xmlns:r="http://schemas.openxmlformats.org/officeDocument/2006/relationships" ref="O226" r:id="rId449"/>
    <hyperlink xmlns:r="http://schemas.openxmlformats.org/officeDocument/2006/relationships" ref="P226" r:id="rId450"/>
    <hyperlink xmlns:r="http://schemas.openxmlformats.org/officeDocument/2006/relationships" ref="O227" r:id="rId451"/>
    <hyperlink xmlns:r="http://schemas.openxmlformats.org/officeDocument/2006/relationships" ref="P227" r:id="rId452"/>
    <hyperlink xmlns:r="http://schemas.openxmlformats.org/officeDocument/2006/relationships" ref="O228" r:id="rId453"/>
    <hyperlink xmlns:r="http://schemas.openxmlformats.org/officeDocument/2006/relationships" ref="P228" r:id="rId454"/>
    <hyperlink xmlns:r="http://schemas.openxmlformats.org/officeDocument/2006/relationships" ref="O229" r:id="rId455"/>
    <hyperlink xmlns:r="http://schemas.openxmlformats.org/officeDocument/2006/relationships" ref="P229" r:id="rId456"/>
    <hyperlink xmlns:r="http://schemas.openxmlformats.org/officeDocument/2006/relationships" ref="O230" r:id="rId457"/>
    <hyperlink xmlns:r="http://schemas.openxmlformats.org/officeDocument/2006/relationships" ref="P230" r:id="rId458"/>
    <hyperlink xmlns:r="http://schemas.openxmlformats.org/officeDocument/2006/relationships" ref="O231" r:id="rId459"/>
    <hyperlink xmlns:r="http://schemas.openxmlformats.org/officeDocument/2006/relationships" ref="P231" r:id="rId460"/>
    <hyperlink xmlns:r="http://schemas.openxmlformats.org/officeDocument/2006/relationships" ref="O232" r:id="rId461"/>
    <hyperlink xmlns:r="http://schemas.openxmlformats.org/officeDocument/2006/relationships" ref="P232" r:id="rId462"/>
    <hyperlink xmlns:r="http://schemas.openxmlformats.org/officeDocument/2006/relationships" ref="O233" r:id="rId463"/>
    <hyperlink xmlns:r="http://schemas.openxmlformats.org/officeDocument/2006/relationships" ref="P233" r:id="rId464"/>
    <hyperlink xmlns:r="http://schemas.openxmlformats.org/officeDocument/2006/relationships" ref="O234" r:id="rId465"/>
    <hyperlink xmlns:r="http://schemas.openxmlformats.org/officeDocument/2006/relationships" ref="P234" r:id="rId466"/>
    <hyperlink xmlns:r="http://schemas.openxmlformats.org/officeDocument/2006/relationships" ref="O235" r:id="rId467"/>
    <hyperlink xmlns:r="http://schemas.openxmlformats.org/officeDocument/2006/relationships" ref="P235" r:id="rId468"/>
    <hyperlink xmlns:r="http://schemas.openxmlformats.org/officeDocument/2006/relationships" ref="O236" r:id="rId469"/>
    <hyperlink xmlns:r="http://schemas.openxmlformats.org/officeDocument/2006/relationships" ref="P236" r:id="rId470"/>
    <hyperlink xmlns:r="http://schemas.openxmlformats.org/officeDocument/2006/relationships" ref="O237" r:id="rId471"/>
    <hyperlink xmlns:r="http://schemas.openxmlformats.org/officeDocument/2006/relationships" ref="P237" r:id="rId472"/>
    <hyperlink xmlns:r="http://schemas.openxmlformats.org/officeDocument/2006/relationships" ref="O238" r:id="rId473"/>
    <hyperlink xmlns:r="http://schemas.openxmlformats.org/officeDocument/2006/relationships" ref="P238" r:id="rId474"/>
    <hyperlink xmlns:r="http://schemas.openxmlformats.org/officeDocument/2006/relationships" ref="O239" r:id="rId475"/>
    <hyperlink xmlns:r="http://schemas.openxmlformats.org/officeDocument/2006/relationships" ref="P239" r:id="rId476"/>
    <hyperlink xmlns:r="http://schemas.openxmlformats.org/officeDocument/2006/relationships" ref="O240" r:id="rId477"/>
    <hyperlink xmlns:r="http://schemas.openxmlformats.org/officeDocument/2006/relationships" ref="P240" r:id="rId478"/>
    <hyperlink xmlns:r="http://schemas.openxmlformats.org/officeDocument/2006/relationships" ref="O241" r:id="rId479"/>
    <hyperlink xmlns:r="http://schemas.openxmlformats.org/officeDocument/2006/relationships" ref="P241" r:id="rId480"/>
    <hyperlink xmlns:r="http://schemas.openxmlformats.org/officeDocument/2006/relationships" ref="O242" r:id="rId481"/>
    <hyperlink xmlns:r="http://schemas.openxmlformats.org/officeDocument/2006/relationships" ref="P242" r:id="rId482"/>
    <hyperlink xmlns:r="http://schemas.openxmlformats.org/officeDocument/2006/relationships" ref="O243" r:id="rId483"/>
    <hyperlink xmlns:r="http://schemas.openxmlformats.org/officeDocument/2006/relationships" ref="P243" r:id="rId484"/>
    <hyperlink xmlns:r="http://schemas.openxmlformats.org/officeDocument/2006/relationships" ref="O244" r:id="rId485"/>
    <hyperlink xmlns:r="http://schemas.openxmlformats.org/officeDocument/2006/relationships" ref="P244" r:id="rId486"/>
    <hyperlink xmlns:r="http://schemas.openxmlformats.org/officeDocument/2006/relationships" ref="O245" r:id="rId487"/>
    <hyperlink xmlns:r="http://schemas.openxmlformats.org/officeDocument/2006/relationships" ref="P245" r:id="rId488"/>
    <hyperlink xmlns:r="http://schemas.openxmlformats.org/officeDocument/2006/relationships" ref="O246" r:id="rId489"/>
    <hyperlink xmlns:r="http://schemas.openxmlformats.org/officeDocument/2006/relationships" ref="P246" r:id="rId490"/>
    <hyperlink xmlns:r="http://schemas.openxmlformats.org/officeDocument/2006/relationships" ref="O247" r:id="rId491"/>
    <hyperlink xmlns:r="http://schemas.openxmlformats.org/officeDocument/2006/relationships" ref="P247" r:id="rId492"/>
    <hyperlink xmlns:r="http://schemas.openxmlformats.org/officeDocument/2006/relationships" ref="O248" r:id="rId493"/>
    <hyperlink xmlns:r="http://schemas.openxmlformats.org/officeDocument/2006/relationships" ref="P248" r:id="rId494"/>
    <hyperlink xmlns:r="http://schemas.openxmlformats.org/officeDocument/2006/relationships" ref="O249" r:id="rId495"/>
    <hyperlink xmlns:r="http://schemas.openxmlformats.org/officeDocument/2006/relationships" ref="P249" r:id="rId496"/>
    <hyperlink xmlns:r="http://schemas.openxmlformats.org/officeDocument/2006/relationships" ref="O250" r:id="rId497"/>
    <hyperlink xmlns:r="http://schemas.openxmlformats.org/officeDocument/2006/relationships" ref="P250" r:id="rId498"/>
    <hyperlink xmlns:r="http://schemas.openxmlformats.org/officeDocument/2006/relationships" ref="O251" r:id="rId499"/>
    <hyperlink xmlns:r="http://schemas.openxmlformats.org/officeDocument/2006/relationships" ref="P251" r:id="rId500"/>
    <hyperlink xmlns:r="http://schemas.openxmlformats.org/officeDocument/2006/relationships" ref="O252" r:id="rId501"/>
    <hyperlink xmlns:r="http://schemas.openxmlformats.org/officeDocument/2006/relationships" ref="P252" r:id="rId502"/>
    <hyperlink xmlns:r="http://schemas.openxmlformats.org/officeDocument/2006/relationships" ref="O253" r:id="rId503"/>
    <hyperlink xmlns:r="http://schemas.openxmlformats.org/officeDocument/2006/relationships" ref="P253" r:id="rId504"/>
    <hyperlink xmlns:r="http://schemas.openxmlformats.org/officeDocument/2006/relationships" ref="O254" r:id="rId505"/>
    <hyperlink xmlns:r="http://schemas.openxmlformats.org/officeDocument/2006/relationships" ref="P254" r:id="rId506"/>
    <hyperlink xmlns:r="http://schemas.openxmlformats.org/officeDocument/2006/relationships" ref="O255" r:id="rId507"/>
    <hyperlink xmlns:r="http://schemas.openxmlformats.org/officeDocument/2006/relationships" ref="P255" r:id="rId508"/>
    <hyperlink xmlns:r="http://schemas.openxmlformats.org/officeDocument/2006/relationships" ref="O256" r:id="rId509"/>
    <hyperlink xmlns:r="http://schemas.openxmlformats.org/officeDocument/2006/relationships" ref="P256" r:id="rId510"/>
    <hyperlink xmlns:r="http://schemas.openxmlformats.org/officeDocument/2006/relationships" ref="O257" r:id="rId511"/>
    <hyperlink xmlns:r="http://schemas.openxmlformats.org/officeDocument/2006/relationships" ref="P257" r:id="rId512"/>
    <hyperlink xmlns:r="http://schemas.openxmlformats.org/officeDocument/2006/relationships" ref="O258" r:id="rId513"/>
    <hyperlink xmlns:r="http://schemas.openxmlformats.org/officeDocument/2006/relationships" ref="P258" r:id="rId514"/>
    <hyperlink xmlns:r="http://schemas.openxmlformats.org/officeDocument/2006/relationships" ref="O259" r:id="rId515"/>
    <hyperlink xmlns:r="http://schemas.openxmlformats.org/officeDocument/2006/relationships" ref="P259" r:id="rId516"/>
    <hyperlink xmlns:r="http://schemas.openxmlformats.org/officeDocument/2006/relationships" ref="O260" r:id="rId517"/>
    <hyperlink xmlns:r="http://schemas.openxmlformats.org/officeDocument/2006/relationships" ref="P260" r:id="rId518"/>
    <hyperlink xmlns:r="http://schemas.openxmlformats.org/officeDocument/2006/relationships" ref="O261" r:id="rId519"/>
    <hyperlink xmlns:r="http://schemas.openxmlformats.org/officeDocument/2006/relationships" ref="P261" r:id="rId520"/>
    <hyperlink xmlns:r="http://schemas.openxmlformats.org/officeDocument/2006/relationships" ref="O262" r:id="rId521"/>
    <hyperlink xmlns:r="http://schemas.openxmlformats.org/officeDocument/2006/relationships" ref="P262" r:id="rId522"/>
    <hyperlink xmlns:r="http://schemas.openxmlformats.org/officeDocument/2006/relationships" ref="O263" r:id="rId523"/>
    <hyperlink xmlns:r="http://schemas.openxmlformats.org/officeDocument/2006/relationships" ref="P263" r:id="rId524"/>
    <hyperlink xmlns:r="http://schemas.openxmlformats.org/officeDocument/2006/relationships" ref="O264" r:id="rId525"/>
    <hyperlink xmlns:r="http://schemas.openxmlformats.org/officeDocument/2006/relationships" ref="P264" r:id="rId526"/>
    <hyperlink xmlns:r="http://schemas.openxmlformats.org/officeDocument/2006/relationships" ref="O265" r:id="rId527"/>
    <hyperlink xmlns:r="http://schemas.openxmlformats.org/officeDocument/2006/relationships" ref="P265" r:id="rId528"/>
    <hyperlink xmlns:r="http://schemas.openxmlformats.org/officeDocument/2006/relationships" ref="O266" r:id="rId529"/>
    <hyperlink xmlns:r="http://schemas.openxmlformats.org/officeDocument/2006/relationships" ref="P266" r:id="rId530"/>
    <hyperlink xmlns:r="http://schemas.openxmlformats.org/officeDocument/2006/relationships" ref="O267" r:id="rId531"/>
    <hyperlink xmlns:r="http://schemas.openxmlformats.org/officeDocument/2006/relationships" ref="P267" r:id="rId532"/>
    <hyperlink xmlns:r="http://schemas.openxmlformats.org/officeDocument/2006/relationships" ref="O268" r:id="rId533"/>
    <hyperlink xmlns:r="http://schemas.openxmlformats.org/officeDocument/2006/relationships" ref="P268" r:id="rId534"/>
    <hyperlink xmlns:r="http://schemas.openxmlformats.org/officeDocument/2006/relationships" ref="O269" r:id="rId535"/>
    <hyperlink xmlns:r="http://schemas.openxmlformats.org/officeDocument/2006/relationships" ref="P269" r:id="rId536"/>
    <hyperlink xmlns:r="http://schemas.openxmlformats.org/officeDocument/2006/relationships" ref="O270" r:id="rId537"/>
    <hyperlink xmlns:r="http://schemas.openxmlformats.org/officeDocument/2006/relationships" ref="P270" r:id="rId538"/>
    <hyperlink xmlns:r="http://schemas.openxmlformats.org/officeDocument/2006/relationships" ref="O271" r:id="rId539"/>
    <hyperlink xmlns:r="http://schemas.openxmlformats.org/officeDocument/2006/relationships" ref="P271" r:id="rId540"/>
    <hyperlink xmlns:r="http://schemas.openxmlformats.org/officeDocument/2006/relationships" ref="O272" r:id="rId541"/>
    <hyperlink xmlns:r="http://schemas.openxmlformats.org/officeDocument/2006/relationships" ref="P272" r:id="rId542"/>
    <hyperlink xmlns:r="http://schemas.openxmlformats.org/officeDocument/2006/relationships" ref="O273" r:id="rId543"/>
    <hyperlink xmlns:r="http://schemas.openxmlformats.org/officeDocument/2006/relationships" ref="P273" r:id="rId544"/>
    <hyperlink xmlns:r="http://schemas.openxmlformats.org/officeDocument/2006/relationships" ref="O274" r:id="rId545"/>
    <hyperlink xmlns:r="http://schemas.openxmlformats.org/officeDocument/2006/relationships" ref="P274" r:id="rId546"/>
    <hyperlink xmlns:r="http://schemas.openxmlformats.org/officeDocument/2006/relationships" ref="O275" r:id="rId547"/>
    <hyperlink xmlns:r="http://schemas.openxmlformats.org/officeDocument/2006/relationships" ref="P275" r:id="rId548"/>
    <hyperlink xmlns:r="http://schemas.openxmlformats.org/officeDocument/2006/relationships" ref="O276" r:id="rId549"/>
    <hyperlink xmlns:r="http://schemas.openxmlformats.org/officeDocument/2006/relationships" ref="P276" r:id="rId550"/>
    <hyperlink xmlns:r="http://schemas.openxmlformats.org/officeDocument/2006/relationships" ref="O277" r:id="rId551"/>
    <hyperlink xmlns:r="http://schemas.openxmlformats.org/officeDocument/2006/relationships" ref="P277" r:id="rId552"/>
    <hyperlink xmlns:r="http://schemas.openxmlformats.org/officeDocument/2006/relationships" ref="O278" r:id="rId553"/>
    <hyperlink xmlns:r="http://schemas.openxmlformats.org/officeDocument/2006/relationships" ref="P278" r:id="rId554"/>
    <hyperlink xmlns:r="http://schemas.openxmlformats.org/officeDocument/2006/relationships" ref="O279" r:id="rId555"/>
    <hyperlink xmlns:r="http://schemas.openxmlformats.org/officeDocument/2006/relationships" ref="P279" r:id="rId556"/>
    <hyperlink xmlns:r="http://schemas.openxmlformats.org/officeDocument/2006/relationships" ref="O280" r:id="rId557"/>
    <hyperlink xmlns:r="http://schemas.openxmlformats.org/officeDocument/2006/relationships" ref="P280" r:id="rId558"/>
    <hyperlink xmlns:r="http://schemas.openxmlformats.org/officeDocument/2006/relationships" ref="O281" r:id="rId559"/>
    <hyperlink xmlns:r="http://schemas.openxmlformats.org/officeDocument/2006/relationships" ref="P281" r:id="rId560"/>
    <hyperlink xmlns:r="http://schemas.openxmlformats.org/officeDocument/2006/relationships" ref="O282" r:id="rId561"/>
    <hyperlink xmlns:r="http://schemas.openxmlformats.org/officeDocument/2006/relationships" ref="P282" r:id="rId562"/>
    <hyperlink xmlns:r="http://schemas.openxmlformats.org/officeDocument/2006/relationships" ref="O283" r:id="rId563"/>
    <hyperlink xmlns:r="http://schemas.openxmlformats.org/officeDocument/2006/relationships" ref="P283" r:id="rId564"/>
    <hyperlink xmlns:r="http://schemas.openxmlformats.org/officeDocument/2006/relationships" ref="O284" r:id="rId565"/>
    <hyperlink xmlns:r="http://schemas.openxmlformats.org/officeDocument/2006/relationships" ref="P284" r:id="rId566"/>
    <hyperlink xmlns:r="http://schemas.openxmlformats.org/officeDocument/2006/relationships" ref="O285" r:id="rId567"/>
    <hyperlink xmlns:r="http://schemas.openxmlformats.org/officeDocument/2006/relationships" ref="P285" r:id="rId568"/>
    <hyperlink xmlns:r="http://schemas.openxmlformats.org/officeDocument/2006/relationships" ref="O286" r:id="rId569"/>
    <hyperlink xmlns:r="http://schemas.openxmlformats.org/officeDocument/2006/relationships" ref="P286" r:id="rId570"/>
    <hyperlink xmlns:r="http://schemas.openxmlformats.org/officeDocument/2006/relationships" ref="O287" r:id="rId571"/>
    <hyperlink xmlns:r="http://schemas.openxmlformats.org/officeDocument/2006/relationships" ref="P287" r:id="rId572"/>
    <hyperlink xmlns:r="http://schemas.openxmlformats.org/officeDocument/2006/relationships" ref="O288" r:id="rId573"/>
    <hyperlink xmlns:r="http://schemas.openxmlformats.org/officeDocument/2006/relationships" ref="P288" r:id="rId574"/>
    <hyperlink xmlns:r="http://schemas.openxmlformats.org/officeDocument/2006/relationships" ref="O289" r:id="rId575"/>
    <hyperlink xmlns:r="http://schemas.openxmlformats.org/officeDocument/2006/relationships" ref="P289" r:id="rId576"/>
    <hyperlink xmlns:r="http://schemas.openxmlformats.org/officeDocument/2006/relationships" ref="O290" r:id="rId577"/>
    <hyperlink xmlns:r="http://schemas.openxmlformats.org/officeDocument/2006/relationships" ref="P290" r:id="rId578"/>
    <hyperlink xmlns:r="http://schemas.openxmlformats.org/officeDocument/2006/relationships" ref="O291" r:id="rId579"/>
    <hyperlink xmlns:r="http://schemas.openxmlformats.org/officeDocument/2006/relationships" ref="P291" r:id="rId580"/>
    <hyperlink xmlns:r="http://schemas.openxmlformats.org/officeDocument/2006/relationships" ref="O292" r:id="rId581"/>
    <hyperlink xmlns:r="http://schemas.openxmlformats.org/officeDocument/2006/relationships" ref="P292" r:id="rId582"/>
    <hyperlink xmlns:r="http://schemas.openxmlformats.org/officeDocument/2006/relationships" ref="O293" r:id="rId583"/>
    <hyperlink xmlns:r="http://schemas.openxmlformats.org/officeDocument/2006/relationships" ref="P293" r:id="rId584"/>
    <hyperlink xmlns:r="http://schemas.openxmlformats.org/officeDocument/2006/relationships" ref="O294" r:id="rId585"/>
    <hyperlink xmlns:r="http://schemas.openxmlformats.org/officeDocument/2006/relationships" ref="P294" r:id="rId586"/>
    <hyperlink xmlns:r="http://schemas.openxmlformats.org/officeDocument/2006/relationships" ref="O295" r:id="rId587"/>
    <hyperlink xmlns:r="http://schemas.openxmlformats.org/officeDocument/2006/relationships" ref="P295" r:id="rId588"/>
    <hyperlink xmlns:r="http://schemas.openxmlformats.org/officeDocument/2006/relationships" ref="O296" r:id="rId589"/>
    <hyperlink xmlns:r="http://schemas.openxmlformats.org/officeDocument/2006/relationships" ref="P296" r:id="rId590"/>
    <hyperlink xmlns:r="http://schemas.openxmlformats.org/officeDocument/2006/relationships" ref="O297" r:id="rId591"/>
    <hyperlink xmlns:r="http://schemas.openxmlformats.org/officeDocument/2006/relationships" ref="P297" r:id="rId592"/>
    <hyperlink xmlns:r="http://schemas.openxmlformats.org/officeDocument/2006/relationships" ref="O298" r:id="rId593"/>
    <hyperlink xmlns:r="http://schemas.openxmlformats.org/officeDocument/2006/relationships" ref="P298" r:id="rId594"/>
    <hyperlink xmlns:r="http://schemas.openxmlformats.org/officeDocument/2006/relationships" ref="O299" r:id="rId595"/>
    <hyperlink xmlns:r="http://schemas.openxmlformats.org/officeDocument/2006/relationships" ref="P299" r:id="rId596"/>
    <hyperlink xmlns:r="http://schemas.openxmlformats.org/officeDocument/2006/relationships" ref="O300" r:id="rId597"/>
    <hyperlink xmlns:r="http://schemas.openxmlformats.org/officeDocument/2006/relationships" ref="P300" r:id="rId598"/>
    <hyperlink xmlns:r="http://schemas.openxmlformats.org/officeDocument/2006/relationships" ref="O301" r:id="rId599"/>
    <hyperlink xmlns:r="http://schemas.openxmlformats.org/officeDocument/2006/relationships" ref="P301" r:id="rId600"/>
    <hyperlink xmlns:r="http://schemas.openxmlformats.org/officeDocument/2006/relationships" ref="O302" r:id="rId601"/>
    <hyperlink xmlns:r="http://schemas.openxmlformats.org/officeDocument/2006/relationships" ref="P302" r:id="rId602"/>
    <hyperlink xmlns:r="http://schemas.openxmlformats.org/officeDocument/2006/relationships" ref="O303" r:id="rId603"/>
    <hyperlink xmlns:r="http://schemas.openxmlformats.org/officeDocument/2006/relationships" ref="P303" r:id="rId604"/>
    <hyperlink xmlns:r="http://schemas.openxmlformats.org/officeDocument/2006/relationships" ref="O304" r:id="rId605"/>
    <hyperlink xmlns:r="http://schemas.openxmlformats.org/officeDocument/2006/relationships" ref="P304" r:id="rId606"/>
    <hyperlink xmlns:r="http://schemas.openxmlformats.org/officeDocument/2006/relationships" ref="O305" r:id="rId607"/>
    <hyperlink xmlns:r="http://schemas.openxmlformats.org/officeDocument/2006/relationships" ref="P305" r:id="rId608"/>
    <hyperlink xmlns:r="http://schemas.openxmlformats.org/officeDocument/2006/relationships" ref="O306" r:id="rId609"/>
    <hyperlink xmlns:r="http://schemas.openxmlformats.org/officeDocument/2006/relationships" ref="P306" r:id="rId610"/>
    <hyperlink xmlns:r="http://schemas.openxmlformats.org/officeDocument/2006/relationships" ref="O307" r:id="rId611"/>
    <hyperlink xmlns:r="http://schemas.openxmlformats.org/officeDocument/2006/relationships" ref="P307" r:id="rId612"/>
    <hyperlink xmlns:r="http://schemas.openxmlformats.org/officeDocument/2006/relationships" ref="O308" r:id="rId613"/>
    <hyperlink xmlns:r="http://schemas.openxmlformats.org/officeDocument/2006/relationships" ref="P308" r:id="rId614"/>
    <hyperlink xmlns:r="http://schemas.openxmlformats.org/officeDocument/2006/relationships" ref="O309" r:id="rId615"/>
    <hyperlink xmlns:r="http://schemas.openxmlformats.org/officeDocument/2006/relationships" ref="P309" r:id="rId616"/>
    <hyperlink xmlns:r="http://schemas.openxmlformats.org/officeDocument/2006/relationships" ref="O310" r:id="rId617"/>
    <hyperlink xmlns:r="http://schemas.openxmlformats.org/officeDocument/2006/relationships" ref="P310" r:id="rId618"/>
    <hyperlink xmlns:r="http://schemas.openxmlformats.org/officeDocument/2006/relationships" ref="O311" r:id="rId619"/>
    <hyperlink xmlns:r="http://schemas.openxmlformats.org/officeDocument/2006/relationships" ref="P311" r:id="rId620"/>
    <hyperlink xmlns:r="http://schemas.openxmlformats.org/officeDocument/2006/relationships" ref="O312" r:id="rId621"/>
    <hyperlink xmlns:r="http://schemas.openxmlformats.org/officeDocument/2006/relationships" ref="P312" r:id="rId622"/>
    <hyperlink xmlns:r="http://schemas.openxmlformats.org/officeDocument/2006/relationships" ref="O313" r:id="rId623"/>
    <hyperlink xmlns:r="http://schemas.openxmlformats.org/officeDocument/2006/relationships" ref="P313" r:id="rId624"/>
    <hyperlink xmlns:r="http://schemas.openxmlformats.org/officeDocument/2006/relationships" ref="O314" r:id="rId625"/>
    <hyperlink xmlns:r="http://schemas.openxmlformats.org/officeDocument/2006/relationships" ref="P314" r:id="rId626"/>
    <hyperlink xmlns:r="http://schemas.openxmlformats.org/officeDocument/2006/relationships" ref="O315" r:id="rId627"/>
    <hyperlink xmlns:r="http://schemas.openxmlformats.org/officeDocument/2006/relationships" ref="P315" r:id="rId628"/>
    <hyperlink xmlns:r="http://schemas.openxmlformats.org/officeDocument/2006/relationships" ref="O316" r:id="rId629"/>
    <hyperlink xmlns:r="http://schemas.openxmlformats.org/officeDocument/2006/relationships" ref="P316" r:id="rId630"/>
    <hyperlink xmlns:r="http://schemas.openxmlformats.org/officeDocument/2006/relationships" ref="O317" r:id="rId631"/>
    <hyperlink xmlns:r="http://schemas.openxmlformats.org/officeDocument/2006/relationships" ref="P317" r:id="rId632"/>
    <hyperlink xmlns:r="http://schemas.openxmlformats.org/officeDocument/2006/relationships" ref="O318" r:id="rId633"/>
    <hyperlink xmlns:r="http://schemas.openxmlformats.org/officeDocument/2006/relationships" ref="P318" r:id="rId634"/>
    <hyperlink xmlns:r="http://schemas.openxmlformats.org/officeDocument/2006/relationships" ref="O319" r:id="rId635"/>
    <hyperlink xmlns:r="http://schemas.openxmlformats.org/officeDocument/2006/relationships" ref="P319" r:id="rId636"/>
    <hyperlink xmlns:r="http://schemas.openxmlformats.org/officeDocument/2006/relationships" ref="O320" r:id="rId637"/>
    <hyperlink xmlns:r="http://schemas.openxmlformats.org/officeDocument/2006/relationships" ref="P320" r:id="rId638"/>
    <hyperlink xmlns:r="http://schemas.openxmlformats.org/officeDocument/2006/relationships" ref="O321" r:id="rId639"/>
    <hyperlink xmlns:r="http://schemas.openxmlformats.org/officeDocument/2006/relationships" ref="P321" r:id="rId640"/>
    <hyperlink xmlns:r="http://schemas.openxmlformats.org/officeDocument/2006/relationships" ref="O322" r:id="rId641"/>
    <hyperlink xmlns:r="http://schemas.openxmlformats.org/officeDocument/2006/relationships" ref="P322" r:id="rId642"/>
    <hyperlink xmlns:r="http://schemas.openxmlformats.org/officeDocument/2006/relationships" ref="O323" r:id="rId643"/>
    <hyperlink xmlns:r="http://schemas.openxmlformats.org/officeDocument/2006/relationships" ref="P323" r:id="rId644"/>
    <hyperlink xmlns:r="http://schemas.openxmlformats.org/officeDocument/2006/relationships" ref="O324" r:id="rId645"/>
    <hyperlink xmlns:r="http://schemas.openxmlformats.org/officeDocument/2006/relationships" ref="P324" r:id="rId646"/>
    <hyperlink xmlns:r="http://schemas.openxmlformats.org/officeDocument/2006/relationships" ref="O325" r:id="rId647"/>
    <hyperlink xmlns:r="http://schemas.openxmlformats.org/officeDocument/2006/relationships" ref="P325" r:id="rId648"/>
    <hyperlink xmlns:r="http://schemas.openxmlformats.org/officeDocument/2006/relationships" ref="O326" r:id="rId649"/>
    <hyperlink xmlns:r="http://schemas.openxmlformats.org/officeDocument/2006/relationships" ref="P326" r:id="rId650"/>
    <hyperlink xmlns:r="http://schemas.openxmlformats.org/officeDocument/2006/relationships" ref="O327" r:id="rId651"/>
    <hyperlink xmlns:r="http://schemas.openxmlformats.org/officeDocument/2006/relationships" ref="P327" r:id="rId652"/>
    <hyperlink xmlns:r="http://schemas.openxmlformats.org/officeDocument/2006/relationships" ref="O328" r:id="rId653"/>
    <hyperlink xmlns:r="http://schemas.openxmlformats.org/officeDocument/2006/relationships" ref="P328" r:id="rId654"/>
    <hyperlink xmlns:r="http://schemas.openxmlformats.org/officeDocument/2006/relationships" ref="O329" r:id="rId655"/>
    <hyperlink xmlns:r="http://schemas.openxmlformats.org/officeDocument/2006/relationships" ref="P329" r:id="rId656"/>
    <hyperlink xmlns:r="http://schemas.openxmlformats.org/officeDocument/2006/relationships" ref="O330" r:id="rId657"/>
    <hyperlink xmlns:r="http://schemas.openxmlformats.org/officeDocument/2006/relationships" ref="P330" r:id="rId658"/>
    <hyperlink xmlns:r="http://schemas.openxmlformats.org/officeDocument/2006/relationships" ref="O331" r:id="rId659"/>
    <hyperlink xmlns:r="http://schemas.openxmlformats.org/officeDocument/2006/relationships" ref="P331" r:id="rId660"/>
    <hyperlink xmlns:r="http://schemas.openxmlformats.org/officeDocument/2006/relationships" ref="O332" r:id="rId661"/>
    <hyperlink xmlns:r="http://schemas.openxmlformats.org/officeDocument/2006/relationships" ref="P332" r:id="rId662"/>
    <hyperlink xmlns:r="http://schemas.openxmlformats.org/officeDocument/2006/relationships" ref="O333" r:id="rId663"/>
    <hyperlink xmlns:r="http://schemas.openxmlformats.org/officeDocument/2006/relationships" ref="P333" r:id="rId664"/>
    <hyperlink xmlns:r="http://schemas.openxmlformats.org/officeDocument/2006/relationships" ref="O334" r:id="rId665"/>
    <hyperlink xmlns:r="http://schemas.openxmlformats.org/officeDocument/2006/relationships" ref="P334" r:id="rId666"/>
    <hyperlink xmlns:r="http://schemas.openxmlformats.org/officeDocument/2006/relationships" ref="O335" r:id="rId667"/>
    <hyperlink xmlns:r="http://schemas.openxmlformats.org/officeDocument/2006/relationships" ref="P335" r:id="rId668"/>
    <hyperlink xmlns:r="http://schemas.openxmlformats.org/officeDocument/2006/relationships" ref="O336" r:id="rId669"/>
    <hyperlink xmlns:r="http://schemas.openxmlformats.org/officeDocument/2006/relationships" ref="P336" r:id="rId670"/>
    <hyperlink xmlns:r="http://schemas.openxmlformats.org/officeDocument/2006/relationships" ref="O337" r:id="rId671"/>
    <hyperlink xmlns:r="http://schemas.openxmlformats.org/officeDocument/2006/relationships" ref="P337" r:id="rId672"/>
    <hyperlink xmlns:r="http://schemas.openxmlformats.org/officeDocument/2006/relationships" ref="O338" r:id="rId673"/>
    <hyperlink xmlns:r="http://schemas.openxmlformats.org/officeDocument/2006/relationships" ref="P338" r:id="rId674"/>
    <hyperlink xmlns:r="http://schemas.openxmlformats.org/officeDocument/2006/relationships" ref="O339" r:id="rId675"/>
    <hyperlink xmlns:r="http://schemas.openxmlformats.org/officeDocument/2006/relationships" ref="P339" r:id="rId676"/>
    <hyperlink xmlns:r="http://schemas.openxmlformats.org/officeDocument/2006/relationships" ref="O340" r:id="rId677"/>
    <hyperlink xmlns:r="http://schemas.openxmlformats.org/officeDocument/2006/relationships" ref="P340" r:id="rId678"/>
    <hyperlink xmlns:r="http://schemas.openxmlformats.org/officeDocument/2006/relationships" ref="O341" r:id="rId679"/>
    <hyperlink xmlns:r="http://schemas.openxmlformats.org/officeDocument/2006/relationships" ref="P341" r:id="rId680"/>
    <hyperlink xmlns:r="http://schemas.openxmlformats.org/officeDocument/2006/relationships" ref="O342" r:id="rId681"/>
    <hyperlink xmlns:r="http://schemas.openxmlformats.org/officeDocument/2006/relationships" ref="P342" r:id="rId682"/>
    <hyperlink xmlns:r="http://schemas.openxmlformats.org/officeDocument/2006/relationships" ref="O343" r:id="rId683"/>
    <hyperlink xmlns:r="http://schemas.openxmlformats.org/officeDocument/2006/relationships" ref="P343" r:id="rId684"/>
    <hyperlink xmlns:r="http://schemas.openxmlformats.org/officeDocument/2006/relationships" ref="O344" r:id="rId685"/>
    <hyperlink xmlns:r="http://schemas.openxmlformats.org/officeDocument/2006/relationships" ref="P344" r:id="rId686"/>
    <hyperlink xmlns:r="http://schemas.openxmlformats.org/officeDocument/2006/relationships" ref="O345" r:id="rId687"/>
    <hyperlink xmlns:r="http://schemas.openxmlformats.org/officeDocument/2006/relationships" ref="P345" r:id="rId688"/>
    <hyperlink xmlns:r="http://schemas.openxmlformats.org/officeDocument/2006/relationships" ref="O346" r:id="rId689"/>
    <hyperlink xmlns:r="http://schemas.openxmlformats.org/officeDocument/2006/relationships" ref="P346" r:id="rId690"/>
    <hyperlink xmlns:r="http://schemas.openxmlformats.org/officeDocument/2006/relationships" ref="O347" r:id="rId691"/>
    <hyperlink xmlns:r="http://schemas.openxmlformats.org/officeDocument/2006/relationships" ref="P347" r:id="rId692"/>
    <hyperlink xmlns:r="http://schemas.openxmlformats.org/officeDocument/2006/relationships" ref="O348" r:id="rId693"/>
    <hyperlink xmlns:r="http://schemas.openxmlformats.org/officeDocument/2006/relationships" ref="P348" r:id="rId694"/>
    <hyperlink xmlns:r="http://schemas.openxmlformats.org/officeDocument/2006/relationships" ref="O349" r:id="rId695"/>
    <hyperlink xmlns:r="http://schemas.openxmlformats.org/officeDocument/2006/relationships" ref="P349" r:id="rId696"/>
    <hyperlink xmlns:r="http://schemas.openxmlformats.org/officeDocument/2006/relationships" ref="O350" r:id="rId697"/>
    <hyperlink xmlns:r="http://schemas.openxmlformats.org/officeDocument/2006/relationships" ref="P350" r:id="rId698"/>
    <hyperlink xmlns:r="http://schemas.openxmlformats.org/officeDocument/2006/relationships" ref="O351" r:id="rId699"/>
    <hyperlink xmlns:r="http://schemas.openxmlformats.org/officeDocument/2006/relationships" ref="P351" r:id="rId700"/>
    <hyperlink xmlns:r="http://schemas.openxmlformats.org/officeDocument/2006/relationships" ref="O352" r:id="rId701"/>
    <hyperlink xmlns:r="http://schemas.openxmlformats.org/officeDocument/2006/relationships" ref="P352" r:id="rId702"/>
    <hyperlink xmlns:r="http://schemas.openxmlformats.org/officeDocument/2006/relationships" ref="O353" r:id="rId703"/>
    <hyperlink xmlns:r="http://schemas.openxmlformats.org/officeDocument/2006/relationships" ref="P353" r:id="rId704"/>
    <hyperlink xmlns:r="http://schemas.openxmlformats.org/officeDocument/2006/relationships" ref="O354" r:id="rId705"/>
    <hyperlink xmlns:r="http://schemas.openxmlformats.org/officeDocument/2006/relationships" ref="P354" r:id="rId706"/>
    <hyperlink xmlns:r="http://schemas.openxmlformats.org/officeDocument/2006/relationships" ref="O355" r:id="rId707"/>
    <hyperlink xmlns:r="http://schemas.openxmlformats.org/officeDocument/2006/relationships" ref="P355" r:id="rId708"/>
    <hyperlink xmlns:r="http://schemas.openxmlformats.org/officeDocument/2006/relationships" ref="O356" r:id="rId709"/>
    <hyperlink xmlns:r="http://schemas.openxmlformats.org/officeDocument/2006/relationships" ref="P356" r:id="rId710"/>
    <hyperlink xmlns:r="http://schemas.openxmlformats.org/officeDocument/2006/relationships" ref="O357" r:id="rId711"/>
    <hyperlink xmlns:r="http://schemas.openxmlformats.org/officeDocument/2006/relationships" ref="P357" r:id="rId712"/>
    <hyperlink xmlns:r="http://schemas.openxmlformats.org/officeDocument/2006/relationships" ref="O358" r:id="rId713"/>
    <hyperlink xmlns:r="http://schemas.openxmlformats.org/officeDocument/2006/relationships" ref="P358" r:id="rId714"/>
    <hyperlink xmlns:r="http://schemas.openxmlformats.org/officeDocument/2006/relationships" ref="O359" r:id="rId715"/>
    <hyperlink xmlns:r="http://schemas.openxmlformats.org/officeDocument/2006/relationships" ref="P359" r:id="rId716"/>
    <hyperlink xmlns:r="http://schemas.openxmlformats.org/officeDocument/2006/relationships" ref="O360" r:id="rId717"/>
    <hyperlink xmlns:r="http://schemas.openxmlformats.org/officeDocument/2006/relationships" ref="P360" r:id="rId718"/>
    <hyperlink xmlns:r="http://schemas.openxmlformats.org/officeDocument/2006/relationships" ref="O361" r:id="rId719"/>
    <hyperlink xmlns:r="http://schemas.openxmlformats.org/officeDocument/2006/relationships" ref="P361" r:id="rId720"/>
    <hyperlink xmlns:r="http://schemas.openxmlformats.org/officeDocument/2006/relationships" ref="O362" r:id="rId721"/>
    <hyperlink xmlns:r="http://schemas.openxmlformats.org/officeDocument/2006/relationships" ref="P362" r:id="rId722"/>
    <hyperlink xmlns:r="http://schemas.openxmlformats.org/officeDocument/2006/relationships" ref="O363" r:id="rId723"/>
    <hyperlink xmlns:r="http://schemas.openxmlformats.org/officeDocument/2006/relationships" ref="P363" r:id="rId724"/>
    <hyperlink xmlns:r="http://schemas.openxmlformats.org/officeDocument/2006/relationships" ref="O364" r:id="rId725"/>
    <hyperlink xmlns:r="http://schemas.openxmlformats.org/officeDocument/2006/relationships" ref="P364" r:id="rId726"/>
    <hyperlink xmlns:r="http://schemas.openxmlformats.org/officeDocument/2006/relationships" ref="O365" r:id="rId727"/>
    <hyperlink xmlns:r="http://schemas.openxmlformats.org/officeDocument/2006/relationships" ref="P365" r:id="rId728"/>
    <hyperlink xmlns:r="http://schemas.openxmlformats.org/officeDocument/2006/relationships" ref="O366" r:id="rId729"/>
    <hyperlink xmlns:r="http://schemas.openxmlformats.org/officeDocument/2006/relationships" ref="P366" r:id="rId730"/>
    <hyperlink xmlns:r="http://schemas.openxmlformats.org/officeDocument/2006/relationships" ref="O367" r:id="rId731"/>
    <hyperlink xmlns:r="http://schemas.openxmlformats.org/officeDocument/2006/relationships" ref="P367" r:id="rId732"/>
    <hyperlink xmlns:r="http://schemas.openxmlformats.org/officeDocument/2006/relationships" ref="O368" r:id="rId733"/>
    <hyperlink xmlns:r="http://schemas.openxmlformats.org/officeDocument/2006/relationships" ref="P368" r:id="rId734"/>
    <hyperlink xmlns:r="http://schemas.openxmlformats.org/officeDocument/2006/relationships" ref="O369" r:id="rId735"/>
    <hyperlink xmlns:r="http://schemas.openxmlformats.org/officeDocument/2006/relationships" ref="P369" r:id="rId736"/>
    <hyperlink xmlns:r="http://schemas.openxmlformats.org/officeDocument/2006/relationships" ref="O370" r:id="rId737"/>
    <hyperlink xmlns:r="http://schemas.openxmlformats.org/officeDocument/2006/relationships" ref="P370" r:id="rId738"/>
    <hyperlink xmlns:r="http://schemas.openxmlformats.org/officeDocument/2006/relationships" ref="O371" r:id="rId739"/>
    <hyperlink xmlns:r="http://schemas.openxmlformats.org/officeDocument/2006/relationships" ref="P371" r:id="rId740"/>
    <hyperlink xmlns:r="http://schemas.openxmlformats.org/officeDocument/2006/relationships" ref="O372" r:id="rId741"/>
    <hyperlink xmlns:r="http://schemas.openxmlformats.org/officeDocument/2006/relationships" ref="P372" r:id="rId742"/>
    <hyperlink xmlns:r="http://schemas.openxmlformats.org/officeDocument/2006/relationships" ref="O373" r:id="rId743"/>
    <hyperlink xmlns:r="http://schemas.openxmlformats.org/officeDocument/2006/relationships" ref="P373" r:id="rId744"/>
    <hyperlink xmlns:r="http://schemas.openxmlformats.org/officeDocument/2006/relationships" ref="O374" r:id="rId745"/>
    <hyperlink xmlns:r="http://schemas.openxmlformats.org/officeDocument/2006/relationships" ref="P374" r:id="rId746"/>
    <hyperlink xmlns:r="http://schemas.openxmlformats.org/officeDocument/2006/relationships" ref="O375" r:id="rId747"/>
    <hyperlink xmlns:r="http://schemas.openxmlformats.org/officeDocument/2006/relationships" ref="P375" r:id="rId748"/>
    <hyperlink xmlns:r="http://schemas.openxmlformats.org/officeDocument/2006/relationships" ref="O376" r:id="rId749"/>
    <hyperlink xmlns:r="http://schemas.openxmlformats.org/officeDocument/2006/relationships" ref="P376" r:id="rId750"/>
    <hyperlink xmlns:r="http://schemas.openxmlformats.org/officeDocument/2006/relationships" ref="O377" r:id="rId751"/>
    <hyperlink xmlns:r="http://schemas.openxmlformats.org/officeDocument/2006/relationships" ref="P377" r:id="rId752"/>
    <hyperlink xmlns:r="http://schemas.openxmlformats.org/officeDocument/2006/relationships" ref="O378" r:id="rId753"/>
    <hyperlink xmlns:r="http://schemas.openxmlformats.org/officeDocument/2006/relationships" ref="P378" r:id="rId754"/>
    <hyperlink xmlns:r="http://schemas.openxmlformats.org/officeDocument/2006/relationships" ref="O379" r:id="rId755"/>
    <hyperlink xmlns:r="http://schemas.openxmlformats.org/officeDocument/2006/relationships" ref="P379" r:id="rId756"/>
    <hyperlink xmlns:r="http://schemas.openxmlformats.org/officeDocument/2006/relationships" ref="O380" r:id="rId757"/>
    <hyperlink xmlns:r="http://schemas.openxmlformats.org/officeDocument/2006/relationships" ref="P380" r:id="rId758"/>
    <hyperlink xmlns:r="http://schemas.openxmlformats.org/officeDocument/2006/relationships" ref="O381" r:id="rId759"/>
    <hyperlink xmlns:r="http://schemas.openxmlformats.org/officeDocument/2006/relationships" ref="P381" r:id="rId760"/>
    <hyperlink xmlns:r="http://schemas.openxmlformats.org/officeDocument/2006/relationships" ref="O382" r:id="rId761"/>
    <hyperlink xmlns:r="http://schemas.openxmlformats.org/officeDocument/2006/relationships" ref="P382" r:id="rId762"/>
    <hyperlink xmlns:r="http://schemas.openxmlformats.org/officeDocument/2006/relationships" ref="O383" r:id="rId763"/>
    <hyperlink xmlns:r="http://schemas.openxmlformats.org/officeDocument/2006/relationships" ref="P383" r:id="rId764"/>
    <hyperlink xmlns:r="http://schemas.openxmlformats.org/officeDocument/2006/relationships" ref="O384" r:id="rId765"/>
    <hyperlink xmlns:r="http://schemas.openxmlformats.org/officeDocument/2006/relationships" ref="P384" r:id="rId766"/>
    <hyperlink xmlns:r="http://schemas.openxmlformats.org/officeDocument/2006/relationships" ref="O385" r:id="rId767"/>
    <hyperlink xmlns:r="http://schemas.openxmlformats.org/officeDocument/2006/relationships" ref="P385" r:id="rId768"/>
    <hyperlink xmlns:r="http://schemas.openxmlformats.org/officeDocument/2006/relationships" ref="O386" r:id="rId769"/>
    <hyperlink xmlns:r="http://schemas.openxmlformats.org/officeDocument/2006/relationships" ref="P386" r:id="rId770"/>
    <hyperlink xmlns:r="http://schemas.openxmlformats.org/officeDocument/2006/relationships" ref="O387" r:id="rId771"/>
    <hyperlink xmlns:r="http://schemas.openxmlformats.org/officeDocument/2006/relationships" ref="P387" r:id="rId772"/>
    <hyperlink xmlns:r="http://schemas.openxmlformats.org/officeDocument/2006/relationships" ref="O388" r:id="rId773"/>
    <hyperlink xmlns:r="http://schemas.openxmlformats.org/officeDocument/2006/relationships" ref="P388" r:id="rId774"/>
    <hyperlink xmlns:r="http://schemas.openxmlformats.org/officeDocument/2006/relationships" ref="O389" r:id="rId775"/>
    <hyperlink xmlns:r="http://schemas.openxmlformats.org/officeDocument/2006/relationships" ref="P389" r:id="rId776"/>
    <hyperlink xmlns:r="http://schemas.openxmlformats.org/officeDocument/2006/relationships" ref="O390" r:id="rId777"/>
    <hyperlink xmlns:r="http://schemas.openxmlformats.org/officeDocument/2006/relationships" ref="P390" r:id="rId778"/>
    <hyperlink xmlns:r="http://schemas.openxmlformats.org/officeDocument/2006/relationships" ref="O391" r:id="rId779"/>
    <hyperlink xmlns:r="http://schemas.openxmlformats.org/officeDocument/2006/relationships" ref="P391" r:id="rId780"/>
    <hyperlink xmlns:r="http://schemas.openxmlformats.org/officeDocument/2006/relationships" ref="O392" r:id="rId781"/>
    <hyperlink xmlns:r="http://schemas.openxmlformats.org/officeDocument/2006/relationships" ref="P392" r:id="rId782"/>
    <hyperlink xmlns:r="http://schemas.openxmlformats.org/officeDocument/2006/relationships" ref="O393" r:id="rId783"/>
    <hyperlink xmlns:r="http://schemas.openxmlformats.org/officeDocument/2006/relationships" ref="P393" r:id="rId784"/>
    <hyperlink xmlns:r="http://schemas.openxmlformats.org/officeDocument/2006/relationships" ref="O394" r:id="rId785"/>
    <hyperlink xmlns:r="http://schemas.openxmlformats.org/officeDocument/2006/relationships" ref="P394" r:id="rId786"/>
    <hyperlink xmlns:r="http://schemas.openxmlformats.org/officeDocument/2006/relationships" ref="O395" r:id="rId787"/>
    <hyperlink xmlns:r="http://schemas.openxmlformats.org/officeDocument/2006/relationships" ref="P395" r:id="rId788"/>
    <hyperlink xmlns:r="http://schemas.openxmlformats.org/officeDocument/2006/relationships" ref="O396" r:id="rId789"/>
    <hyperlink xmlns:r="http://schemas.openxmlformats.org/officeDocument/2006/relationships" ref="P396" r:id="rId790"/>
    <hyperlink xmlns:r="http://schemas.openxmlformats.org/officeDocument/2006/relationships" ref="O397" r:id="rId791"/>
    <hyperlink xmlns:r="http://schemas.openxmlformats.org/officeDocument/2006/relationships" ref="P397" r:id="rId792"/>
    <hyperlink xmlns:r="http://schemas.openxmlformats.org/officeDocument/2006/relationships" ref="O398" r:id="rId793"/>
    <hyperlink xmlns:r="http://schemas.openxmlformats.org/officeDocument/2006/relationships" ref="P398" r:id="rId794"/>
    <hyperlink xmlns:r="http://schemas.openxmlformats.org/officeDocument/2006/relationships" ref="O399" r:id="rId795"/>
    <hyperlink xmlns:r="http://schemas.openxmlformats.org/officeDocument/2006/relationships" ref="P399" r:id="rId796"/>
    <hyperlink xmlns:r="http://schemas.openxmlformats.org/officeDocument/2006/relationships" ref="O400" r:id="rId797"/>
    <hyperlink xmlns:r="http://schemas.openxmlformats.org/officeDocument/2006/relationships" ref="P400" r:id="rId798"/>
    <hyperlink xmlns:r="http://schemas.openxmlformats.org/officeDocument/2006/relationships" ref="O401" r:id="rId799"/>
    <hyperlink xmlns:r="http://schemas.openxmlformats.org/officeDocument/2006/relationships" ref="P401" r:id="rId800"/>
    <hyperlink xmlns:r="http://schemas.openxmlformats.org/officeDocument/2006/relationships" ref="O402" r:id="rId801"/>
    <hyperlink xmlns:r="http://schemas.openxmlformats.org/officeDocument/2006/relationships" ref="P402" r:id="rId802"/>
    <hyperlink xmlns:r="http://schemas.openxmlformats.org/officeDocument/2006/relationships" ref="O403" r:id="rId803"/>
    <hyperlink xmlns:r="http://schemas.openxmlformats.org/officeDocument/2006/relationships" ref="P403" r:id="rId804"/>
    <hyperlink xmlns:r="http://schemas.openxmlformats.org/officeDocument/2006/relationships" ref="O404" r:id="rId805"/>
    <hyperlink xmlns:r="http://schemas.openxmlformats.org/officeDocument/2006/relationships" ref="P404" r:id="rId806"/>
    <hyperlink xmlns:r="http://schemas.openxmlformats.org/officeDocument/2006/relationships" ref="O405" r:id="rId807"/>
    <hyperlink xmlns:r="http://schemas.openxmlformats.org/officeDocument/2006/relationships" ref="P405" r:id="rId808"/>
    <hyperlink xmlns:r="http://schemas.openxmlformats.org/officeDocument/2006/relationships" ref="O406" r:id="rId809"/>
    <hyperlink xmlns:r="http://schemas.openxmlformats.org/officeDocument/2006/relationships" ref="P406" r:id="rId810"/>
    <hyperlink xmlns:r="http://schemas.openxmlformats.org/officeDocument/2006/relationships" ref="O407" r:id="rId811"/>
    <hyperlink xmlns:r="http://schemas.openxmlformats.org/officeDocument/2006/relationships" ref="P407" r:id="rId812"/>
    <hyperlink xmlns:r="http://schemas.openxmlformats.org/officeDocument/2006/relationships" ref="O408" r:id="rId813"/>
    <hyperlink xmlns:r="http://schemas.openxmlformats.org/officeDocument/2006/relationships" ref="P408" r:id="rId814"/>
    <hyperlink xmlns:r="http://schemas.openxmlformats.org/officeDocument/2006/relationships" ref="O409" r:id="rId815"/>
    <hyperlink xmlns:r="http://schemas.openxmlformats.org/officeDocument/2006/relationships" ref="P409" r:id="rId816"/>
    <hyperlink xmlns:r="http://schemas.openxmlformats.org/officeDocument/2006/relationships" ref="O410" r:id="rId817"/>
    <hyperlink xmlns:r="http://schemas.openxmlformats.org/officeDocument/2006/relationships" ref="P410" r:id="rId818"/>
    <hyperlink xmlns:r="http://schemas.openxmlformats.org/officeDocument/2006/relationships" ref="O411" r:id="rId819"/>
    <hyperlink xmlns:r="http://schemas.openxmlformats.org/officeDocument/2006/relationships" ref="P411" r:id="rId820"/>
    <hyperlink xmlns:r="http://schemas.openxmlformats.org/officeDocument/2006/relationships" ref="O412" r:id="rId821"/>
    <hyperlink xmlns:r="http://schemas.openxmlformats.org/officeDocument/2006/relationships" ref="P412" r:id="rId822"/>
    <hyperlink xmlns:r="http://schemas.openxmlformats.org/officeDocument/2006/relationships" ref="O413" r:id="rId823"/>
    <hyperlink xmlns:r="http://schemas.openxmlformats.org/officeDocument/2006/relationships" ref="P413" r:id="rId824"/>
    <hyperlink xmlns:r="http://schemas.openxmlformats.org/officeDocument/2006/relationships" ref="O414" r:id="rId825"/>
    <hyperlink xmlns:r="http://schemas.openxmlformats.org/officeDocument/2006/relationships" ref="P414" r:id="rId826"/>
    <hyperlink xmlns:r="http://schemas.openxmlformats.org/officeDocument/2006/relationships" ref="O415" r:id="rId827"/>
    <hyperlink xmlns:r="http://schemas.openxmlformats.org/officeDocument/2006/relationships" ref="P415" r:id="rId828"/>
    <hyperlink xmlns:r="http://schemas.openxmlformats.org/officeDocument/2006/relationships" ref="O416" r:id="rId829"/>
    <hyperlink xmlns:r="http://schemas.openxmlformats.org/officeDocument/2006/relationships" ref="P416" r:id="rId830"/>
    <hyperlink xmlns:r="http://schemas.openxmlformats.org/officeDocument/2006/relationships" ref="O417" r:id="rId831"/>
    <hyperlink xmlns:r="http://schemas.openxmlformats.org/officeDocument/2006/relationships" ref="P417" r:id="rId832"/>
    <hyperlink xmlns:r="http://schemas.openxmlformats.org/officeDocument/2006/relationships" ref="O418" r:id="rId833"/>
    <hyperlink xmlns:r="http://schemas.openxmlformats.org/officeDocument/2006/relationships" ref="P418" r:id="rId834"/>
    <hyperlink xmlns:r="http://schemas.openxmlformats.org/officeDocument/2006/relationships" ref="O419" r:id="rId835"/>
    <hyperlink xmlns:r="http://schemas.openxmlformats.org/officeDocument/2006/relationships" ref="P419" r:id="rId836"/>
    <hyperlink xmlns:r="http://schemas.openxmlformats.org/officeDocument/2006/relationships" ref="O420" r:id="rId837"/>
    <hyperlink xmlns:r="http://schemas.openxmlformats.org/officeDocument/2006/relationships" ref="P420" r:id="rId838"/>
    <hyperlink xmlns:r="http://schemas.openxmlformats.org/officeDocument/2006/relationships" ref="O421" r:id="rId839"/>
    <hyperlink xmlns:r="http://schemas.openxmlformats.org/officeDocument/2006/relationships" ref="P421" r:id="rId840"/>
    <hyperlink xmlns:r="http://schemas.openxmlformats.org/officeDocument/2006/relationships" ref="O422" r:id="rId841"/>
    <hyperlink xmlns:r="http://schemas.openxmlformats.org/officeDocument/2006/relationships" ref="P422" r:id="rId842"/>
    <hyperlink xmlns:r="http://schemas.openxmlformats.org/officeDocument/2006/relationships" ref="O423" r:id="rId843"/>
    <hyperlink xmlns:r="http://schemas.openxmlformats.org/officeDocument/2006/relationships" ref="P423" r:id="rId844"/>
    <hyperlink xmlns:r="http://schemas.openxmlformats.org/officeDocument/2006/relationships" ref="O424" r:id="rId845"/>
    <hyperlink xmlns:r="http://schemas.openxmlformats.org/officeDocument/2006/relationships" ref="P424" r:id="rId846"/>
    <hyperlink xmlns:r="http://schemas.openxmlformats.org/officeDocument/2006/relationships" ref="O425" r:id="rId847"/>
    <hyperlink xmlns:r="http://schemas.openxmlformats.org/officeDocument/2006/relationships" ref="P425" r:id="rId848"/>
    <hyperlink xmlns:r="http://schemas.openxmlformats.org/officeDocument/2006/relationships" ref="O426" r:id="rId849"/>
    <hyperlink xmlns:r="http://schemas.openxmlformats.org/officeDocument/2006/relationships" ref="P426" r:id="rId850"/>
    <hyperlink xmlns:r="http://schemas.openxmlformats.org/officeDocument/2006/relationships" ref="O427" r:id="rId851"/>
    <hyperlink xmlns:r="http://schemas.openxmlformats.org/officeDocument/2006/relationships" ref="P427" r:id="rId852"/>
    <hyperlink xmlns:r="http://schemas.openxmlformats.org/officeDocument/2006/relationships" ref="O428" r:id="rId853"/>
    <hyperlink xmlns:r="http://schemas.openxmlformats.org/officeDocument/2006/relationships" ref="P428" r:id="rId854"/>
    <hyperlink xmlns:r="http://schemas.openxmlformats.org/officeDocument/2006/relationships" ref="O429" r:id="rId855"/>
    <hyperlink xmlns:r="http://schemas.openxmlformats.org/officeDocument/2006/relationships" ref="P429" r:id="rId856"/>
    <hyperlink xmlns:r="http://schemas.openxmlformats.org/officeDocument/2006/relationships" ref="O430" r:id="rId857"/>
    <hyperlink xmlns:r="http://schemas.openxmlformats.org/officeDocument/2006/relationships" ref="P430" r:id="rId858"/>
    <hyperlink xmlns:r="http://schemas.openxmlformats.org/officeDocument/2006/relationships" ref="O431" r:id="rId859"/>
    <hyperlink xmlns:r="http://schemas.openxmlformats.org/officeDocument/2006/relationships" ref="P431" r:id="rId860"/>
    <hyperlink xmlns:r="http://schemas.openxmlformats.org/officeDocument/2006/relationships" ref="O432" r:id="rId861"/>
    <hyperlink xmlns:r="http://schemas.openxmlformats.org/officeDocument/2006/relationships" ref="P432" r:id="rId862"/>
    <hyperlink xmlns:r="http://schemas.openxmlformats.org/officeDocument/2006/relationships" ref="O433" r:id="rId863"/>
    <hyperlink xmlns:r="http://schemas.openxmlformats.org/officeDocument/2006/relationships" ref="P433" r:id="rId864"/>
    <hyperlink xmlns:r="http://schemas.openxmlformats.org/officeDocument/2006/relationships" ref="O434" r:id="rId865"/>
    <hyperlink xmlns:r="http://schemas.openxmlformats.org/officeDocument/2006/relationships" ref="P434" r:id="rId866"/>
    <hyperlink xmlns:r="http://schemas.openxmlformats.org/officeDocument/2006/relationships" ref="O435" r:id="rId867"/>
    <hyperlink xmlns:r="http://schemas.openxmlformats.org/officeDocument/2006/relationships" ref="P435" r:id="rId868"/>
    <hyperlink xmlns:r="http://schemas.openxmlformats.org/officeDocument/2006/relationships" ref="O436" r:id="rId869"/>
    <hyperlink xmlns:r="http://schemas.openxmlformats.org/officeDocument/2006/relationships" ref="P436" r:id="rId870"/>
    <hyperlink xmlns:r="http://schemas.openxmlformats.org/officeDocument/2006/relationships" ref="O437" r:id="rId871"/>
    <hyperlink xmlns:r="http://schemas.openxmlformats.org/officeDocument/2006/relationships" ref="P437" r:id="rId872"/>
    <hyperlink xmlns:r="http://schemas.openxmlformats.org/officeDocument/2006/relationships" ref="O438" r:id="rId873"/>
    <hyperlink xmlns:r="http://schemas.openxmlformats.org/officeDocument/2006/relationships" ref="P438" r:id="rId874"/>
    <hyperlink xmlns:r="http://schemas.openxmlformats.org/officeDocument/2006/relationships" ref="O439" r:id="rId875"/>
    <hyperlink xmlns:r="http://schemas.openxmlformats.org/officeDocument/2006/relationships" ref="P439" r:id="rId876"/>
    <hyperlink xmlns:r="http://schemas.openxmlformats.org/officeDocument/2006/relationships" ref="O440" r:id="rId877"/>
    <hyperlink xmlns:r="http://schemas.openxmlformats.org/officeDocument/2006/relationships" ref="P440" r:id="rId878"/>
    <hyperlink xmlns:r="http://schemas.openxmlformats.org/officeDocument/2006/relationships" ref="O441" r:id="rId879"/>
    <hyperlink xmlns:r="http://schemas.openxmlformats.org/officeDocument/2006/relationships" ref="P441" r:id="rId880"/>
    <hyperlink xmlns:r="http://schemas.openxmlformats.org/officeDocument/2006/relationships" ref="O442" r:id="rId881"/>
    <hyperlink xmlns:r="http://schemas.openxmlformats.org/officeDocument/2006/relationships" ref="P442" r:id="rId882"/>
    <hyperlink xmlns:r="http://schemas.openxmlformats.org/officeDocument/2006/relationships" ref="O443" r:id="rId883"/>
    <hyperlink xmlns:r="http://schemas.openxmlformats.org/officeDocument/2006/relationships" ref="P443" r:id="rId884"/>
    <hyperlink xmlns:r="http://schemas.openxmlformats.org/officeDocument/2006/relationships" ref="O444" r:id="rId885"/>
    <hyperlink xmlns:r="http://schemas.openxmlformats.org/officeDocument/2006/relationships" ref="P444" r:id="rId886"/>
    <hyperlink xmlns:r="http://schemas.openxmlformats.org/officeDocument/2006/relationships" ref="O445" r:id="rId887"/>
    <hyperlink xmlns:r="http://schemas.openxmlformats.org/officeDocument/2006/relationships" ref="P445" r:id="rId888"/>
    <hyperlink xmlns:r="http://schemas.openxmlformats.org/officeDocument/2006/relationships" ref="O446" r:id="rId889"/>
    <hyperlink xmlns:r="http://schemas.openxmlformats.org/officeDocument/2006/relationships" ref="P446" r:id="rId890"/>
    <hyperlink xmlns:r="http://schemas.openxmlformats.org/officeDocument/2006/relationships" ref="O447" r:id="rId891"/>
    <hyperlink xmlns:r="http://schemas.openxmlformats.org/officeDocument/2006/relationships" ref="P447" r:id="rId892"/>
    <hyperlink xmlns:r="http://schemas.openxmlformats.org/officeDocument/2006/relationships" ref="O448" r:id="rId893"/>
    <hyperlink xmlns:r="http://schemas.openxmlformats.org/officeDocument/2006/relationships" ref="P448" r:id="rId894"/>
    <hyperlink xmlns:r="http://schemas.openxmlformats.org/officeDocument/2006/relationships" ref="O449" r:id="rId895"/>
    <hyperlink xmlns:r="http://schemas.openxmlformats.org/officeDocument/2006/relationships" ref="P449" r:id="rId896"/>
    <hyperlink xmlns:r="http://schemas.openxmlformats.org/officeDocument/2006/relationships" ref="O450" r:id="rId897"/>
    <hyperlink xmlns:r="http://schemas.openxmlformats.org/officeDocument/2006/relationships" ref="P450" r:id="rId898"/>
    <hyperlink xmlns:r="http://schemas.openxmlformats.org/officeDocument/2006/relationships" ref="O451" r:id="rId899"/>
    <hyperlink xmlns:r="http://schemas.openxmlformats.org/officeDocument/2006/relationships" ref="P451" r:id="rId900"/>
    <hyperlink xmlns:r="http://schemas.openxmlformats.org/officeDocument/2006/relationships" ref="O452" r:id="rId901"/>
    <hyperlink xmlns:r="http://schemas.openxmlformats.org/officeDocument/2006/relationships" ref="P452" r:id="rId902"/>
    <hyperlink xmlns:r="http://schemas.openxmlformats.org/officeDocument/2006/relationships" ref="O453" r:id="rId903"/>
    <hyperlink xmlns:r="http://schemas.openxmlformats.org/officeDocument/2006/relationships" ref="P453" r:id="rId904"/>
    <hyperlink xmlns:r="http://schemas.openxmlformats.org/officeDocument/2006/relationships" ref="O454" r:id="rId905"/>
    <hyperlink xmlns:r="http://schemas.openxmlformats.org/officeDocument/2006/relationships" ref="P454" r:id="rId906"/>
    <hyperlink xmlns:r="http://schemas.openxmlformats.org/officeDocument/2006/relationships" ref="O455" r:id="rId907"/>
    <hyperlink xmlns:r="http://schemas.openxmlformats.org/officeDocument/2006/relationships" ref="P455" r:id="rId908"/>
    <hyperlink xmlns:r="http://schemas.openxmlformats.org/officeDocument/2006/relationships" ref="O456" r:id="rId909"/>
    <hyperlink xmlns:r="http://schemas.openxmlformats.org/officeDocument/2006/relationships" ref="P456" r:id="rId910"/>
    <hyperlink xmlns:r="http://schemas.openxmlformats.org/officeDocument/2006/relationships" ref="O457" r:id="rId911"/>
    <hyperlink xmlns:r="http://schemas.openxmlformats.org/officeDocument/2006/relationships" ref="P457" r:id="rId912"/>
    <hyperlink xmlns:r="http://schemas.openxmlformats.org/officeDocument/2006/relationships" ref="O458" r:id="rId913"/>
    <hyperlink xmlns:r="http://schemas.openxmlformats.org/officeDocument/2006/relationships" ref="P458" r:id="rId914"/>
    <hyperlink xmlns:r="http://schemas.openxmlformats.org/officeDocument/2006/relationships" ref="O459" r:id="rId915"/>
    <hyperlink xmlns:r="http://schemas.openxmlformats.org/officeDocument/2006/relationships" ref="P459" r:id="rId916"/>
    <hyperlink xmlns:r="http://schemas.openxmlformats.org/officeDocument/2006/relationships" ref="O460" r:id="rId917"/>
    <hyperlink xmlns:r="http://schemas.openxmlformats.org/officeDocument/2006/relationships" ref="P460" r:id="rId918"/>
    <hyperlink xmlns:r="http://schemas.openxmlformats.org/officeDocument/2006/relationships" ref="O461" r:id="rId919"/>
    <hyperlink xmlns:r="http://schemas.openxmlformats.org/officeDocument/2006/relationships" ref="P461" r:id="rId920"/>
    <hyperlink xmlns:r="http://schemas.openxmlformats.org/officeDocument/2006/relationships" ref="O462" r:id="rId921"/>
    <hyperlink xmlns:r="http://schemas.openxmlformats.org/officeDocument/2006/relationships" ref="P462" r:id="rId922"/>
    <hyperlink xmlns:r="http://schemas.openxmlformats.org/officeDocument/2006/relationships" ref="O463" r:id="rId923"/>
    <hyperlink xmlns:r="http://schemas.openxmlformats.org/officeDocument/2006/relationships" ref="P463" r:id="rId924"/>
    <hyperlink xmlns:r="http://schemas.openxmlformats.org/officeDocument/2006/relationships" ref="O464" r:id="rId925"/>
    <hyperlink xmlns:r="http://schemas.openxmlformats.org/officeDocument/2006/relationships" ref="P464" r:id="rId926"/>
    <hyperlink xmlns:r="http://schemas.openxmlformats.org/officeDocument/2006/relationships" ref="O465" r:id="rId927"/>
    <hyperlink xmlns:r="http://schemas.openxmlformats.org/officeDocument/2006/relationships" ref="P465" r:id="rId928"/>
    <hyperlink xmlns:r="http://schemas.openxmlformats.org/officeDocument/2006/relationships" ref="O466" r:id="rId929"/>
    <hyperlink xmlns:r="http://schemas.openxmlformats.org/officeDocument/2006/relationships" ref="P466" r:id="rId930"/>
    <hyperlink xmlns:r="http://schemas.openxmlformats.org/officeDocument/2006/relationships" ref="O467" r:id="rId931"/>
    <hyperlink xmlns:r="http://schemas.openxmlformats.org/officeDocument/2006/relationships" ref="P467" r:id="rId932"/>
    <hyperlink xmlns:r="http://schemas.openxmlformats.org/officeDocument/2006/relationships" ref="O468" r:id="rId933"/>
    <hyperlink xmlns:r="http://schemas.openxmlformats.org/officeDocument/2006/relationships" ref="P468" r:id="rId934"/>
    <hyperlink xmlns:r="http://schemas.openxmlformats.org/officeDocument/2006/relationships" ref="O469" r:id="rId935"/>
    <hyperlink xmlns:r="http://schemas.openxmlformats.org/officeDocument/2006/relationships" ref="P469" r:id="rId936"/>
    <hyperlink xmlns:r="http://schemas.openxmlformats.org/officeDocument/2006/relationships" ref="O470" r:id="rId937"/>
    <hyperlink xmlns:r="http://schemas.openxmlformats.org/officeDocument/2006/relationships" ref="P470" r:id="rId938"/>
    <hyperlink xmlns:r="http://schemas.openxmlformats.org/officeDocument/2006/relationships" ref="O471" r:id="rId939"/>
    <hyperlink xmlns:r="http://schemas.openxmlformats.org/officeDocument/2006/relationships" ref="P471" r:id="rId940"/>
    <hyperlink xmlns:r="http://schemas.openxmlformats.org/officeDocument/2006/relationships" ref="O472" r:id="rId941"/>
    <hyperlink xmlns:r="http://schemas.openxmlformats.org/officeDocument/2006/relationships" ref="P472" r:id="rId942"/>
    <hyperlink xmlns:r="http://schemas.openxmlformats.org/officeDocument/2006/relationships" ref="O473" r:id="rId943"/>
    <hyperlink xmlns:r="http://schemas.openxmlformats.org/officeDocument/2006/relationships" ref="P473" r:id="rId944"/>
    <hyperlink xmlns:r="http://schemas.openxmlformats.org/officeDocument/2006/relationships" ref="O474" r:id="rId945"/>
    <hyperlink xmlns:r="http://schemas.openxmlformats.org/officeDocument/2006/relationships" ref="P474" r:id="rId946"/>
    <hyperlink xmlns:r="http://schemas.openxmlformats.org/officeDocument/2006/relationships" ref="O475" r:id="rId947"/>
    <hyperlink xmlns:r="http://schemas.openxmlformats.org/officeDocument/2006/relationships" ref="P475" r:id="rId948"/>
    <hyperlink xmlns:r="http://schemas.openxmlformats.org/officeDocument/2006/relationships" ref="O476" r:id="rId949"/>
    <hyperlink xmlns:r="http://schemas.openxmlformats.org/officeDocument/2006/relationships" ref="P476" r:id="rId950"/>
    <hyperlink xmlns:r="http://schemas.openxmlformats.org/officeDocument/2006/relationships" ref="O477" r:id="rId951"/>
    <hyperlink xmlns:r="http://schemas.openxmlformats.org/officeDocument/2006/relationships" ref="P477" r:id="rId952"/>
    <hyperlink xmlns:r="http://schemas.openxmlformats.org/officeDocument/2006/relationships" ref="O478" r:id="rId953"/>
    <hyperlink xmlns:r="http://schemas.openxmlformats.org/officeDocument/2006/relationships" ref="P478" r:id="rId954"/>
    <hyperlink xmlns:r="http://schemas.openxmlformats.org/officeDocument/2006/relationships" ref="O479" r:id="rId955"/>
    <hyperlink xmlns:r="http://schemas.openxmlformats.org/officeDocument/2006/relationships" ref="P479" r:id="rId956"/>
    <hyperlink xmlns:r="http://schemas.openxmlformats.org/officeDocument/2006/relationships" ref="O480" r:id="rId957"/>
    <hyperlink xmlns:r="http://schemas.openxmlformats.org/officeDocument/2006/relationships" ref="P480" r:id="rId958"/>
    <hyperlink xmlns:r="http://schemas.openxmlformats.org/officeDocument/2006/relationships" ref="O481" r:id="rId959"/>
    <hyperlink xmlns:r="http://schemas.openxmlformats.org/officeDocument/2006/relationships" ref="P481" r:id="rId960"/>
    <hyperlink xmlns:r="http://schemas.openxmlformats.org/officeDocument/2006/relationships" ref="O482" r:id="rId961"/>
    <hyperlink xmlns:r="http://schemas.openxmlformats.org/officeDocument/2006/relationships" ref="P482" r:id="rId962"/>
    <hyperlink xmlns:r="http://schemas.openxmlformats.org/officeDocument/2006/relationships" ref="O483" r:id="rId963"/>
    <hyperlink xmlns:r="http://schemas.openxmlformats.org/officeDocument/2006/relationships" ref="P483" r:id="rId964"/>
    <hyperlink xmlns:r="http://schemas.openxmlformats.org/officeDocument/2006/relationships" ref="O484" r:id="rId965"/>
    <hyperlink xmlns:r="http://schemas.openxmlformats.org/officeDocument/2006/relationships" ref="P484" r:id="rId966"/>
    <hyperlink xmlns:r="http://schemas.openxmlformats.org/officeDocument/2006/relationships" ref="O485" r:id="rId967"/>
    <hyperlink xmlns:r="http://schemas.openxmlformats.org/officeDocument/2006/relationships" ref="P485" r:id="rId968"/>
    <hyperlink xmlns:r="http://schemas.openxmlformats.org/officeDocument/2006/relationships" ref="O486" r:id="rId969"/>
    <hyperlink xmlns:r="http://schemas.openxmlformats.org/officeDocument/2006/relationships" ref="P486" r:id="rId970"/>
    <hyperlink xmlns:r="http://schemas.openxmlformats.org/officeDocument/2006/relationships" ref="O487" r:id="rId971"/>
    <hyperlink xmlns:r="http://schemas.openxmlformats.org/officeDocument/2006/relationships" ref="P487" r:id="rId972"/>
    <hyperlink xmlns:r="http://schemas.openxmlformats.org/officeDocument/2006/relationships" ref="O488" r:id="rId973"/>
    <hyperlink xmlns:r="http://schemas.openxmlformats.org/officeDocument/2006/relationships" ref="P488" r:id="rId974"/>
    <hyperlink xmlns:r="http://schemas.openxmlformats.org/officeDocument/2006/relationships" ref="O489" r:id="rId975"/>
    <hyperlink xmlns:r="http://schemas.openxmlformats.org/officeDocument/2006/relationships" ref="P489" r:id="rId976"/>
    <hyperlink xmlns:r="http://schemas.openxmlformats.org/officeDocument/2006/relationships" ref="O490" r:id="rId977"/>
    <hyperlink xmlns:r="http://schemas.openxmlformats.org/officeDocument/2006/relationships" ref="P490" r:id="rId978"/>
    <hyperlink xmlns:r="http://schemas.openxmlformats.org/officeDocument/2006/relationships" ref="O491" r:id="rId979"/>
    <hyperlink xmlns:r="http://schemas.openxmlformats.org/officeDocument/2006/relationships" ref="P491" r:id="rId980"/>
    <hyperlink xmlns:r="http://schemas.openxmlformats.org/officeDocument/2006/relationships" ref="O492" r:id="rId981"/>
    <hyperlink xmlns:r="http://schemas.openxmlformats.org/officeDocument/2006/relationships" ref="P492" r:id="rId982"/>
    <hyperlink xmlns:r="http://schemas.openxmlformats.org/officeDocument/2006/relationships" ref="O493" r:id="rId983"/>
    <hyperlink xmlns:r="http://schemas.openxmlformats.org/officeDocument/2006/relationships" ref="P493" r:id="rId984"/>
    <hyperlink xmlns:r="http://schemas.openxmlformats.org/officeDocument/2006/relationships" ref="O494" r:id="rId985"/>
    <hyperlink xmlns:r="http://schemas.openxmlformats.org/officeDocument/2006/relationships" ref="P494" r:id="rId986"/>
    <hyperlink xmlns:r="http://schemas.openxmlformats.org/officeDocument/2006/relationships" ref="O495" r:id="rId987"/>
    <hyperlink xmlns:r="http://schemas.openxmlformats.org/officeDocument/2006/relationships" ref="P495" r:id="rId988"/>
    <hyperlink xmlns:r="http://schemas.openxmlformats.org/officeDocument/2006/relationships" ref="O496" r:id="rId989"/>
    <hyperlink xmlns:r="http://schemas.openxmlformats.org/officeDocument/2006/relationships" ref="P496" r:id="rId990"/>
    <hyperlink xmlns:r="http://schemas.openxmlformats.org/officeDocument/2006/relationships" ref="O497" r:id="rId991"/>
    <hyperlink xmlns:r="http://schemas.openxmlformats.org/officeDocument/2006/relationships" ref="P497" r:id="rId992"/>
    <hyperlink xmlns:r="http://schemas.openxmlformats.org/officeDocument/2006/relationships" ref="O498" r:id="rId993"/>
    <hyperlink xmlns:r="http://schemas.openxmlformats.org/officeDocument/2006/relationships" ref="P498" r:id="rId994"/>
    <hyperlink xmlns:r="http://schemas.openxmlformats.org/officeDocument/2006/relationships" ref="O499" r:id="rId995"/>
    <hyperlink xmlns:r="http://schemas.openxmlformats.org/officeDocument/2006/relationships" ref="P499" r:id="rId996"/>
    <hyperlink xmlns:r="http://schemas.openxmlformats.org/officeDocument/2006/relationships" ref="O500" r:id="rId997"/>
    <hyperlink xmlns:r="http://schemas.openxmlformats.org/officeDocument/2006/relationships" ref="P500" r:id="rId998"/>
    <hyperlink xmlns:r="http://schemas.openxmlformats.org/officeDocument/2006/relationships" ref="O501" r:id="rId999"/>
    <hyperlink xmlns:r="http://schemas.openxmlformats.org/officeDocument/2006/relationships" ref="P501" r:id="rId1000"/>
    <hyperlink xmlns:r="http://schemas.openxmlformats.org/officeDocument/2006/relationships" ref="O502" r:id="rId1001"/>
    <hyperlink xmlns:r="http://schemas.openxmlformats.org/officeDocument/2006/relationships" ref="P502" r:id="rId1002"/>
    <hyperlink xmlns:r="http://schemas.openxmlformats.org/officeDocument/2006/relationships" ref="O503" r:id="rId1003"/>
    <hyperlink xmlns:r="http://schemas.openxmlformats.org/officeDocument/2006/relationships" ref="P503" r:id="rId1004"/>
    <hyperlink xmlns:r="http://schemas.openxmlformats.org/officeDocument/2006/relationships" ref="O504" r:id="rId1005"/>
    <hyperlink xmlns:r="http://schemas.openxmlformats.org/officeDocument/2006/relationships" ref="P504" r:id="rId1006"/>
    <hyperlink xmlns:r="http://schemas.openxmlformats.org/officeDocument/2006/relationships" ref="O505" r:id="rId1007"/>
    <hyperlink xmlns:r="http://schemas.openxmlformats.org/officeDocument/2006/relationships" ref="P505" r:id="rId1008"/>
    <hyperlink xmlns:r="http://schemas.openxmlformats.org/officeDocument/2006/relationships" ref="O506" r:id="rId1009"/>
    <hyperlink xmlns:r="http://schemas.openxmlformats.org/officeDocument/2006/relationships" ref="P506" r:id="rId1010"/>
    <hyperlink xmlns:r="http://schemas.openxmlformats.org/officeDocument/2006/relationships" ref="O507" r:id="rId1011"/>
    <hyperlink xmlns:r="http://schemas.openxmlformats.org/officeDocument/2006/relationships" ref="P507" r:id="rId1012"/>
    <hyperlink xmlns:r="http://schemas.openxmlformats.org/officeDocument/2006/relationships" ref="O508" r:id="rId1013"/>
    <hyperlink xmlns:r="http://schemas.openxmlformats.org/officeDocument/2006/relationships" ref="P508" r:id="rId1014"/>
    <hyperlink xmlns:r="http://schemas.openxmlformats.org/officeDocument/2006/relationships" ref="O509" r:id="rId1015"/>
    <hyperlink xmlns:r="http://schemas.openxmlformats.org/officeDocument/2006/relationships" ref="P509" r:id="rId1016"/>
    <hyperlink xmlns:r="http://schemas.openxmlformats.org/officeDocument/2006/relationships" ref="O510" r:id="rId1017"/>
    <hyperlink xmlns:r="http://schemas.openxmlformats.org/officeDocument/2006/relationships" ref="P510" r:id="rId1018"/>
    <hyperlink xmlns:r="http://schemas.openxmlformats.org/officeDocument/2006/relationships" ref="O511" r:id="rId1019"/>
    <hyperlink xmlns:r="http://schemas.openxmlformats.org/officeDocument/2006/relationships" ref="P511" r:id="rId1020"/>
    <hyperlink xmlns:r="http://schemas.openxmlformats.org/officeDocument/2006/relationships" ref="O512" r:id="rId1021"/>
    <hyperlink xmlns:r="http://schemas.openxmlformats.org/officeDocument/2006/relationships" ref="P512" r:id="rId1022"/>
    <hyperlink xmlns:r="http://schemas.openxmlformats.org/officeDocument/2006/relationships" ref="O513" r:id="rId1023"/>
    <hyperlink xmlns:r="http://schemas.openxmlformats.org/officeDocument/2006/relationships" ref="P513" r:id="rId1024"/>
    <hyperlink xmlns:r="http://schemas.openxmlformats.org/officeDocument/2006/relationships" ref="O514" r:id="rId1025"/>
    <hyperlink xmlns:r="http://schemas.openxmlformats.org/officeDocument/2006/relationships" ref="P514" r:id="rId1026"/>
    <hyperlink xmlns:r="http://schemas.openxmlformats.org/officeDocument/2006/relationships" ref="O515" r:id="rId1027"/>
    <hyperlink xmlns:r="http://schemas.openxmlformats.org/officeDocument/2006/relationships" ref="P515" r:id="rId1028"/>
    <hyperlink xmlns:r="http://schemas.openxmlformats.org/officeDocument/2006/relationships" ref="O516" r:id="rId1029"/>
    <hyperlink xmlns:r="http://schemas.openxmlformats.org/officeDocument/2006/relationships" ref="P516" r:id="rId1030"/>
    <hyperlink xmlns:r="http://schemas.openxmlformats.org/officeDocument/2006/relationships" ref="O517" r:id="rId1031"/>
    <hyperlink xmlns:r="http://schemas.openxmlformats.org/officeDocument/2006/relationships" ref="P517" r:id="rId1032"/>
    <hyperlink xmlns:r="http://schemas.openxmlformats.org/officeDocument/2006/relationships" ref="O518" r:id="rId1033"/>
    <hyperlink xmlns:r="http://schemas.openxmlformats.org/officeDocument/2006/relationships" ref="P518" r:id="rId1034"/>
    <hyperlink xmlns:r="http://schemas.openxmlformats.org/officeDocument/2006/relationships" ref="O519" r:id="rId1035"/>
    <hyperlink xmlns:r="http://schemas.openxmlformats.org/officeDocument/2006/relationships" ref="P519" r:id="rId1036"/>
    <hyperlink xmlns:r="http://schemas.openxmlformats.org/officeDocument/2006/relationships" ref="O520" r:id="rId1037"/>
    <hyperlink xmlns:r="http://schemas.openxmlformats.org/officeDocument/2006/relationships" ref="P520" r:id="rId1038"/>
    <hyperlink xmlns:r="http://schemas.openxmlformats.org/officeDocument/2006/relationships" ref="O521" r:id="rId1039"/>
    <hyperlink xmlns:r="http://schemas.openxmlformats.org/officeDocument/2006/relationships" ref="P521" r:id="rId1040"/>
    <hyperlink xmlns:r="http://schemas.openxmlformats.org/officeDocument/2006/relationships" ref="O522" r:id="rId1041"/>
    <hyperlink xmlns:r="http://schemas.openxmlformats.org/officeDocument/2006/relationships" ref="P522" r:id="rId1042"/>
    <hyperlink xmlns:r="http://schemas.openxmlformats.org/officeDocument/2006/relationships" ref="O523" r:id="rId1043"/>
    <hyperlink xmlns:r="http://schemas.openxmlformats.org/officeDocument/2006/relationships" ref="P523" r:id="rId1044"/>
    <hyperlink xmlns:r="http://schemas.openxmlformats.org/officeDocument/2006/relationships" ref="O524" r:id="rId1045"/>
    <hyperlink xmlns:r="http://schemas.openxmlformats.org/officeDocument/2006/relationships" ref="P524" r:id="rId1046"/>
    <hyperlink xmlns:r="http://schemas.openxmlformats.org/officeDocument/2006/relationships" ref="O525" r:id="rId1047"/>
    <hyperlink xmlns:r="http://schemas.openxmlformats.org/officeDocument/2006/relationships" ref="P525" r:id="rId1048"/>
    <hyperlink xmlns:r="http://schemas.openxmlformats.org/officeDocument/2006/relationships" ref="O526" r:id="rId1049"/>
    <hyperlink xmlns:r="http://schemas.openxmlformats.org/officeDocument/2006/relationships" ref="P526" r:id="rId1050"/>
    <hyperlink xmlns:r="http://schemas.openxmlformats.org/officeDocument/2006/relationships" ref="O527" r:id="rId1051"/>
    <hyperlink xmlns:r="http://schemas.openxmlformats.org/officeDocument/2006/relationships" ref="P527" r:id="rId1052"/>
    <hyperlink xmlns:r="http://schemas.openxmlformats.org/officeDocument/2006/relationships" ref="O528" r:id="rId1053"/>
    <hyperlink xmlns:r="http://schemas.openxmlformats.org/officeDocument/2006/relationships" ref="P528" r:id="rId1054"/>
    <hyperlink xmlns:r="http://schemas.openxmlformats.org/officeDocument/2006/relationships" ref="O529" r:id="rId1055"/>
    <hyperlink xmlns:r="http://schemas.openxmlformats.org/officeDocument/2006/relationships" ref="P529" r:id="rId1056"/>
    <hyperlink xmlns:r="http://schemas.openxmlformats.org/officeDocument/2006/relationships" ref="O530" r:id="rId1057"/>
    <hyperlink xmlns:r="http://schemas.openxmlformats.org/officeDocument/2006/relationships" ref="P530" r:id="rId1058"/>
    <hyperlink xmlns:r="http://schemas.openxmlformats.org/officeDocument/2006/relationships" ref="O531" r:id="rId1059"/>
    <hyperlink xmlns:r="http://schemas.openxmlformats.org/officeDocument/2006/relationships" ref="P531" r:id="rId1060"/>
    <hyperlink xmlns:r="http://schemas.openxmlformats.org/officeDocument/2006/relationships" ref="O532" r:id="rId1061"/>
    <hyperlink xmlns:r="http://schemas.openxmlformats.org/officeDocument/2006/relationships" ref="P532" r:id="rId1062"/>
    <hyperlink xmlns:r="http://schemas.openxmlformats.org/officeDocument/2006/relationships" ref="O533" r:id="rId1063"/>
    <hyperlink xmlns:r="http://schemas.openxmlformats.org/officeDocument/2006/relationships" ref="P533" r:id="rId1064"/>
    <hyperlink xmlns:r="http://schemas.openxmlformats.org/officeDocument/2006/relationships" ref="O534" r:id="rId1065"/>
    <hyperlink xmlns:r="http://schemas.openxmlformats.org/officeDocument/2006/relationships" ref="P534" r:id="rId1066"/>
    <hyperlink xmlns:r="http://schemas.openxmlformats.org/officeDocument/2006/relationships" ref="O535" r:id="rId1067"/>
    <hyperlink xmlns:r="http://schemas.openxmlformats.org/officeDocument/2006/relationships" ref="P535" r:id="rId1068"/>
    <hyperlink xmlns:r="http://schemas.openxmlformats.org/officeDocument/2006/relationships" ref="O536" r:id="rId1069"/>
    <hyperlink xmlns:r="http://schemas.openxmlformats.org/officeDocument/2006/relationships" ref="P536" r:id="rId1070"/>
    <hyperlink xmlns:r="http://schemas.openxmlformats.org/officeDocument/2006/relationships" ref="O537" r:id="rId1071"/>
    <hyperlink xmlns:r="http://schemas.openxmlformats.org/officeDocument/2006/relationships" ref="P537" r:id="rId1072"/>
    <hyperlink xmlns:r="http://schemas.openxmlformats.org/officeDocument/2006/relationships" ref="O538" r:id="rId1073"/>
    <hyperlink xmlns:r="http://schemas.openxmlformats.org/officeDocument/2006/relationships" ref="P538" r:id="rId1074"/>
    <hyperlink xmlns:r="http://schemas.openxmlformats.org/officeDocument/2006/relationships" ref="O539" r:id="rId1075"/>
    <hyperlink xmlns:r="http://schemas.openxmlformats.org/officeDocument/2006/relationships" ref="P539" r:id="rId1076"/>
    <hyperlink xmlns:r="http://schemas.openxmlformats.org/officeDocument/2006/relationships" ref="O540" r:id="rId1077"/>
    <hyperlink xmlns:r="http://schemas.openxmlformats.org/officeDocument/2006/relationships" ref="P540" r:id="rId1078"/>
    <hyperlink xmlns:r="http://schemas.openxmlformats.org/officeDocument/2006/relationships" ref="O541" r:id="rId1079"/>
    <hyperlink xmlns:r="http://schemas.openxmlformats.org/officeDocument/2006/relationships" ref="P541" r:id="rId1080"/>
    <hyperlink xmlns:r="http://schemas.openxmlformats.org/officeDocument/2006/relationships" ref="O542" r:id="rId1081"/>
    <hyperlink xmlns:r="http://schemas.openxmlformats.org/officeDocument/2006/relationships" ref="P542" r:id="rId1082"/>
    <hyperlink xmlns:r="http://schemas.openxmlformats.org/officeDocument/2006/relationships" ref="O543" r:id="rId1083"/>
    <hyperlink xmlns:r="http://schemas.openxmlformats.org/officeDocument/2006/relationships" ref="P543" r:id="rId1084"/>
    <hyperlink xmlns:r="http://schemas.openxmlformats.org/officeDocument/2006/relationships" ref="O544" r:id="rId1085"/>
    <hyperlink xmlns:r="http://schemas.openxmlformats.org/officeDocument/2006/relationships" ref="P544" r:id="rId1086"/>
    <hyperlink xmlns:r="http://schemas.openxmlformats.org/officeDocument/2006/relationships" ref="O545" r:id="rId1087"/>
    <hyperlink xmlns:r="http://schemas.openxmlformats.org/officeDocument/2006/relationships" ref="P545" r:id="rId1088"/>
    <hyperlink xmlns:r="http://schemas.openxmlformats.org/officeDocument/2006/relationships" ref="O546" r:id="rId1089"/>
    <hyperlink xmlns:r="http://schemas.openxmlformats.org/officeDocument/2006/relationships" ref="P546" r:id="rId1090"/>
    <hyperlink xmlns:r="http://schemas.openxmlformats.org/officeDocument/2006/relationships" ref="O547" r:id="rId1091"/>
    <hyperlink xmlns:r="http://schemas.openxmlformats.org/officeDocument/2006/relationships" ref="P547" r:id="rId1092"/>
    <hyperlink xmlns:r="http://schemas.openxmlformats.org/officeDocument/2006/relationships" ref="O548" r:id="rId1093"/>
    <hyperlink xmlns:r="http://schemas.openxmlformats.org/officeDocument/2006/relationships" ref="P548" r:id="rId1094"/>
    <hyperlink xmlns:r="http://schemas.openxmlformats.org/officeDocument/2006/relationships" ref="O549" r:id="rId1095"/>
    <hyperlink xmlns:r="http://schemas.openxmlformats.org/officeDocument/2006/relationships" ref="P549" r:id="rId1096"/>
    <hyperlink xmlns:r="http://schemas.openxmlformats.org/officeDocument/2006/relationships" ref="O550" r:id="rId1097"/>
    <hyperlink xmlns:r="http://schemas.openxmlformats.org/officeDocument/2006/relationships" ref="P550" r:id="rId1098"/>
    <hyperlink xmlns:r="http://schemas.openxmlformats.org/officeDocument/2006/relationships" ref="O551" r:id="rId1099"/>
    <hyperlink xmlns:r="http://schemas.openxmlformats.org/officeDocument/2006/relationships" ref="P551" r:id="rId1100"/>
    <hyperlink xmlns:r="http://schemas.openxmlformats.org/officeDocument/2006/relationships" ref="O552" r:id="rId1101"/>
    <hyperlink xmlns:r="http://schemas.openxmlformats.org/officeDocument/2006/relationships" ref="P552" r:id="rId1102"/>
    <hyperlink xmlns:r="http://schemas.openxmlformats.org/officeDocument/2006/relationships" ref="O553" r:id="rId1103"/>
    <hyperlink xmlns:r="http://schemas.openxmlformats.org/officeDocument/2006/relationships" ref="P553" r:id="rId1104"/>
    <hyperlink xmlns:r="http://schemas.openxmlformats.org/officeDocument/2006/relationships" ref="O554" r:id="rId1105"/>
    <hyperlink xmlns:r="http://schemas.openxmlformats.org/officeDocument/2006/relationships" ref="P554" r:id="rId1106"/>
    <hyperlink xmlns:r="http://schemas.openxmlformats.org/officeDocument/2006/relationships" ref="O555" r:id="rId1107"/>
    <hyperlink xmlns:r="http://schemas.openxmlformats.org/officeDocument/2006/relationships" ref="P555" r:id="rId1108"/>
    <hyperlink xmlns:r="http://schemas.openxmlformats.org/officeDocument/2006/relationships" ref="O556" r:id="rId1109"/>
    <hyperlink xmlns:r="http://schemas.openxmlformats.org/officeDocument/2006/relationships" ref="P556" r:id="rId1110"/>
    <hyperlink xmlns:r="http://schemas.openxmlformats.org/officeDocument/2006/relationships" ref="O557" r:id="rId1111"/>
    <hyperlink xmlns:r="http://schemas.openxmlformats.org/officeDocument/2006/relationships" ref="P557" r:id="rId1112"/>
    <hyperlink xmlns:r="http://schemas.openxmlformats.org/officeDocument/2006/relationships" ref="O558" r:id="rId1113"/>
    <hyperlink xmlns:r="http://schemas.openxmlformats.org/officeDocument/2006/relationships" ref="P558" r:id="rId1114"/>
    <hyperlink xmlns:r="http://schemas.openxmlformats.org/officeDocument/2006/relationships" ref="O559" r:id="rId1115"/>
    <hyperlink xmlns:r="http://schemas.openxmlformats.org/officeDocument/2006/relationships" ref="P559" r:id="rId1116"/>
    <hyperlink xmlns:r="http://schemas.openxmlformats.org/officeDocument/2006/relationships" ref="O560" r:id="rId1117"/>
    <hyperlink xmlns:r="http://schemas.openxmlformats.org/officeDocument/2006/relationships" ref="P560" r:id="rId1118"/>
    <hyperlink xmlns:r="http://schemas.openxmlformats.org/officeDocument/2006/relationships" ref="O561" r:id="rId1119"/>
    <hyperlink xmlns:r="http://schemas.openxmlformats.org/officeDocument/2006/relationships" ref="P561" r:id="rId1120"/>
    <hyperlink xmlns:r="http://schemas.openxmlformats.org/officeDocument/2006/relationships" ref="O562" r:id="rId1121"/>
    <hyperlink xmlns:r="http://schemas.openxmlformats.org/officeDocument/2006/relationships" ref="P562" r:id="rId1122"/>
    <hyperlink xmlns:r="http://schemas.openxmlformats.org/officeDocument/2006/relationships" ref="O563" r:id="rId1123"/>
    <hyperlink xmlns:r="http://schemas.openxmlformats.org/officeDocument/2006/relationships" ref="P563" r:id="rId1124"/>
    <hyperlink xmlns:r="http://schemas.openxmlformats.org/officeDocument/2006/relationships" ref="O564" r:id="rId1125"/>
    <hyperlink xmlns:r="http://schemas.openxmlformats.org/officeDocument/2006/relationships" ref="P564" r:id="rId1126"/>
    <hyperlink xmlns:r="http://schemas.openxmlformats.org/officeDocument/2006/relationships" ref="O565" r:id="rId1127"/>
    <hyperlink xmlns:r="http://schemas.openxmlformats.org/officeDocument/2006/relationships" ref="P565" r:id="rId1128"/>
    <hyperlink xmlns:r="http://schemas.openxmlformats.org/officeDocument/2006/relationships" ref="O566" r:id="rId1129"/>
    <hyperlink xmlns:r="http://schemas.openxmlformats.org/officeDocument/2006/relationships" ref="P566" r:id="rId1130"/>
    <hyperlink xmlns:r="http://schemas.openxmlformats.org/officeDocument/2006/relationships" ref="O567" r:id="rId1131"/>
    <hyperlink xmlns:r="http://schemas.openxmlformats.org/officeDocument/2006/relationships" ref="P567" r:id="rId1132"/>
    <hyperlink xmlns:r="http://schemas.openxmlformats.org/officeDocument/2006/relationships" ref="O568" r:id="rId1133"/>
    <hyperlink xmlns:r="http://schemas.openxmlformats.org/officeDocument/2006/relationships" ref="P568" r:id="rId1134"/>
    <hyperlink xmlns:r="http://schemas.openxmlformats.org/officeDocument/2006/relationships" ref="O569" r:id="rId1135"/>
    <hyperlink xmlns:r="http://schemas.openxmlformats.org/officeDocument/2006/relationships" ref="P569" r:id="rId1136"/>
    <hyperlink xmlns:r="http://schemas.openxmlformats.org/officeDocument/2006/relationships" ref="O570" r:id="rId1137"/>
    <hyperlink xmlns:r="http://schemas.openxmlformats.org/officeDocument/2006/relationships" ref="P570" r:id="rId1138"/>
    <hyperlink xmlns:r="http://schemas.openxmlformats.org/officeDocument/2006/relationships" ref="O571" r:id="rId1139"/>
    <hyperlink xmlns:r="http://schemas.openxmlformats.org/officeDocument/2006/relationships" ref="P571" r:id="rId1140"/>
    <hyperlink xmlns:r="http://schemas.openxmlformats.org/officeDocument/2006/relationships" ref="O572" r:id="rId1141"/>
    <hyperlink xmlns:r="http://schemas.openxmlformats.org/officeDocument/2006/relationships" ref="P572" r:id="rId1142"/>
    <hyperlink xmlns:r="http://schemas.openxmlformats.org/officeDocument/2006/relationships" ref="O573" r:id="rId1143"/>
    <hyperlink xmlns:r="http://schemas.openxmlformats.org/officeDocument/2006/relationships" ref="P573" r:id="rId1144"/>
    <hyperlink xmlns:r="http://schemas.openxmlformats.org/officeDocument/2006/relationships" ref="O574" r:id="rId1145"/>
    <hyperlink xmlns:r="http://schemas.openxmlformats.org/officeDocument/2006/relationships" ref="P574" r:id="rId1146"/>
    <hyperlink xmlns:r="http://schemas.openxmlformats.org/officeDocument/2006/relationships" ref="O575" r:id="rId1147"/>
    <hyperlink xmlns:r="http://schemas.openxmlformats.org/officeDocument/2006/relationships" ref="P575" r:id="rId1148"/>
    <hyperlink xmlns:r="http://schemas.openxmlformats.org/officeDocument/2006/relationships" ref="O576" r:id="rId1149"/>
    <hyperlink xmlns:r="http://schemas.openxmlformats.org/officeDocument/2006/relationships" ref="P576" r:id="rId1150"/>
    <hyperlink xmlns:r="http://schemas.openxmlformats.org/officeDocument/2006/relationships" ref="O577" r:id="rId1151"/>
    <hyperlink xmlns:r="http://schemas.openxmlformats.org/officeDocument/2006/relationships" ref="P577" r:id="rId1152"/>
    <hyperlink xmlns:r="http://schemas.openxmlformats.org/officeDocument/2006/relationships" ref="O578" r:id="rId1153"/>
    <hyperlink xmlns:r="http://schemas.openxmlformats.org/officeDocument/2006/relationships" ref="P578" r:id="rId1154"/>
    <hyperlink xmlns:r="http://schemas.openxmlformats.org/officeDocument/2006/relationships" ref="O579" r:id="rId1155"/>
    <hyperlink xmlns:r="http://schemas.openxmlformats.org/officeDocument/2006/relationships" ref="P579" r:id="rId1156"/>
    <hyperlink xmlns:r="http://schemas.openxmlformats.org/officeDocument/2006/relationships" ref="O580" r:id="rId1157"/>
    <hyperlink xmlns:r="http://schemas.openxmlformats.org/officeDocument/2006/relationships" ref="P580" r:id="rId1158"/>
    <hyperlink xmlns:r="http://schemas.openxmlformats.org/officeDocument/2006/relationships" ref="O581" r:id="rId1159"/>
    <hyperlink xmlns:r="http://schemas.openxmlformats.org/officeDocument/2006/relationships" ref="P581" r:id="rId1160"/>
    <hyperlink xmlns:r="http://schemas.openxmlformats.org/officeDocument/2006/relationships" ref="O582" r:id="rId1161"/>
    <hyperlink xmlns:r="http://schemas.openxmlformats.org/officeDocument/2006/relationships" ref="P582" r:id="rId1162"/>
    <hyperlink xmlns:r="http://schemas.openxmlformats.org/officeDocument/2006/relationships" ref="O583" r:id="rId1163"/>
    <hyperlink xmlns:r="http://schemas.openxmlformats.org/officeDocument/2006/relationships" ref="P583" r:id="rId1164"/>
    <hyperlink xmlns:r="http://schemas.openxmlformats.org/officeDocument/2006/relationships" ref="O584" r:id="rId1165"/>
    <hyperlink xmlns:r="http://schemas.openxmlformats.org/officeDocument/2006/relationships" ref="P584" r:id="rId1166"/>
    <hyperlink xmlns:r="http://schemas.openxmlformats.org/officeDocument/2006/relationships" ref="O585" r:id="rId1167"/>
    <hyperlink xmlns:r="http://schemas.openxmlformats.org/officeDocument/2006/relationships" ref="P585" r:id="rId1168"/>
    <hyperlink xmlns:r="http://schemas.openxmlformats.org/officeDocument/2006/relationships" ref="O586" r:id="rId1169"/>
    <hyperlink xmlns:r="http://schemas.openxmlformats.org/officeDocument/2006/relationships" ref="P586" r:id="rId1170"/>
    <hyperlink xmlns:r="http://schemas.openxmlformats.org/officeDocument/2006/relationships" ref="O587" r:id="rId1171"/>
    <hyperlink xmlns:r="http://schemas.openxmlformats.org/officeDocument/2006/relationships" ref="P587" r:id="rId1172"/>
    <hyperlink xmlns:r="http://schemas.openxmlformats.org/officeDocument/2006/relationships" ref="O588" r:id="rId1173"/>
    <hyperlink xmlns:r="http://schemas.openxmlformats.org/officeDocument/2006/relationships" ref="P588" r:id="rId1174"/>
    <hyperlink xmlns:r="http://schemas.openxmlformats.org/officeDocument/2006/relationships" ref="O589" r:id="rId1175"/>
    <hyperlink xmlns:r="http://schemas.openxmlformats.org/officeDocument/2006/relationships" ref="P589" r:id="rId1176"/>
    <hyperlink xmlns:r="http://schemas.openxmlformats.org/officeDocument/2006/relationships" ref="O590" r:id="rId1177"/>
    <hyperlink xmlns:r="http://schemas.openxmlformats.org/officeDocument/2006/relationships" ref="P590" r:id="rId1178"/>
    <hyperlink xmlns:r="http://schemas.openxmlformats.org/officeDocument/2006/relationships" ref="O591" r:id="rId1179"/>
    <hyperlink xmlns:r="http://schemas.openxmlformats.org/officeDocument/2006/relationships" ref="P591" r:id="rId1180"/>
    <hyperlink xmlns:r="http://schemas.openxmlformats.org/officeDocument/2006/relationships" ref="O592" r:id="rId1181"/>
    <hyperlink xmlns:r="http://schemas.openxmlformats.org/officeDocument/2006/relationships" ref="P592" r:id="rId1182"/>
    <hyperlink xmlns:r="http://schemas.openxmlformats.org/officeDocument/2006/relationships" ref="O593" r:id="rId1183"/>
    <hyperlink xmlns:r="http://schemas.openxmlformats.org/officeDocument/2006/relationships" ref="P593" r:id="rId1184"/>
    <hyperlink xmlns:r="http://schemas.openxmlformats.org/officeDocument/2006/relationships" ref="O594" r:id="rId1185"/>
    <hyperlink xmlns:r="http://schemas.openxmlformats.org/officeDocument/2006/relationships" ref="P594" r:id="rId1186"/>
    <hyperlink xmlns:r="http://schemas.openxmlformats.org/officeDocument/2006/relationships" ref="O595" r:id="rId1187"/>
    <hyperlink xmlns:r="http://schemas.openxmlformats.org/officeDocument/2006/relationships" ref="P595" r:id="rId1188"/>
    <hyperlink xmlns:r="http://schemas.openxmlformats.org/officeDocument/2006/relationships" ref="O596" r:id="rId1189"/>
    <hyperlink xmlns:r="http://schemas.openxmlformats.org/officeDocument/2006/relationships" ref="P596" r:id="rId1190"/>
    <hyperlink xmlns:r="http://schemas.openxmlformats.org/officeDocument/2006/relationships" ref="O597" r:id="rId1191"/>
    <hyperlink xmlns:r="http://schemas.openxmlformats.org/officeDocument/2006/relationships" ref="P597" r:id="rId1192"/>
    <hyperlink xmlns:r="http://schemas.openxmlformats.org/officeDocument/2006/relationships" ref="O598" r:id="rId1193"/>
    <hyperlink xmlns:r="http://schemas.openxmlformats.org/officeDocument/2006/relationships" ref="P598" r:id="rId1194"/>
    <hyperlink xmlns:r="http://schemas.openxmlformats.org/officeDocument/2006/relationships" ref="O599" r:id="rId1195"/>
    <hyperlink xmlns:r="http://schemas.openxmlformats.org/officeDocument/2006/relationships" ref="P599" r:id="rId1196"/>
    <hyperlink xmlns:r="http://schemas.openxmlformats.org/officeDocument/2006/relationships" ref="O600" r:id="rId1197"/>
    <hyperlink xmlns:r="http://schemas.openxmlformats.org/officeDocument/2006/relationships" ref="P600" r:id="rId1198"/>
    <hyperlink xmlns:r="http://schemas.openxmlformats.org/officeDocument/2006/relationships" ref="O601" r:id="rId1199"/>
    <hyperlink xmlns:r="http://schemas.openxmlformats.org/officeDocument/2006/relationships" ref="P601" r:id="rId1200"/>
    <hyperlink xmlns:r="http://schemas.openxmlformats.org/officeDocument/2006/relationships" ref="O602" r:id="rId1201"/>
    <hyperlink xmlns:r="http://schemas.openxmlformats.org/officeDocument/2006/relationships" ref="P602" r:id="rId1202"/>
    <hyperlink xmlns:r="http://schemas.openxmlformats.org/officeDocument/2006/relationships" ref="O603" r:id="rId1203"/>
    <hyperlink xmlns:r="http://schemas.openxmlformats.org/officeDocument/2006/relationships" ref="P603" r:id="rId1204"/>
    <hyperlink xmlns:r="http://schemas.openxmlformats.org/officeDocument/2006/relationships" ref="O604" r:id="rId1205"/>
    <hyperlink xmlns:r="http://schemas.openxmlformats.org/officeDocument/2006/relationships" ref="P604" r:id="rId1206"/>
    <hyperlink xmlns:r="http://schemas.openxmlformats.org/officeDocument/2006/relationships" ref="O605" r:id="rId1207"/>
    <hyperlink xmlns:r="http://schemas.openxmlformats.org/officeDocument/2006/relationships" ref="P605" r:id="rId1208"/>
    <hyperlink xmlns:r="http://schemas.openxmlformats.org/officeDocument/2006/relationships" ref="O606" r:id="rId1209"/>
    <hyperlink xmlns:r="http://schemas.openxmlformats.org/officeDocument/2006/relationships" ref="P606" r:id="rId1210"/>
    <hyperlink xmlns:r="http://schemas.openxmlformats.org/officeDocument/2006/relationships" ref="O607" r:id="rId1211"/>
    <hyperlink xmlns:r="http://schemas.openxmlformats.org/officeDocument/2006/relationships" ref="P607" r:id="rId1212"/>
    <hyperlink xmlns:r="http://schemas.openxmlformats.org/officeDocument/2006/relationships" ref="O608" r:id="rId1213"/>
    <hyperlink xmlns:r="http://schemas.openxmlformats.org/officeDocument/2006/relationships" ref="P608" r:id="rId1214"/>
    <hyperlink xmlns:r="http://schemas.openxmlformats.org/officeDocument/2006/relationships" ref="O609" r:id="rId1215"/>
    <hyperlink xmlns:r="http://schemas.openxmlformats.org/officeDocument/2006/relationships" ref="P609" r:id="rId1216"/>
    <hyperlink xmlns:r="http://schemas.openxmlformats.org/officeDocument/2006/relationships" ref="O610" r:id="rId1217"/>
    <hyperlink xmlns:r="http://schemas.openxmlformats.org/officeDocument/2006/relationships" ref="P610" r:id="rId1218"/>
    <hyperlink xmlns:r="http://schemas.openxmlformats.org/officeDocument/2006/relationships" ref="O611" r:id="rId1219"/>
    <hyperlink xmlns:r="http://schemas.openxmlformats.org/officeDocument/2006/relationships" ref="P611" r:id="rId1220"/>
    <hyperlink xmlns:r="http://schemas.openxmlformats.org/officeDocument/2006/relationships" ref="O612" r:id="rId1221"/>
    <hyperlink xmlns:r="http://schemas.openxmlformats.org/officeDocument/2006/relationships" ref="P612" r:id="rId1222"/>
    <hyperlink xmlns:r="http://schemas.openxmlformats.org/officeDocument/2006/relationships" ref="O613" r:id="rId1223"/>
    <hyperlink xmlns:r="http://schemas.openxmlformats.org/officeDocument/2006/relationships" ref="P613" r:id="rId1224"/>
    <hyperlink xmlns:r="http://schemas.openxmlformats.org/officeDocument/2006/relationships" ref="O614" r:id="rId1225"/>
    <hyperlink xmlns:r="http://schemas.openxmlformats.org/officeDocument/2006/relationships" ref="P614" r:id="rId1226"/>
    <hyperlink xmlns:r="http://schemas.openxmlformats.org/officeDocument/2006/relationships" ref="O615" r:id="rId1227"/>
    <hyperlink xmlns:r="http://schemas.openxmlformats.org/officeDocument/2006/relationships" ref="P615" r:id="rId1228"/>
    <hyperlink xmlns:r="http://schemas.openxmlformats.org/officeDocument/2006/relationships" ref="O616" r:id="rId1229"/>
    <hyperlink xmlns:r="http://schemas.openxmlformats.org/officeDocument/2006/relationships" ref="P616" r:id="rId1230"/>
    <hyperlink xmlns:r="http://schemas.openxmlformats.org/officeDocument/2006/relationships" ref="O617" r:id="rId1231"/>
    <hyperlink xmlns:r="http://schemas.openxmlformats.org/officeDocument/2006/relationships" ref="P617" r:id="rId1232"/>
    <hyperlink xmlns:r="http://schemas.openxmlformats.org/officeDocument/2006/relationships" ref="O618" r:id="rId1233"/>
    <hyperlink xmlns:r="http://schemas.openxmlformats.org/officeDocument/2006/relationships" ref="P618" r:id="rId1234"/>
    <hyperlink xmlns:r="http://schemas.openxmlformats.org/officeDocument/2006/relationships" ref="O619" r:id="rId1235"/>
    <hyperlink xmlns:r="http://schemas.openxmlformats.org/officeDocument/2006/relationships" ref="P619" r:id="rId1236"/>
    <hyperlink xmlns:r="http://schemas.openxmlformats.org/officeDocument/2006/relationships" ref="O620" r:id="rId1237"/>
    <hyperlink xmlns:r="http://schemas.openxmlformats.org/officeDocument/2006/relationships" ref="P620" r:id="rId1238"/>
    <hyperlink xmlns:r="http://schemas.openxmlformats.org/officeDocument/2006/relationships" ref="O621" r:id="rId1239"/>
    <hyperlink xmlns:r="http://schemas.openxmlformats.org/officeDocument/2006/relationships" ref="P621" r:id="rId1240"/>
    <hyperlink xmlns:r="http://schemas.openxmlformats.org/officeDocument/2006/relationships" ref="O622" r:id="rId1241"/>
    <hyperlink xmlns:r="http://schemas.openxmlformats.org/officeDocument/2006/relationships" ref="P622" r:id="rId1242"/>
    <hyperlink xmlns:r="http://schemas.openxmlformats.org/officeDocument/2006/relationships" ref="O623" r:id="rId1243"/>
    <hyperlink xmlns:r="http://schemas.openxmlformats.org/officeDocument/2006/relationships" ref="P623" r:id="rId1244"/>
    <hyperlink xmlns:r="http://schemas.openxmlformats.org/officeDocument/2006/relationships" ref="O624" r:id="rId1245"/>
    <hyperlink xmlns:r="http://schemas.openxmlformats.org/officeDocument/2006/relationships" ref="P624" r:id="rId1246"/>
    <hyperlink xmlns:r="http://schemas.openxmlformats.org/officeDocument/2006/relationships" ref="O625" r:id="rId1247"/>
    <hyperlink xmlns:r="http://schemas.openxmlformats.org/officeDocument/2006/relationships" ref="P625" r:id="rId1248"/>
    <hyperlink xmlns:r="http://schemas.openxmlformats.org/officeDocument/2006/relationships" ref="O626" r:id="rId1249"/>
    <hyperlink xmlns:r="http://schemas.openxmlformats.org/officeDocument/2006/relationships" ref="P626" r:id="rId1250"/>
    <hyperlink xmlns:r="http://schemas.openxmlformats.org/officeDocument/2006/relationships" ref="O627" r:id="rId1251"/>
    <hyperlink xmlns:r="http://schemas.openxmlformats.org/officeDocument/2006/relationships" ref="P627" r:id="rId1252"/>
    <hyperlink xmlns:r="http://schemas.openxmlformats.org/officeDocument/2006/relationships" ref="O628" r:id="rId1253"/>
    <hyperlink xmlns:r="http://schemas.openxmlformats.org/officeDocument/2006/relationships" ref="P628" r:id="rId1254"/>
    <hyperlink xmlns:r="http://schemas.openxmlformats.org/officeDocument/2006/relationships" ref="O629" r:id="rId1255"/>
    <hyperlink xmlns:r="http://schemas.openxmlformats.org/officeDocument/2006/relationships" ref="P629" r:id="rId1256"/>
    <hyperlink xmlns:r="http://schemas.openxmlformats.org/officeDocument/2006/relationships" ref="O630" r:id="rId1257"/>
    <hyperlink xmlns:r="http://schemas.openxmlformats.org/officeDocument/2006/relationships" ref="P630" r:id="rId1258"/>
    <hyperlink xmlns:r="http://schemas.openxmlformats.org/officeDocument/2006/relationships" ref="O631" r:id="rId1259"/>
    <hyperlink xmlns:r="http://schemas.openxmlformats.org/officeDocument/2006/relationships" ref="P631" r:id="rId1260"/>
    <hyperlink xmlns:r="http://schemas.openxmlformats.org/officeDocument/2006/relationships" ref="O632" r:id="rId1261"/>
    <hyperlink xmlns:r="http://schemas.openxmlformats.org/officeDocument/2006/relationships" ref="P632" r:id="rId1262"/>
    <hyperlink xmlns:r="http://schemas.openxmlformats.org/officeDocument/2006/relationships" ref="O633" r:id="rId1263"/>
    <hyperlink xmlns:r="http://schemas.openxmlformats.org/officeDocument/2006/relationships" ref="P633" r:id="rId1264"/>
    <hyperlink xmlns:r="http://schemas.openxmlformats.org/officeDocument/2006/relationships" ref="O634" r:id="rId1265"/>
    <hyperlink xmlns:r="http://schemas.openxmlformats.org/officeDocument/2006/relationships" ref="P634" r:id="rId1266"/>
    <hyperlink xmlns:r="http://schemas.openxmlformats.org/officeDocument/2006/relationships" ref="O635" r:id="rId1267"/>
    <hyperlink xmlns:r="http://schemas.openxmlformats.org/officeDocument/2006/relationships" ref="P635" r:id="rId1268"/>
    <hyperlink xmlns:r="http://schemas.openxmlformats.org/officeDocument/2006/relationships" ref="O636" r:id="rId1269"/>
    <hyperlink xmlns:r="http://schemas.openxmlformats.org/officeDocument/2006/relationships" ref="P636" r:id="rId1270"/>
    <hyperlink xmlns:r="http://schemas.openxmlformats.org/officeDocument/2006/relationships" ref="O637" r:id="rId1271"/>
    <hyperlink xmlns:r="http://schemas.openxmlformats.org/officeDocument/2006/relationships" ref="P637" r:id="rId1272"/>
    <hyperlink xmlns:r="http://schemas.openxmlformats.org/officeDocument/2006/relationships" ref="O638" r:id="rId1273"/>
    <hyperlink xmlns:r="http://schemas.openxmlformats.org/officeDocument/2006/relationships" ref="P638" r:id="rId1274"/>
    <hyperlink xmlns:r="http://schemas.openxmlformats.org/officeDocument/2006/relationships" ref="O639" r:id="rId1275"/>
    <hyperlink xmlns:r="http://schemas.openxmlformats.org/officeDocument/2006/relationships" ref="P639" r:id="rId1276"/>
    <hyperlink xmlns:r="http://schemas.openxmlformats.org/officeDocument/2006/relationships" ref="O640" r:id="rId1277"/>
    <hyperlink xmlns:r="http://schemas.openxmlformats.org/officeDocument/2006/relationships" ref="P640" r:id="rId1278"/>
    <hyperlink xmlns:r="http://schemas.openxmlformats.org/officeDocument/2006/relationships" ref="O641" r:id="rId1279"/>
    <hyperlink xmlns:r="http://schemas.openxmlformats.org/officeDocument/2006/relationships" ref="P641" r:id="rId1280"/>
    <hyperlink xmlns:r="http://schemas.openxmlformats.org/officeDocument/2006/relationships" ref="O642" r:id="rId1281"/>
    <hyperlink xmlns:r="http://schemas.openxmlformats.org/officeDocument/2006/relationships" ref="P642" r:id="rId1282"/>
    <hyperlink xmlns:r="http://schemas.openxmlformats.org/officeDocument/2006/relationships" ref="O643" r:id="rId1283"/>
    <hyperlink xmlns:r="http://schemas.openxmlformats.org/officeDocument/2006/relationships" ref="P643" r:id="rId1284"/>
    <hyperlink xmlns:r="http://schemas.openxmlformats.org/officeDocument/2006/relationships" ref="O644" r:id="rId1285"/>
    <hyperlink xmlns:r="http://schemas.openxmlformats.org/officeDocument/2006/relationships" ref="P644" r:id="rId1286"/>
    <hyperlink xmlns:r="http://schemas.openxmlformats.org/officeDocument/2006/relationships" ref="O645" r:id="rId1287"/>
    <hyperlink xmlns:r="http://schemas.openxmlformats.org/officeDocument/2006/relationships" ref="P645" r:id="rId1288"/>
    <hyperlink xmlns:r="http://schemas.openxmlformats.org/officeDocument/2006/relationships" ref="O646" r:id="rId1289"/>
    <hyperlink xmlns:r="http://schemas.openxmlformats.org/officeDocument/2006/relationships" ref="P646" r:id="rId1290"/>
    <hyperlink xmlns:r="http://schemas.openxmlformats.org/officeDocument/2006/relationships" ref="O647" r:id="rId1291"/>
    <hyperlink xmlns:r="http://schemas.openxmlformats.org/officeDocument/2006/relationships" ref="P647" r:id="rId1292"/>
    <hyperlink xmlns:r="http://schemas.openxmlformats.org/officeDocument/2006/relationships" ref="O648" r:id="rId1293"/>
    <hyperlink xmlns:r="http://schemas.openxmlformats.org/officeDocument/2006/relationships" ref="P648" r:id="rId1294"/>
    <hyperlink xmlns:r="http://schemas.openxmlformats.org/officeDocument/2006/relationships" ref="O649" r:id="rId1295"/>
    <hyperlink xmlns:r="http://schemas.openxmlformats.org/officeDocument/2006/relationships" ref="P649" r:id="rId1296"/>
    <hyperlink xmlns:r="http://schemas.openxmlformats.org/officeDocument/2006/relationships" ref="O650" r:id="rId1297"/>
    <hyperlink xmlns:r="http://schemas.openxmlformats.org/officeDocument/2006/relationships" ref="P650" r:id="rId1298"/>
    <hyperlink xmlns:r="http://schemas.openxmlformats.org/officeDocument/2006/relationships" ref="O651" r:id="rId1299"/>
    <hyperlink xmlns:r="http://schemas.openxmlformats.org/officeDocument/2006/relationships" ref="P651" r:id="rId1300"/>
    <hyperlink xmlns:r="http://schemas.openxmlformats.org/officeDocument/2006/relationships" ref="O652" r:id="rId1301"/>
    <hyperlink xmlns:r="http://schemas.openxmlformats.org/officeDocument/2006/relationships" ref="P652" r:id="rId1302"/>
    <hyperlink xmlns:r="http://schemas.openxmlformats.org/officeDocument/2006/relationships" ref="O653" r:id="rId1303"/>
    <hyperlink xmlns:r="http://schemas.openxmlformats.org/officeDocument/2006/relationships" ref="P653" r:id="rId1304"/>
    <hyperlink xmlns:r="http://schemas.openxmlformats.org/officeDocument/2006/relationships" ref="O654" r:id="rId1305"/>
    <hyperlink xmlns:r="http://schemas.openxmlformats.org/officeDocument/2006/relationships" ref="P654" r:id="rId1306"/>
    <hyperlink xmlns:r="http://schemas.openxmlformats.org/officeDocument/2006/relationships" ref="O655" r:id="rId1307"/>
    <hyperlink xmlns:r="http://schemas.openxmlformats.org/officeDocument/2006/relationships" ref="P655" r:id="rId1308"/>
    <hyperlink xmlns:r="http://schemas.openxmlformats.org/officeDocument/2006/relationships" ref="O656" r:id="rId1309"/>
    <hyperlink xmlns:r="http://schemas.openxmlformats.org/officeDocument/2006/relationships" ref="P656" r:id="rId1310"/>
    <hyperlink xmlns:r="http://schemas.openxmlformats.org/officeDocument/2006/relationships" ref="O657" r:id="rId1311"/>
    <hyperlink xmlns:r="http://schemas.openxmlformats.org/officeDocument/2006/relationships" ref="P657" r:id="rId1312"/>
    <hyperlink xmlns:r="http://schemas.openxmlformats.org/officeDocument/2006/relationships" ref="O658" r:id="rId1313"/>
    <hyperlink xmlns:r="http://schemas.openxmlformats.org/officeDocument/2006/relationships" ref="P658" r:id="rId1314"/>
    <hyperlink xmlns:r="http://schemas.openxmlformats.org/officeDocument/2006/relationships" ref="O659" r:id="rId1315"/>
    <hyperlink xmlns:r="http://schemas.openxmlformats.org/officeDocument/2006/relationships" ref="P659" r:id="rId1316"/>
    <hyperlink xmlns:r="http://schemas.openxmlformats.org/officeDocument/2006/relationships" ref="O660" r:id="rId1317"/>
    <hyperlink xmlns:r="http://schemas.openxmlformats.org/officeDocument/2006/relationships" ref="P660" r:id="rId1318"/>
    <hyperlink xmlns:r="http://schemas.openxmlformats.org/officeDocument/2006/relationships" ref="O661" r:id="rId1319"/>
    <hyperlink xmlns:r="http://schemas.openxmlformats.org/officeDocument/2006/relationships" ref="P661" r:id="rId1320"/>
    <hyperlink xmlns:r="http://schemas.openxmlformats.org/officeDocument/2006/relationships" ref="O662" r:id="rId1321"/>
    <hyperlink xmlns:r="http://schemas.openxmlformats.org/officeDocument/2006/relationships" ref="P662" r:id="rId1322"/>
    <hyperlink xmlns:r="http://schemas.openxmlformats.org/officeDocument/2006/relationships" ref="O663" r:id="rId1323"/>
    <hyperlink xmlns:r="http://schemas.openxmlformats.org/officeDocument/2006/relationships" ref="P663" r:id="rId1324"/>
    <hyperlink xmlns:r="http://schemas.openxmlformats.org/officeDocument/2006/relationships" ref="O664" r:id="rId1325"/>
    <hyperlink xmlns:r="http://schemas.openxmlformats.org/officeDocument/2006/relationships" ref="P664" r:id="rId1326"/>
    <hyperlink xmlns:r="http://schemas.openxmlformats.org/officeDocument/2006/relationships" ref="O665" r:id="rId1327"/>
    <hyperlink xmlns:r="http://schemas.openxmlformats.org/officeDocument/2006/relationships" ref="P665" r:id="rId1328"/>
    <hyperlink xmlns:r="http://schemas.openxmlformats.org/officeDocument/2006/relationships" ref="O666" r:id="rId1329"/>
    <hyperlink xmlns:r="http://schemas.openxmlformats.org/officeDocument/2006/relationships" ref="P666" r:id="rId1330"/>
    <hyperlink xmlns:r="http://schemas.openxmlformats.org/officeDocument/2006/relationships" ref="O667" r:id="rId1331"/>
    <hyperlink xmlns:r="http://schemas.openxmlformats.org/officeDocument/2006/relationships" ref="P667" r:id="rId1332"/>
    <hyperlink xmlns:r="http://schemas.openxmlformats.org/officeDocument/2006/relationships" ref="O668" r:id="rId1333"/>
    <hyperlink xmlns:r="http://schemas.openxmlformats.org/officeDocument/2006/relationships" ref="P668" r:id="rId1334"/>
    <hyperlink xmlns:r="http://schemas.openxmlformats.org/officeDocument/2006/relationships" ref="O669" r:id="rId1335"/>
    <hyperlink xmlns:r="http://schemas.openxmlformats.org/officeDocument/2006/relationships" ref="P669" r:id="rId1336"/>
    <hyperlink xmlns:r="http://schemas.openxmlformats.org/officeDocument/2006/relationships" ref="O670" r:id="rId1337"/>
    <hyperlink xmlns:r="http://schemas.openxmlformats.org/officeDocument/2006/relationships" ref="P670" r:id="rId1338"/>
    <hyperlink xmlns:r="http://schemas.openxmlformats.org/officeDocument/2006/relationships" ref="O671" r:id="rId1339"/>
    <hyperlink xmlns:r="http://schemas.openxmlformats.org/officeDocument/2006/relationships" ref="P671" r:id="rId1340"/>
    <hyperlink xmlns:r="http://schemas.openxmlformats.org/officeDocument/2006/relationships" ref="O672" r:id="rId1341"/>
    <hyperlink xmlns:r="http://schemas.openxmlformats.org/officeDocument/2006/relationships" ref="P672" r:id="rId1342"/>
    <hyperlink xmlns:r="http://schemas.openxmlformats.org/officeDocument/2006/relationships" ref="O673" r:id="rId1343"/>
    <hyperlink xmlns:r="http://schemas.openxmlformats.org/officeDocument/2006/relationships" ref="P673" r:id="rId1344"/>
    <hyperlink xmlns:r="http://schemas.openxmlformats.org/officeDocument/2006/relationships" ref="O674" r:id="rId1345"/>
    <hyperlink xmlns:r="http://schemas.openxmlformats.org/officeDocument/2006/relationships" ref="P674" r:id="rId1346"/>
    <hyperlink xmlns:r="http://schemas.openxmlformats.org/officeDocument/2006/relationships" ref="O675" r:id="rId1347"/>
    <hyperlink xmlns:r="http://schemas.openxmlformats.org/officeDocument/2006/relationships" ref="P675" r:id="rId1348"/>
    <hyperlink xmlns:r="http://schemas.openxmlformats.org/officeDocument/2006/relationships" ref="O676" r:id="rId1349"/>
    <hyperlink xmlns:r="http://schemas.openxmlformats.org/officeDocument/2006/relationships" ref="P676" r:id="rId1350"/>
    <hyperlink xmlns:r="http://schemas.openxmlformats.org/officeDocument/2006/relationships" ref="O677" r:id="rId1351"/>
    <hyperlink xmlns:r="http://schemas.openxmlformats.org/officeDocument/2006/relationships" ref="P677" r:id="rId1352"/>
    <hyperlink xmlns:r="http://schemas.openxmlformats.org/officeDocument/2006/relationships" ref="O678" r:id="rId1353"/>
    <hyperlink xmlns:r="http://schemas.openxmlformats.org/officeDocument/2006/relationships" ref="P678" r:id="rId1354"/>
    <hyperlink xmlns:r="http://schemas.openxmlformats.org/officeDocument/2006/relationships" ref="O679" r:id="rId1355"/>
    <hyperlink xmlns:r="http://schemas.openxmlformats.org/officeDocument/2006/relationships" ref="P679" r:id="rId1356"/>
    <hyperlink xmlns:r="http://schemas.openxmlformats.org/officeDocument/2006/relationships" ref="O680" r:id="rId1357"/>
    <hyperlink xmlns:r="http://schemas.openxmlformats.org/officeDocument/2006/relationships" ref="P680" r:id="rId1358"/>
    <hyperlink xmlns:r="http://schemas.openxmlformats.org/officeDocument/2006/relationships" ref="O681" r:id="rId1359"/>
    <hyperlink xmlns:r="http://schemas.openxmlformats.org/officeDocument/2006/relationships" ref="P681" r:id="rId1360"/>
    <hyperlink xmlns:r="http://schemas.openxmlformats.org/officeDocument/2006/relationships" ref="O682" r:id="rId1361"/>
    <hyperlink xmlns:r="http://schemas.openxmlformats.org/officeDocument/2006/relationships" ref="P682" r:id="rId1362"/>
    <hyperlink xmlns:r="http://schemas.openxmlformats.org/officeDocument/2006/relationships" ref="O683" r:id="rId1363"/>
    <hyperlink xmlns:r="http://schemas.openxmlformats.org/officeDocument/2006/relationships" ref="P683" r:id="rId1364"/>
    <hyperlink xmlns:r="http://schemas.openxmlformats.org/officeDocument/2006/relationships" ref="O684" r:id="rId1365"/>
    <hyperlink xmlns:r="http://schemas.openxmlformats.org/officeDocument/2006/relationships" ref="P684" r:id="rId1366"/>
    <hyperlink xmlns:r="http://schemas.openxmlformats.org/officeDocument/2006/relationships" ref="O685" r:id="rId1367"/>
    <hyperlink xmlns:r="http://schemas.openxmlformats.org/officeDocument/2006/relationships" ref="P685" r:id="rId1368"/>
    <hyperlink xmlns:r="http://schemas.openxmlformats.org/officeDocument/2006/relationships" ref="O686" r:id="rId1369"/>
    <hyperlink xmlns:r="http://schemas.openxmlformats.org/officeDocument/2006/relationships" ref="P686" r:id="rId1370"/>
    <hyperlink xmlns:r="http://schemas.openxmlformats.org/officeDocument/2006/relationships" ref="O687" r:id="rId1371"/>
    <hyperlink xmlns:r="http://schemas.openxmlformats.org/officeDocument/2006/relationships" ref="P687" r:id="rId1372"/>
    <hyperlink xmlns:r="http://schemas.openxmlformats.org/officeDocument/2006/relationships" ref="O688" r:id="rId1373"/>
    <hyperlink xmlns:r="http://schemas.openxmlformats.org/officeDocument/2006/relationships" ref="P688" r:id="rId1374"/>
    <hyperlink xmlns:r="http://schemas.openxmlformats.org/officeDocument/2006/relationships" ref="O689" r:id="rId1375"/>
    <hyperlink xmlns:r="http://schemas.openxmlformats.org/officeDocument/2006/relationships" ref="P689" r:id="rId1376"/>
    <hyperlink xmlns:r="http://schemas.openxmlformats.org/officeDocument/2006/relationships" ref="O690" r:id="rId1377"/>
    <hyperlink xmlns:r="http://schemas.openxmlformats.org/officeDocument/2006/relationships" ref="P690" r:id="rId1378"/>
    <hyperlink xmlns:r="http://schemas.openxmlformats.org/officeDocument/2006/relationships" ref="O691" r:id="rId1379"/>
    <hyperlink xmlns:r="http://schemas.openxmlformats.org/officeDocument/2006/relationships" ref="P691" r:id="rId1380"/>
    <hyperlink xmlns:r="http://schemas.openxmlformats.org/officeDocument/2006/relationships" ref="O692" r:id="rId1381"/>
    <hyperlink xmlns:r="http://schemas.openxmlformats.org/officeDocument/2006/relationships" ref="P692" r:id="rId1382"/>
    <hyperlink xmlns:r="http://schemas.openxmlformats.org/officeDocument/2006/relationships" ref="O693" r:id="rId1383"/>
    <hyperlink xmlns:r="http://schemas.openxmlformats.org/officeDocument/2006/relationships" ref="P693" r:id="rId1384"/>
    <hyperlink xmlns:r="http://schemas.openxmlformats.org/officeDocument/2006/relationships" ref="O694" r:id="rId1385"/>
    <hyperlink xmlns:r="http://schemas.openxmlformats.org/officeDocument/2006/relationships" ref="P694" r:id="rId1386"/>
    <hyperlink xmlns:r="http://schemas.openxmlformats.org/officeDocument/2006/relationships" ref="O695" r:id="rId1387"/>
    <hyperlink xmlns:r="http://schemas.openxmlformats.org/officeDocument/2006/relationships" ref="P695" r:id="rId1388"/>
    <hyperlink xmlns:r="http://schemas.openxmlformats.org/officeDocument/2006/relationships" ref="O696" r:id="rId1389"/>
    <hyperlink xmlns:r="http://schemas.openxmlformats.org/officeDocument/2006/relationships" ref="P696" r:id="rId1390"/>
    <hyperlink xmlns:r="http://schemas.openxmlformats.org/officeDocument/2006/relationships" ref="O697" r:id="rId1391"/>
    <hyperlink xmlns:r="http://schemas.openxmlformats.org/officeDocument/2006/relationships" ref="P697" r:id="rId1392"/>
    <hyperlink xmlns:r="http://schemas.openxmlformats.org/officeDocument/2006/relationships" ref="O698" r:id="rId1393"/>
    <hyperlink xmlns:r="http://schemas.openxmlformats.org/officeDocument/2006/relationships" ref="P698" r:id="rId1394"/>
    <hyperlink xmlns:r="http://schemas.openxmlformats.org/officeDocument/2006/relationships" ref="O699" r:id="rId1395"/>
    <hyperlink xmlns:r="http://schemas.openxmlformats.org/officeDocument/2006/relationships" ref="P699" r:id="rId1396"/>
    <hyperlink xmlns:r="http://schemas.openxmlformats.org/officeDocument/2006/relationships" ref="O700" r:id="rId1397"/>
    <hyperlink xmlns:r="http://schemas.openxmlformats.org/officeDocument/2006/relationships" ref="P700" r:id="rId1398"/>
    <hyperlink xmlns:r="http://schemas.openxmlformats.org/officeDocument/2006/relationships" ref="O701" r:id="rId1399"/>
    <hyperlink xmlns:r="http://schemas.openxmlformats.org/officeDocument/2006/relationships" ref="P701" r:id="rId1400"/>
    <hyperlink xmlns:r="http://schemas.openxmlformats.org/officeDocument/2006/relationships" ref="O702" r:id="rId1401"/>
    <hyperlink xmlns:r="http://schemas.openxmlformats.org/officeDocument/2006/relationships" ref="P702" r:id="rId1402"/>
    <hyperlink xmlns:r="http://schemas.openxmlformats.org/officeDocument/2006/relationships" ref="O703" r:id="rId1403"/>
    <hyperlink xmlns:r="http://schemas.openxmlformats.org/officeDocument/2006/relationships" ref="P703" r:id="rId1404"/>
    <hyperlink xmlns:r="http://schemas.openxmlformats.org/officeDocument/2006/relationships" ref="O704" r:id="rId1405"/>
    <hyperlink xmlns:r="http://schemas.openxmlformats.org/officeDocument/2006/relationships" ref="P704" r:id="rId1406"/>
    <hyperlink xmlns:r="http://schemas.openxmlformats.org/officeDocument/2006/relationships" ref="O705" r:id="rId1407"/>
    <hyperlink xmlns:r="http://schemas.openxmlformats.org/officeDocument/2006/relationships" ref="P705" r:id="rId1408"/>
    <hyperlink xmlns:r="http://schemas.openxmlformats.org/officeDocument/2006/relationships" ref="O706" r:id="rId1409"/>
    <hyperlink xmlns:r="http://schemas.openxmlformats.org/officeDocument/2006/relationships" ref="P706" r:id="rId1410"/>
    <hyperlink xmlns:r="http://schemas.openxmlformats.org/officeDocument/2006/relationships" ref="O707" r:id="rId1411"/>
    <hyperlink xmlns:r="http://schemas.openxmlformats.org/officeDocument/2006/relationships" ref="P707" r:id="rId1412"/>
    <hyperlink xmlns:r="http://schemas.openxmlformats.org/officeDocument/2006/relationships" ref="O708" r:id="rId1413"/>
    <hyperlink xmlns:r="http://schemas.openxmlformats.org/officeDocument/2006/relationships" ref="P708" r:id="rId1414"/>
    <hyperlink xmlns:r="http://schemas.openxmlformats.org/officeDocument/2006/relationships" ref="O709" r:id="rId1415"/>
    <hyperlink xmlns:r="http://schemas.openxmlformats.org/officeDocument/2006/relationships" ref="P709" r:id="rId1416"/>
    <hyperlink xmlns:r="http://schemas.openxmlformats.org/officeDocument/2006/relationships" ref="O710" r:id="rId1417"/>
    <hyperlink xmlns:r="http://schemas.openxmlformats.org/officeDocument/2006/relationships" ref="P710" r:id="rId1418"/>
    <hyperlink xmlns:r="http://schemas.openxmlformats.org/officeDocument/2006/relationships" ref="O711" r:id="rId1419"/>
    <hyperlink xmlns:r="http://schemas.openxmlformats.org/officeDocument/2006/relationships" ref="P711" r:id="rId1420"/>
    <hyperlink xmlns:r="http://schemas.openxmlformats.org/officeDocument/2006/relationships" ref="O712" r:id="rId1421"/>
    <hyperlink xmlns:r="http://schemas.openxmlformats.org/officeDocument/2006/relationships" ref="P712" r:id="rId1422"/>
    <hyperlink xmlns:r="http://schemas.openxmlformats.org/officeDocument/2006/relationships" ref="O713" r:id="rId1423"/>
    <hyperlink xmlns:r="http://schemas.openxmlformats.org/officeDocument/2006/relationships" ref="P713" r:id="rId1424"/>
    <hyperlink xmlns:r="http://schemas.openxmlformats.org/officeDocument/2006/relationships" ref="O714" r:id="rId1425"/>
    <hyperlink xmlns:r="http://schemas.openxmlformats.org/officeDocument/2006/relationships" ref="P714" r:id="rId1426"/>
    <hyperlink xmlns:r="http://schemas.openxmlformats.org/officeDocument/2006/relationships" ref="O715" r:id="rId1427"/>
    <hyperlink xmlns:r="http://schemas.openxmlformats.org/officeDocument/2006/relationships" ref="P715" r:id="rId1428"/>
    <hyperlink xmlns:r="http://schemas.openxmlformats.org/officeDocument/2006/relationships" ref="O716" r:id="rId1429"/>
    <hyperlink xmlns:r="http://schemas.openxmlformats.org/officeDocument/2006/relationships" ref="P716" r:id="rId1430"/>
    <hyperlink xmlns:r="http://schemas.openxmlformats.org/officeDocument/2006/relationships" ref="O717" r:id="rId1431"/>
    <hyperlink xmlns:r="http://schemas.openxmlformats.org/officeDocument/2006/relationships" ref="P717" r:id="rId1432"/>
    <hyperlink xmlns:r="http://schemas.openxmlformats.org/officeDocument/2006/relationships" ref="O718" r:id="rId1433"/>
    <hyperlink xmlns:r="http://schemas.openxmlformats.org/officeDocument/2006/relationships" ref="P718" r:id="rId1434"/>
    <hyperlink xmlns:r="http://schemas.openxmlformats.org/officeDocument/2006/relationships" ref="O719" r:id="rId1435"/>
    <hyperlink xmlns:r="http://schemas.openxmlformats.org/officeDocument/2006/relationships" ref="P719" r:id="rId1436"/>
    <hyperlink xmlns:r="http://schemas.openxmlformats.org/officeDocument/2006/relationships" ref="O720" r:id="rId1437"/>
    <hyperlink xmlns:r="http://schemas.openxmlformats.org/officeDocument/2006/relationships" ref="P720" r:id="rId1438"/>
    <hyperlink xmlns:r="http://schemas.openxmlformats.org/officeDocument/2006/relationships" ref="O721" r:id="rId1439"/>
    <hyperlink xmlns:r="http://schemas.openxmlformats.org/officeDocument/2006/relationships" ref="P721" r:id="rId1440"/>
    <hyperlink xmlns:r="http://schemas.openxmlformats.org/officeDocument/2006/relationships" ref="O722" r:id="rId1441"/>
    <hyperlink xmlns:r="http://schemas.openxmlformats.org/officeDocument/2006/relationships" ref="P722" r:id="rId1442"/>
    <hyperlink xmlns:r="http://schemas.openxmlformats.org/officeDocument/2006/relationships" ref="O723" r:id="rId1443"/>
    <hyperlink xmlns:r="http://schemas.openxmlformats.org/officeDocument/2006/relationships" ref="P723" r:id="rId1444"/>
    <hyperlink xmlns:r="http://schemas.openxmlformats.org/officeDocument/2006/relationships" ref="O724" r:id="rId1445"/>
    <hyperlink xmlns:r="http://schemas.openxmlformats.org/officeDocument/2006/relationships" ref="P724" r:id="rId1446"/>
    <hyperlink xmlns:r="http://schemas.openxmlformats.org/officeDocument/2006/relationships" ref="O725" r:id="rId1447"/>
    <hyperlink xmlns:r="http://schemas.openxmlformats.org/officeDocument/2006/relationships" ref="P725" r:id="rId1448"/>
    <hyperlink xmlns:r="http://schemas.openxmlformats.org/officeDocument/2006/relationships" ref="O726" r:id="rId1449"/>
    <hyperlink xmlns:r="http://schemas.openxmlformats.org/officeDocument/2006/relationships" ref="P726" r:id="rId1450"/>
    <hyperlink xmlns:r="http://schemas.openxmlformats.org/officeDocument/2006/relationships" ref="O727" r:id="rId1451"/>
    <hyperlink xmlns:r="http://schemas.openxmlformats.org/officeDocument/2006/relationships" ref="P727" r:id="rId1452"/>
    <hyperlink xmlns:r="http://schemas.openxmlformats.org/officeDocument/2006/relationships" ref="O728" r:id="rId1453"/>
    <hyperlink xmlns:r="http://schemas.openxmlformats.org/officeDocument/2006/relationships" ref="P728" r:id="rId1454"/>
    <hyperlink xmlns:r="http://schemas.openxmlformats.org/officeDocument/2006/relationships" ref="O729" r:id="rId1455"/>
    <hyperlink xmlns:r="http://schemas.openxmlformats.org/officeDocument/2006/relationships" ref="P729" r:id="rId1456"/>
    <hyperlink xmlns:r="http://schemas.openxmlformats.org/officeDocument/2006/relationships" ref="O730" r:id="rId1457"/>
    <hyperlink xmlns:r="http://schemas.openxmlformats.org/officeDocument/2006/relationships" ref="P730" r:id="rId1458"/>
    <hyperlink xmlns:r="http://schemas.openxmlformats.org/officeDocument/2006/relationships" ref="O731" r:id="rId1459"/>
    <hyperlink xmlns:r="http://schemas.openxmlformats.org/officeDocument/2006/relationships" ref="P731" r:id="rId1460"/>
    <hyperlink xmlns:r="http://schemas.openxmlformats.org/officeDocument/2006/relationships" ref="O732" r:id="rId1461"/>
    <hyperlink xmlns:r="http://schemas.openxmlformats.org/officeDocument/2006/relationships" ref="P732" r:id="rId1462"/>
    <hyperlink xmlns:r="http://schemas.openxmlformats.org/officeDocument/2006/relationships" ref="O733" r:id="rId1463"/>
    <hyperlink xmlns:r="http://schemas.openxmlformats.org/officeDocument/2006/relationships" ref="P733" r:id="rId1464"/>
    <hyperlink xmlns:r="http://schemas.openxmlformats.org/officeDocument/2006/relationships" ref="O734" r:id="rId1465"/>
    <hyperlink xmlns:r="http://schemas.openxmlformats.org/officeDocument/2006/relationships" ref="P734" r:id="rId1466"/>
    <hyperlink xmlns:r="http://schemas.openxmlformats.org/officeDocument/2006/relationships" ref="O735" r:id="rId1467"/>
    <hyperlink xmlns:r="http://schemas.openxmlformats.org/officeDocument/2006/relationships" ref="P735" r:id="rId1468"/>
    <hyperlink xmlns:r="http://schemas.openxmlformats.org/officeDocument/2006/relationships" ref="O736" r:id="rId1469"/>
    <hyperlink xmlns:r="http://schemas.openxmlformats.org/officeDocument/2006/relationships" ref="P736" r:id="rId1470"/>
    <hyperlink xmlns:r="http://schemas.openxmlformats.org/officeDocument/2006/relationships" ref="O737" r:id="rId1471"/>
    <hyperlink xmlns:r="http://schemas.openxmlformats.org/officeDocument/2006/relationships" ref="P737" r:id="rId1472"/>
    <hyperlink xmlns:r="http://schemas.openxmlformats.org/officeDocument/2006/relationships" ref="O738" r:id="rId1473"/>
    <hyperlink xmlns:r="http://schemas.openxmlformats.org/officeDocument/2006/relationships" ref="P738" r:id="rId1474"/>
    <hyperlink xmlns:r="http://schemas.openxmlformats.org/officeDocument/2006/relationships" ref="O739" r:id="rId1475"/>
    <hyperlink xmlns:r="http://schemas.openxmlformats.org/officeDocument/2006/relationships" ref="P739" r:id="rId1476"/>
    <hyperlink xmlns:r="http://schemas.openxmlformats.org/officeDocument/2006/relationships" ref="O740" r:id="rId1477"/>
    <hyperlink xmlns:r="http://schemas.openxmlformats.org/officeDocument/2006/relationships" ref="P740" r:id="rId1478"/>
    <hyperlink xmlns:r="http://schemas.openxmlformats.org/officeDocument/2006/relationships" ref="O741" r:id="rId1479"/>
    <hyperlink xmlns:r="http://schemas.openxmlformats.org/officeDocument/2006/relationships" ref="P741" r:id="rId1480"/>
    <hyperlink xmlns:r="http://schemas.openxmlformats.org/officeDocument/2006/relationships" ref="O742" r:id="rId1481"/>
    <hyperlink xmlns:r="http://schemas.openxmlformats.org/officeDocument/2006/relationships" ref="P742" r:id="rId1482"/>
    <hyperlink xmlns:r="http://schemas.openxmlformats.org/officeDocument/2006/relationships" ref="O743" r:id="rId1483"/>
    <hyperlink xmlns:r="http://schemas.openxmlformats.org/officeDocument/2006/relationships" ref="P743" r:id="rId1484"/>
    <hyperlink xmlns:r="http://schemas.openxmlformats.org/officeDocument/2006/relationships" ref="O744" r:id="rId1485"/>
    <hyperlink xmlns:r="http://schemas.openxmlformats.org/officeDocument/2006/relationships" ref="P744" r:id="rId1486"/>
    <hyperlink xmlns:r="http://schemas.openxmlformats.org/officeDocument/2006/relationships" ref="O745" r:id="rId1487"/>
    <hyperlink xmlns:r="http://schemas.openxmlformats.org/officeDocument/2006/relationships" ref="P745" r:id="rId1488"/>
    <hyperlink xmlns:r="http://schemas.openxmlformats.org/officeDocument/2006/relationships" ref="O746" r:id="rId1489"/>
    <hyperlink xmlns:r="http://schemas.openxmlformats.org/officeDocument/2006/relationships" ref="P746" r:id="rId1490"/>
    <hyperlink xmlns:r="http://schemas.openxmlformats.org/officeDocument/2006/relationships" ref="O747" r:id="rId1491"/>
    <hyperlink xmlns:r="http://schemas.openxmlformats.org/officeDocument/2006/relationships" ref="P747" r:id="rId1492"/>
    <hyperlink xmlns:r="http://schemas.openxmlformats.org/officeDocument/2006/relationships" ref="O748" r:id="rId1493"/>
    <hyperlink xmlns:r="http://schemas.openxmlformats.org/officeDocument/2006/relationships" ref="P748" r:id="rId1494"/>
    <hyperlink xmlns:r="http://schemas.openxmlformats.org/officeDocument/2006/relationships" ref="O749" r:id="rId1495"/>
    <hyperlink xmlns:r="http://schemas.openxmlformats.org/officeDocument/2006/relationships" ref="P749" r:id="rId1496"/>
    <hyperlink xmlns:r="http://schemas.openxmlformats.org/officeDocument/2006/relationships" ref="O750" r:id="rId1497"/>
    <hyperlink xmlns:r="http://schemas.openxmlformats.org/officeDocument/2006/relationships" ref="P750" r:id="rId1498"/>
    <hyperlink xmlns:r="http://schemas.openxmlformats.org/officeDocument/2006/relationships" ref="O751" r:id="rId1499"/>
    <hyperlink xmlns:r="http://schemas.openxmlformats.org/officeDocument/2006/relationships" ref="P751" r:id="rId1500"/>
    <hyperlink xmlns:r="http://schemas.openxmlformats.org/officeDocument/2006/relationships" ref="O752" r:id="rId1501"/>
    <hyperlink xmlns:r="http://schemas.openxmlformats.org/officeDocument/2006/relationships" ref="P752" r:id="rId1502"/>
    <hyperlink xmlns:r="http://schemas.openxmlformats.org/officeDocument/2006/relationships" ref="O753" r:id="rId1503"/>
    <hyperlink xmlns:r="http://schemas.openxmlformats.org/officeDocument/2006/relationships" ref="P753" r:id="rId1504"/>
    <hyperlink xmlns:r="http://schemas.openxmlformats.org/officeDocument/2006/relationships" ref="O754" r:id="rId1505"/>
    <hyperlink xmlns:r="http://schemas.openxmlformats.org/officeDocument/2006/relationships" ref="P754" r:id="rId1506"/>
    <hyperlink xmlns:r="http://schemas.openxmlformats.org/officeDocument/2006/relationships" ref="O755" r:id="rId1507"/>
    <hyperlink xmlns:r="http://schemas.openxmlformats.org/officeDocument/2006/relationships" ref="P755" r:id="rId1508"/>
    <hyperlink xmlns:r="http://schemas.openxmlformats.org/officeDocument/2006/relationships" ref="O756" r:id="rId1509"/>
    <hyperlink xmlns:r="http://schemas.openxmlformats.org/officeDocument/2006/relationships" ref="P756" r:id="rId1510"/>
    <hyperlink xmlns:r="http://schemas.openxmlformats.org/officeDocument/2006/relationships" ref="O757" r:id="rId1511"/>
    <hyperlink xmlns:r="http://schemas.openxmlformats.org/officeDocument/2006/relationships" ref="P757" r:id="rId1512"/>
    <hyperlink xmlns:r="http://schemas.openxmlformats.org/officeDocument/2006/relationships" ref="O758" r:id="rId1513"/>
    <hyperlink xmlns:r="http://schemas.openxmlformats.org/officeDocument/2006/relationships" ref="P758" r:id="rId1514"/>
    <hyperlink xmlns:r="http://schemas.openxmlformats.org/officeDocument/2006/relationships" ref="O759" r:id="rId1515"/>
    <hyperlink xmlns:r="http://schemas.openxmlformats.org/officeDocument/2006/relationships" ref="P759" r:id="rId1516"/>
    <hyperlink xmlns:r="http://schemas.openxmlformats.org/officeDocument/2006/relationships" ref="O760" r:id="rId1517"/>
    <hyperlink xmlns:r="http://schemas.openxmlformats.org/officeDocument/2006/relationships" ref="P760" r:id="rId1518"/>
    <hyperlink xmlns:r="http://schemas.openxmlformats.org/officeDocument/2006/relationships" ref="O761" r:id="rId1519"/>
    <hyperlink xmlns:r="http://schemas.openxmlformats.org/officeDocument/2006/relationships" ref="P761" r:id="rId1520"/>
    <hyperlink xmlns:r="http://schemas.openxmlformats.org/officeDocument/2006/relationships" ref="O762" r:id="rId1521"/>
    <hyperlink xmlns:r="http://schemas.openxmlformats.org/officeDocument/2006/relationships" ref="P762" r:id="rId1522"/>
    <hyperlink xmlns:r="http://schemas.openxmlformats.org/officeDocument/2006/relationships" ref="O763" r:id="rId1523"/>
    <hyperlink xmlns:r="http://schemas.openxmlformats.org/officeDocument/2006/relationships" ref="P763" r:id="rId1524"/>
    <hyperlink xmlns:r="http://schemas.openxmlformats.org/officeDocument/2006/relationships" ref="O764" r:id="rId1525"/>
    <hyperlink xmlns:r="http://schemas.openxmlformats.org/officeDocument/2006/relationships" ref="P764" r:id="rId1526"/>
    <hyperlink xmlns:r="http://schemas.openxmlformats.org/officeDocument/2006/relationships" ref="O765" r:id="rId1527"/>
    <hyperlink xmlns:r="http://schemas.openxmlformats.org/officeDocument/2006/relationships" ref="P765" r:id="rId1528"/>
    <hyperlink xmlns:r="http://schemas.openxmlformats.org/officeDocument/2006/relationships" ref="O766" r:id="rId1529"/>
    <hyperlink xmlns:r="http://schemas.openxmlformats.org/officeDocument/2006/relationships" ref="P766" r:id="rId1530"/>
    <hyperlink xmlns:r="http://schemas.openxmlformats.org/officeDocument/2006/relationships" ref="O767" r:id="rId1531"/>
    <hyperlink xmlns:r="http://schemas.openxmlformats.org/officeDocument/2006/relationships" ref="P767" r:id="rId1532"/>
    <hyperlink xmlns:r="http://schemas.openxmlformats.org/officeDocument/2006/relationships" ref="O768" r:id="rId1533"/>
    <hyperlink xmlns:r="http://schemas.openxmlformats.org/officeDocument/2006/relationships" ref="P768" r:id="rId1534"/>
    <hyperlink xmlns:r="http://schemas.openxmlformats.org/officeDocument/2006/relationships" ref="O769" r:id="rId1535"/>
    <hyperlink xmlns:r="http://schemas.openxmlformats.org/officeDocument/2006/relationships" ref="P769" r:id="rId1536"/>
    <hyperlink xmlns:r="http://schemas.openxmlformats.org/officeDocument/2006/relationships" ref="O770" r:id="rId1537"/>
    <hyperlink xmlns:r="http://schemas.openxmlformats.org/officeDocument/2006/relationships" ref="P770" r:id="rId1538"/>
    <hyperlink xmlns:r="http://schemas.openxmlformats.org/officeDocument/2006/relationships" ref="O771" r:id="rId1539"/>
    <hyperlink xmlns:r="http://schemas.openxmlformats.org/officeDocument/2006/relationships" ref="P771" r:id="rId1540"/>
    <hyperlink xmlns:r="http://schemas.openxmlformats.org/officeDocument/2006/relationships" ref="O772" r:id="rId1541"/>
    <hyperlink xmlns:r="http://schemas.openxmlformats.org/officeDocument/2006/relationships" ref="P772" r:id="rId1542"/>
    <hyperlink xmlns:r="http://schemas.openxmlformats.org/officeDocument/2006/relationships" ref="O773" r:id="rId1543"/>
    <hyperlink xmlns:r="http://schemas.openxmlformats.org/officeDocument/2006/relationships" ref="P773" r:id="rId1544"/>
    <hyperlink xmlns:r="http://schemas.openxmlformats.org/officeDocument/2006/relationships" ref="O774" r:id="rId1545"/>
    <hyperlink xmlns:r="http://schemas.openxmlformats.org/officeDocument/2006/relationships" ref="P774" r:id="rId1546"/>
    <hyperlink xmlns:r="http://schemas.openxmlformats.org/officeDocument/2006/relationships" ref="O775" r:id="rId1547"/>
    <hyperlink xmlns:r="http://schemas.openxmlformats.org/officeDocument/2006/relationships" ref="P775" r:id="rId1548"/>
    <hyperlink xmlns:r="http://schemas.openxmlformats.org/officeDocument/2006/relationships" ref="O776" r:id="rId1549"/>
    <hyperlink xmlns:r="http://schemas.openxmlformats.org/officeDocument/2006/relationships" ref="P776" r:id="rId1550"/>
    <hyperlink xmlns:r="http://schemas.openxmlformats.org/officeDocument/2006/relationships" ref="O777" r:id="rId1551"/>
    <hyperlink xmlns:r="http://schemas.openxmlformats.org/officeDocument/2006/relationships" ref="P777" r:id="rId1552"/>
    <hyperlink xmlns:r="http://schemas.openxmlformats.org/officeDocument/2006/relationships" ref="O778" r:id="rId1553"/>
    <hyperlink xmlns:r="http://schemas.openxmlformats.org/officeDocument/2006/relationships" ref="P778" r:id="rId1554"/>
    <hyperlink xmlns:r="http://schemas.openxmlformats.org/officeDocument/2006/relationships" ref="O779" r:id="rId1555"/>
    <hyperlink xmlns:r="http://schemas.openxmlformats.org/officeDocument/2006/relationships" ref="P779" r:id="rId1556"/>
    <hyperlink xmlns:r="http://schemas.openxmlformats.org/officeDocument/2006/relationships" ref="O780" r:id="rId1557"/>
    <hyperlink xmlns:r="http://schemas.openxmlformats.org/officeDocument/2006/relationships" ref="P780" r:id="rId1558"/>
    <hyperlink xmlns:r="http://schemas.openxmlformats.org/officeDocument/2006/relationships" ref="O781" r:id="rId1559"/>
    <hyperlink xmlns:r="http://schemas.openxmlformats.org/officeDocument/2006/relationships" ref="P781" r:id="rId1560"/>
    <hyperlink xmlns:r="http://schemas.openxmlformats.org/officeDocument/2006/relationships" ref="O782" r:id="rId1561"/>
    <hyperlink xmlns:r="http://schemas.openxmlformats.org/officeDocument/2006/relationships" ref="P782" r:id="rId1562"/>
    <hyperlink xmlns:r="http://schemas.openxmlformats.org/officeDocument/2006/relationships" ref="O783" r:id="rId1563"/>
    <hyperlink xmlns:r="http://schemas.openxmlformats.org/officeDocument/2006/relationships" ref="P783" r:id="rId1564"/>
    <hyperlink xmlns:r="http://schemas.openxmlformats.org/officeDocument/2006/relationships" ref="O784" r:id="rId1565"/>
    <hyperlink xmlns:r="http://schemas.openxmlformats.org/officeDocument/2006/relationships" ref="P784" r:id="rId1566"/>
    <hyperlink xmlns:r="http://schemas.openxmlformats.org/officeDocument/2006/relationships" ref="O785" r:id="rId1567"/>
    <hyperlink xmlns:r="http://schemas.openxmlformats.org/officeDocument/2006/relationships" ref="P785" r:id="rId1568"/>
    <hyperlink xmlns:r="http://schemas.openxmlformats.org/officeDocument/2006/relationships" ref="O786" r:id="rId1569"/>
    <hyperlink xmlns:r="http://schemas.openxmlformats.org/officeDocument/2006/relationships" ref="P786" r:id="rId1570"/>
    <hyperlink xmlns:r="http://schemas.openxmlformats.org/officeDocument/2006/relationships" ref="O787" r:id="rId1571"/>
    <hyperlink xmlns:r="http://schemas.openxmlformats.org/officeDocument/2006/relationships" ref="P787" r:id="rId1572"/>
    <hyperlink xmlns:r="http://schemas.openxmlformats.org/officeDocument/2006/relationships" ref="O788" r:id="rId1573"/>
    <hyperlink xmlns:r="http://schemas.openxmlformats.org/officeDocument/2006/relationships" ref="P788" r:id="rId1574"/>
    <hyperlink xmlns:r="http://schemas.openxmlformats.org/officeDocument/2006/relationships" ref="O789" r:id="rId1575"/>
    <hyperlink xmlns:r="http://schemas.openxmlformats.org/officeDocument/2006/relationships" ref="P789" r:id="rId1576"/>
    <hyperlink xmlns:r="http://schemas.openxmlformats.org/officeDocument/2006/relationships" ref="O790" r:id="rId1577"/>
    <hyperlink xmlns:r="http://schemas.openxmlformats.org/officeDocument/2006/relationships" ref="P790" r:id="rId1578"/>
    <hyperlink xmlns:r="http://schemas.openxmlformats.org/officeDocument/2006/relationships" ref="O791" r:id="rId1579"/>
    <hyperlink xmlns:r="http://schemas.openxmlformats.org/officeDocument/2006/relationships" ref="P791" r:id="rId1580"/>
    <hyperlink xmlns:r="http://schemas.openxmlformats.org/officeDocument/2006/relationships" ref="O792" r:id="rId1581"/>
    <hyperlink xmlns:r="http://schemas.openxmlformats.org/officeDocument/2006/relationships" ref="P792" r:id="rId1582"/>
    <hyperlink xmlns:r="http://schemas.openxmlformats.org/officeDocument/2006/relationships" ref="O793" r:id="rId1583"/>
    <hyperlink xmlns:r="http://schemas.openxmlformats.org/officeDocument/2006/relationships" ref="P793" r:id="rId1584"/>
    <hyperlink xmlns:r="http://schemas.openxmlformats.org/officeDocument/2006/relationships" ref="O794" r:id="rId1585"/>
    <hyperlink xmlns:r="http://schemas.openxmlformats.org/officeDocument/2006/relationships" ref="P794" r:id="rId1586"/>
    <hyperlink xmlns:r="http://schemas.openxmlformats.org/officeDocument/2006/relationships" ref="O795" r:id="rId1587"/>
    <hyperlink xmlns:r="http://schemas.openxmlformats.org/officeDocument/2006/relationships" ref="P795" r:id="rId1588"/>
    <hyperlink xmlns:r="http://schemas.openxmlformats.org/officeDocument/2006/relationships" ref="O796" r:id="rId1589"/>
    <hyperlink xmlns:r="http://schemas.openxmlformats.org/officeDocument/2006/relationships" ref="P796" r:id="rId1590"/>
    <hyperlink xmlns:r="http://schemas.openxmlformats.org/officeDocument/2006/relationships" ref="O797" r:id="rId1591"/>
    <hyperlink xmlns:r="http://schemas.openxmlformats.org/officeDocument/2006/relationships" ref="P797" r:id="rId1592"/>
    <hyperlink xmlns:r="http://schemas.openxmlformats.org/officeDocument/2006/relationships" ref="O798" r:id="rId1593"/>
    <hyperlink xmlns:r="http://schemas.openxmlformats.org/officeDocument/2006/relationships" ref="P798" r:id="rId1594"/>
    <hyperlink xmlns:r="http://schemas.openxmlformats.org/officeDocument/2006/relationships" ref="O799" r:id="rId1595"/>
    <hyperlink xmlns:r="http://schemas.openxmlformats.org/officeDocument/2006/relationships" ref="P799" r:id="rId1596"/>
    <hyperlink xmlns:r="http://schemas.openxmlformats.org/officeDocument/2006/relationships" ref="O800" r:id="rId1597"/>
    <hyperlink xmlns:r="http://schemas.openxmlformats.org/officeDocument/2006/relationships" ref="P800" r:id="rId1598"/>
    <hyperlink xmlns:r="http://schemas.openxmlformats.org/officeDocument/2006/relationships" ref="O801" r:id="rId1599"/>
    <hyperlink xmlns:r="http://schemas.openxmlformats.org/officeDocument/2006/relationships" ref="P801" r:id="rId1600"/>
    <hyperlink xmlns:r="http://schemas.openxmlformats.org/officeDocument/2006/relationships" ref="O802" r:id="rId1601"/>
    <hyperlink xmlns:r="http://schemas.openxmlformats.org/officeDocument/2006/relationships" ref="P802" r:id="rId1602"/>
    <hyperlink xmlns:r="http://schemas.openxmlformats.org/officeDocument/2006/relationships" ref="O803" r:id="rId1603"/>
    <hyperlink xmlns:r="http://schemas.openxmlformats.org/officeDocument/2006/relationships" ref="P803" r:id="rId1604"/>
    <hyperlink xmlns:r="http://schemas.openxmlformats.org/officeDocument/2006/relationships" ref="O804" r:id="rId1605"/>
    <hyperlink xmlns:r="http://schemas.openxmlformats.org/officeDocument/2006/relationships" ref="P804" r:id="rId1606"/>
    <hyperlink xmlns:r="http://schemas.openxmlformats.org/officeDocument/2006/relationships" ref="O805" r:id="rId1607"/>
    <hyperlink xmlns:r="http://schemas.openxmlformats.org/officeDocument/2006/relationships" ref="P805" r:id="rId1608"/>
    <hyperlink xmlns:r="http://schemas.openxmlformats.org/officeDocument/2006/relationships" ref="O806" r:id="rId1609"/>
    <hyperlink xmlns:r="http://schemas.openxmlformats.org/officeDocument/2006/relationships" ref="P806" r:id="rId1610"/>
    <hyperlink xmlns:r="http://schemas.openxmlformats.org/officeDocument/2006/relationships" ref="O807" r:id="rId1611"/>
    <hyperlink xmlns:r="http://schemas.openxmlformats.org/officeDocument/2006/relationships" ref="P807" r:id="rId1612"/>
    <hyperlink xmlns:r="http://schemas.openxmlformats.org/officeDocument/2006/relationships" ref="O808" r:id="rId1613"/>
    <hyperlink xmlns:r="http://schemas.openxmlformats.org/officeDocument/2006/relationships" ref="P808" r:id="rId1614"/>
    <hyperlink xmlns:r="http://schemas.openxmlformats.org/officeDocument/2006/relationships" ref="O809" r:id="rId1615"/>
    <hyperlink xmlns:r="http://schemas.openxmlformats.org/officeDocument/2006/relationships" ref="P809" r:id="rId1616"/>
    <hyperlink xmlns:r="http://schemas.openxmlformats.org/officeDocument/2006/relationships" ref="O810" r:id="rId1617"/>
    <hyperlink xmlns:r="http://schemas.openxmlformats.org/officeDocument/2006/relationships" ref="P810" r:id="rId1618"/>
    <hyperlink xmlns:r="http://schemas.openxmlformats.org/officeDocument/2006/relationships" ref="O811" r:id="rId1619"/>
    <hyperlink xmlns:r="http://schemas.openxmlformats.org/officeDocument/2006/relationships" ref="P811" r:id="rId1620"/>
    <hyperlink xmlns:r="http://schemas.openxmlformats.org/officeDocument/2006/relationships" ref="O812" r:id="rId1621"/>
    <hyperlink xmlns:r="http://schemas.openxmlformats.org/officeDocument/2006/relationships" ref="P812" r:id="rId1622"/>
    <hyperlink xmlns:r="http://schemas.openxmlformats.org/officeDocument/2006/relationships" ref="O813" r:id="rId1623"/>
    <hyperlink xmlns:r="http://schemas.openxmlformats.org/officeDocument/2006/relationships" ref="P813" r:id="rId1624"/>
    <hyperlink xmlns:r="http://schemas.openxmlformats.org/officeDocument/2006/relationships" ref="O814" r:id="rId1625"/>
    <hyperlink xmlns:r="http://schemas.openxmlformats.org/officeDocument/2006/relationships" ref="P814" r:id="rId1626"/>
    <hyperlink xmlns:r="http://schemas.openxmlformats.org/officeDocument/2006/relationships" ref="O815" r:id="rId1627"/>
    <hyperlink xmlns:r="http://schemas.openxmlformats.org/officeDocument/2006/relationships" ref="P815" r:id="rId1628"/>
    <hyperlink xmlns:r="http://schemas.openxmlformats.org/officeDocument/2006/relationships" ref="O816" r:id="rId1629"/>
    <hyperlink xmlns:r="http://schemas.openxmlformats.org/officeDocument/2006/relationships" ref="P816" r:id="rId1630"/>
    <hyperlink xmlns:r="http://schemas.openxmlformats.org/officeDocument/2006/relationships" ref="O817" r:id="rId1631"/>
    <hyperlink xmlns:r="http://schemas.openxmlformats.org/officeDocument/2006/relationships" ref="P817" r:id="rId1632"/>
    <hyperlink xmlns:r="http://schemas.openxmlformats.org/officeDocument/2006/relationships" ref="O818" r:id="rId1633"/>
    <hyperlink xmlns:r="http://schemas.openxmlformats.org/officeDocument/2006/relationships" ref="P818" r:id="rId1634"/>
    <hyperlink xmlns:r="http://schemas.openxmlformats.org/officeDocument/2006/relationships" ref="O819" r:id="rId1635"/>
    <hyperlink xmlns:r="http://schemas.openxmlformats.org/officeDocument/2006/relationships" ref="P819" r:id="rId1636"/>
    <hyperlink xmlns:r="http://schemas.openxmlformats.org/officeDocument/2006/relationships" ref="O820" r:id="rId1637"/>
    <hyperlink xmlns:r="http://schemas.openxmlformats.org/officeDocument/2006/relationships" ref="P820" r:id="rId1638"/>
    <hyperlink xmlns:r="http://schemas.openxmlformats.org/officeDocument/2006/relationships" ref="O821" r:id="rId1639"/>
    <hyperlink xmlns:r="http://schemas.openxmlformats.org/officeDocument/2006/relationships" ref="P821" r:id="rId1640"/>
    <hyperlink xmlns:r="http://schemas.openxmlformats.org/officeDocument/2006/relationships" ref="O822" r:id="rId1641"/>
    <hyperlink xmlns:r="http://schemas.openxmlformats.org/officeDocument/2006/relationships" ref="P822" r:id="rId1642"/>
    <hyperlink xmlns:r="http://schemas.openxmlformats.org/officeDocument/2006/relationships" ref="O823" r:id="rId1643"/>
    <hyperlink xmlns:r="http://schemas.openxmlformats.org/officeDocument/2006/relationships" ref="P823" r:id="rId1644"/>
    <hyperlink xmlns:r="http://schemas.openxmlformats.org/officeDocument/2006/relationships" ref="O824" r:id="rId1645"/>
    <hyperlink xmlns:r="http://schemas.openxmlformats.org/officeDocument/2006/relationships" ref="P824" r:id="rId1646"/>
    <hyperlink xmlns:r="http://schemas.openxmlformats.org/officeDocument/2006/relationships" ref="O825" r:id="rId1647"/>
    <hyperlink xmlns:r="http://schemas.openxmlformats.org/officeDocument/2006/relationships" ref="P825" r:id="rId1648"/>
    <hyperlink xmlns:r="http://schemas.openxmlformats.org/officeDocument/2006/relationships" ref="O826" r:id="rId1649"/>
    <hyperlink xmlns:r="http://schemas.openxmlformats.org/officeDocument/2006/relationships" ref="P826" r:id="rId1650"/>
    <hyperlink xmlns:r="http://schemas.openxmlformats.org/officeDocument/2006/relationships" ref="O827" r:id="rId1651"/>
    <hyperlink xmlns:r="http://schemas.openxmlformats.org/officeDocument/2006/relationships" ref="P827" r:id="rId1652"/>
    <hyperlink xmlns:r="http://schemas.openxmlformats.org/officeDocument/2006/relationships" ref="O828" r:id="rId1653"/>
    <hyperlink xmlns:r="http://schemas.openxmlformats.org/officeDocument/2006/relationships" ref="P828" r:id="rId1654"/>
    <hyperlink xmlns:r="http://schemas.openxmlformats.org/officeDocument/2006/relationships" ref="O829" r:id="rId1655"/>
    <hyperlink xmlns:r="http://schemas.openxmlformats.org/officeDocument/2006/relationships" ref="P829" r:id="rId1656"/>
    <hyperlink xmlns:r="http://schemas.openxmlformats.org/officeDocument/2006/relationships" ref="O830" r:id="rId1657"/>
    <hyperlink xmlns:r="http://schemas.openxmlformats.org/officeDocument/2006/relationships" ref="P830" r:id="rId1658"/>
    <hyperlink xmlns:r="http://schemas.openxmlformats.org/officeDocument/2006/relationships" ref="O831" r:id="rId1659"/>
    <hyperlink xmlns:r="http://schemas.openxmlformats.org/officeDocument/2006/relationships" ref="P831" r:id="rId1660"/>
    <hyperlink xmlns:r="http://schemas.openxmlformats.org/officeDocument/2006/relationships" ref="O832" r:id="rId1661"/>
    <hyperlink xmlns:r="http://schemas.openxmlformats.org/officeDocument/2006/relationships" ref="P832" r:id="rId1662"/>
    <hyperlink xmlns:r="http://schemas.openxmlformats.org/officeDocument/2006/relationships" ref="O833" r:id="rId1663"/>
    <hyperlink xmlns:r="http://schemas.openxmlformats.org/officeDocument/2006/relationships" ref="P833" r:id="rId1664"/>
    <hyperlink xmlns:r="http://schemas.openxmlformats.org/officeDocument/2006/relationships" ref="O834" r:id="rId1665"/>
    <hyperlink xmlns:r="http://schemas.openxmlformats.org/officeDocument/2006/relationships" ref="P834" r:id="rId1666"/>
    <hyperlink xmlns:r="http://schemas.openxmlformats.org/officeDocument/2006/relationships" ref="O835" r:id="rId1667"/>
    <hyperlink xmlns:r="http://schemas.openxmlformats.org/officeDocument/2006/relationships" ref="P835" r:id="rId1668"/>
    <hyperlink xmlns:r="http://schemas.openxmlformats.org/officeDocument/2006/relationships" ref="O836" r:id="rId1669"/>
    <hyperlink xmlns:r="http://schemas.openxmlformats.org/officeDocument/2006/relationships" ref="P836" r:id="rId1670"/>
    <hyperlink xmlns:r="http://schemas.openxmlformats.org/officeDocument/2006/relationships" ref="O837" r:id="rId1671"/>
    <hyperlink xmlns:r="http://schemas.openxmlformats.org/officeDocument/2006/relationships" ref="P837" r:id="rId1672"/>
    <hyperlink xmlns:r="http://schemas.openxmlformats.org/officeDocument/2006/relationships" ref="O838" r:id="rId1673"/>
    <hyperlink xmlns:r="http://schemas.openxmlformats.org/officeDocument/2006/relationships" ref="P838" r:id="rId1674"/>
    <hyperlink xmlns:r="http://schemas.openxmlformats.org/officeDocument/2006/relationships" ref="O839" r:id="rId1675"/>
    <hyperlink xmlns:r="http://schemas.openxmlformats.org/officeDocument/2006/relationships" ref="P839" r:id="rId1676"/>
    <hyperlink xmlns:r="http://schemas.openxmlformats.org/officeDocument/2006/relationships" ref="O840" r:id="rId1677"/>
    <hyperlink xmlns:r="http://schemas.openxmlformats.org/officeDocument/2006/relationships" ref="P840" r:id="rId1678"/>
    <hyperlink xmlns:r="http://schemas.openxmlformats.org/officeDocument/2006/relationships" ref="O841" r:id="rId1679"/>
    <hyperlink xmlns:r="http://schemas.openxmlformats.org/officeDocument/2006/relationships" ref="P841" r:id="rId1680"/>
    <hyperlink xmlns:r="http://schemas.openxmlformats.org/officeDocument/2006/relationships" ref="O842" r:id="rId1681"/>
    <hyperlink xmlns:r="http://schemas.openxmlformats.org/officeDocument/2006/relationships" ref="P842" r:id="rId1682"/>
    <hyperlink xmlns:r="http://schemas.openxmlformats.org/officeDocument/2006/relationships" ref="O843" r:id="rId1683"/>
    <hyperlink xmlns:r="http://schemas.openxmlformats.org/officeDocument/2006/relationships" ref="P843" r:id="rId1684"/>
    <hyperlink xmlns:r="http://schemas.openxmlformats.org/officeDocument/2006/relationships" ref="O844" r:id="rId1685"/>
    <hyperlink xmlns:r="http://schemas.openxmlformats.org/officeDocument/2006/relationships" ref="P844" r:id="rId1686"/>
    <hyperlink xmlns:r="http://schemas.openxmlformats.org/officeDocument/2006/relationships" ref="O845" r:id="rId1687"/>
    <hyperlink xmlns:r="http://schemas.openxmlformats.org/officeDocument/2006/relationships" ref="P845" r:id="rId1688"/>
    <hyperlink xmlns:r="http://schemas.openxmlformats.org/officeDocument/2006/relationships" ref="O846" r:id="rId1689"/>
    <hyperlink xmlns:r="http://schemas.openxmlformats.org/officeDocument/2006/relationships" ref="P846" r:id="rId1690"/>
    <hyperlink xmlns:r="http://schemas.openxmlformats.org/officeDocument/2006/relationships" ref="O847" r:id="rId1691"/>
    <hyperlink xmlns:r="http://schemas.openxmlformats.org/officeDocument/2006/relationships" ref="P847" r:id="rId1692"/>
    <hyperlink xmlns:r="http://schemas.openxmlformats.org/officeDocument/2006/relationships" ref="O848" r:id="rId1693"/>
    <hyperlink xmlns:r="http://schemas.openxmlformats.org/officeDocument/2006/relationships" ref="P848" r:id="rId1694"/>
    <hyperlink xmlns:r="http://schemas.openxmlformats.org/officeDocument/2006/relationships" ref="O849" r:id="rId1695"/>
    <hyperlink xmlns:r="http://schemas.openxmlformats.org/officeDocument/2006/relationships" ref="P849" r:id="rId1696"/>
    <hyperlink xmlns:r="http://schemas.openxmlformats.org/officeDocument/2006/relationships" ref="O850" r:id="rId1697"/>
    <hyperlink xmlns:r="http://schemas.openxmlformats.org/officeDocument/2006/relationships" ref="P850" r:id="rId1698"/>
    <hyperlink xmlns:r="http://schemas.openxmlformats.org/officeDocument/2006/relationships" ref="O851" r:id="rId1699"/>
    <hyperlink xmlns:r="http://schemas.openxmlformats.org/officeDocument/2006/relationships" ref="P851" r:id="rId1700"/>
    <hyperlink xmlns:r="http://schemas.openxmlformats.org/officeDocument/2006/relationships" ref="O852" r:id="rId1701"/>
    <hyperlink xmlns:r="http://schemas.openxmlformats.org/officeDocument/2006/relationships" ref="P852" r:id="rId1702"/>
    <hyperlink xmlns:r="http://schemas.openxmlformats.org/officeDocument/2006/relationships" ref="O853" r:id="rId1703"/>
    <hyperlink xmlns:r="http://schemas.openxmlformats.org/officeDocument/2006/relationships" ref="P853" r:id="rId1704"/>
    <hyperlink xmlns:r="http://schemas.openxmlformats.org/officeDocument/2006/relationships" ref="O854" r:id="rId1705"/>
    <hyperlink xmlns:r="http://schemas.openxmlformats.org/officeDocument/2006/relationships" ref="P854" r:id="rId1706"/>
    <hyperlink xmlns:r="http://schemas.openxmlformats.org/officeDocument/2006/relationships" ref="O855" r:id="rId1707"/>
    <hyperlink xmlns:r="http://schemas.openxmlformats.org/officeDocument/2006/relationships" ref="P855" r:id="rId1708"/>
    <hyperlink xmlns:r="http://schemas.openxmlformats.org/officeDocument/2006/relationships" ref="O856" r:id="rId1709"/>
    <hyperlink xmlns:r="http://schemas.openxmlformats.org/officeDocument/2006/relationships" ref="P856" r:id="rId1710"/>
    <hyperlink xmlns:r="http://schemas.openxmlformats.org/officeDocument/2006/relationships" ref="O857" r:id="rId1711"/>
    <hyperlink xmlns:r="http://schemas.openxmlformats.org/officeDocument/2006/relationships" ref="P857" r:id="rId1712"/>
    <hyperlink xmlns:r="http://schemas.openxmlformats.org/officeDocument/2006/relationships" ref="O858" r:id="rId1713"/>
    <hyperlink xmlns:r="http://schemas.openxmlformats.org/officeDocument/2006/relationships" ref="P858" r:id="rId1714"/>
    <hyperlink xmlns:r="http://schemas.openxmlformats.org/officeDocument/2006/relationships" ref="O859" r:id="rId1715"/>
    <hyperlink xmlns:r="http://schemas.openxmlformats.org/officeDocument/2006/relationships" ref="P859" r:id="rId1716"/>
    <hyperlink xmlns:r="http://schemas.openxmlformats.org/officeDocument/2006/relationships" ref="O860" r:id="rId1717"/>
    <hyperlink xmlns:r="http://schemas.openxmlformats.org/officeDocument/2006/relationships" ref="P860" r:id="rId1718"/>
    <hyperlink xmlns:r="http://schemas.openxmlformats.org/officeDocument/2006/relationships" ref="O861" r:id="rId1719"/>
    <hyperlink xmlns:r="http://schemas.openxmlformats.org/officeDocument/2006/relationships" ref="P861" r:id="rId1720"/>
    <hyperlink xmlns:r="http://schemas.openxmlformats.org/officeDocument/2006/relationships" ref="O862" r:id="rId1721"/>
    <hyperlink xmlns:r="http://schemas.openxmlformats.org/officeDocument/2006/relationships" ref="P862" r:id="rId1722"/>
    <hyperlink xmlns:r="http://schemas.openxmlformats.org/officeDocument/2006/relationships" ref="O863" r:id="rId1723"/>
    <hyperlink xmlns:r="http://schemas.openxmlformats.org/officeDocument/2006/relationships" ref="P863" r:id="rId1724"/>
    <hyperlink xmlns:r="http://schemas.openxmlformats.org/officeDocument/2006/relationships" ref="O864" r:id="rId1725"/>
    <hyperlink xmlns:r="http://schemas.openxmlformats.org/officeDocument/2006/relationships" ref="P864" r:id="rId1726"/>
    <hyperlink xmlns:r="http://schemas.openxmlformats.org/officeDocument/2006/relationships" ref="O865" r:id="rId1727"/>
    <hyperlink xmlns:r="http://schemas.openxmlformats.org/officeDocument/2006/relationships" ref="P865" r:id="rId1728"/>
    <hyperlink xmlns:r="http://schemas.openxmlformats.org/officeDocument/2006/relationships" ref="O866" r:id="rId1729"/>
    <hyperlink xmlns:r="http://schemas.openxmlformats.org/officeDocument/2006/relationships" ref="P866" r:id="rId1730"/>
    <hyperlink xmlns:r="http://schemas.openxmlformats.org/officeDocument/2006/relationships" ref="O867" r:id="rId1731"/>
    <hyperlink xmlns:r="http://schemas.openxmlformats.org/officeDocument/2006/relationships" ref="P867" r:id="rId1732"/>
    <hyperlink xmlns:r="http://schemas.openxmlformats.org/officeDocument/2006/relationships" ref="O868" r:id="rId1733"/>
    <hyperlink xmlns:r="http://schemas.openxmlformats.org/officeDocument/2006/relationships" ref="P868" r:id="rId1734"/>
    <hyperlink xmlns:r="http://schemas.openxmlformats.org/officeDocument/2006/relationships" ref="O869" r:id="rId1735"/>
    <hyperlink xmlns:r="http://schemas.openxmlformats.org/officeDocument/2006/relationships" ref="P869" r:id="rId1736"/>
    <hyperlink xmlns:r="http://schemas.openxmlformats.org/officeDocument/2006/relationships" ref="O870" r:id="rId1737"/>
    <hyperlink xmlns:r="http://schemas.openxmlformats.org/officeDocument/2006/relationships" ref="P870" r:id="rId1738"/>
    <hyperlink xmlns:r="http://schemas.openxmlformats.org/officeDocument/2006/relationships" ref="O871" r:id="rId1739"/>
    <hyperlink xmlns:r="http://schemas.openxmlformats.org/officeDocument/2006/relationships" ref="P871" r:id="rId1740"/>
    <hyperlink xmlns:r="http://schemas.openxmlformats.org/officeDocument/2006/relationships" ref="O872" r:id="rId1741"/>
    <hyperlink xmlns:r="http://schemas.openxmlformats.org/officeDocument/2006/relationships" ref="P872" r:id="rId1742"/>
    <hyperlink xmlns:r="http://schemas.openxmlformats.org/officeDocument/2006/relationships" ref="O873" r:id="rId1743"/>
    <hyperlink xmlns:r="http://schemas.openxmlformats.org/officeDocument/2006/relationships" ref="P873" r:id="rId1744"/>
    <hyperlink xmlns:r="http://schemas.openxmlformats.org/officeDocument/2006/relationships" ref="O874" r:id="rId1745"/>
    <hyperlink xmlns:r="http://schemas.openxmlformats.org/officeDocument/2006/relationships" ref="P874" r:id="rId1746"/>
    <hyperlink xmlns:r="http://schemas.openxmlformats.org/officeDocument/2006/relationships" ref="O875" r:id="rId1747"/>
    <hyperlink xmlns:r="http://schemas.openxmlformats.org/officeDocument/2006/relationships" ref="P875" r:id="rId1748"/>
    <hyperlink xmlns:r="http://schemas.openxmlformats.org/officeDocument/2006/relationships" ref="O876" r:id="rId1749"/>
    <hyperlink xmlns:r="http://schemas.openxmlformats.org/officeDocument/2006/relationships" ref="P876" r:id="rId1750"/>
    <hyperlink xmlns:r="http://schemas.openxmlformats.org/officeDocument/2006/relationships" ref="O877" r:id="rId1751"/>
    <hyperlink xmlns:r="http://schemas.openxmlformats.org/officeDocument/2006/relationships" ref="P877" r:id="rId1752"/>
    <hyperlink xmlns:r="http://schemas.openxmlformats.org/officeDocument/2006/relationships" ref="O878" r:id="rId1753"/>
    <hyperlink xmlns:r="http://schemas.openxmlformats.org/officeDocument/2006/relationships" ref="P878" r:id="rId1754"/>
    <hyperlink xmlns:r="http://schemas.openxmlformats.org/officeDocument/2006/relationships" ref="O879" r:id="rId1755"/>
    <hyperlink xmlns:r="http://schemas.openxmlformats.org/officeDocument/2006/relationships" ref="P879" r:id="rId1756"/>
    <hyperlink xmlns:r="http://schemas.openxmlformats.org/officeDocument/2006/relationships" ref="O880" r:id="rId1757"/>
    <hyperlink xmlns:r="http://schemas.openxmlformats.org/officeDocument/2006/relationships" ref="P880" r:id="rId1758"/>
    <hyperlink xmlns:r="http://schemas.openxmlformats.org/officeDocument/2006/relationships" ref="O881" r:id="rId1759"/>
    <hyperlink xmlns:r="http://schemas.openxmlformats.org/officeDocument/2006/relationships" ref="P881" r:id="rId1760"/>
    <hyperlink xmlns:r="http://schemas.openxmlformats.org/officeDocument/2006/relationships" ref="O882" r:id="rId1761"/>
    <hyperlink xmlns:r="http://schemas.openxmlformats.org/officeDocument/2006/relationships" ref="P882" r:id="rId1762"/>
    <hyperlink xmlns:r="http://schemas.openxmlformats.org/officeDocument/2006/relationships" ref="O883" r:id="rId1763"/>
    <hyperlink xmlns:r="http://schemas.openxmlformats.org/officeDocument/2006/relationships" ref="P883" r:id="rId1764"/>
    <hyperlink xmlns:r="http://schemas.openxmlformats.org/officeDocument/2006/relationships" ref="O884" r:id="rId1765"/>
    <hyperlink xmlns:r="http://schemas.openxmlformats.org/officeDocument/2006/relationships" ref="P884" r:id="rId1766"/>
    <hyperlink xmlns:r="http://schemas.openxmlformats.org/officeDocument/2006/relationships" ref="O885" r:id="rId1767"/>
    <hyperlink xmlns:r="http://schemas.openxmlformats.org/officeDocument/2006/relationships" ref="P885" r:id="rId1768"/>
    <hyperlink xmlns:r="http://schemas.openxmlformats.org/officeDocument/2006/relationships" ref="O886" r:id="rId1769"/>
    <hyperlink xmlns:r="http://schemas.openxmlformats.org/officeDocument/2006/relationships" ref="P886" r:id="rId1770"/>
    <hyperlink xmlns:r="http://schemas.openxmlformats.org/officeDocument/2006/relationships" ref="O887" r:id="rId1771"/>
    <hyperlink xmlns:r="http://schemas.openxmlformats.org/officeDocument/2006/relationships" ref="P887" r:id="rId1772"/>
    <hyperlink xmlns:r="http://schemas.openxmlformats.org/officeDocument/2006/relationships" ref="O888" r:id="rId1773"/>
    <hyperlink xmlns:r="http://schemas.openxmlformats.org/officeDocument/2006/relationships" ref="P888" r:id="rId1774"/>
    <hyperlink xmlns:r="http://schemas.openxmlformats.org/officeDocument/2006/relationships" ref="O889" r:id="rId1775"/>
    <hyperlink xmlns:r="http://schemas.openxmlformats.org/officeDocument/2006/relationships" ref="P889" r:id="rId1776"/>
    <hyperlink xmlns:r="http://schemas.openxmlformats.org/officeDocument/2006/relationships" ref="O890" r:id="rId1777"/>
    <hyperlink xmlns:r="http://schemas.openxmlformats.org/officeDocument/2006/relationships" ref="P890" r:id="rId1778"/>
    <hyperlink xmlns:r="http://schemas.openxmlformats.org/officeDocument/2006/relationships" ref="O891" r:id="rId1779"/>
    <hyperlink xmlns:r="http://schemas.openxmlformats.org/officeDocument/2006/relationships" ref="P891" r:id="rId1780"/>
    <hyperlink xmlns:r="http://schemas.openxmlformats.org/officeDocument/2006/relationships" ref="O892" r:id="rId1781"/>
    <hyperlink xmlns:r="http://schemas.openxmlformats.org/officeDocument/2006/relationships" ref="P892" r:id="rId1782"/>
    <hyperlink xmlns:r="http://schemas.openxmlformats.org/officeDocument/2006/relationships" ref="O893" r:id="rId1783"/>
    <hyperlink xmlns:r="http://schemas.openxmlformats.org/officeDocument/2006/relationships" ref="P893" r:id="rId1784"/>
    <hyperlink xmlns:r="http://schemas.openxmlformats.org/officeDocument/2006/relationships" ref="O894" r:id="rId1785"/>
    <hyperlink xmlns:r="http://schemas.openxmlformats.org/officeDocument/2006/relationships" ref="P894" r:id="rId1786"/>
    <hyperlink xmlns:r="http://schemas.openxmlformats.org/officeDocument/2006/relationships" ref="O895" r:id="rId1787"/>
    <hyperlink xmlns:r="http://schemas.openxmlformats.org/officeDocument/2006/relationships" ref="P895" r:id="rId1788"/>
    <hyperlink xmlns:r="http://schemas.openxmlformats.org/officeDocument/2006/relationships" ref="O896" r:id="rId1789"/>
    <hyperlink xmlns:r="http://schemas.openxmlformats.org/officeDocument/2006/relationships" ref="P896" r:id="rId1790"/>
    <hyperlink xmlns:r="http://schemas.openxmlformats.org/officeDocument/2006/relationships" ref="O897" r:id="rId1791"/>
    <hyperlink xmlns:r="http://schemas.openxmlformats.org/officeDocument/2006/relationships" ref="P897" r:id="rId1792"/>
    <hyperlink xmlns:r="http://schemas.openxmlformats.org/officeDocument/2006/relationships" ref="O898" r:id="rId1793"/>
    <hyperlink xmlns:r="http://schemas.openxmlformats.org/officeDocument/2006/relationships" ref="P898" r:id="rId1794"/>
    <hyperlink xmlns:r="http://schemas.openxmlformats.org/officeDocument/2006/relationships" ref="O899" r:id="rId1795"/>
    <hyperlink xmlns:r="http://schemas.openxmlformats.org/officeDocument/2006/relationships" ref="P899" r:id="rId1796"/>
    <hyperlink xmlns:r="http://schemas.openxmlformats.org/officeDocument/2006/relationships" ref="O900" r:id="rId1797"/>
    <hyperlink xmlns:r="http://schemas.openxmlformats.org/officeDocument/2006/relationships" ref="P900" r:id="rId1798"/>
    <hyperlink xmlns:r="http://schemas.openxmlformats.org/officeDocument/2006/relationships" ref="O901" r:id="rId1799"/>
    <hyperlink xmlns:r="http://schemas.openxmlformats.org/officeDocument/2006/relationships" ref="P901" r:id="rId1800"/>
    <hyperlink xmlns:r="http://schemas.openxmlformats.org/officeDocument/2006/relationships" ref="O902" r:id="rId1801"/>
    <hyperlink xmlns:r="http://schemas.openxmlformats.org/officeDocument/2006/relationships" ref="P902" r:id="rId1802"/>
    <hyperlink xmlns:r="http://schemas.openxmlformats.org/officeDocument/2006/relationships" ref="O903" r:id="rId1803"/>
    <hyperlink xmlns:r="http://schemas.openxmlformats.org/officeDocument/2006/relationships" ref="P903" r:id="rId1804"/>
    <hyperlink xmlns:r="http://schemas.openxmlformats.org/officeDocument/2006/relationships" ref="O904" r:id="rId1805"/>
    <hyperlink xmlns:r="http://schemas.openxmlformats.org/officeDocument/2006/relationships" ref="P904" r:id="rId1806"/>
    <hyperlink xmlns:r="http://schemas.openxmlformats.org/officeDocument/2006/relationships" ref="O905" r:id="rId1807"/>
    <hyperlink xmlns:r="http://schemas.openxmlformats.org/officeDocument/2006/relationships" ref="P905" r:id="rId1808"/>
    <hyperlink xmlns:r="http://schemas.openxmlformats.org/officeDocument/2006/relationships" ref="O906" r:id="rId1809"/>
    <hyperlink xmlns:r="http://schemas.openxmlformats.org/officeDocument/2006/relationships" ref="P906" r:id="rId1810"/>
    <hyperlink xmlns:r="http://schemas.openxmlformats.org/officeDocument/2006/relationships" ref="O907" r:id="rId1811"/>
    <hyperlink xmlns:r="http://schemas.openxmlformats.org/officeDocument/2006/relationships" ref="P907" r:id="rId1812"/>
    <hyperlink xmlns:r="http://schemas.openxmlformats.org/officeDocument/2006/relationships" ref="O908" r:id="rId1813"/>
    <hyperlink xmlns:r="http://schemas.openxmlformats.org/officeDocument/2006/relationships" ref="P908" r:id="rId1814"/>
    <hyperlink xmlns:r="http://schemas.openxmlformats.org/officeDocument/2006/relationships" ref="O909" r:id="rId1815"/>
    <hyperlink xmlns:r="http://schemas.openxmlformats.org/officeDocument/2006/relationships" ref="P909" r:id="rId1816"/>
    <hyperlink xmlns:r="http://schemas.openxmlformats.org/officeDocument/2006/relationships" ref="O910" r:id="rId1817"/>
    <hyperlink xmlns:r="http://schemas.openxmlformats.org/officeDocument/2006/relationships" ref="P910" r:id="rId1818"/>
    <hyperlink xmlns:r="http://schemas.openxmlformats.org/officeDocument/2006/relationships" ref="O911" r:id="rId1819"/>
    <hyperlink xmlns:r="http://schemas.openxmlformats.org/officeDocument/2006/relationships" ref="P911" r:id="rId1820"/>
    <hyperlink xmlns:r="http://schemas.openxmlformats.org/officeDocument/2006/relationships" ref="O912" r:id="rId1821"/>
    <hyperlink xmlns:r="http://schemas.openxmlformats.org/officeDocument/2006/relationships" ref="P912" r:id="rId1822"/>
    <hyperlink xmlns:r="http://schemas.openxmlformats.org/officeDocument/2006/relationships" ref="O913" r:id="rId1823"/>
    <hyperlink xmlns:r="http://schemas.openxmlformats.org/officeDocument/2006/relationships" ref="P913" r:id="rId1824"/>
    <hyperlink xmlns:r="http://schemas.openxmlformats.org/officeDocument/2006/relationships" ref="O914" r:id="rId1825"/>
    <hyperlink xmlns:r="http://schemas.openxmlformats.org/officeDocument/2006/relationships" ref="P914" r:id="rId1826"/>
    <hyperlink xmlns:r="http://schemas.openxmlformats.org/officeDocument/2006/relationships" ref="O915" r:id="rId1827"/>
    <hyperlink xmlns:r="http://schemas.openxmlformats.org/officeDocument/2006/relationships" ref="P915" r:id="rId1828"/>
    <hyperlink xmlns:r="http://schemas.openxmlformats.org/officeDocument/2006/relationships" ref="O916" r:id="rId1829"/>
    <hyperlink xmlns:r="http://schemas.openxmlformats.org/officeDocument/2006/relationships" ref="P916" r:id="rId1830"/>
    <hyperlink xmlns:r="http://schemas.openxmlformats.org/officeDocument/2006/relationships" ref="O917" r:id="rId1831"/>
    <hyperlink xmlns:r="http://schemas.openxmlformats.org/officeDocument/2006/relationships" ref="P917" r:id="rId1832"/>
    <hyperlink xmlns:r="http://schemas.openxmlformats.org/officeDocument/2006/relationships" ref="O918" r:id="rId1833"/>
    <hyperlink xmlns:r="http://schemas.openxmlformats.org/officeDocument/2006/relationships" ref="P918" r:id="rId1834"/>
    <hyperlink xmlns:r="http://schemas.openxmlformats.org/officeDocument/2006/relationships" ref="O919" r:id="rId1835"/>
    <hyperlink xmlns:r="http://schemas.openxmlformats.org/officeDocument/2006/relationships" ref="P919" r:id="rId1836"/>
    <hyperlink xmlns:r="http://schemas.openxmlformats.org/officeDocument/2006/relationships" ref="O920" r:id="rId1837"/>
    <hyperlink xmlns:r="http://schemas.openxmlformats.org/officeDocument/2006/relationships" ref="P920" r:id="rId1838"/>
    <hyperlink xmlns:r="http://schemas.openxmlformats.org/officeDocument/2006/relationships" ref="O921" r:id="rId1839"/>
    <hyperlink xmlns:r="http://schemas.openxmlformats.org/officeDocument/2006/relationships" ref="P921" r:id="rId1840"/>
    <hyperlink xmlns:r="http://schemas.openxmlformats.org/officeDocument/2006/relationships" ref="O922" r:id="rId1841"/>
    <hyperlink xmlns:r="http://schemas.openxmlformats.org/officeDocument/2006/relationships" ref="P922" r:id="rId1842"/>
    <hyperlink xmlns:r="http://schemas.openxmlformats.org/officeDocument/2006/relationships" ref="O923" r:id="rId1843"/>
    <hyperlink xmlns:r="http://schemas.openxmlformats.org/officeDocument/2006/relationships" ref="P923" r:id="rId1844"/>
    <hyperlink xmlns:r="http://schemas.openxmlformats.org/officeDocument/2006/relationships" ref="O924" r:id="rId1845"/>
    <hyperlink xmlns:r="http://schemas.openxmlformats.org/officeDocument/2006/relationships" ref="P924" r:id="rId1846"/>
    <hyperlink xmlns:r="http://schemas.openxmlformats.org/officeDocument/2006/relationships" ref="O925" r:id="rId1847"/>
    <hyperlink xmlns:r="http://schemas.openxmlformats.org/officeDocument/2006/relationships" ref="P925" r:id="rId1848"/>
    <hyperlink xmlns:r="http://schemas.openxmlformats.org/officeDocument/2006/relationships" ref="O926" r:id="rId1849"/>
    <hyperlink xmlns:r="http://schemas.openxmlformats.org/officeDocument/2006/relationships" ref="P926" r:id="rId1850"/>
    <hyperlink xmlns:r="http://schemas.openxmlformats.org/officeDocument/2006/relationships" ref="O927" r:id="rId1851"/>
    <hyperlink xmlns:r="http://schemas.openxmlformats.org/officeDocument/2006/relationships" ref="P927" r:id="rId1852"/>
    <hyperlink xmlns:r="http://schemas.openxmlformats.org/officeDocument/2006/relationships" ref="O928" r:id="rId1853"/>
    <hyperlink xmlns:r="http://schemas.openxmlformats.org/officeDocument/2006/relationships" ref="P928" r:id="rId1854"/>
    <hyperlink xmlns:r="http://schemas.openxmlformats.org/officeDocument/2006/relationships" ref="O929" r:id="rId1855"/>
    <hyperlink xmlns:r="http://schemas.openxmlformats.org/officeDocument/2006/relationships" ref="P929" r:id="rId1856"/>
    <hyperlink xmlns:r="http://schemas.openxmlformats.org/officeDocument/2006/relationships" ref="O930" r:id="rId1857"/>
    <hyperlink xmlns:r="http://schemas.openxmlformats.org/officeDocument/2006/relationships" ref="P930" r:id="rId1858"/>
    <hyperlink xmlns:r="http://schemas.openxmlformats.org/officeDocument/2006/relationships" ref="O931" r:id="rId1859"/>
    <hyperlink xmlns:r="http://schemas.openxmlformats.org/officeDocument/2006/relationships" ref="P931" r:id="rId1860"/>
    <hyperlink xmlns:r="http://schemas.openxmlformats.org/officeDocument/2006/relationships" ref="O932" r:id="rId1861"/>
    <hyperlink xmlns:r="http://schemas.openxmlformats.org/officeDocument/2006/relationships" ref="P932" r:id="rId1862"/>
    <hyperlink xmlns:r="http://schemas.openxmlformats.org/officeDocument/2006/relationships" ref="O933" r:id="rId1863"/>
    <hyperlink xmlns:r="http://schemas.openxmlformats.org/officeDocument/2006/relationships" ref="P933" r:id="rId1864"/>
    <hyperlink xmlns:r="http://schemas.openxmlformats.org/officeDocument/2006/relationships" ref="O934" r:id="rId1865"/>
    <hyperlink xmlns:r="http://schemas.openxmlformats.org/officeDocument/2006/relationships" ref="P934" r:id="rId1866"/>
    <hyperlink xmlns:r="http://schemas.openxmlformats.org/officeDocument/2006/relationships" ref="O935" r:id="rId1867"/>
    <hyperlink xmlns:r="http://schemas.openxmlformats.org/officeDocument/2006/relationships" ref="P935" r:id="rId1868"/>
    <hyperlink xmlns:r="http://schemas.openxmlformats.org/officeDocument/2006/relationships" ref="O936" r:id="rId1869"/>
    <hyperlink xmlns:r="http://schemas.openxmlformats.org/officeDocument/2006/relationships" ref="P936" r:id="rId1870"/>
    <hyperlink xmlns:r="http://schemas.openxmlformats.org/officeDocument/2006/relationships" ref="O937" r:id="rId1871"/>
    <hyperlink xmlns:r="http://schemas.openxmlformats.org/officeDocument/2006/relationships" ref="P937" r:id="rId1872"/>
    <hyperlink xmlns:r="http://schemas.openxmlformats.org/officeDocument/2006/relationships" ref="O938" r:id="rId1873"/>
    <hyperlink xmlns:r="http://schemas.openxmlformats.org/officeDocument/2006/relationships" ref="P938" r:id="rId1874"/>
    <hyperlink xmlns:r="http://schemas.openxmlformats.org/officeDocument/2006/relationships" ref="O939" r:id="rId1875"/>
    <hyperlink xmlns:r="http://schemas.openxmlformats.org/officeDocument/2006/relationships" ref="P939" r:id="rId1876"/>
    <hyperlink xmlns:r="http://schemas.openxmlformats.org/officeDocument/2006/relationships" ref="O940" r:id="rId1877"/>
    <hyperlink xmlns:r="http://schemas.openxmlformats.org/officeDocument/2006/relationships" ref="P940" r:id="rId1878"/>
    <hyperlink xmlns:r="http://schemas.openxmlformats.org/officeDocument/2006/relationships" ref="O941" r:id="rId1879"/>
    <hyperlink xmlns:r="http://schemas.openxmlformats.org/officeDocument/2006/relationships" ref="P941" r:id="rId1880"/>
    <hyperlink xmlns:r="http://schemas.openxmlformats.org/officeDocument/2006/relationships" ref="O942" r:id="rId1881"/>
    <hyperlink xmlns:r="http://schemas.openxmlformats.org/officeDocument/2006/relationships" ref="P942" r:id="rId1882"/>
    <hyperlink xmlns:r="http://schemas.openxmlformats.org/officeDocument/2006/relationships" ref="O943" r:id="rId1883"/>
    <hyperlink xmlns:r="http://schemas.openxmlformats.org/officeDocument/2006/relationships" ref="P943" r:id="rId1884"/>
    <hyperlink xmlns:r="http://schemas.openxmlformats.org/officeDocument/2006/relationships" ref="O944" r:id="rId1885"/>
    <hyperlink xmlns:r="http://schemas.openxmlformats.org/officeDocument/2006/relationships" ref="P944" r:id="rId1886"/>
    <hyperlink xmlns:r="http://schemas.openxmlformats.org/officeDocument/2006/relationships" ref="O945" r:id="rId1887"/>
    <hyperlink xmlns:r="http://schemas.openxmlformats.org/officeDocument/2006/relationships" ref="P945" r:id="rId1888"/>
    <hyperlink xmlns:r="http://schemas.openxmlformats.org/officeDocument/2006/relationships" ref="O946" r:id="rId1889"/>
    <hyperlink xmlns:r="http://schemas.openxmlformats.org/officeDocument/2006/relationships" ref="P946" r:id="rId1890"/>
    <hyperlink xmlns:r="http://schemas.openxmlformats.org/officeDocument/2006/relationships" ref="O947" r:id="rId1891"/>
    <hyperlink xmlns:r="http://schemas.openxmlformats.org/officeDocument/2006/relationships" ref="P947" r:id="rId1892"/>
    <hyperlink xmlns:r="http://schemas.openxmlformats.org/officeDocument/2006/relationships" ref="O948" r:id="rId1893"/>
    <hyperlink xmlns:r="http://schemas.openxmlformats.org/officeDocument/2006/relationships" ref="P948" r:id="rId1894"/>
    <hyperlink xmlns:r="http://schemas.openxmlformats.org/officeDocument/2006/relationships" ref="O949" r:id="rId1895"/>
    <hyperlink xmlns:r="http://schemas.openxmlformats.org/officeDocument/2006/relationships" ref="P949" r:id="rId1896"/>
    <hyperlink xmlns:r="http://schemas.openxmlformats.org/officeDocument/2006/relationships" ref="O950" r:id="rId1897"/>
    <hyperlink xmlns:r="http://schemas.openxmlformats.org/officeDocument/2006/relationships" ref="P950" r:id="rId1898"/>
    <hyperlink xmlns:r="http://schemas.openxmlformats.org/officeDocument/2006/relationships" ref="O951" r:id="rId1899"/>
    <hyperlink xmlns:r="http://schemas.openxmlformats.org/officeDocument/2006/relationships" ref="P951" r:id="rId1900"/>
    <hyperlink xmlns:r="http://schemas.openxmlformats.org/officeDocument/2006/relationships" ref="O952" r:id="rId1901"/>
    <hyperlink xmlns:r="http://schemas.openxmlformats.org/officeDocument/2006/relationships" ref="P952" r:id="rId1902"/>
    <hyperlink xmlns:r="http://schemas.openxmlformats.org/officeDocument/2006/relationships" ref="O953" r:id="rId1903"/>
    <hyperlink xmlns:r="http://schemas.openxmlformats.org/officeDocument/2006/relationships" ref="P953" r:id="rId1904"/>
    <hyperlink xmlns:r="http://schemas.openxmlformats.org/officeDocument/2006/relationships" ref="O954" r:id="rId1905"/>
    <hyperlink xmlns:r="http://schemas.openxmlformats.org/officeDocument/2006/relationships" ref="P954" r:id="rId1906"/>
    <hyperlink xmlns:r="http://schemas.openxmlformats.org/officeDocument/2006/relationships" ref="O955" r:id="rId1907"/>
    <hyperlink xmlns:r="http://schemas.openxmlformats.org/officeDocument/2006/relationships" ref="P955" r:id="rId1908"/>
    <hyperlink xmlns:r="http://schemas.openxmlformats.org/officeDocument/2006/relationships" ref="O956" r:id="rId1909"/>
    <hyperlink xmlns:r="http://schemas.openxmlformats.org/officeDocument/2006/relationships" ref="P956" r:id="rId1910"/>
    <hyperlink xmlns:r="http://schemas.openxmlformats.org/officeDocument/2006/relationships" ref="O957" r:id="rId1911"/>
    <hyperlink xmlns:r="http://schemas.openxmlformats.org/officeDocument/2006/relationships" ref="P957" r:id="rId1912"/>
    <hyperlink xmlns:r="http://schemas.openxmlformats.org/officeDocument/2006/relationships" ref="O958" r:id="rId1913"/>
    <hyperlink xmlns:r="http://schemas.openxmlformats.org/officeDocument/2006/relationships" ref="P958" r:id="rId1914"/>
    <hyperlink xmlns:r="http://schemas.openxmlformats.org/officeDocument/2006/relationships" ref="O959" r:id="rId1915"/>
    <hyperlink xmlns:r="http://schemas.openxmlformats.org/officeDocument/2006/relationships" ref="P959" r:id="rId1916"/>
    <hyperlink xmlns:r="http://schemas.openxmlformats.org/officeDocument/2006/relationships" ref="O960" r:id="rId1917"/>
    <hyperlink xmlns:r="http://schemas.openxmlformats.org/officeDocument/2006/relationships" ref="P960" r:id="rId1918"/>
    <hyperlink xmlns:r="http://schemas.openxmlformats.org/officeDocument/2006/relationships" ref="O961" r:id="rId1919"/>
    <hyperlink xmlns:r="http://schemas.openxmlformats.org/officeDocument/2006/relationships" ref="P961" r:id="rId1920"/>
    <hyperlink xmlns:r="http://schemas.openxmlformats.org/officeDocument/2006/relationships" ref="O962" r:id="rId1921"/>
    <hyperlink xmlns:r="http://schemas.openxmlformats.org/officeDocument/2006/relationships" ref="P962" r:id="rId1922"/>
    <hyperlink xmlns:r="http://schemas.openxmlformats.org/officeDocument/2006/relationships" ref="O963" r:id="rId1923"/>
    <hyperlink xmlns:r="http://schemas.openxmlformats.org/officeDocument/2006/relationships" ref="P963" r:id="rId1924"/>
    <hyperlink xmlns:r="http://schemas.openxmlformats.org/officeDocument/2006/relationships" ref="O964" r:id="rId1925"/>
    <hyperlink xmlns:r="http://schemas.openxmlformats.org/officeDocument/2006/relationships" ref="P964" r:id="rId1926"/>
    <hyperlink xmlns:r="http://schemas.openxmlformats.org/officeDocument/2006/relationships" ref="O965" r:id="rId1927"/>
    <hyperlink xmlns:r="http://schemas.openxmlformats.org/officeDocument/2006/relationships" ref="P965" r:id="rId1928"/>
    <hyperlink xmlns:r="http://schemas.openxmlformats.org/officeDocument/2006/relationships" ref="O966" r:id="rId1929"/>
    <hyperlink xmlns:r="http://schemas.openxmlformats.org/officeDocument/2006/relationships" ref="P966" r:id="rId1930"/>
    <hyperlink xmlns:r="http://schemas.openxmlformats.org/officeDocument/2006/relationships" ref="O967" r:id="rId1931"/>
    <hyperlink xmlns:r="http://schemas.openxmlformats.org/officeDocument/2006/relationships" ref="P967" r:id="rId1932"/>
    <hyperlink xmlns:r="http://schemas.openxmlformats.org/officeDocument/2006/relationships" ref="O968" r:id="rId1933"/>
    <hyperlink xmlns:r="http://schemas.openxmlformats.org/officeDocument/2006/relationships" ref="P968" r:id="rId1934"/>
    <hyperlink xmlns:r="http://schemas.openxmlformats.org/officeDocument/2006/relationships" ref="O969" r:id="rId1935"/>
    <hyperlink xmlns:r="http://schemas.openxmlformats.org/officeDocument/2006/relationships" ref="P969" r:id="rId1936"/>
    <hyperlink xmlns:r="http://schemas.openxmlformats.org/officeDocument/2006/relationships" ref="O970" r:id="rId1937"/>
    <hyperlink xmlns:r="http://schemas.openxmlformats.org/officeDocument/2006/relationships" ref="P970" r:id="rId1938"/>
    <hyperlink xmlns:r="http://schemas.openxmlformats.org/officeDocument/2006/relationships" ref="O971" r:id="rId1939"/>
    <hyperlink xmlns:r="http://schemas.openxmlformats.org/officeDocument/2006/relationships" ref="P971" r:id="rId1940"/>
    <hyperlink xmlns:r="http://schemas.openxmlformats.org/officeDocument/2006/relationships" ref="O972" r:id="rId1941"/>
    <hyperlink xmlns:r="http://schemas.openxmlformats.org/officeDocument/2006/relationships" ref="P972" r:id="rId1942"/>
    <hyperlink xmlns:r="http://schemas.openxmlformats.org/officeDocument/2006/relationships" ref="O973" r:id="rId1943"/>
    <hyperlink xmlns:r="http://schemas.openxmlformats.org/officeDocument/2006/relationships" ref="P973" r:id="rId1944"/>
    <hyperlink xmlns:r="http://schemas.openxmlformats.org/officeDocument/2006/relationships" ref="O974" r:id="rId1945"/>
    <hyperlink xmlns:r="http://schemas.openxmlformats.org/officeDocument/2006/relationships" ref="P974" r:id="rId1946"/>
    <hyperlink xmlns:r="http://schemas.openxmlformats.org/officeDocument/2006/relationships" ref="O975" r:id="rId1947"/>
    <hyperlink xmlns:r="http://schemas.openxmlformats.org/officeDocument/2006/relationships" ref="P975" r:id="rId1948"/>
    <hyperlink xmlns:r="http://schemas.openxmlformats.org/officeDocument/2006/relationships" ref="O976" r:id="rId1949"/>
    <hyperlink xmlns:r="http://schemas.openxmlformats.org/officeDocument/2006/relationships" ref="P976" r:id="rId1950"/>
    <hyperlink xmlns:r="http://schemas.openxmlformats.org/officeDocument/2006/relationships" ref="O977" r:id="rId1951"/>
    <hyperlink xmlns:r="http://schemas.openxmlformats.org/officeDocument/2006/relationships" ref="P977" r:id="rId1952"/>
    <hyperlink xmlns:r="http://schemas.openxmlformats.org/officeDocument/2006/relationships" ref="O978" r:id="rId1953"/>
    <hyperlink xmlns:r="http://schemas.openxmlformats.org/officeDocument/2006/relationships" ref="P978" r:id="rId1954"/>
    <hyperlink xmlns:r="http://schemas.openxmlformats.org/officeDocument/2006/relationships" ref="O979" r:id="rId1955"/>
    <hyperlink xmlns:r="http://schemas.openxmlformats.org/officeDocument/2006/relationships" ref="P979" r:id="rId1956"/>
    <hyperlink xmlns:r="http://schemas.openxmlformats.org/officeDocument/2006/relationships" ref="O980" r:id="rId1957"/>
    <hyperlink xmlns:r="http://schemas.openxmlformats.org/officeDocument/2006/relationships" ref="P980" r:id="rId1958"/>
    <hyperlink xmlns:r="http://schemas.openxmlformats.org/officeDocument/2006/relationships" ref="O981" r:id="rId1959"/>
    <hyperlink xmlns:r="http://schemas.openxmlformats.org/officeDocument/2006/relationships" ref="P981" r:id="rId1960"/>
    <hyperlink xmlns:r="http://schemas.openxmlformats.org/officeDocument/2006/relationships" ref="O982" r:id="rId1961"/>
    <hyperlink xmlns:r="http://schemas.openxmlformats.org/officeDocument/2006/relationships" ref="P982" r:id="rId1962"/>
    <hyperlink xmlns:r="http://schemas.openxmlformats.org/officeDocument/2006/relationships" ref="O983" r:id="rId1963"/>
    <hyperlink xmlns:r="http://schemas.openxmlformats.org/officeDocument/2006/relationships" ref="P983" r:id="rId1964"/>
    <hyperlink xmlns:r="http://schemas.openxmlformats.org/officeDocument/2006/relationships" ref="O984" r:id="rId1965"/>
    <hyperlink xmlns:r="http://schemas.openxmlformats.org/officeDocument/2006/relationships" ref="P984" r:id="rId1966"/>
    <hyperlink xmlns:r="http://schemas.openxmlformats.org/officeDocument/2006/relationships" ref="O985" r:id="rId1967"/>
    <hyperlink xmlns:r="http://schemas.openxmlformats.org/officeDocument/2006/relationships" ref="P985" r:id="rId1968"/>
    <hyperlink xmlns:r="http://schemas.openxmlformats.org/officeDocument/2006/relationships" ref="O986" r:id="rId1969"/>
    <hyperlink xmlns:r="http://schemas.openxmlformats.org/officeDocument/2006/relationships" ref="P986" r:id="rId1970"/>
    <hyperlink xmlns:r="http://schemas.openxmlformats.org/officeDocument/2006/relationships" ref="O987" r:id="rId1971"/>
    <hyperlink xmlns:r="http://schemas.openxmlformats.org/officeDocument/2006/relationships" ref="P987" r:id="rId1972"/>
    <hyperlink xmlns:r="http://schemas.openxmlformats.org/officeDocument/2006/relationships" ref="O988" r:id="rId1973"/>
    <hyperlink xmlns:r="http://schemas.openxmlformats.org/officeDocument/2006/relationships" ref="P988" r:id="rId1974"/>
    <hyperlink xmlns:r="http://schemas.openxmlformats.org/officeDocument/2006/relationships" ref="O989" r:id="rId1975"/>
    <hyperlink xmlns:r="http://schemas.openxmlformats.org/officeDocument/2006/relationships" ref="P989" r:id="rId1976"/>
    <hyperlink xmlns:r="http://schemas.openxmlformats.org/officeDocument/2006/relationships" ref="O990" r:id="rId1977"/>
    <hyperlink xmlns:r="http://schemas.openxmlformats.org/officeDocument/2006/relationships" ref="P990" r:id="rId1978"/>
    <hyperlink xmlns:r="http://schemas.openxmlformats.org/officeDocument/2006/relationships" ref="O991" r:id="rId1979"/>
    <hyperlink xmlns:r="http://schemas.openxmlformats.org/officeDocument/2006/relationships" ref="P991" r:id="rId1980"/>
    <hyperlink xmlns:r="http://schemas.openxmlformats.org/officeDocument/2006/relationships" ref="O992" r:id="rId1981"/>
    <hyperlink xmlns:r="http://schemas.openxmlformats.org/officeDocument/2006/relationships" ref="P992" r:id="rId1982"/>
    <hyperlink xmlns:r="http://schemas.openxmlformats.org/officeDocument/2006/relationships" ref="O993" r:id="rId1983"/>
    <hyperlink xmlns:r="http://schemas.openxmlformats.org/officeDocument/2006/relationships" ref="P993" r:id="rId1984"/>
    <hyperlink xmlns:r="http://schemas.openxmlformats.org/officeDocument/2006/relationships" ref="O994" r:id="rId1985"/>
    <hyperlink xmlns:r="http://schemas.openxmlformats.org/officeDocument/2006/relationships" ref="P994" r:id="rId1986"/>
    <hyperlink xmlns:r="http://schemas.openxmlformats.org/officeDocument/2006/relationships" ref="O995" r:id="rId1987"/>
    <hyperlink xmlns:r="http://schemas.openxmlformats.org/officeDocument/2006/relationships" ref="P995" r:id="rId1988"/>
    <hyperlink xmlns:r="http://schemas.openxmlformats.org/officeDocument/2006/relationships" ref="O996" r:id="rId1989"/>
    <hyperlink xmlns:r="http://schemas.openxmlformats.org/officeDocument/2006/relationships" ref="P996" r:id="rId1990"/>
    <hyperlink xmlns:r="http://schemas.openxmlformats.org/officeDocument/2006/relationships" ref="O997" r:id="rId1991"/>
    <hyperlink xmlns:r="http://schemas.openxmlformats.org/officeDocument/2006/relationships" ref="P997" r:id="rId1992"/>
    <hyperlink xmlns:r="http://schemas.openxmlformats.org/officeDocument/2006/relationships" ref="O998" r:id="rId1993"/>
    <hyperlink xmlns:r="http://schemas.openxmlformats.org/officeDocument/2006/relationships" ref="P998" r:id="rId1994"/>
    <hyperlink xmlns:r="http://schemas.openxmlformats.org/officeDocument/2006/relationships" ref="O999" r:id="rId1995"/>
    <hyperlink xmlns:r="http://schemas.openxmlformats.org/officeDocument/2006/relationships" ref="P999" r:id="rId1996"/>
    <hyperlink xmlns:r="http://schemas.openxmlformats.org/officeDocument/2006/relationships" ref="O1000" r:id="rId1997"/>
    <hyperlink xmlns:r="http://schemas.openxmlformats.org/officeDocument/2006/relationships" ref="P1000" r:id="rId1998"/>
    <hyperlink xmlns:r="http://schemas.openxmlformats.org/officeDocument/2006/relationships" ref="O1001" r:id="rId1999"/>
    <hyperlink xmlns:r="http://schemas.openxmlformats.org/officeDocument/2006/relationships" ref="P1001" r:id="rId2000"/>
    <hyperlink xmlns:r="http://schemas.openxmlformats.org/officeDocument/2006/relationships" ref="O1002" r:id="rId2001"/>
    <hyperlink xmlns:r="http://schemas.openxmlformats.org/officeDocument/2006/relationships" ref="P1002" r:id="rId2002"/>
    <hyperlink xmlns:r="http://schemas.openxmlformats.org/officeDocument/2006/relationships" ref="O1003" r:id="rId2003"/>
    <hyperlink xmlns:r="http://schemas.openxmlformats.org/officeDocument/2006/relationships" ref="P1003" r:id="rId2004"/>
    <hyperlink xmlns:r="http://schemas.openxmlformats.org/officeDocument/2006/relationships" ref="O1004" r:id="rId2005"/>
    <hyperlink xmlns:r="http://schemas.openxmlformats.org/officeDocument/2006/relationships" ref="P1004" r:id="rId2006"/>
    <hyperlink xmlns:r="http://schemas.openxmlformats.org/officeDocument/2006/relationships" ref="O1005" r:id="rId2007"/>
    <hyperlink xmlns:r="http://schemas.openxmlformats.org/officeDocument/2006/relationships" ref="P1005" r:id="rId2008"/>
    <hyperlink xmlns:r="http://schemas.openxmlformats.org/officeDocument/2006/relationships" ref="O1006" r:id="rId2009"/>
    <hyperlink xmlns:r="http://schemas.openxmlformats.org/officeDocument/2006/relationships" ref="P1006" r:id="rId2010"/>
    <hyperlink xmlns:r="http://schemas.openxmlformats.org/officeDocument/2006/relationships" ref="O1007" r:id="rId2011"/>
    <hyperlink xmlns:r="http://schemas.openxmlformats.org/officeDocument/2006/relationships" ref="P1007" r:id="rId2012"/>
    <hyperlink xmlns:r="http://schemas.openxmlformats.org/officeDocument/2006/relationships" ref="O1008" r:id="rId2013"/>
    <hyperlink xmlns:r="http://schemas.openxmlformats.org/officeDocument/2006/relationships" ref="P1008" r:id="rId2014"/>
    <hyperlink xmlns:r="http://schemas.openxmlformats.org/officeDocument/2006/relationships" ref="O1009" r:id="rId2015"/>
    <hyperlink xmlns:r="http://schemas.openxmlformats.org/officeDocument/2006/relationships" ref="P1009" r:id="rId2016"/>
    <hyperlink xmlns:r="http://schemas.openxmlformats.org/officeDocument/2006/relationships" ref="O1010" r:id="rId2017"/>
    <hyperlink xmlns:r="http://schemas.openxmlformats.org/officeDocument/2006/relationships" ref="P1010" r:id="rId2018"/>
    <hyperlink xmlns:r="http://schemas.openxmlformats.org/officeDocument/2006/relationships" ref="O1011" r:id="rId2019"/>
    <hyperlink xmlns:r="http://schemas.openxmlformats.org/officeDocument/2006/relationships" ref="P1011" r:id="rId2020"/>
    <hyperlink xmlns:r="http://schemas.openxmlformats.org/officeDocument/2006/relationships" ref="O1012" r:id="rId2021"/>
    <hyperlink xmlns:r="http://schemas.openxmlformats.org/officeDocument/2006/relationships" ref="P1012" r:id="rId2022"/>
    <hyperlink xmlns:r="http://schemas.openxmlformats.org/officeDocument/2006/relationships" ref="O1013" r:id="rId2023"/>
    <hyperlink xmlns:r="http://schemas.openxmlformats.org/officeDocument/2006/relationships" ref="P1013" r:id="rId2024"/>
    <hyperlink xmlns:r="http://schemas.openxmlformats.org/officeDocument/2006/relationships" ref="O1014" r:id="rId2025"/>
    <hyperlink xmlns:r="http://schemas.openxmlformats.org/officeDocument/2006/relationships" ref="P1014" r:id="rId2026"/>
    <hyperlink xmlns:r="http://schemas.openxmlformats.org/officeDocument/2006/relationships" ref="O1015" r:id="rId2027"/>
    <hyperlink xmlns:r="http://schemas.openxmlformats.org/officeDocument/2006/relationships" ref="P1015" r:id="rId2028"/>
    <hyperlink xmlns:r="http://schemas.openxmlformats.org/officeDocument/2006/relationships" ref="O1016" r:id="rId2029"/>
    <hyperlink xmlns:r="http://schemas.openxmlformats.org/officeDocument/2006/relationships" ref="P1016" r:id="rId2030"/>
    <hyperlink xmlns:r="http://schemas.openxmlformats.org/officeDocument/2006/relationships" ref="O1017" r:id="rId2031"/>
    <hyperlink xmlns:r="http://schemas.openxmlformats.org/officeDocument/2006/relationships" ref="P1017" r:id="rId2032"/>
    <hyperlink xmlns:r="http://schemas.openxmlformats.org/officeDocument/2006/relationships" ref="O1018" r:id="rId2033"/>
    <hyperlink xmlns:r="http://schemas.openxmlformats.org/officeDocument/2006/relationships" ref="P1018" r:id="rId2034"/>
    <hyperlink xmlns:r="http://schemas.openxmlformats.org/officeDocument/2006/relationships" ref="O1019" r:id="rId2035"/>
    <hyperlink xmlns:r="http://schemas.openxmlformats.org/officeDocument/2006/relationships" ref="P1019" r:id="rId2036"/>
    <hyperlink xmlns:r="http://schemas.openxmlformats.org/officeDocument/2006/relationships" ref="O1020" r:id="rId2037"/>
    <hyperlink xmlns:r="http://schemas.openxmlformats.org/officeDocument/2006/relationships" ref="P1020" r:id="rId2038"/>
    <hyperlink xmlns:r="http://schemas.openxmlformats.org/officeDocument/2006/relationships" ref="O1021" r:id="rId2039"/>
    <hyperlink xmlns:r="http://schemas.openxmlformats.org/officeDocument/2006/relationships" ref="P1021" r:id="rId2040"/>
    <hyperlink xmlns:r="http://schemas.openxmlformats.org/officeDocument/2006/relationships" ref="O1022" r:id="rId2041"/>
    <hyperlink xmlns:r="http://schemas.openxmlformats.org/officeDocument/2006/relationships" ref="P1022" r:id="rId2042"/>
    <hyperlink xmlns:r="http://schemas.openxmlformats.org/officeDocument/2006/relationships" ref="O1023" r:id="rId2043"/>
    <hyperlink xmlns:r="http://schemas.openxmlformats.org/officeDocument/2006/relationships" ref="P1023" r:id="rId2044"/>
    <hyperlink xmlns:r="http://schemas.openxmlformats.org/officeDocument/2006/relationships" ref="O1024" r:id="rId2045"/>
    <hyperlink xmlns:r="http://schemas.openxmlformats.org/officeDocument/2006/relationships" ref="P1024" r:id="rId2046"/>
    <hyperlink xmlns:r="http://schemas.openxmlformats.org/officeDocument/2006/relationships" ref="O1025" r:id="rId2047"/>
    <hyperlink xmlns:r="http://schemas.openxmlformats.org/officeDocument/2006/relationships" ref="P1025" r:id="rId2048"/>
    <hyperlink xmlns:r="http://schemas.openxmlformats.org/officeDocument/2006/relationships" ref="O1026" r:id="rId2049"/>
    <hyperlink xmlns:r="http://schemas.openxmlformats.org/officeDocument/2006/relationships" ref="P1026" r:id="rId2050"/>
    <hyperlink xmlns:r="http://schemas.openxmlformats.org/officeDocument/2006/relationships" ref="O1027" r:id="rId2051"/>
    <hyperlink xmlns:r="http://schemas.openxmlformats.org/officeDocument/2006/relationships" ref="P1027" r:id="rId2052"/>
    <hyperlink xmlns:r="http://schemas.openxmlformats.org/officeDocument/2006/relationships" ref="O1028" r:id="rId2053"/>
    <hyperlink xmlns:r="http://schemas.openxmlformats.org/officeDocument/2006/relationships" ref="P1028" r:id="rId2054"/>
    <hyperlink xmlns:r="http://schemas.openxmlformats.org/officeDocument/2006/relationships" ref="O1029" r:id="rId2055"/>
    <hyperlink xmlns:r="http://schemas.openxmlformats.org/officeDocument/2006/relationships" ref="P1029" r:id="rId2056"/>
    <hyperlink xmlns:r="http://schemas.openxmlformats.org/officeDocument/2006/relationships" ref="O1030" r:id="rId2057"/>
    <hyperlink xmlns:r="http://schemas.openxmlformats.org/officeDocument/2006/relationships" ref="P1030" r:id="rId2058"/>
    <hyperlink xmlns:r="http://schemas.openxmlformats.org/officeDocument/2006/relationships" ref="O1031" r:id="rId2059"/>
    <hyperlink xmlns:r="http://schemas.openxmlformats.org/officeDocument/2006/relationships" ref="P1031" r:id="rId2060"/>
    <hyperlink xmlns:r="http://schemas.openxmlformats.org/officeDocument/2006/relationships" ref="O1032" r:id="rId2061"/>
    <hyperlink xmlns:r="http://schemas.openxmlformats.org/officeDocument/2006/relationships" ref="P1032" r:id="rId2062"/>
    <hyperlink xmlns:r="http://schemas.openxmlformats.org/officeDocument/2006/relationships" ref="O1033" r:id="rId2063"/>
    <hyperlink xmlns:r="http://schemas.openxmlformats.org/officeDocument/2006/relationships" ref="P1033" r:id="rId2064"/>
    <hyperlink xmlns:r="http://schemas.openxmlformats.org/officeDocument/2006/relationships" ref="O1034" r:id="rId2065"/>
    <hyperlink xmlns:r="http://schemas.openxmlformats.org/officeDocument/2006/relationships" ref="P1034" r:id="rId2066"/>
    <hyperlink xmlns:r="http://schemas.openxmlformats.org/officeDocument/2006/relationships" ref="O1035" r:id="rId2067"/>
    <hyperlink xmlns:r="http://schemas.openxmlformats.org/officeDocument/2006/relationships" ref="P1035" r:id="rId2068"/>
    <hyperlink xmlns:r="http://schemas.openxmlformats.org/officeDocument/2006/relationships" ref="O1036" r:id="rId2069"/>
    <hyperlink xmlns:r="http://schemas.openxmlformats.org/officeDocument/2006/relationships" ref="P1036" r:id="rId2070"/>
    <hyperlink xmlns:r="http://schemas.openxmlformats.org/officeDocument/2006/relationships" ref="O1037" r:id="rId2071"/>
    <hyperlink xmlns:r="http://schemas.openxmlformats.org/officeDocument/2006/relationships" ref="P1037" r:id="rId2072"/>
    <hyperlink xmlns:r="http://schemas.openxmlformats.org/officeDocument/2006/relationships" ref="O1038" r:id="rId2073"/>
    <hyperlink xmlns:r="http://schemas.openxmlformats.org/officeDocument/2006/relationships" ref="P1038" r:id="rId2074"/>
    <hyperlink xmlns:r="http://schemas.openxmlformats.org/officeDocument/2006/relationships" ref="O1039" r:id="rId2075"/>
    <hyperlink xmlns:r="http://schemas.openxmlformats.org/officeDocument/2006/relationships" ref="P1039" r:id="rId2076"/>
    <hyperlink xmlns:r="http://schemas.openxmlformats.org/officeDocument/2006/relationships" ref="O1040" r:id="rId2077"/>
    <hyperlink xmlns:r="http://schemas.openxmlformats.org/officeDocument/2006/relationships" ref="P1040" r:id="rId2078"/>
    <hyperlink xmlns:r="http://schemas.openxmlformats.org/officeDocument/2006/relationships" ref="O1041" r:id="rId2079"/>
    <hyperlink xmlns:r="http://schemas.openxmlformats.org/officeDocument/2006/relationships" ref="P1041" r:id="rId2080"/>
    <hyperlink xmlns:r="http://schemas.openxmlformats.org/officeDocument/2006/relationships" ref="O1042" r:id="rId2081"/>
    <hyperlink xmlns:r="http://schemas.openxmlformats.org/officeDocument/2006/relationships" ref="P1042" r:id="rId2082"/>
    <hyperlink xmlns:r="http://schemas.openxmlformats.org/officeDocument/2006/relationships" ref="O1043" r:id="rId2083"/>
    <hyperlink xmlns:r="http://schemas.openxmlformats.org/officeDocument/2006/relationships" ref="P1043" r:id="rId2084"/>
    <hyperlink xmlns:r="http://schemas.openxmlformats.org/officeDocument/2006/relationships" ref="O1044" r:id="rId2085"/>
    <hyperlink xmlns:r="http://schemas.openxmlformats.org/officeDocument/2006/relationships" ref="P1044" r:id="rId2086"/>
    <hyperlink xmlns:r="http://schemas.openxmlformats.org/officeDocument/2006/relationships" ref="O1045" r:id="rId2087"/>
    <hyperlink xmlns:r="http://schemas.openxmlformats.org/officeDocument/2006/relationships" ref="P1045" r:id="rId2088"/>
    <hyperlink xmlns:r="http://schemas.openxmlformats.org/officeDocument/2006/relationships" ref="O1046" r:id="rId2089"/>
    <hyperlink xmlns:r="http://schemas.openxmlformats.org/officeDocument/2006/relationships" ref="P1046" r:id="rId2090"/>
    <hyperlink xmlns:r="http://schemas.openxmlformats.org/officeDocument/2006/relationships" ref="O1047" r:id="rId2091"/>
    <hyperlink xmlns:r="http://schemas.openxmlformats.org/officeDocument/2006/relationships" ref="P1047" r:id="rId2092"/>
    <hyperlink xmlns:r="http://schemas.openxmlformats.org/officeDocument/2006/relationships" ref="O1048" r:id="rId2093"/>
    <hyperlink xmlns:r="http://schemas.openxmlformats.org/officeDocument/2006/relationships" ref="P1048" r:id="rId2094"/>
    <hyperlink xmlns:r="http://schemas.openxmlformats.org/officeDocument/2006/relationships" ref="O1049" r:id="rId2095"/>
    <hyperlink xmlns:r="http://schemas.openxmlformats.org/officeDocument/2006/relationships" ref="P1049" r:id="rId2096"/>
    <hyperlink xmlns:r="http://schemas.openxmlformats.org/officeDocument/2006/relationships" ref="O1050" r:id="rId2097"/>
    <hyperlink xmlns:r="http://schemas.openxmlformats.org/officeDocument/2006/relationships" ref="P1050" r:id="rId2098"/>
    <hyperlink xmlns:r="http://schemas.openxmlformats.org/officeDocument/2006/relationships" ref="O1051" r:id="rId2099"/>
    <hyperlink xmlns:r="http://schemas.openxmlformats.org/officeDocument/2006/relationships" ref="P1051" r:id="rId2100"/>
    <hyperlink xmlns:r="http://schemas.openxmlformats.org/officeDocument/2006/relationships" ref="O1052" r:id="rId2101"/>
    <hyperlink xmlns:r="http://schemas.openxmlformats.org/officeDocument/2006/relationships" ref="P1052" r:id="rId2102"/>
    <hyperlink xmlns:r="http://schemas.openxmlformats.org/officeDocument/2006/relationships" ref="O1053" r:id="rId2103"/>
    <hyperlink xmlns:r="http://schemas.openxmlformats.org/officeDocument/2006/relationships" ref="P1053" r:id="rId2104"/>
    <hyperlink xmlns:r="http://schemas.openxmlformats.org/officeDocument/2006/relationships" ref="O1054" r:id="rId2105"/>
    <hyperlink xmlns:r="http://schemas.openxmlformats.org/officeDocument/2006/relationships" ref="P1054" r:id="rId2106"/>
    <hyperlink xmlns:r="http://schemas.openxmlformats.org/officeDocument/2006/relationships" ref="O1055" r:id="rId2107"/>
    <hyperlink xmlns:r="http://schemas.openxmlformats.org/officeDocument/2006/relationships" ref="P1055" r:id="rId2108"/>
    <hyperlink xmlns:r="http://schemas.openxmlformats.org/officeDocument/2006/relationships" ref="O1056" r:id="rId2109"/>
    <hyperlink xmlns:r="http://schemas.openxmlformats.org/officeDocument/2006/relationships" ref="P1056" r:id="rId2110"/>
    <hyperlink xmlns:r="http://schemas.openxmlformats.org/officeDocument/2006/relationships" ref="O1057" r:id="rId2111"/>
    <hyperlink xmlns:r="http://schemas.openxmlformats.org/officeDocument/2006/relationships" ref="P1057" r:id="rId2112"/>
    <hyperlink xmlns:r="http://schemas.openxmlformats.org/officeDocument/2006/relationships" ref="O1058" r:id="rId2113"/>
    <hyperlink xmlns:r="http://schemas.openxmlformats.org/officeDocument/2006/relationships" ref="P1058" r:id="rId2114"/>
    <hyperlink xmlns:r="http://schemas.openxmlformats.org/officeDocument/2006/relationships" ref="O1059" r:id="rId2115"/>
    <hyperlink xmlns:r="http://schemas.openxmlformats.org/officeDocument/2006/relationships" ref="P1059" r:id="rId2116"/>
    <hyperlink xmlns:r="http://schemas.openxmlformats.org/officeDocument/2006/relationships" ref="O1060" r:id="rId2117"/>
    <hyperlink xmlns:r="http://schemas.openxmlformats.org/officeDocument/2006/relationships" ref="P1060" r:id="rId2118"/>
    <hyperlink xmlns:r="http://schemas.openxmlformats.org/officeDocument/2006/relationships" ref="O1061" r:id="rId2119"/>
    <hyperlink xmlns:r="http://schemas.openxmlformats.org/officeDocument/2006/relationships" ref="P1061" r:id="rId2120"/>
    <hyperlink xmlns:r="http://schemas.openxmlformats.org/officeDocument/2006/relationships" ref="O1062" r:id="rId2121"/>
    <hyperlink xmlns:r="http://schemas.openxmlformats.org/officeDocument/2006/relationships" ref="P1062" r:id="rId2122"/>
    <hyperlink xmlns:r="http://schemas.openxmlformats.org/officeDocument/2006/relationships" ref="O1063" r:id="rId2123"/>
    <hyperlink xmlns:r="http://schemas.openxmlformats.org/officeDocument/2006/relationships" ref="P1063" r:id="rId2124"/>
    <hyperlink xmlns:r="http://schemas.openxmlformats.org/officeDocument/2006/relationships" ref="O1064" r:id="rId2125"/>
    <hyperlink xmlns:r="http://schemas.openxmlformats.org/officeDocument/2006/relationships" ref="P1064" r:id="rId2126"/>
    <hyperlink xmlns:r="http://schemas.openxmlformats.org/officeDocument/2006/relationships" ref="O1065" r:id="rId2127"/>
    <hyperlink xmlns:r="http://schemas.openxmlformats.org/officeDocument/2006/relationships" ref="P1065" r:id="rId2128"/>
    <hyperlink xmlns:r="http://schemas.openxmlformats.org/officeDocument/2006/relationships" ref="O1066" r:id="rId2129"/>
    <hyperlink xmlns:r="http://schemas.openxmlformats.org/officeDocument/2006/relationships" ref="P1066" r:id="rId2130"/>
    <hyperlink xmlns:r="http://schemas.openxmlformats.org/officeDocument/2006/relationships" ref="O1067" r:id="rId2131"/>
    <hyperlink xmlns:r="http://schemas.openxmlformats.org/officeDocument/2006/relationships" ref="P1067" r:id="rId2132"/>
    <hyperlink xmlns:r="http://schemas.openxmlformats.org/officeDocument/2006/relationships" ref="O1068" r:id="rId2133"/>
    <hyperlink xmlns:r="http://schemas.openxmlformats.org/officeDocument/2006/relationships" ref="P1068" r:id="rId2134"/>
    <hyperlink xmlns:r="http://schemas.openxmlformats.org/officeDocument/2006/relationships" ref="O1069" r:id="rId2135"/>
    <hyperlink xmlns:r="http://schemas.openxmlformats.org/officeDocument/2006/relationships" ref="P1069" r:id="rId2136"/>
    <hyperlink xmlns:r="http://schemas.openxmlformats.org/officeDocument/2006/relationships" ref="O1070" r:id="rId2137"/>
    <hyperlink xmlns:r="http://schemas.openxmlformats.org/officeDocument/2006/relationships" ref="P1070" r:id="rId2138"/>
    <hyperlink xmlns:r="http://schemas.openxmlformats.org/officeDocument/2006/relationships" ref="O1071" r:id="rId2139"/>
    <hyperlink xmlns:r="http://schemas.openxmlformats.org/officeDocument/2006/relationships" ref="P1071" r:id="rId2140"/>
    <hyperlink xmlns:r="http://schemas.openxmlformats.org/officeDocument/2006/relationships" ref="O1072" r:id="rId2141"/>
    <hyperlink xmlns:r="http://schemas.openxmlformats.org/officeDocument/2006/relationships" ref="P1072" r:id="rId2142"/>
    <hyperlink xmlns:r="http://schemas.openxmlformats.org/officeDocument/2006/relationships" ref="O1073" r:id="rId2143"/>
    <hyperlink xmlns:r="http://schemas.openxmlformats.org/officeDocument/2006/relationships" ref="P1073" r:id="rId2144"/>
    <hyperlink xmlns:r="http://schemas.openxmlformats.org/officeDocument/2006/relationships" ref="O1074" r:id="rId2145"/>
    <hyperlink xmlns:r="http://schemas.openxmlformats.org/officeDocument/2006/relationships" ref="P1074" r:id="rId2146"/>
    <hyperlink xmlns:r="http://schemas.openxmlformats.org/officeDocument/2006/relationships" ref="O1075" r:id="rId2147"/>
    <hyperlink xmlns:r="http://schemas.openxmlformats.org/officeDocument/2006/relationships" ref="P1075" r:id="rId2148"/>
    <hyperlink xmlns:r="http://schemas.openxmlformats.org/officeDocument/2006/relationships" ref="O1076" r:id="rId2149"/>
    <hyperlink xmlns:r="http://schemas.openxmlformats.org/officeDocument/2006/relationships" ref="P1076" r:id="rId2150"/>
    <hyperlink xmlns:r="http://schemas.openxmlformats.org/officeDocument/2006/relationships" ref="O1077" r:id="rId2151"/>
    <hyperlink xmlns:r="http://schemas.openxmlformats.org/officeDocument/2006/relationships" ref="P1077" r:id="rId2152"/>
    <hyperlink xmlns:r="http://schemas.openxmlformats.org/officeDocument/2006/relationships" ref="O1078" r:id="rId2153"/>
    <hyperlink xmlns:r="http://schemas.openxmlformats.org/officeDocument/2006/relationships" ref="P1078" r:id="rId2154"/>
    <hyperlink xmlns:r="http://schemas.openxmlformats.org/officeDocument/2006/relationships" ref="O1079" r:id="rId2155"/>
    <hyperlink xmlns:r="http://schemas.openxmlformats.org/officeDocument/2006/relationships" ref="P1079" r:id="rId2156"/>
    <hyperlink xmlns:r="http://schemas.openxmlformats.org/officeDocument/2006/relationships" ref="O1080" r:id="rId2157"/>
    <hyperlink xmlns:r="http://schemas.openxmlformats.org/officeDocument/2006/relationships" ref="P1080" r:id="rId2158"/>
    <hyperlink xmlns:r="http://schemas.openxmlformats.org/officeDocument/2006/relationships" ref="O1081" r:id="rId2159"/>
    <hyperlink xmlns:r="http://schemas.openxmlformats.org/officeDocument/2006/relationships" ref="P1081" r:id="rId2160"/>
    <hyperlink xmlns:r="http://schemas.openxmlformats.org/officeDocument/2006/relationships" ref="O1082" r:id="rId2161"/>
    <hyperlink xmlns:r="http://schemas.openxmlformats.org/officeDocument/2006/relationships" ref="P1082" r:id="rId2162"/>
    <hyperlink xmlns:r="http://schemas.openxmlformats.org/officeDocument/2006/relationships" ref="O1083" r:id="rId2163"/>
    <hyperlink xmlns:r="http://schemas.openxmlformats.org/officeDocument/2006/relationships" ref="P1083" r:id="rId2164"/>
    <hyperlink xmlns:r="http://schemas.openxmlformats.org/officeDocument/2006/relationships" ref="O1084" r:id="rId2165"/>
    <hyperlink xmlns:r="http://schemas.openxmlformats.org/officeDocument/2006/relationships" ref="P1084" r:id="rId2166"/>
    <hyperlink xmlns:r="http://schemas.openxmlformats.org/officeDocument/2006/relationships" ref="O1085" r:id="rId2167"/>
    <hyperlink xmlns:r="http://schemas.openxmlformats.org/officeDocument/2006/relationships" ref="P1085" r:id="rId2168"/>
    <hyperlink xmlns:r="http://schemas.openxmlformats.org/officeDocument/2006/relationships" ref="O1086" r:id="rId2169"/>
    <hyperlink xmlns:r="http://schemas.openxmlformats.org/officeDocument/2006/relationships" ref="P1086" r:id="rId2170"/>
    <hyperlink xmlns:r="http://schemas.openxmlformats.org/officeDocument/2006/relationships" ref="O1087" r:id="rId2171"/>
    <hyperlink xmlns:r="http://schemas.openxmlformats.org/officeDocument/2006/relationships" ref="P1087" r:id="rId2172"/>
    <hyperlink xmlns:r="http://schemas.openxmlformats.org/officeDocument/2006/relationships" ref="O1088" r:id="rId2173"/>
    <hyperlink xmlns:r="http://schemas.openxmlformats.org/officeDocument/2006/relationships" ref="P1088" r:id="rId2174"/>
    <hyperlink xmlns:r="http://schemas.openxmlformats.org/officeDocument/2006/relationships" ref="O1089" r:id="rId2175"/>
    <hyperlink xmlns:r="http://schemas.openxmlformats.org/officeDocument/2006/relationships" ref="P1089" r:id="rId2176"/>
    <hyperlink xmlns:r="http://schemas.openxmlformats.org/officeDocument/2006/relationships" ref="O1090" r:id="rId2177"/>
    <hyperlink xmlns:r="http://schemas.openxmlformats.org/officeDocument/2006/relationships" ref="P1090" r:id="rId2178"/>
    <hyperlink xmlns:r="http://schemas.openxmlformats.org/officeDocument/2006/relationships" ref="O1091" r:id="rId2179"/>
    <hyperlink xmlns:r="http://schemas.openxmlformats.org/officeDocument/2006/relationships" ref="P1091" r:id="rId2180"/>
    <hyperlink xmlns:r="http://schemas.openxmlformats.org/officeDocument/2006/relationships" ref="O1092" r:id="rId2181"/>
    <hyperlink xmlns:r="http://schemas.openxmlformats.org/officeDocument/2006/relationships" ref="P1092" r:id="rId2182"/>
    <hyperlink xmlns:r="http://schemas.openxmlformats.org/officeDocument/2006/relationships" ref="O1093" r:id="rId2183"/>
    <hyperlink xmlns:r="http://schemas.openxmlformats.org/officeDocument/2006/relationships" ref="P1093" r:id="rId2184"/>
    <hyperlink xmlns:r="http://schemas.openxmlformats.org/officeDocument/2006/relationships" ref="O1094" r:id="rId2185"/>
    <hyperlink xmlns:r="http://schemas.openxmlformats.org/officeDocument/2006/relationships" ref="P1094" r:id="rId2186"/>
    <hyperlink xmlns:r="http://schemas.openxmlformats.org/officeDocument/2006/relationships" ref="O1095" r:id="rId2187"/>
    <hyperlink xmlns:r="http://schemas.openxmlformats.org/officeDocument/2006/relationships" ref="P1095" r:id="rId2188"/>
    <hyperlink xmlns:r="http://schemas.openxmlformats.org/officeDocument/2006/relationships" ref="O1096" r:id="rId2189"/>
    <hyperlink xmlns:r="http://schemas.openxmlformats.org/officeDocument/2006/relationships" ref="P1096" r:id="rId2190"/>
    <hyperlink xmlns:r="http://schemas.openxmlformats.org/officeDocument/2006/relationships" ref="O1097" r:id="rId2191"/>
    <hyperlink xmlns:r="http://schemas.openxmlformats.org/officeDocument/2006/relationships" ref="P1097" r:id="rId2192"/>
    <hyperlink xmlns:r="http://schemas.openxmlformats.org/officeDocument/2006/relationships" ref="O1098" r:id="rId2193"/>
    <hyperlink xmlns:r="http://schemas.openxmlformats.org/officeDocument/2006/relationships" ref="P1098" r:id="rId2194"/>
    <hyperlink xmlns:r="http://schemas.openxmlformats.org/officeDocument/2006/relationships" ref="O1099" r:id="rId2195"/>
    <hyperlink xmlns:r="http://schemas.openxmlformats.org/officeDocument/2006/relationships" ref="P1099" r:id="rId2196"/>
    <hyperlink xmlns:r="http://schemas.openxmlformats.org/officeDocument/2006/relationships" ref="O1100" r:id="rId2197"/>
    <hyperlink xmlns:r="http://schemas.openxmlformats.org/officeDocument/2006/relationships" ref="P1100" r:id="rId2198"/>
    <hyperlink xmlns:r="http://schemas.openxmlformats.org/officeDocument/2006/relationships" ref="O1101" r:id="rId2199"/>
    <hyperlink xmlns:r="http://schemas.openxmlformats.org/officeDocument/2006/relationships" ref="P1101" r:id="rId2200"/>
    <hyperlink xmlns:r="http://schemas.openxmlformats.org/officeDocument/2006/relationships" ref="O1102" r:id="rId2201"/>
    <hyperlink xmlns:r="http://schemas.openxmlformats.org/officeDocument/2006/relationships" ref="P1102" r:id="rId2202"/>
    <hyperlink xmlns:r="http://schemas.openxmlformats.org/officeDocument/2006/relationships" ref="O1103" r:id="rId2203"/>
    <hyperlink xmlns:r="http://schemas.openxmlformats.org/officeDocument/2006/relationships" ref="P1103" r:id="rId2204"/>
    <hyperlink xmlns:r="http://schemas.openxmlformats.org/officeDocument/2006/relationships" ref="O1104" r:id="rId2205"/>
    <hyperlink xmlns:r="http://schemas.openxmlformats.org/officeDocument/2006/relationships" ref="P1104" r:id="rId2206"/>
    <hyperlink xmlns:r="http://schemas.openxmlformats.org/officeDocument/2006/relationships" ref="O1105" r:id="rId2207"/>
    <hyperlink xmlns:r="http://schemas.openxmlformats.org/officeDocument/2006/relationships" ref="P1105" r:id="rId2208"/>
    <hyperlink xmlns:r="http://schemas.openxmlformats.org/officeDocument/2006/relationships" ref="O1106" r:id="rId2209"/>
    <hyperlink xmlns:r="http://schemas.openxmlformats.org/officeDocument/2006/relationships" ref="P1106" r:id="rId2210"/>
    <hyperlink xmlns:r="http://schemas.openxmlformats.org/officeDocument/2006/relationships" ref="O1107" r:id="rId2211"/>
    <hyperlink xmlns:r="http://schemas.openxmlformats.org/officeDocument/2006/relationships" ref="P1107" r:id="rId2212"/>
    <hyperlink xmlns:r="http://schemas.openxmlformats.org/officeDocument/2006/relationships" ref="O1108" r:id="rId2213"/>
    <hyperlink xmlns:r="http://schemas.openxmlformats.org/officeDocument/2006/relationships" ref="P1108" r:id="rId2214"/>
    <hyperlink xmlns:r="http://schemas.openxmlformats.org/officeDocument/2006/relationships" ref="O1109" r:id="rId2215"/>
    <hyperlink xmlns:r="http://schemas.openxmlformats.org/officeDocument/2006/relationships" ref="P1109" r:id="rId2216"/>
    <hyperlink xmlns:r="http://schemas.openxmlformats.org/officeDocument/2006/relationships" ref="O1110" r:id="rId2217"/>
    <hyperlink xmlns:r="http://schemas.openxmlformats.org/officeDocument/2006/relationships" ref="P1110" r:id="rId2218"/>
    <hyperlink xmlns:r="http://schemas.openxmlformats.org/officeDocument/2006/relationships" ref="O1111" r:id="rId2219"/>
    <hyperlink xmlns:r="http://schemas.openxmlformats.org/officeDocument/2006/relationships" ref="P1111" r:id="rId2220"/>
    <hyperlink xmlns:r="http://schemas.openxmlformats.org/officeDocument/2006/relationships" ref="O1112" r:id="rId2221"/>
    <hyperlink xmlns:r="http://schemas.openxmlformats.org/officeDocument/2006/relationships" ref="P1112" r:id="rId2222"/>
    <hyperlink xmlns:r="http://schemas.openxmlformats.org/officeDocument/2006/relationships" ref="O1113" r:id="rId2223"/>
    <hyperlink xmlns:r="http://schemas.openxmlformats.org/officeDocument/2006/relationships" ref="P1113" r:id="rId2224"/>
    <hyperlink xmlns:r="http://schemas.openxmlformats.org/officeDocument/2006/relationships" ref="O1114" r:id="rId2225"/>
    <hyperlink xmlns:r="http://schemas.openxmlformats.org/officeDocument/2006/relationships" ref="P1114" r:id="rId2226"/>
    <hyperlink xmlns:r="http://schemas.openxmlformats.org/officeDocument/2006/relationships" ref="O1115" r:id="rId2227"/>
    <hyperlink xmlns:r="http://schemas.openxmlformats.org/officeDocument/2006/relationships" ref="P1115" r:id="rId2228"/>
    <hyperlink xmlns:r="http://schemas.openxmlformats.org/officeDocument/2006/relationships" ref="O1116" r:id="rId2229"/>
    <hyperlink xmlns:r="http://schemas.openxmlformats.org/officeDocument/2006/relationships" ref="P1116" r:id="rId2230"/>
    <hyperlink xmlns:r="http://schemas.openxmlformats.org/officeDocument/2006/relationships" ref="O1117" r:id="rId2231"/>
    <hyperlink xmlns:r="http://schemas.openxmlformats.org/officeDocument/2006/relationships" ref="P1117" r:id="rId2232"/>
    <hyperlink xmlns:r="http://schemas.openxmlformats.org/officeDocument/2006/relationships" ref="O1118" r:id="rId2233"/>
    <hyperlink xmlns:r="http://schemas.openxmlformats.org/officeDocument/2006/relationships" ref="P1118" r:id="rId2234"/>
    <hyperlink xmlns:r="http://schemas.openxmlformats.org/officeDocument/2006/relationships" ref="O1119" r:id="rId2235"/>
    <hyperlink xmlns:r="http://schemas.openxmlformats.org/officeDocument/2006/relationships" ref="P1119" r:id="rId2236"/>
    <hyperlink xmlns:r="http://schemas.openxmlformats.org/officeDocument/2006/relationships" ref="O1120" r:id="rId2237"/>
    <hyperlink xmlns:r="http://schemas.openxmlformats.org/officeDocument/2006/relationships" ref="P1120" r:id="rId2238"/>
    <hyperlink xmlns:r="http://schemas.openxmlformats.org/officeDocument/2006/relationships" ref="O1121" r:id="rId2239"/>
    <hyperlink xmlns:r="http://schemas.openxmlformats.org/officeDocument/2006/relationships" ref="P1121" r:id="rId2240"/>
    <hyperlink xmlns:r="http://schemas.openxmlformats.org/officeDocument/2006/relationships" ref="O1122" r:id="rId2241"/>
    <hyperlink xmlns:r="http://schemas.openxmlformats.org/officeDocument/2006/relationships" ref="P1122" r:id="rId2242"/>
    <hyperlink xmlns:r="http://schemas.openxmlformats.org/officeDocument/2006/relationships" ref="O1123" r:id="rId2243"/>
    <hyperlink xmlns:r="http://schemas.openxmlformats.org/officeDocument/2006/relationships" ref="P1123" r:id="rId2244"/>
    <hyperlink xmlns:r="http://schemas.openxmlformats.org/officeDocument/2006/relationships" ref="O1124" r:id="rId2245"/>
    <hyperlink xmlns:r="http://schemas.openxmlformats.org/officeDocument/2006/relationships" ref="P1124" r:id="rId2246"/>
    <hyperlink xmlns:r="http://schemas.openxmlformats.org/officeDocument/2006/relationships" ref="O1125" r:id="rId2247"/>
    <hyperlink xmlns:r="http://schemas.openxmlformats.org/officeDocument/2006/relationships" ref="P1125" r:id="rId2248"/>
    <hyperlink xmlns:r="http://schemas.openxmlformats.org/officeDocument/2006/relationships" ref="O1126" r:id="rId2249"/>
    <hyperlink xmlns:r="http://schemas.openxmlformats.org/officeDocument/2006/relationships" ref="P1126" r:id="rId2250"/>
    <hyperlink xmlns:r="http://schemas.openxmlformats.org/officeDocument/2006/relationships" ref="O1127" r:id="rId2251"/>
    <hyperlink xmlns:r="http://schemas.openxmlformats.org/officeDocument/2006/relationships" ref="P1127" r:id="rId2252"/>
    <hyperlink xmlns:r="http://schemas.openxmlformats.org/officeDocument/2006/relationships" ref="O1128" r:id="rId2253"/>
    <hyperlink xmlns:r="http://schemas.openxmlformats.org/officeDocument/2006/relationships" ref="P1128" r:id="rId2254"/>
    <hyperlink xmlns:r="http://schemas.openxmlformats.org/officeDocument/2006/relationships" ref="O1129" r:id="rId2255"/>
    <hyperlink xmlns:r="http://schemas.openxmlformats.org/officeDocument/2006/relationships" ref="P1129" r:id="rId2256"/>
    <hyperlink xmlns:r="http://schemas.openxmlformats.org/officeDocument/2006/relationships" ref="O1130" r:id="rId2257"/>
    <hyperlink xmlns:r="http://schemas.openxmlformats.org/officeDocument/2006/relationships" ref="P1130" r:id="rId2258"/>
    <hyperlink xmlns:r="http://schemas.openxmlformats.org/officeDocument/2006/relationships" ref="O1131" r:id="rId2259"/>
    <hyperlink xmlns:r="http://schemas.openxmlformats.org/officeDocument/2006/relationships" ref="P1131" r:id="rId2260"/>
    <hyperlink xmlns:r="http://schemas.openxmlformats.org/officeDocument/2006/relationships" ref="O1132" r:id="rId2261"/>
    <hyperlink xmlns:r="http://schemas.openxmlformats.org/officeDocument/2006/relationships" ref="P1132" r:id="rId2262"/>
    <hyperlink xmlns:r="http://schemas.openxmlformats.org/officeDocument/2006/relationships" ref="O1133" r:id="rId2263"/>
    <hyperlink xmlns:r="http://schemas.openxmlformats.org/officeDocument/2006/relationships" ref="P1133" r:id="rId2264"/>
    <hyperlink xmlns:r="http://schemas.openxmlformats.org/officeDocument/2006/relationships" ref="O1134" r:id="rId2265"/>
    <hyperlink xmlns:r="http://schemas.openxmlformats.org/officeDocument/2006/relationships" ref="P1134" r:id="rId2266"/>
    <hyperlink xmlns:r="http://schemas.openxmlformats.org/officeDocument/2006/relationships" ref="O1135" r:id="rId2267"/>
    <hyperlink xmlns:r="http://schemas.openxmlformats.org/officeDocument/2006/relationships" ref="P1135" r:id="rId2268"/>
    <hyperlink xmlns:r="http://schemas.openxmlformats.org/officeDocument/2006/relationships" ref="O1136" r:id="rId2269"/>
    <hyperlink xmlns:r="http://schemas.openxmlformats.org/officeDocument/2006/relationships" ref="P1136" r:id="rId2270"/>
    <hyperlink xmlns:r="http://schemas.openxmlformats.org/officeDocument/2006/relationships" ref="O1137" r:id="rId2271"/>
    <hyperlink xmlns:r="http://schemas.openxmlformats.org/officeDocument/2006/relationships" ref="P1137" r:id="rId2272"/>
    <hyperlink xmlns:r="http://schemas.openxmlformats.org/officeDocument/2006/relationships" ref="O1138" r:id="rId2273"/>
    <hyperlink xmlns:r="http://schemas.openxmlformats.org/officeDocument/2006/relationships" ref="P1138" r:id="rId2274"/>
    <hyperlink xmlns:r="http://schemas.openxmlformats.org/officeDocument/2006/relationships" ref="O1139" r:id="rId2275"/>
    <hyperlink xmlns:r="http://schemas.openxmlformats.org/officeDocument/2006/relationships" ref="P1139" r:id="rId2276"/>
    <hyperlink xmlns:r="http://schemas.openxmlformats.org/officeDocument/2006/relationships" ref="O1140" r:id="rId2277"/>
    <hyperlink xmlns:r="http://schemas.openxmlformats.org/officeDocument/2006/relationships" ref="P1140" r:id="rId2278"/>
    <hyperlink xmlns:r="http://schemas.openxmlformats.org/officeDocument/2006/relationships" ref="O1141" r:id="rId2279"/>
    <hyperlink xmlns:r="http://schemas.openxmlformats.org/officeDocument/2006/relationships" ref="P1141" r:id="rId2280"/>
    <hyperlink xmlns:r="http://schemas.openxmlformats.org/officeDocument/2006/relationships" ref="O1142" r:id="rId2281"/>
    <hyperlink xmlns:r="http://schemas.openxmlformats.org/officeDocument/2006/relationships" ref="P1142" r:id="rId2282"/>
    <hyperlink xmlns:r="http://schemas.openxmlformats.org/officeDocument/2006/relationships" ref="O1143" r:id="rId2283"/>
    <hyperlink xmlns:r="http://schemas.openxmlformats.org/officeDocument/2006/relationships" ref="P1143" r:id="rId2284"/>
    <hyperlink xmlns:r="http://schemas.openxmlformats.org/officeDocument/2006/relationships" ref="O1144" r:id="rId2285"/>
    <hyperlink xmlns:r="http://schemas.openxmlformats.org/officeDocument/2006/relationships" ref="P1144" r:id="rId2286"/>
    <hyperlink xmlns:r="http://schemas.openxmlformats.org/officeDocument/2006/relationships" ref="O1145" r:id="rId2287"/>
    <hyperlink xmlns:r="http://schemas.openxmlformats.org/officeDocument/2006/relationships" ref="P1145" r:id="rId2288"/>
    <hyperlink xmlns:r="http://schemas.openxmlformats.org/officeDocument/2006/relationships" ref="O1146" r:id="rId2289"/>
    <hyperlink xmlns:r="http://schemas.openxmlformats.org/officeDocument/2006/relationships" ref="P1146" r:id="rId2290"/>
    <hyperlink xmlns:r="http://schemas.openxmlformats.org/officeDocument/2006/relationships" ref="O1147" r:id="rId2291"/>
    <hyperlink xmlns:r="http://schemas.openxmlformats.org/officeDocument/2006/relationships" ref="P1147" r:id="rId2292"/>
    <hyperlink xmlns:r="http://schemas.openxmlformats.org/officeDocument/2006/relationships" ref="O1148" r:id="rId2293"/>
    <hyperlink xmlns:r="http://schemas.openxmlformats.org/officeDocument/2006/relationships" ref="P1148" r:id="rId2294"/>
    <hyperlink xmlns:r="http://schemas.openxmlformats.org/officeDocument/2006/relationships" ref="O1149" r:id="rId2295"/>
    <hyperlink xmlns:r="http://schemas.openxmlformats.org/officeDocument/2006/relationships" ref="P1149" r:id="rId2296"/>
    <hyperlink xmlns:r="http://schemas.openxmlformats.org/officeDocument/2006/relationships" ref="O1150" r:id="rId2297"/>
    <hyperlink xmlns:r="http://schemas.openxmlformats.org/officeDocument/2006/relationships" ref="P1150" r:id="rId2298"/>
    <hyperlink xmlns:r="http://schemas.openxmlformats.org/officeDocument/2006/relationships" ref="O1151" r:id="rId2299"/>
    <hyperlink xmlns:r="http://schemas.openxmlformats.org/officeDocument/2006/relationships" ref="P1151" r:id="rId2300"/>
    <hyperlink xmlns:r="http://schemas.openxmlformats.org/officeDocument/2006/relationships" ref="O1152" r:id="rId2301"/>
    <hyperlink xmlns:r="http://schemas.openxmlformats.org/officeDocument/2006/relationships" ref="P1152" r:id="rId2302"/>
    <hyperlink xmlns:r="http://schemas.openxmlformats.org/officeDocument/2006/relationships" ref="O1153" r:id="rId2303"/>
    <hyperlink xmlns:r="http://schemas.openxmlformats.org/officeDocument/2006/relationships" ref="P1153" r:id="rId2304"/>
    <hyperlink xmlns:r="http://schemas.openxmlformats.org/officeDocument/2006/relationships" ref="O1154" r:id="rId2305"/>
    <hyperlink xmlns:r="http://schemas.openxmlformats.org/officeDocument/2006/relationships" ref="P1154" r:id="rId2306"/>
    <hyperlink xmlns:r="http://schemas.openxmlformats.org/officeDocument/2006/relationships" ref="O1155" r:id="rId2307"/>
    <hyperlink xmlns:r="http://schemas.openxmlformats.org/officeDocument/2006/relationships" ref="P1155" r:id="rId2308"/>
    <hyperlink xmlns:r="http://schemas.openxmlformats.org/officeDocument/2006/relationships" ref="O1156" r:id="rId2309"/>
    <hyperlink xmlns:r="http://schemas.openxmlformats.org/officeDocument/2006/relationships" ref="P1156" r:id="rId2310"/>
    <hyperlink xmlns:r="http://schemas.openxmlformats.org/officeDocument/2006/relationships" ref="O1157" r:id="rId2311"/>
    <hyperlink xmlns:r="http://schemas.openxmlformats.org/officeDocument/2006/relationships" ref="P1157" r:id="rId2312"/>
    <hyperlink xmlns:r="http://schemas.openxmlformats.org/officeDocument/2006/relationships" ref="O1158" r:id="rId2313"/>
    <hyperlink xmlns:r="http://schemas.openxmlformats.org/officeDocument/2006/relationships" ref="P1158" r:id="rId2314"/>
    <hyperlink xmlns:r="http://schemas.openxmlformats.org/officeDocument/2006/relationships" ref="O1159" r:id="rId2315"/>
    <hyperlink xmlns:r="http://schemas.openxmlformats.org/officeDocument/2006/relationships" ref="P1159" r:id="rId2316"/>
    <hyperlink xmlns:r="http://schemas.openxmlformats.org/officeDocument/2006/relationships" ref="O1160" r:id="rId2317"/>
    <hyperlink xmlns:r="http://schemas.openxmlformats.org/officeDocument/2006/relationships" ref="P1160" r:id="rId2318"/>
    <hyperlink xmlns:r="http://schemas.openxmlformats.org/officeDocument/2006/relationships" ref="O1161" r:id="rId2319"/>
    <hyperlink xmlns:r="http://schemas.openxmlformats.org/officeDocument/2006/relationships" ref="P1161" r:id="rId2320"/>
    <hyperlink xmlns:r="http://schemas.openxmlformats.org/officeDocument/2006/relationships" ref="O1162" r:id="rId2321"/>
    <hyperlink xmlns:r="http://schemas.openxmlformats.org/officeDocument/2006/relationships" ref="P1162" r:id="rId2322"/>
    <hyperlink xmlns:r="http://schemas.openxmlformats.org/officeDocument/2006/relationships" ref="O1163" r:id="rId2323"/>
    <hyperlink xmlns:r="http://schemas.openxmlformats.org/officeDocument/2006/relationships" ref="P1163" r:id="rId2324"/>
    <hyperlink xmlns:r="http://schemas.openxmlformats.org/officeDocument/2006/relationships" ref="O1164" r:id="rId2325"/>
    <hyperlink xmlns:r="http://schemas.openxmlformats.org/officeDocument/2006/relationships" ref="P1164" r:id="rId2326"/>
    <hyperlink xmlns:r="http://schemas.openxmlformats.org/officeDocument/2006/relationships" ref="O1165" r:id="rId2327"/>
    <hyperlink xmlns:r="http://schemas.openxmlformats.org/officeDocument/2006/relationships" ref="P1165" r:id="rId2328"/>
    <hyperlink xmlns:r="http://schemas.openxmlformats.org/officeDocument/2006/relationships" ref="O1166" r:id="rId2329"/>
    <hyperlink xmlns:r="http://schemas.openxmlformats.org/officeDocument/2006/relationships" ref="P1166" r:id="rId2330"/>
    <hyperlink xmlns:r="http://schemas.openxmlformats.org/officeDocument/2006/relationships" ref="O1167" r:id="rId2331"/>
    <hyperlink xmlns:r="http://schemas.openxmlformats.org/officeDocument/2006/relationships" ref="P1167" r:id="rId2332"/>
    <hyperlink xmlns:r="http://schemas.openxmlformats.org/officeDocument/2006/relationships" ref="O1168" r:id="rId2333"/>
    <hyperlink xmlns:r="http://schemas.openxmlformats.org/officeDocument/2006/relationships" ref="P1168" r:id="rId2334"/>
    <hyperlink xmlns:r="http://schemas.openxmlformats.org/officeDocument/2006/relationships" ref="O1169" r:id="rId2335"/>
    <hyperlink xmlns:r="http://schemas.openxmlformats.org/officeDocument/2006/relationships" ref="P1169" r:id="rId2336"/>
    <hyperlink xmlns:r="http://schemas.openxmlformats.org/officeDocument/2006/relationships" ref="O1170" r:id="rId2337"/>
    <hyperlink xmlns:r="http://schemas.openxmlformats.org/officeDocument/2006/relationships" ref="P1170" r:id="rId2338"/>
    <hyperlink xmlns:r="http://schemas.openxmlformats.org/officeDocument/2006/relationships" ref="O1171" r:id="rId2339"/>
    <hyperlink xmlns:r="http://schemas.openxmlformats.org/officeDocument/2006/relationships" ref="P1171" r:id="rId2340"/>
    <hyperlink xmlns:r="http://schemas.openxmlformats.org/officeDocument/2006/relationships" ref="O1172" r:id="rId2341"/>
    <hyperlink xmlns:r="http://schemas.openxmlformats.org/officeDocument/2006/relationships" ref="P1172" r:id="rId2342"/>
    <hyperlink xmlns:r="http://schemas.openxmlformats.org/officeDocument/2006/relationships" ref="O1173" r:id="rId2343"/>
    <hyperlink xmlns:r="http://schemas.openxmlformats.org/officeDocument/2006/relationships" ref="P1173" r:id="rId2344"/>
    <hyperlink xmlns:r="http://schemas.openxmlformats.org/officeDocument/2006/relationships" ref="O1174" r:id="rId2345"/>
    <hyperlink xmlns:r="http://schemas.openxmlformats.org/officeDocument/2006/relationships" ref="P1174" r:id="rId2346"/>
    <hyperlink xmlns:r="http://schemas.openxmlformats.org/officeDocument/2006/relationships" ref="O1175" r:id="rId2347"/>
    <hyperlink xmlns:r="http://schemas.openxmlformats.org/officeDocument/2006/relationships" ref="P1175" r:id="rId2348"/>
    <hyperlink xmlns:r="http://schemas.openxmlformats.org/officeDocument/2006/relationships" ref="O1176" r:id="rId2349"/>
    <hyperlink xmlns:r="http://schemas.openxmlformats.org/officeDocument/2006/relationships" ref="P1176" r:id="rId2350"/>
    <hyperlink xmlns:r="http://schemas.openxmlformats.org/officeDocument/2006/relationships" ref="O1177" r:id="rId2351"/>
    <hyperlink xmlns:r="http://schemas.openxmlformats.org/officeDocument/2006/relationships" ref="P1177" r:id="rId2352"/>
    <hyperlink xmlns:r="http://schemas.openxmlformats.org/officeDocument/2006/relationships" ref="O1178" r:id="rId2353"/>
    <hyperlink xmlns:r="http://schemas.openxmlformats.org/officeDocument/2006/relationships" ref="P1178" r:id="rId2354"/>
    <hyperlink xmlns:r="http://schemas.openxmlformats.org/officeDocument/2006/relationships" ref="O1179" r:id="rId2355"/>
    <hyperlink xmlns:r="http://schemas.openxmlformats.org/officeDocument/2006/relationships" ref="P1179" r:id="rId2356"/>
    <hyperlink xmlns:r="http://schemas.openxmlformats.org/officeDocument/2006/relationships" ref="O1180" r:id="rId2357"/>
    <hyperlink xmlns:r="http://schemas.openxmlformats.org/officeDocument/2006/relationships" ref="P1180" r:id="rId2358"/>
    <hyperlink xmlns:r="http://schemas.openxmlformats.org/officeDocument/2006/relationships" ref="O1181" r:id="rId2359"/>
    <hyperlink xmlns:r="http://schemas.openxmlformats.org/officeDocument/2006/relationships" ref="P1181" r:id="rId2360"/>
    <hyperlink xmlns:r="http://schemas.openxmlformats.org/officeDocument/2006/relationships" ref="O1182" r:id="rId2361"/>
    <hyperlink xmlns:r="http://schemas.openxmlformats.org/officeDocument/2006/relationships" ref="P1182" r:id="rId2362"/>
    <hyperlink xmlns:r="http://schemas.openxmlformats.org/officeDocument/2006/relationships" ref="O1183" r:id="rId2363"/>
    <hyperlink xmlns:r="http://schemas.openxmlformats.org/officeDocument/2006/relationships" ref="P1183" r:id="rId2364"/>
    <hyperlink xmlns:r="http://schemas.openxmlformats.org/officeDocument/2006/relationships" ref="O1184" r:id="rId2365"/>
    <hyperlink xmlns:r="http://schemas.openxmlformats.org/officeDocument/2006/relationships" ref="P1184" r:id="rId2366"/>
    <hyperlink xmlns:r="http://schemas.openxmlformats.org/officeDocument/2006/relationships" ref="O1185" r:id="rId2367"/>
    <hyperlink xmlns:r="http://schemas.openxmlformats.org/officeDocument/2006/relationships" ref="P1185" r:id="rId2368"/>
    <hyperlink xmlns:r="http://schemas.openxmlformats.org/officeDocument/2006/relationships" ref="O1186" r:id="rId2369"/>
    <hyperlink xmlns:r="http://schemas.openxmlformats.org/officeDocument/2006/relationships" ref="P1186" r:id="rId2370"/>
    <hyperlink xmlns:r="http://schemas.openxmlformats.org/officeDocument/2006/relationships" ref="O1187" r:id="rId2371"/>
    <hyperlink xmlns:r="http://schemas.openxmlformats.org/officeDocument/2006/relationships" ref="P1187" r:id="rId2372"/>
    <hyperlink xmlns:r="http://schemas.openxmlformats.org/officeDocument/2006/relationships" ref="O1188" r:id="rId2373"/>
    <hyperlink xmlns:r="http://schemas.openxmlformats.org/officeDocument/2006/relationships" ref="P1188" r:id="rId2374"/>
    <hyperlink xmlns:r="http://schemas.openxmlformats.org/officeDocument/2006/relationships" ref="O1189" r:id="rId2375"/>
    <hyperlink xmlns:r="http://schemas.openxmlformats.org/officeDocument/2006/relationships" ref="P1189" r:id="rId2376"/>
    <hyperlink xmlns:r="http://schemas.openxmlformats.org/officeDocument/2006/relationships" ref="O1190" r:id="rId2377"/>
    <hyperlink xmlns:r="http://schemas.openxmlformats.org/officeDocument/2006/relationships" ref="P1190" r:id="rId2378"/>
    <hyperlink xmlns:r="http://schemas.openxmlformats.org/officeDocument/2006/relationships" ref="O1191" r:id="rId2379"/>
    <hyperlink xmlns:r="http://schemas.openxmlformats.org/officeDocument/2006/relationships" ref="P1191" r:id="rId2380"/>
    <hyperlink xmlns:r="http://schemas.openxmlformats.org/officeDocument/2006/relationships" ref="O1192" r:id="rId2381"/>
    <hyperlink xmlns:r="http://schemas.openxmlformats.org/officeDocument/2006/relationships" ref="P1192" r:id="rId2382"/>
    <hyperlink xmlns:r="http://schemas.openxmlformats.org/officeDocument/2006/relationships" ref="O1193" r:id="rId2383"/>
    <hyperlink xmlns:r="http://schemas.openxmlformats.org/officeDocument/2006/relationships" ref="P1193" r:id="rId2384"/>
    <hyperlink xmlns:r="http://schemas.openxmlformats.org/officeDocument/2006/relationships" ref="O1194" r:id="rId2385"/>
    <hyperlink xmlns:r="http://schemas.openxmlformats.org/officeDocument/2006/relationships" ref="P1194" r:id="rId2386"/>
    <hyperlink xmlns:r="http://schemas.openxmlformats.org/officeDocument/2006/relationships" ref="O1195" r:id="rId2387"/>
    <hyperlink xmlns:r="http://schemas.openxmlformats.org/officeDocument/2006/relationships" ref="P1195" r:id="rId2388"/>
    <hyperlink xmlns:r="http://schemas.openxmlformats.org/officeDocument/2006/relationships" ref="O1196" r:id="rId2389"/>
    <hyperlink xmlns:r="http://schemas.openxmlformats.org/officeDocument/2006/relationships" ref="P1196" r:id="rId2390"/>
    <hyperlink xmlns:r="http://schemas.openxmlformats.org/officeDocument/2006/relationships" ref="O1197" r:id="rId2391"/>
    <hyperlink xmlns:r="http://schemas.openxmlformats.org/officeDocument/2006/relationships" ref="P1197" r:id="rId2392"/>
    <hyperlink xmlns:r="http://schemas.openxmlformats.org/officeDocument/2006/relationships" ref="O1198" r:id="rId2393"/>
    <hyperlink xmlns:r="http://schemas.openxmlformats.org/officeDocument/2006/relationships" ref="P1198" r:id="rId2394"/>
    <hyperlink xmlns:r="http://schemas.openxmlformats.org/officeDocument/2006/relationships" ref="O1199" r:id="rId2395"/>
    <hyperlink xmlns:r="http://schemas.openxmlformats.org/officeDocument/2006/relationships" ref="P1199" r:id="rId2396"/>
    <hyperlink xmlns:r="http://schemas.openxmlformats.org/officeDocument/2006/relationships" ref="O1200" r:id="rId2397"/>
    <hyperlink xmlns:r="http://schemas.openxmlformats.org/officeDocument/2006/relationships" ref="P1200" r:id="rId2398"/>
    <hyperlink xmlns:r="http://schemas.openxmlformats.org/officeDocument/2006/relationships" ref="O1201" r:id="rId2399"/>
    <hyperlink xmlns:r="http://schemas.openxmlformats.org/officeDocument/2006/relationships" ref="P1201" r:id="rId2400"/>
    <hyperlink xmlns:r="http://schemas.openxmlformats.org/officeDocument/2006/relationships" ref="O1202" r:id="rId2401"/>
    <hyperlink xmlns:r="http://schemas.openxmlformats.org/officeDocument/2006/relationships" ref="P1202" r:id="rId2402"/>
    <hyperlink xmlns:r="http://schemas.openxmlformats.org/officeDocument/2006/relationships" ref="O1203" r:id="rId2403"/>
    <hyperlink xmlns:r="http://schemas.openxmlformats.org/officeDocument/2006/relationships" ref="P1203" r:id="rId2404"/>
    <hyperlink xmlns:r="http://schemas.openxmlformats.org/officeDocument/2006/relationships" ref="O1204" r:id="rId2405"/>
    <hyperlink xmlns:r="http://schemas.openxmlformats.org/officeDocument/2006/relationships" ref="P1204" r:id="rId2406"/>
    <hyperlink xmlns:r="http://schemas.openxmlformats.org/officeDocument/2006/relationships" ref="O1205" r:id="rId2407"/>
    <hyperlink xmlns:r="http://schemas.openxmlformats.org/officeDocument/2006/relationships" ref="P1205" r:id="rId2408"/>
    <hyperlink xmlns:r="http://schemas.openxmlformats.org/officeDocument/2006/relationships" ref="O1206" r:id="rId2409"/>
    <hyperlink xmlns:r="http://schemas.openxmlformats.org/officeDocument/2006/relationships" ref="P1206" r:id="rId2410"/>
    <hyperlink xmlns:r="http://schemas.openxmlformats.org/officeDocument/2006/relationships" ref="O1207" r:id="rId2411"/>
    <hyperlink xmlns:r="http://schemas.openxmlformats.org/officeDocument/2006/relationships" ref="P1207" r:id="rId2412"/>
    <hyperlink xmlns:r="http://schemas.openxmlformats.org/officeDocument/2006/relationships" ref="O1208" r:id="rId2413"/>
    <hyperlink xmlns:r="http://schemas.openxmlformats.org/officeDocument/2006/relationships" ref="P1208" r:id="rId2414"/>
    <hyperlink xmlns:r="http://schemas.openxmlformats.org/officeDocument/2006/relationships" ref="O1209" r:id="rId2415"/>
    <hyperlink xmlns:r="http://schemas.openxmlformats.org/officeDocument/2006/relationships" ref="P1209" r:id="rId2416"/>
    <hyperlink xmlns:r="http://schemas.openxmlformats.org/officeDocument/2006/relationships" ref="O1210" r:id="rId2417"/>
    <hyperlink xmlns:r="http://schemas.openxmlformats.org/officeDocument/2006/relationships" ref="P1210" r:id="rId2418"/>
    <hyperlink xmlns:r="http://schemas.openxmlformats.org/officeDocument/2006/relationships" ref="O1211" r:id="rId2419"/>
    <hyperlink xmlns:r="http://schemas.openxmlformats.org/officeDocument/2006/relationships" ref="P1211" r:id="rId2420"/>
    <hyperlink xmlns:r="http://schemas.openxmlformats.org/officeDocument/2006/relationships" ref="O1212" r:id="rId2421"/>
    <hyperlink xmlns:r="http://schemas.openxmlformats.org/officeDocument/2006/relationships" ref="P1212" r:id="rId2422"/>
    <hyperlink xmlns:r="http://schemas.openxmlformats.org/officeDocument/2006/relationships" ref="O1213" r:id="rId2423"/>
    <hyperlink xmlns:r="http://schemas.openxmlformats.org/officeDocument/2006/relationships" ref="P1213" r:id="rId2424"/>
    <hyperlink xmlns:r="http://schemas.openxmlformats.org/officeDocument/2006/relationships" ref="O1214" r:id="rId2425"/>
    <hyperlink xmlns:r="http://schemas.openxmlformats.org/officeDocument/2006/relationships" ref="P1214" r:id="rId2426"/>
    <hyperlink xmlns:r="http://schemas.openxmlformats.org/officeDocument/2006/relationships" ref="O1215" r:id="rId2427"/>
    <hyperlink xmlns:r="http://schemas.openxmlformats.org/officeDocument/2006/relationships" ref="P1215" r:id="rId2428"/>
    <hyperlink xmlns:r="http://schemas.openxmlformats.org/officeDocument/2006/relationships" ref="O1216" r:id="rId2429"/>
    <hyperlink xmlns:r="http://schemas.openxmlformats.org/officeDocument/2006/relationships" ref="P1216" r:id="rId2430"/>
    <hyperlink xmlns:r="http://schemas.openxmlformats.org/officeDocument/2006/relationships" ref="O1217" r:id="rId2431"/>
    <hyperlink xmlns:r="http://schemas.openxmlformats.org/officeDocument/2006/relationships" ref="P1217" r:id="rId2432"/>
    <hyperlink xmlns:r="http://schemas.openxmlformats.org/officeDocument/2006/relationships" ref="O1218" r:id="rId2433"/>
    <hyperlink xmlns:r="http://schemas.openxmlformats.org/officeDocument/2006/relationships" ref="P1218" r:id="rId2434"/>
    <hyperlink xmlns:r="http://schemas.openxmlformats.org/officeDocument/2006/relationships" ref="O1219" r:id="rId2435"/>
    <hyperlink xmlns:r="http://schemas.openxmlformats.org/officeDocument/2006/relationships" ref="P1219" r:id="rId2436"/>
    <hyperlink xmlns:r="http://schemas.openxmlformats.org/officeDocument/2006/relationships" ref="O1220" r:id="rId2437"/>
    <hyperlink xmlns:r="http://schemas.openxmlformats.org/officeDocument/2006/relationships" ref="P1220" r:id="rId2438"/>
    <hyperlink xmlns:r="http://schemas.openxmlformats.org/officeDocument/2006/relationships" ref="O1221" r:id="rId2439"/>
    <hyperlink xmlns:r="http://schemas.openxmlformats.org/officeDocument/2006/relationships" ref="P1221" r:id="rId2440"/>
    <hyperlink xmlns:r="http://schemas.openxmlformats.org/officeDocument/2006/relationships" ref="O1222" r:id="rId2441"/>
    <hyperlink xmlns:r="http://schemas.openxmlformats.org/officeDocument/2006/relationships" ref="P1222" r:id="rId2442"/>
    <hyperlink xmlns:r="http://schemas.openxmlformats.org/officeDocument/2006/relationships" ref="O1223" r:id="rId2443"/>
    <hyperlink xmlns:r="http://schemas.openxmlformats.org/officeDocument/2006/relationships" ref="P1223" r:id="rId2444"/>
    <hyperlink xmlns:r="http://schemas.openxmlformats.org/officeDocument/2006/relationships" ref="O1224" r:id="rId2445"/>
    <hyperlink xmlns:r="http://schemas.openxmlformats.org/officeDocument/2006/relationships" ref="P1224" r:id="rId2446"/>
    <hyperlink xmlns:r="http://schemas.openxmlformats.org/officeDocument/2006/relationships" ref="O1225" r:id="rId2447"/>
    <hyperlink xmlns:r="http://schemas.openxmlformats.org/officeDocument/2006/relationships" ref="P1225" r:id="rId2448"/>
    <hyperlink xmlns:r="http://schemas.openxmlformats.org/officeDocument/2006/relationships" ref="O1226" r:id="rId2449"/>
    <hyperlink xmlns:r="http://schemas.openxmlformats.org/officeDocument/2006/relationships" ref="P1226" r:id="rId2450"/>
    <hyperlink xmlns:r="http://schemas.openxmlformats.org/officeDocument/2006/relationships" ref="O1227" r:id="rId2451"/>
    <hyperlink xmlns:r="http://schemas.openxmlformats.org/officeDocument/2006/relationships" ref="P1227" r:id="rId2452"/>
    <hyperlink xmlns:r="http://schemas.openxmlformats.org/officeDocument/2006/relationships" ref="O1228" r:id="rId2453"/>
    <hyperlink xmlns:r="http://schemas.openxmlformats.org/officeDocument/2006/relationships" ref="P1228" r:id="rId2454"/>
    <hyperlink xmlns:r="http://schemas.openxmlformats.org/officeDocument/2006/relationships" ref="O1229" r:id="rId2455"/>
    <hyperlink xmlns:r="http://schemas.openxmlformats.org/officeDocument/2006/relationships" ref="P1229" r:id="rId2456"/>
    <hyperlink xmlns:r="http://schemas.openxmlformats.org/officeDocument/2006/relationships" ref="O1230" r:id="rId2457"/>
    <hyperlink xmlns:r="http://schemas.openxmlformats.org/officeDocument/2006/relationships" ref="P1230" r:id="rId2458"/>
    <hyperlink xmlns:r="http://schemas.openxmlformats.org/officeDocument/2006/relationships" ref="O1231" r:id="rId2459"/>
    <hyperlink xmlns:r="http://schemas.openxmlformats.org/officeDocument/2006/relationships" ref="P1231" r:id="rId2460"/>
    <hyperlink xmlns:r="http://schemas.openxmlformats.org/officeDocument/2006/relationships" ref="O1232" r:id="rId2461"/>
    <hyperlink xmlns:r="http://schemas.openxmlformats.org/officeDocument/2006/relationships" ref="P1232" r:id="rId2462"/>
    <hyperlink xmlns:r="http://schemas.openxmlformats.org/officeDocument/2006/relationships" ref="O1233" r:id="rId2463"/>
    <hyperlink xmlns:r="http://schemas.openxmlformats.org/officeDocument/2006/relationships" ref="P1233" r:id="rId2464"/>
    <hyperlink xmlns:r="http://schemas.openxmlformats.org/officeDocument/2006/relationships" ref="O1234" r:id="rId2465"/>
    <hyperlink xmlns:r="http://schemas.openxmlformats.org/officeDocument/2006/relationships" ref="P1234" r:id="rId2466"/>
    <hyperlink xmlns:r="http://schemas.openxmlformats.org/officeDocument/2006/relationships" ref="O1235" r:id="rId2467"/>
    <hyperlink xmlns:r="http://schemas.openxmlformats.org/officeDocument/2006/relationships" ref="P1235" r:id="rId2468"/>
    <hyperlink xmlns:r="http://schemas.openxmlformats.org/officeDocument/2006/relationships" ref="O1236" r:id="rId2469"/>
    <hyperlink xmlns:r="http://schemas.openxmlformats.org/officeDocument/2006/relationships" ref="P1236" r:id="rId2470"/>
    <hyperlink xmlns:r="http://schemas.openxmlformats.org/officeDocument/2006/relationships" ref="O1237" r:id="rId2471"/>
    <hyperlink xmlns:r="http://schemas.openxmlformats.org/officeDocument/2006/relationships" ref="P1237" r:id="rId2472"/>
    <hyperlink xmlns:r="http://schemas.openxmlformats.org/officeDocument/2006/relationships" ref="O1238" r:id="rId2473"/>
    <hyperlink xmlns:r="http://schemas.openxmlformats.org/officeDocument/2006/relationships" ref="P1238" r:id="rId2474"/>
    <hyperlink xmlns:r="http://schemas.openxmlformats.org/officeDocument/2006/relationships" ref="O1239" r:id="rId2475"/>
    <hyperlink xmlns:r="http://schemas.openxmlformats.org/officeDocument/2006/relationships" ref="P1239" r:id="rId2476"/>
    <hyperlink xmlns:r="http://schemas.openxmlformats.org/officeDocument/2006/relationships" ref="O1240" r:id="rId2477"/>
    <hyperlink xmlns:r="http://schemas.openxmlformats.org/officeDocument/2006/relationships" ref="P1240" r:id="rId2478"/>
    <hyperlink xmlns:r="http://schemas.openxmlformats.org/officeDocument/2006/relationships" ref="O1241" r:id="rId2479"/>
    <hyperlink xmlns:r="http://schemas.openxmlformats.org/officeDocument/2006/relationships" ref="P1241" r:id="rId2480"/>
    <hyperlink xmlns:r="http://schemas.openxmlformats.org/officeDocument/2006/relationships" ref="O1242" r:id="rId2481"/>
    <hyperlink xmlns:r="http://schemas.openxmlformats.org/officeDocument/2006/relationships" ref="P1242" r:id="rId2482"/>
    <hyperlink xmlns:r="http://schemas.openxmlformats.org/officeDocument/2006/relationships" ref="O1243" r:id="rId2483"/>
    <hyperlink xmlns:r="http://schemas.openxmlformats.org/officeDocument/2006/relationships" ref="P1243" r:id="rId2484"/>
    <hyperlink xmlns:r="http://schemas.openxmlformats.org/officeDocument/2006/relationships" ref="O1244" r:id="rId2485"/>
    <hyperlink xmlns:r="http://schemas.openxmlformats.org/officeDocument/2006/relationships" ref="P1244" r:id="rId2486"/>
    <hyperlink xmlns:r="http://schemas.openxmlformats.org/officeDocument/2006/relationships" ref="O1245" r:id="rId2487"/>
    <hyperlink xmlns:r="http://schemas.openxmlformats.org/officeDocument/2006/relationships" ref="P1245" r:id="rId2488"/>
    <hyperlink xmlns:r="http://schemas.openxmlformats.org/officeDocument/2006/relationships" ref="O1246" r:id="rId2489"/>
    <hyperlink xmlns:r="http://schemas.openxmlformats.org/officeDocument/2006/relationships" ref="P1246" r:id="rId2490"/>
    <hyperlink xmlns:r="http://schemas.openxmlformats.org/officeDocument/2006/relationships" ref="O1247" r:id="rId2491"/>
    <hyperlink xmlns:r="http://schemas.openxmlformats.org/officeDocument/2006/relationships" ref="P1247" r:id="rId2492"/>
    <hyperlink xmlns:r="http://schemas.openxmlformats.org/officeDocument/2006/relationships" ref="O1248" r:id="rId2493"/>
    <hyperlink xmlns:r="http://schemas.openxmlformats.org/officeDocument/2006/relationships" ref="P1248" r:id="rId2494"/>
    <hyperlink xmlns:r="http://schemas.openxmlformats.org/officeDocument/2006/relationships" ref="O1249" r:id="rId2495"/>
    <hyperlink xmlns:r="http://schemas.openxmlformats.org/officeDocument/2006/relationships" ref="P1249" r:id="rId2496"/>
    <hyperlink xmlns:r="http://schemas.openxmlformats.org/officeDocument/2006/relationships" ref="O1250" r:id="rId2497"/>
    <hyperlink xmlns:r="http://schemas.openxmlformats.org/officeDocument/2006/relationships" ref="P1250" r:id="rId2498"/>
    <hyperlink xmlns:r="http://schemas.openxmlformats.org/officeDocument/2006/relationships" ref="O1251" r:id="rId2499"/>
    <hyperlink xmlns:r="http://schemas.openxmlformats.org/officeDocument/2006/relationships" ref="P1251" r:id="rId2500"/>
    <hyperlink xmlns:r="http://schemas.openxmlformats.org/officeDocument/2006/relationships" ref="O1252" r:id="rId2501"/>
    <hyperlink xmlns:r="http://schemas.openxmlformats.org/officeDocument/2006/relationships" ref="P1252" r:id="rId2502"/>
    <hyperlink xmlns:r="http://schemas.openxmlformats.org/officeDocument/2006/relationships" ref="O1253" r:id="rId2503"/>
    <hyperlink xmlns:r="http://schemas.openxmlformats.org/officeDocument/2006/relationships" ref="P1253" r:id="rId2504"/>
    <hyperlink xmlns:r="http://schemas.openxmlformats.org/officeDocument/2006/relationships" ref="O1254" r:id="rId2505"/>
    <hyperlink xmlns:r="http://schemas.openxmlformats.org/officeDocument/2006/relationships" ref="P1254" r:id="rId2506"/>
    <hyperlink xmlns:r="http://schemas.openxmlformats.org/officeDocument/2006/relationships" ref="O1255" r:id="rId2507"/>
    <hyperlink xmlns:r="http://schemas.openxmlformats.org/officeDocument/2006/relationships" ref="P1255" r:id="rId2508"/>
    <hyperlink xmlns:r="http://schemas.openxmlformats.org/officeDocument/2006/relationships" ref="O1256" r:id="rId2509"/>
    <hyperlink xmlns:r="http://schemas.openxmlformats.org/officeDocument/2006/relationships" ref="P1256" r:id="rId2510"/>
    <hyperlink xmlns:r="http://schemas.openxmlformats.org/officeDocument/2006/relationships" ref="O1257" r:id="rId2511"/>
    <hyperlink xmlns:r="http://schemas.openxmlformats.org/officeDocument/2006/relationships" ref="P1257" r:id="rId2512"/>
    <hyperlink xmlns:r="http://schemas.openxmlformats.org/officeDocument/2006/relationships" ref="O1258" r:id="rId2513"/>
    <hyperlink xmlns:r="http://schemas.openxmlformats.org/officeDocument/2006/relationships" ref="P1258" r:id="rId2514"/>
    <hyperlink xmlns:r="http://schemas.openxmlformats.org/officeDocument/2006/relationships" ref="O1259" r:id="rId2515"/>
    <hyperlink xmlns:r="http://schemas.openxmlformats.org/officeDocument/2006/relationships" ref="P1259" r:id="rId2516"/>
    <hyperlink xmlns:r="http://schemas.openxmlformats.org/officeDocument/2006/relationships" ref="O1260" r:id="rId2517"/>
    <hyperlink xmlns:r="http://schemas.openxmlformats.org/officeDocument/2006/relationships" ref="P1260" r:id="rId2518"/>
    <hyperlink xmlns:r="http://schemas.openxmlformats.org/officeDocument/2006/relationships" ref="O1261" r:id="rId2519"/>
    <hyperlink xmlns:r="http://schemas.openxmlformats.org/officeDocument/2006/relationships" ref="P1261" r:id="rId2520"/>
    <hyperlink xmlns:r="http://schemas.openxmlformats.org/officeDocument/2006/relationships" ref="O1262" r:id="rId2521"/>
    <hyperlink xmlns:r="http://schemas.openxmlformats.org/officeDocument/2006/relationships" ref="P1262" r:id="rId2522"/>
    <hyperlink xmlns:r="http://schemas.openxmlformats.org/officeDocument/2006/relationships" ref="O1263" r:id="rId2523"/>
    <hyperlink xmlns:r="http://schemas.openxmlformats.org/officeDocument/2006/relationships" ref="P1263" r:id="rId2524"/>
    <hyperlink xmlns:r="http://schemas.openxmlformats.org/officeDocument/2006/relationships" ref="O1264" r:id="rId2525"/>
    <hyperlink xmlns:r="http://schemas.openxmlformats.org/officeDocument/2006/relationships" ref="P1264" r:id="rId2526"/>
    <hyperlink xmlns:r="http://schemas.openxmlformats.org/officeDocument/2006/relationships" ref="O1265" r:id="rId2527"/>
    <hyperlink xmlns:r="http://schemas.openxmlformats.org/officeDocument/2006/relationships" ref="P1265" r:id="rId2528"/>
    <hyperlink xmlns:r="http://schemas.openxmlformats.org/officeDocument/2006/relationships" ref="O1266" r:id="rId2529"/>
    <hyperlink xmlns:r="http://schemas.openxmlformats.org/officeDocument/2006/relationships" ref="P1266" r:id="rId2530"/>
    <hyperlink xmlns:r="http://schemas.openxmlformats.org/officeDocument/2006/relationships" ref="O1267" r:id="rId2531"/>
    <hyperlink xmlns:r="http://schemas.openxmlformats.org/officeDocument/2006/relationships" ref="P1267" r:id="rId2532"/>
    <hyperlink xmlns:r="http://schemas.openxmlformats.org/officeDocument/2006/relationships" ref="O1268" r:id="rId2533"/>
    <hyperlink xmlns:r="http://schemas.openxmlformats.org/officeDocument/2006/relationships" ref="P1268" r:id="rId2534"/>
    <hyperlink xmlns:r="http://schemas.openxmlformats.org/officeDocument/2006/relationships" ref="O1269" r:id="rId2535"/>
    <hyperlink xmlns:r="http://schemas.openxmlformats.org/officeDocument/2006/relationships" ref="P1269" r:id="rId2536"/>
    <hyperlink xmlns:r="http://schemas.openxmlformats.org/officeDocument/2006/relationships" ref="O1270" r:id="rId2537"/>
    <hyperlink xmlns:r="http://schemas.openxmlformats.org/officeDocument/2006/relationships" ref="P1270" r:id="rId2538"/>
    <hyperlink xmlns:r="http://schemas.openxmlformats.org/officeDocument/2006/relationships" ref="O1271" r:id="rId2539"/>
    <hyperlink xmlns:r="http://schemas.openxmlformats.org/officeDocument/2006/relationships" ref="P1271" r:id="rId2540"/>
    <hyperlink xmlns:r="http://schemas.openxmlformats.org/officeDocument/2006/relationships" ref="O1272" r:id="rId2541"/>
    <hyperlink xmlns:r="http://schemas.openxmlformats.org/officeDocument/2006/relationships" ref="P1272" r:id="rId2542"/>
    <hyperlink xmlns:r="http://schemas.openxmlformats.org/officeDocument/2006/relationships" ref="O1273" r:id="rId2543"/>
    <hyperlink xmlns:r="http://schemas.openxmlformats.org/officeDocument/2006/relationships" ref="P1273" r:id="rId2544"/>
    <hyperlink xmlns:r="http://schemas.openxmlformats.org/officeDocument/2006/relationships" ref="O1274" r:id="rId2545"/>
    <hyperlink xmlns:r="http://schemas.openxmlformats.org/officeDocument/2006/relationships" ref="P1274" r:id="rId2546"/>
    <hyperlink xmlns:r="http://schemas.openxmlformats.org/officeDocument/2006/relationships" ref="O1275" r:id="rId2547"/>
    <hyperlink xmlns:r="http://schemas.openxmlformats.org/officeDocument/2006/relationships" ref="P1275" r:id="rId2548"/>
    <hyperlink xmlns:r="http://schemas.openxmlformats.org/officeDocument/2006/relationships" ref="O1276" r:id="rId2549"/>
    <hyperlink xmlns:r="http://schemas.openxmlformats.org/officeDocument/2006/relationships" ref="P1276" r:id="rId2550"/>
    <hyperlink xmlns:r="http://schemas.openxmlformats.org/officeDocument/2006/relationships" ref="O1277" r:id="rId2551"/>
    <hyperlink xmlns:r="http://schemas.openxmlformats.org/officeDocument/2006/relationships" ref="P1277" r:id="rId2552"/>
    <hyperlink xmlns:r="http://schemas.openxmlformats.org/officeDocument/2006/relationships" ref="O1278" r:id="rId2553"/>
    <hyperlink xmlns:r="http://schemas.openxmlformats.org/officeDocument/2006/relationships" ref="P1278" r:id="rId2554"/>
    <hyperlink xmlns:r="http://schemas.openxmlformats.org/officeDocument/2006/relationships" ref="O1279" r:id="rId2555"/>
    <hyperlink xmlns:r="http://schemas.openxmlformats.org/officeDocument/2006/relationships" ref="P1279" r:id="rId2556"/>
    <hyperlink xmlns:r="http://schemas.openxmlformats.org/officeDocument/2006/relationships" ref="O1280" r:id="rId2557"/>
    <hyperlink xmlns:r="http://schemas.openxmlformats.org/officeDocument/2006/relationships" ref="P1280" r:id="rId2558"/>
    <hyperlink xmlns:r="http://schemas.openxmlformats.org/officeDocument/2006/relationships" ref="O1281" r:id="rId2559"/>
    <hyperlink xmlns:r="http://schemas.openxmlformats.org/officeDocument/2006/relationships" ref="P1281" r:id="rId2560"/>
    <hyperlink xmlns:r="http://schemas.openxmlformats.org/officeDocument/2006/relationships" ref="O1282" r:id="rId2561"/>
    <hyperlink xmlns:r="http://schemas.openxmlformats.org/officeDocument/2006/relationships" ref="P1282" r:id="rId2562"/>
    <hyperlink xmlns:r="http://schemas.openxmlformats.org/officeDocument/2006/relationships" ref="O1283" r:id="rId2563"/>
    <hyperlink xmlns:r="http://schemas.openxmlformats.org/officeDocument/2006/relationships" ref="P1283" r:id="rId2564"/>
    <hyperlink xmlns:r="http://schemas.openxmlformats.org/officeDocument/2006/relationships" ref="O1284" r:id="rId2565"/>
    <hyperlink xmlns:r="http://schemas.openxmlformats.org/officeDocument/2006/relationships" ref="P1284" r:id="rId2566"/>
    <hyperlink xmlns:r="http://schemas.openxmlformats.org/officeDocument/2006/relationships" ref="O1285" r:id="rId2567"/>
    <hyperlink xmlns:r="http://schemas.openxmlformats.org/officeDocument/2006/relationships" ref="P1285" r:id="rId2568"/>
    <hyperlink xmlns:r="http://schemas.openxmlformats.org/officeDocument/2006/relationships" ref="O1286" r:id="rId2569"/>
    <hyperlink xmlns:r="http://schemas.openxmlformats.org/officeDocument/2006/relationships" ref="P1286" r:id="rId2570"/>
    <hyperlink xmlns:r="http://schemas.openxmlformats.org/officeDocument/2006/relationships" ref="O1287" r:id="rId2571"/>
    <hyperlink xmlns:r="http://schemas.openxmlformats.org/officeDocument/2006/relationships" ref="P1287" r:id="rId2572"/>
    <hyperlink xmlns:r="http://schemas.openxmlformats.org/officeDocument/2006/relationships" ref="O1288" r:id="rId2573"/>
    <hyperlink xmlns:r="http://schemas.openxmlformats.org/officeDocument/2006/relationships" ref="P1288" r:id="rId2574"/>
    <hyperlink xmlns:r="http://schemas.openxmlformats.org/officeDocument/2006/relationships" ref="O1289" r:id="rId2575"/>
    <hyperlink xmlns:r="http://schemas.openxmlformats.org/officeDocument/2006/relationships" ref="P1289" r:id="rId2576"/>
    <hyperlink xmlns:r="http://schemas.openxmlformats.org/officeDocument/2006/relationships" ref="O1290" r:id="rId2577"/>
    <hyperlink xmlns:r="http://schemas.openxmlformats.org/officeDocument/2006/relationships" ref="P1290" r:id="rId2578"/>
    <hyperlink xmlns:r="http://schemas.openxmlformats.org/officeDocument/2006/relationships" ref="O1291" r:id="rId2579"/>
    <hyperlink xmlns:r="http://schemas.openxmlformats.org/officeDocument/2006/relationships" ref="P1291" r:id="rId2580"/>
    <hyperlink xmlns:r="http://schemas.openxmlformats.org/officeDocument/2006/relationships" ref="O1292" r:id="rId2581"/>
    <hyperlink xmlns:r="http://schemas.openxmlformats.org/officeDocument/2006/relationships" ref="P1292" r:id="rId2582"/>
    <hyperlink xmlns:r="http://schemas.openxmlformats.org/officeDocument/2006/relationships" ref="O1293" r:id="rId2583"/>
    <hyperlink xmlns:r="http://schemas.openxmlformats.org/officeDocument/2006/relationships" ref="P1293" r:id="rId2584"/>
    <hyperlink xmlns:r="http://schemas.openxmlformats.org/officeDocument/2006/relationships" ref="O1294" r:id="rId2585"/>
    <hyperlink xmlns:r="http://schemas.openxmlformats.org/officeDocument/2006/relationships" ref="P1294" r:id="rId2586"/>
    <hyperlink xmlns:r="http://schemas.openxmlformats.org/officeDocument/2006/relationships" ref="O1295" r:id="rId2587"/>
    <hyperlink xmlns:r="http://schemas.openxmlformats.org/officeDocument/2006/relationships" ref="P1295" r:id="rId2588"/>
    <hyperlink xmlns:r="http://schemas.openxmlformats.org/officeDocument/2006/relationships" ref="O1296" r:id="rId2589"/>
    <hyperlink xmlns:r="http://schemas.openxmlformats.org/officeDocument/2006/relationships" ref="P1296" r:id="rId2590"/>
    <hyperlink xmlns:r="http://schemas.openxmlformats.org/officeDocument/2006/relationships" ref="O1297" r:id="rId2591"/>
    <hyperlink xmlns:r="http://schemas.openxmlformats.org/officeDocument/2006/relationships" ref="P1297" r:id="rId2592"/>
    <hyperlink xmlns:r="http://schemas.openxmlformats.org/officeDocument/2006/relationships" ref="O1298" r:id="rId2593"/>
    <hyperlink xmlns:r="http://schemas.openxmlformats.org/officeDocument/2006/relationships" ref="P1298" r:id="rId2594"/>
    <hyperlink xmlns:r="http://schemas.openxmlformats.org/officeDocument/2006/relationships" ref="O1299" r:id="rId2595"/>
    <hyperlink xmlns:r="http://schemas.openxmlformats.org/officeDocument/2006/relationships" ref="P1299" r:id="rId2596"/>
    <hyperlink xmlns:r="http://schemas.openxmlformats.org/officeDocument/2006/relationships" ref="O1300" r:id="rId2597"/>
    <hyperlink xmlns:r="http://schemas.openxmlformats.org/officeDocument/2006/relationships" ref="P1300" r:id="rId2598"/>
    <hyperlink xmlns:r="http://schemas.openxmlformats.org/officeDocument/2006/relationships" ref="O1301" r:id="rId2599"/>
    <hyperlink xmlns:r="http://schemas.openxmlformats.org/officeDocument/2006/relationships" ref="P1301" r:id="rId2600"/>
    <hyperlink xmlns:r="http://schemas.openxmlformats.org/officeDocument/2006/relationships" ref="O1302" r:id="rId2601"/>
    <hyperlink xmlns:r="http://schemas.openxmlformats.org/officeDocument/2006/relationships" ref="P1302" r:id="rId2602"/>
    <hyperlink xmlns:r="http://schemas.openxmlformats.org/officeDocument/2006/relationships" ref="O1303" r:id="rId2603"/>
    <hyperlink xmlns:r="http://schemas.openxmlformats.org/officeDocument/2006/relationships" ref="P1303" r:id="rId2604"/>
    <hyperlink xmlns:r="http://schemas.openxmlformats.org/officeDocument/2006/relationships" ref="O1304" r:id="rId2605"/>
    <hyperlink xmlns:r="http://schemas.openxmlformats.org/officeDocument/2006/relationships" ref="P1304" r:id="rId2606"/>
    <hyperlink xmlns:r="http://schemas.openxmlformats.org/officeDocument/2006/relationships" ref="O1305" r:id="rId2607"/>
    <hyperlink xmlns:r="http://schemas.openxmlformats.org/officeDocument/2006/relationships" ref="P1305" r:id="rId2608"/>
    <hyperlink xmlns:r="http://schemas.openxmlformats.org/officeDocument/2006/relationships" ref="O1306" r:id="rId2609"/>
    <hyperlink xmlns:r="http://schemas.openxmlformats.org/officeDocument/2006/relationships" ref="P1306" r:id="rId2610"/>
    <hyperlink xmlns:r="http://schemas.openxmlformats.org/officeDocument/2006/relationships" ref="O1307" r:id="rId2611"/>
    <hyperlink xmlns:r="http://schemas.openxmlformats.org/officeDocument/2006/relationships" ref="P1307" r:id="rId2612"/>
    <hyperlink xmlns:r="http://schemas.openxmlformats.org/officeDocument/2006/relationships" ref="O1308" r:id="rId2613"/>
    <hyperlink xmlns:r="http://schemas.openxmlformats.org/officeDocument/2006/relationships" ref="P1308" r:id="rId2614"/>
    <hyperlink xmlns:r="http://schemas.openxmlformats.org/officeDocument/2006/relationships" ref="O1309" r:id="rId2615"/>
    <hyperlink xmlns:r="http://schemas.openxmlformats.org/officeDocument/2006/relationships" ref="P1309" r:id="rId2616"/>
    <hyperlink xmlns:r="http://schemas.openxmlformats.org/officeDocument/2006/relationships" ref="O1310" r:id="rId2617"/>
    <hyperlink xmlns:r="http://schemas.openxmlformats.org/officeDocument/2006/relationships" ref="P1310" r:id="rId2618"/>
    <hyperlink xmlns:r="http://schemas.openxmlformats.org/officeDocument/2006/relationships" ref="O1311" r:id="rId2619"/>
    <hyperlink xmlns:r="http://schemas.openxmlformats.org/officeDocument/2006/relationships" ref="P1311" r:id="rId2620"/>
    <hyperlink xmlns:r="http://schemas.openxmlformats.org/officeDocument/2006/relationships" ref="O1312" r:id="rId2621"/>
    <hyperlink xmlns:r="http://schemas.openxmlformats.org/officeDocument/2006/relationships" ref="P1312" r:id="rId2622"/>
    <hyperlink xmlns:r="http://schemas.openxmlformats.org/officeDocument/2006/relationships" ref="O1313" r:id="rId2623"/>
    <hyperlink xmlns:r="http://schemas.openxmlformats.org/officeDocument/2006/relationships" ref="P1313" r:id="rId2624"/>
    <hyperlink xmlns:r="http://schemas.openxmlformats.org/officeDocument/2006/relationships" ref="O1314" r:id="rId2625"/>
    <hyperlink xmlns:r="http://schemas.openxmlformats.org/officeDocument/2006/relationships" ref="P1314" r:id="rId2626"/>
    <hyperlink xmlns:r="http://schemas.openxmlformats.org/officeDocument/2006/relationships" ref="O1315" r:id="rId2627"/>
    <hyperlink xmlns:r="http://schemas.openxmlformats.org/officeDocument/2006/relationships" ref="P1315" r:id="rId2628"/>
    <hyperlink xmlns:r="http://schemas.openxmlformats.org/officeDocument/2006/relationships" ref="O1316" r:id="rId2629"/>
    <hyperlink xmlns:r="http://schemas.openxmlformats.org/officeDocument/2006/relationships" ref="P1316" r:id="rId2630"/>
    <hyperlink xmlns:r="http://schemas.openxmlformats.org/officeDocument/2006/relationships" ref="O1317" r:id="rId2631"/>
    <hyperlink xmlns:r="http://schemas.openxmlformats.org/officeDocument/2006/relationships" ref="P1317" r:id="rId2632"/>
    <hyperlink xmlns:r="http://schemas.openxmlformats.org/officeDocument/2006/relationships" ref="O1318" r:id="rId2633"/>
    <hyperlink xmlns:r="http://schemas.openxmlformats.org/officeDocument/2006/relationships" ref="P1318" r:id="rId2634"/>
    <hyperlink xmlns:r="http://schemas.openxmlformats.org/officeDocument/2006/relationships" ref="O1319" r:id="rId2635"/>
    <hyperlink xmlns:r="http://schemas.openxmlformats.org/officeDocument/2006/relationships" ref="P1319" r:id="rId2636"/>
    <hyperlink xmlns:r="http://schemas.openxmlformats.org/officeDocument/2006/relationships" ref="O1320" r:id="rId2637"/>
    <hyperlink xmlns:r="http://schemas.openxmlformats.org/officeDocument/2006/relationships" ref="P1320" r:id="rId2638"/>
    <hyperlink xmlns:r="http://schemas.openxmlformats.org/officeDocument/2006/relationships" ref="O1321" r:id="rId2639"/>
    <hyperlink xmlns:r="http://schemas.openxmlformats.org/officeDocument/2006/relationships" ref="P1321" r:id="rId2640"/>
    <hyperlink xmlns:r="http://schemas.openxmlformats.org/officeDocument/2006/relationships" ref="O1322" r:id="rId2641"/>
    <hyperlink xmlns:r="http://schemas.openxmlformats.org/officeDocument/2006/relationships" ref="P1322" r:id="rId2642"/>
    <hyperlink xmlns:r="http://schemas.openxmlformats.org/officeDocument/2006/relationships" ref="O1323" r:id="rId2643"/>
    <hyperlink xmlns:r="http://schemas.openxmlformats.org/officeDocument/2006/relationships" ref="P1323" r:id="rId2644"/>
    <hyperlink xmlns:r="http://schemas.openxmlformats.org/officeDocument/2006/relationships" ref="O1324" r:id="rId2645"/>
    <hyperlink xmlns:r="http://schemas.openxmlformats.org/officeDocument/2006/relationships" ref="P1324" r:id="rId2646"/>
    <hyperlink xmlns:r="http://schemas.openxmlformats.org/officeDocument/2006/relationships" ref="O1325" r:id="rId2647"/>
    <hyperlink xmlns:r="http://schemas.openxmlformats.org/officeDocument/2006/relationships" ref="P1325" r:id="rId2648"/>
    <hyperlink xmlns:r="http://schemas.openxmlformats.org/officeDocument/2006/relationships" ref="O1326" r:id="rId2649"/>
    <hyperlink xmlns:r="http://schemas.openxmlformats.org/officeDocument/2006/relationships" ref="P1326" r:id="rId2650"/>
    <hyperlink xmlns:r="http://schemas.openxmlformats.org/officeDocument/2006/relationships" ref="O1327" r:id="rId2651"/>
    <hyperlink xmlns:r="http://schemas.openxmlformats.org/officeDocument/2006/relationships" ref="P1327" r:id="rId2652"/>
    <hyperlink xmlns:r="http://schemas.openxmlformats.org/officeDocument/2006/relationships" ref="O1328" r:id="rId2653"/>
    <hyperlink xmlns:r="http://schemas.openxmlformats.org/officeDocument/2006/relationships" ref="P1328" r:id="rId2654"/>
    <hyperlink xmlns:r="http://schemas.openxmlformats.org/officeDocument/2006/relationships" ref="O1329" r:id="rId2655"/>
    <hyperlink xmlns:r="http://schemas.openxmlformats.org/officeDocument/2006/relationships" ref="P1329" r:id="rId2656"/>
    <hyperlink xmlns:r="http://schemas.openxmlformats.org/officeDocument/2006/relationships" ref="O1330" r:id="rId2657"/>
    <hyperlink xmlns:r="http://schemas.openxmlformats.org/officeDocument/2006/relationships" ref="P1330" r:id="rId2658"/>
    <hyperlink xmlns:r="http://schemas.openxmlformats.org/officeDocument/2006/relationships" ref="O1331" r:id="rId2659"/>
    <hyperlink xmlns:r="http://schemas.openxmlformats.org/officeDocument/2006/relationships" ref="P1331" r:id="rId2660"/>
    <hyperlink xmlns:r="http://schemas.openxmlformats.org/officeDocument/2006/relationships" ref="O1332" r:id="rId2661"/>
    <hyperlink xmlns:r="http://schemas.openxmlformats.org/officeDocument/2006/relationships" ref="P1332" r:id="rId2662"/>
    <hyperlink xmlns:r="http://schemas.openxmlformats.org/officeDocument/2006/relationships" ref="O1333" r:id="rId2663"/>
    <hyperlink xmlns:r="http://schemas.openxmlformats.org/officeDocument/2006/relationships" ref="P1333" r:id="rId2664"/>
    <hyperlink xmlns:r="http://schemas.openxmlformats.org/officeDocument/2006/relationships" ref="O1334" r:id="rId2665"/>
    <hyperlink xmlns:r="http://schemas.openxmlformats.org/officeDocument/2006/relationships" ref="P1334" r:id="rId2666"/>
    <hyperlink xmlns:r="http://schemas.openxmlformats.org/officeDocument/2006/relationships" ref="O1335" r:id="rId2667"/>
    <hyperlink xmlns:r="http://schemas.openxmlformats.org/officeDocument/2006/relationships" ref="P1335" r:id="rId2668"/>
    <hyperlink xmlns:r="http://schemas.openxmlformats.org/officeDocument/2006/relationships" ref="O1336" r:id="rId2669"/>
    <hyperlink xmlns:r="http://schemas.openxmlformats.org/officeDocument/2006/relationships" ref="P1336" r:id="rId2670"/>
    <hyperlink xmlns:r="http://schemas.openxmlformats.org/officeDocument/2006/relationships" ref="O1337" r:id="rId2671"/>
    <hyperlink xmlns:r="http://schemas.openxmlformats.org/officeDocument/2006/relationships" ref="P1337" r:id="rId2672"/>
    <hyperlink xmlns:r="http://schemas.openxmlformats.org/officeDocument/2006/relationships" ref="O1338" r:id="rId2673"/>
    <hyperlink xmlns:r="http://schemas.openxmlformats.org/officeDocument/2006/relationships" ref="P1338" r:id="rId2674"/>
    <hyperlink xmlns:r="http://schemas.openxmlformats.org/officeDocument/2006/relationships" ref="O1339" r:id="rId2675"/>
    <hyperlink xmlns:r="http://schemas.openxmlformats.org/officeDocument/2006/relationships" ref="P1339" r:id="rId2676"/>
    <hyperlink xmlns:r="http://schemas.openxmlformats.org/officeDocument/2006/relationships" ref="O1340" r:id="rId2677"/>
    <hyperlink xmlns:r="http://schemas.openxmlformats.org/officeDocument/2006/relationships" ref="P1340" r:id="rId2678"/>
    <hyperlink xmlns:r="http://schemas.openxmlformats.org/officeDocument/2006/relationships" ref="O1341" r:id="rId2679"/>
    <hyperlink xmlns:r="http://schemas.openxmlformats.org/officeDocument/2006/relationships" ref="P1341" r:id="rId2680"/>
    <hyperlink xmlns:r="http://schemas.openxmlformats.org/officeDocument/2006/relationships" ref="O1342" r:id="rId2681"/>
    <hyperlink xmlns:r="http://schemas.openxmlformats.org/officeDocument/2006/relationships" ref="P1342" r:id="rId2682"/>
    <hyperlink xmlns:r="http://schemas.openxmlformats.org/officeDocument/2006/relationships" ref="O1343" r:id="rId2683"/>
    <hyperlink xmlns:r="http://schemas.openxmlformats.org/officeDocument/2006/relationships" ref="P1343" r:id="rId2684"/>
    <hyperlink xmlns:r="http://schemas.openxmlformats.org/officeDocument/2006/relationships" ref="O1344" r:id="rId2685"/>
    <hyperlink xmlns:r="http://schemas.openxmlformats.org/officeDocument/2006/relationships" ref="P1344" r:id="rId2686"/>
    <hyperlink xmlns:r="http://schemas.openxmlformats.org/officeDocument/2006/relationships" ref="O1345" r:id="rId2687"/>
    <hyperlink xmlns:r="http://schemas.openxmlformats.org/officeDocument/2006/relationships" ref="P1345" r:id="rId2688"/>
    <hyperlink xmlns:r="http://schemas.openxmlformats.org/officeDocument/2006/relationships" ref="O1346" r:id="rId2689"/>
    <hyperlink xmlns:r="http://schemas.openxmlformats.org/officeDocument/2006/relationships" ref="P1346" r:id="rId2690"/>
    <hyperlink xmlns:r="http://schemas.openxmlformats.org/officeDocument/2006/relationships" ref="O1347" r:id="rId2691"/>
    <hyperlink xmlns:r="http://schemas.openxmlformats.org/officeDocument/2006/relationships" ref="P1347" r:id="rId2692"/>
    <hyperlink xmlns:r="http://schemas.openxmlformats.org/officeDocument/2006/relationships" ref="O1348" r:id="rId2693"/>
    <hyperlink xmlns:r="http://schemas.openxmlformats.org/officeDocument/2006/relationships" ref="P1348" r:id="rId2694"/>
    <hyperlink xmlns:r="http://schemas.openxmlformats.org/officeDocument/2006/relationships" ref="O1349" r:id="rId2695"/>
    <hyperlink xmlns:r="http://schemas.openxmlformats.org/officeDocument/2006/relationships" ref="P1349" r:id="rId2696"/>
    <hyperlink xmlns:r="http://schemas.openxmlformats.org/officeDocument/2006/relationships" ref="O1350" r:id="rId2697"/>
    <hyperlink xmlns:r="http://schemas.openxmlformats.org/officeDocument/2006/relationships" ref="P1350" r:id="rId2698"/>
    <hyperlink xmlns:r="http://schemas.openxmlformats.org/officeDocument/2006/relationships" ref="O1351" r:id="rId2699"/>
    <hyperlink xmlns:r="http://schemas.openxmlformats.org/officeDocument/2006/relationships" ref="P1351" r:id="rId2700"/>
    <hyperlink xmlns:r="http://schemas.openxmlformats.org/officeDocument/2006/relationships" ref="O1352" r:id="rId2701"/>
    <hyperlink xmlns:r="http://schemas.openxmlformats.org/officeDocument/2006/relationships" ref="P1352" r:id="rId2702"/>
    <hyperlink xmlns:r="http://schemas.openxmlformats.org/officeDocument/2006/relationships" ref="O1353" r:id="rId2703"/>
    <hyperlink xmlns:r="http://schemas.openxmlformats.org/officeDocument/2006/relationships" ref="P1353" r:id="rId2704"/>
    <hyperlink xmlns:r="http://schemas.openxmlformats.org/officeDocument/2006/relationships" ref="O1354" r:id="rId2705"/>
    <hyperlink xmlns:r="http://schemas.openxmlformats.org/officeDocument/2006/relationships" ref="P1354" r:id="rId2706"/>
    <hyperlink xmlns:r="http://schemas.openxmlformats.org/officeDocument/2006/relationships" ref="O1355" r:id="rId2707"/>
    <hyperlink xmlns:r="http://schemas.openxmlformats.org/officeDocument/2006/relationships" ref="P1355" r:id="rId2708"/>
    <hyperlink xmlns:r="http://schemas.openxmlformats.org/officeDocument/2006/relationships" ref="O1356" r:id="rId2709"/>
    <hyperlink xmlns:r="http://schemas.openxmlformats.org/officeDocument/2006/relationships" ref="P1356" r:id="rId2710"/>
    <hyperlink xmlns:r="http://schemas.openxmlformats.org/officeDocument/2006/relationships" ref="O1357" r:id="rId2711"/>
    <hyperlink xmlns:r="http://schemas.openxmlformats.org/officeDocument/2006/relationships" ref="P1357" r:id="rId2712"/>
    <hyperlink xmlns:r="http://schemas.openxmlformats.org/officeDocument/2006/relationships" ref="O1358" r:id="rId2713"/>
    <hyperlink xmlns:r="http://schemas.openxmlformats.org/officeDocument/2006/relationships" ref="P1358" r:id="rId2714"/>
    <hyperlink xmlns:r="http://schemas.openxmlformats.org/officeDocument/2006/relationships" ref="O1359" r:id="rId2715"/>
    <hyperlink xmlns:r="http://schemas.openxmlformats.org/officeDocument/2006/relationships" ref="P1359" r:id="rId2716"/>
    <hyperlink xmlns:r="http://schemas.openxmlformats.org/officeDocument/2006/relationships" ref="O1360" r:id="rId2717"/>
    <hyperlink xmlns:r="http://schemas.openxmlformats.org/officeDocument/2006/relationships" ref="P1360" r:id="rId2718"/>
    <hyperlink xmlns:r="http://schemas.openxmlformats.org/officeDocument/2006/relationships" ref="O1361" r:id="rId2719"/>
    <hyperlink xmlns:r="http://schemas.openxmlformats.org/officeDocument/2006/relationships" ref="P1361" r:id="rId2720"/>
    <hyperlink xmlns:r="http://schemas.openxmlformats.org/officeDocument/2006/relationships" ref="O1362" r:id="rId2721"/>
    <hyperlink xmlns:r="http://schemas.openxmlformats.org/officeDocument/2006/relationships" ref="P1362" r:id="rId2722"/>
    <hyperlink xmlns:r="http://schemas.openxmlformats.org/officeDocument/2006/relationships" ref="O1363" r:id="rId2723"/>
    <hyperlink xmlns:r="http://schemas.openxmlformats.org/officeDocument/2006/relationships" ref="P1363" r:id="rId2724"/>
    <hyperlink xmlns:r="http://schemas.openxmlformats.org/officeDocument/2006/relationships" ref="O1364" r:id="rId2725"/>
    <hyperlink xmlns:r="http://schemas.openxmlformats.org/officeDocument/2006/relationships" ref="P1364" r:id="rId2726"/>
    <hyperlink xmlns:r="http://schemas.openxmlformats.org/officeDocument/2006/relationships" ref="O1365" r:id="rId2727"/>
    <hyperlink xmlns:r="http://schemas.openxmlformats.org/officeDocument/2006/relationships" ref="P1365" r:id="rId2728"/>
    <hyperlink xmlns:r="http://schemas.openxmlformats.org/officeDocument/2006/relationships" ref="O1366" r:id="rId2729"/>
    <hyperlink xmlns:r="http://schemas.openxmlformats.org/officeDocument/2006/relationships" ref="P1366" r:id="rId2730"/>
    <hyperlink xmlns:r="http://schemas.openxmlformats.org/officeDocument/2006/relationships" ref="O1367" r:id="rId2731"/>
    <hyperlink xmlns:r="http://schemas.openxmlformats.org/officeDocument/2006/relationships" ref="P1367" r:id="rId2732"/>
    <hyperlink xmlns:r="http://schemas.openxmlformats.org/officeDocument/2006/relationships" ref="O1368" r:id="rId2733"/>
    <hyperlink xmlns:r="http://schemas.openxmlformats.org/officeDocument/2006/relationships" ref="P1368" r:id="rId2734"/>
    <hyperlink xmlns:r="http://schemas.openxmlformats.org/officeDocument/2006/relationships" ref="O1369" r:id="rId2735"/>
    <hyperlink xmlns:r="http://schemas.openxmlformats.org/officeDocument/2006/relationships" ref="P1369" r:id="rId2736"/>
    <hyperlink xmlns:r="http://schemas.openxmlformats.org/officeDocument/2006/relationships" ref="O1370" r:id="rId2737"/>
    <hyperlink xmlns:r="http://schemas.openxmlformats.org/officeDocument/2006/relationships" ref="P1370" r:id="rId2738"/>
    <hyperlink xmlns:r="http://schemas.openxmlformats.org/officeDocument/2006/relationships" ref="O1371" r:id="rId2739"/>
    <hyperlink xmlns:r="http://schemas.openxmlformats.org/officeDocument/2006/relationships" ref="P1371" r:id="rId2740"/>
    <hyperlink xmlns:r="http://schemas.openxmlformats.org/officeDocument/2006/relationships" ref="O1372" r:id="rId2741"/>
    <hyperlink xmlns:r="http://schemas.openxmlformats.org/officeDocument/2006/relationships" ref="P1372" r:id="rId2742"/>
    <hyperlink xmlns:r="http://schemas.openxmlformats.org/officeDocument/2006/relationships" ref="O1373" r:id="rId2743"/>
    <hyperlink xmlns:r="http://schemas.openxmlformats.org/officeDocument/2006/relationships" ref="P1373" r:id="rId2744"/>
    <hyperlink xmlns:r="http://schemas.openxmlformats.org/officeDocument/2006/relationships" ref="O1374" r:id="rId2745"/>
    <hyperlink xmlns:r="http://schemas.openxmlformats.org/officeDocument/2006/relationships" ref="P1374" r:id="rId2746"/>
    <hyperlink xmlns:r="http://schemas.openxmlformats.org/officeDocument/2006/relationships" ref="O1375" r:id="rId2747"/>
    <hyperlink xmlns:r="http://schemas.openxmlformats.org/officeDocument/2006/relationships" ref="P1375" r:id="rId2748"/>
    <hyperlink xmlns:r="http://schemas.openxmlformats.org/officeDocument/2006/relationships" ref="O1376" r:id="rId2749"/>
    <hyperlink xmlns:r="http://schemas.openxmlformats.org/officeDocument/2006/relationships" ref="P1376" r:id="rId2750"/>
    <hyperlink xmlns:r="http://schemas.openxmlformats.org/officeDocument/2006/relationships" ref="O1377" r:id="rId2751"/>
    <hyperlink xmlns:r="http://schemas.openxmlformats.org/officeDocument/2006/relationships" ref="P1377" r:id="rId2752"/>
    <hyperlink xmlns:r="http://schemas.openxmlformats.org/officeDocument/2006/relationships" ref="O1378" r:id="rId2753"/>
    <hyperlink xmlns:r="http://schemas.openxmlformats.org/officeDocument/2006/relationships" ref="P1378" r:id="rId2754"/>
    <hyperlink xmlns:r="http://schemas.openxmlformats.org/officeDocument/2006/relationships" ref="O1379" r:id="rId2755"/>
    <hyperlink xmlns:r="http://schemas.openxmlformats.org/officeDocument/2006/relationships" ref="P1379" r:id="rId2756"/>
    <hyperlink xmlns:r="http://schemas.openxmlformats.org/officeDocument/2006/relationships" ref="O1380" r:id="rId2757"/>
    <hyperlink xmlns:r="http://schemas.openxmlformats.org/officeDocument/2006/relationships" ref="P1380" r:id="rId2758"/>
    <hyperlink xmlns:r="http://schemas.openxmlformats.org/officeDocument/2006/relationships" ref="O1381" r:id="rId2759"/>
    <hyperlink xmlns:r="http://schemas.openxmlformats.org/officeDocument/2006/relationships" ref="P1381" r:id="rId2760"/>
    <hyperlink xmlns:r="http://schemas.openxmlformats.org/officeDocument/2006/relationships" ref="O1382" r:id="rId2761"/>
    <hyperlink xmlns:r="http://schemas.openxmlformats.org/officeDocument/2006/relationships" ref="P1382" r:id="rId2762"/>
    <hyperlink xmlns:r="http://schemas.openxmlformats.org/officeDocument/2006/relationships" ref="O1383" r:id="rId2763"/>
    <hyperlink xmlns:r="http://schemas.openxmlformats.org/officeDocument/2006/relationships" ref="P1383" r:id="rId2764"/>
    <hyperlink xmlns:r="http://schemas.openxmlformats.org/officeDocument/2006/relationships" ref="O1384" r:id="rId2765"/>
    <hyperlink xmlns:r="http://schemas.openxmlformats.org/officeDocument/2006/relationships" ref="P1384" r:id="rId2766"/>
    <hyperlink xmlns:r="http://schemas.openxmlformats.org/officeDocument/2006/relationships" ref="O1385" r:id="rId2767"/>
    <hyperlink xmlns:r="http://schemas.openxmlformats.org/officeDocument/2006/relationships" ref="P1385" r:id="rId2768"/>
    <hyperlink xmlns:r="http://schemas.openxmlformats.org/officeDocument/2006/relationships" ref="O1386" r:id="rId2769"/>
    <hyperlink xmlns:r="http://schemas.openxmlformats.org/officeDocument/2006/relationships" ref="P1386" r:id="rId2770"/>
    <hyperlink xmlns:r="http://schemas.openxmlformats.org/officeDocument/2006/relationships" ref="O1387" r:id="rId2771"/>
    <hyperlink xmlns:r="http://schemas.openxmlformats.org/officeDocument/2006/relationships" ref="P1387" r:id="rId2772"/>
    <hyperlink xmlns:r="http://schemas.openxmlformats.org/officeDocument/2006/relationships" ref="O1388" r:id="rId2773"/>
    <hyperlink xmlns:r="http://schemas.openxmlformats.org/officeDocument/2006/relationships" ref="P1388" r:id="rId2774"/>
    <hyperlink xmlns:r="http://schemas.openxmlformats.org/officeDocument/2006/relationships" ref="O1389" r:id="rId2775"/>
    <hyperlink xmlns:r="http://schemas.openxmlformats.org/officeDocument/2006/relationships" ref="P1389" r:id="rId2776"/>
    <hyperlink xmlns:r="http://schemas.openxmlformats.org/officeDocument/2006/relationships" ref="O1390" r:id="rId2777"/>
    <hyperlink xmlns:r="http://schemas.openxmlformats.org/officeDocument/2006/relationships" ref="P1390" r:id="rId2778"/>
    <hyperlink xmlns:r="http://schemas.openxmlformats.org/officeDocument/2006/relationships" ref="O1391" r:id="rId2779"/>
    <hyperlink xmlns:r="http://schemas.openxmlformats.org/officeDocument/2006/relationships" ref="P1391" r:id="rId2780"/>
    <hyperlink xmlns:r="http://schemas.openxmlformats.org/officeDocument/2006/relationships" ref="O1392" r:id="rId2781"/>
    <hyperlink xmlns:r="http://schemas.openxmlformats.org/officeDocument/2006/relationships" ref="P1392" r:id="rId2782"/>
    <hyperlink xmlns:r="http://schemas.openxmlformats.org/officeDocument/2006/relationships" ref="O1393" r:id="rId2783"/>
    <hyperlink xmlns:r="http://schemas.openxmlformats.org/officeDocument/2006/relationships" ref="P1393" r:id="rId2784"/>
    <hyperlink xmlns:r="http://schemas.openxmlformats.org/officeDocument/2006/relationships" ref="O1394" r:id="rId2785"/>
    <hyperlink xmlns:r="http://schemas.openxmlformats.org/officeDocument/2006/relationships" ref="P1394" r:id="rId2786"/>
    <hyperlink xmlns:r="http://schemas.openxmlformats.org/officeDocument/2006/relationships" ref="O1395" r:id="rId2787"/>
    <hyperlink xmlns:r="http://schemas.openxmlformats.org/officeDocument/2006/relationships" ref="P1395" r:id="rId2788"/>
    <hyperlink xmlns:r="http://schemas.openxmlformats.org/officeDocument/2006/relationships" ref="O1396" r:id="rId2789"/>
    <hyperlink xmlns:r="http://schemas.openxmlformats.org/officeDocument/2006/relationships" ref="P1396" r:id="rId2790"/>
    <hyperlink xmlns:r="http://schemas.openxmlformats.org/officeDocument/2006/relationships" ref="O1397" r:id="rId2791"/>
    <hyperlink xmlns:r="http://schemas.openxmlformats.org/officeDocument/2006/relationships" ref="P1397" r:id="rId2792"/>
    <hyperlink xmlns:r="http://schemas.openxmlformats.org/officeDocument/2006/relationships" ref="O1398" r:id="rId2793"/>
    <hyperlink xmlns:r="http://schemas.openxmlformats.org/officeDocument/2006/relationships" ref="P1398" r:id="rId2794"/>
    <hyperlink xmlns:r="http://schemas.openxmlformats.org/officeDocument/2006/relationships" ref="O1399" r:id="rId2795"/>
    <hyperlink xmlns:r="http://schemas.openxmlformats.org/officeDocument/2006/relationships" ref="P1399" r:id="rId2796"/>
    <hyperlink xmlns:r="http://schemas.openxmlformats.org/officeDocument/2006/relationships" ref="O1400" r:id="rId2797"/>
    <hyperlink xmlns:r="http://schemas.openxmlformats.org/officeDocument/2006/relationships" ref="P1400" r:id="rId2798"/>
    <hyperlink xmlns:r="http://schemas.openxmlformats.org/officeDocument/2006/relationships" ref="O1401" r:id="rId2799"/>
    <hyperlink xmlns:r="http://schemas.openxmlformats.org/officeDocument/2006/relationships" ref="P1401" r:id="rId2800"/>
    <hyperlink xmlns:r="http://schemas.openxmlformats.org/officeDocument/2006/relationships" ref="O1402" r:id="rId2801"/>
    <hyperlink xmlns:r="http://schemas.openxmlformats.org/officeDocument/2006/relationships" ref="P1402" r:id="rId2802"/>
    <hyperlink xmlns:r="http://schemas.openxmlformats.org/officeDocument/2006/relationships" ref="O1403" r:id="rId2803"/>
    <hyperlink xmlns:r="http://schemas.openxmlformats.org/officeDocument/2006/relationships" ref="P1403" r:id="rId2804"/>
    <hyperlink xmlns:r="http://schemas.openxmlformats.org/officeDocument/2006/relationships" ref="O1404" r:id="rId2805"/>
    <hyperlink xmlns:r="http://schemas.openxmlformats.org/officeDocument/2006/relationships" ref="P1404" r:id="rId2806"/>
    <hyperlink xmlns:r="http://schemas.openxmlformats.org/officeDocument/2006/relationships" ref="O1405" r:id="rId2807"/>
    <hyperlink xmlns:r="http://schemas.openxmlformats.org/officeDocument/2006/relationships" ref="P1405" r:id="rId2808"/>
    <hyperlink xmlns:r="http://schemas.openxmlformats.org/officeDocument/2006/relationships" ref="O1406" r:id="rId2809"/>
    <hyperlink xmlns:r="http://schemas.openxmlformats.org/officeDocument/2006/relationships" ref="P1406" r:id="rId2810"/>
    <hyperlink xmlns:r="http://schemas.openxmlformats.org/officeDocument/2006/relationships" ref="O1407" r:id="rId2811"/>
    <hyperlink xmlns:r="http://schemas.openxmlformats.org/officeDocument/2006/relationships" ref="P1407" r:id="rId2812"/>
    <hyperlink xmlns:r="http://schemas.openxmlformats.org/officeDocument/2006/relationships" ref="O1408" r:id="rId2813"/>
    <hyperlink xmlns:r="http://schemas.openxmlformats.org/officeDocument/2006/relationships" ref="P1408" r:id="rId2814"/>
    <hyperlink xmlns:r="http://schemas.openxmlformats.org/officeDocument/2006/relationships" ref="O1409" r:id="rId2815"/>
    <hyperlink xmlns:r="http://schemas.openxmlformats.org/officeDocument/2006/relationships" ref="P1409" r:id="rId2816"/>
    <hyperlink xmlns:r="http://schemas.openxmlformats.org/officeDocument/2006/relationships" ref="O1410" r:id="rId2817"/>
    <hyperlink xmlns:r="http://schemas.openxmlformats.org/officeDocument/2006/relationships" ref="P1410" r:id="rId2818"/>
    <hyperlink xmlns:r="http://schemas.openxmlformats.org/officeDocument/2006/relationships" ref="O1411" r:id="rId2819"/>
    <hyperlink xmlns:r="http://schemas.openxmlformats.org/officeDocument/2006/relationships" ref="P1411" r:id="rId2820"/>
    <hyperlink xmlns:r="http://schemas.openxmlformats.org/officeDocument/2006/relationships" ref="O1412" r:id="rId2821"/>
    <hyperlink xmlns:r="http://schemas.openxmlformats.org/officeDocument/2006/relationships" ref="P1412" r:id="rId2822"/>
    <hyperlink xmlns:r="http://schemas.openxmlformats.org/officeDocument/2006/relationships" ref="O1413" r:id="rId2823"/>
    <hyperlink xmlns:r="http://schemas.openxmlformats.org/officeDocument/2006/relationships" ref="P1413" r:id="rId2824"/>
    <hyperlink xmlns:r="http://schemas.openxmlformats.org/officeDocument/2006/relationships" ref="O1414" r:id="rId2825"/>
    <hyperlink xmlns:r="http://schemas.openxmlformats.org/officeDocument/2006/relationships" ref="P1414" r:id="rId2826"/>
    <hyperlink xmlns:r="http://schemas.openxmlformats.org/officeDocument/2006/relationships" ref="O1415" r:id="rId2827"/>
    <hyperlink xmlns:r="http://schemas.openxmlformats.org/officeDocument/2006/relationships" ref="P1415" r:id="rId2828"/>
    <hyperlink xmlns:r="http://schemas.openxmlformats.org/officeDocument/2006/relationships" ref="O1416" r:id="rId2829"/>
    <hyperlink xmlns:r="http://schemas.openxmlformats.org/officeDocument/2006/relationships" ref="P1416" r:id="rId2830"/>
    <hyperlink xmlns:r="http://schemas.openxmlformats.org/officeDocument/2006/relationships" ref="O1417" r:id="rId2831"/>
    <hyperlink xmlns:r="http://schemas.openxmlformats.org/officeDocument/2006/relationships" ref="P1417" r:id="rId2832"/>
    <hyperlink xmlns:r="http://schemas.openxmlformats.org/officeDocument/2006/relationships" ref="O1418" r:id="rId2833"/>
    <hyperlink xmlns:r="http://schemas.openxmlformats.org/officeDocument/2006/relationships" ref="P1418" r:id="rId2834"/>
    <hyperlink xmlns:r="http://schemas.openxmlformats.org/officeDocument/2006/relationships" ref="O1419" r:id="rId2835"/>
    <hyperlink xmlns:r="http://schemas.openxmlformats.org/officeDocument/2006/relationships" ref="P1419" r:id="rId2836"/>
    <hyperlink xmlns:r="http://schemas.openxmlformats.org/officeDocument/2006/relationships" ref="O1420" r:id="rId2837"/>
    <hyperlink xmlns:r="http://schemas.openxmlformats.org/officeDocument/2006/relationships" ref="P1420" r:id="rId2838"/>
    <hyperlink xmlns:r="http://schemas.openxmlformats.org/officeDocument/2006/relationships" ref="O1421" r:id="rId2839"/>
    <hyperlink xmlns:r="http://schemas.openxmlformats.org/officeDocument/2006/relationships" ref="P1421" r:id="rId2840"/>
    <hyperlink xmlns:r="http://schemas.openxmlformats.org/officeDocument/2006/relationships" ref="O1422" r:id="rId2841"/>
    <hyperlink xmlns:r="http://schemas.openxmlformats.org/officeDocument/2006/relationships" ref="P1422" r:id="rId2842"/>
    <hyperlink xmlns:r="http://schemas.openxmlformats.org/officeDocument/2006/relationships" ref="O1423" r:id="rId2843"/>
    <hyperlink xmlns:r="http://schemas.openxmlformats.org/officeDocument/2006/relationships" ref="P1423" r:id="rId2844"/>
    <hyperlink xmlns:r="http://schemas.openxmlformats.org/officeDocument/2006/relationships" ref="O1424" r:id="rId2845"/>
    <hyperlink xmlns:r="http://schemas.openxmlformats.org/officeDocument/2006/relationships" ref="P1424" r:id="rId2846"/>
    <hyperlink xmlns:r="http://schemas.openxmlformats.org/officeDocument/2006/relationships" ref="O1425" r:id="rId2847"/>
    <hyperlink xmlns:r="http://schemas.openxmlformats.org/officeDocument/2006/relationships" ref="P1425" r:id="rId2848"/>
    <hyperlink xmlns:r="http://schemas.openxmlformats.org/officeDocument/2006/relationships" ref="O1426" r:id="rId2849"/>
    <hyperlink xmlns:r="http://schemas.openxmlformats.org/officeDocument/2006/relationships" ref="P1426" r:id="rId2850"/>
    <hyperlink xmlns:r="http://schemas.openxmlformats.org/officeDocument/2006/relationships" ref="O1427" r:id="rId2851"/>
    <hyperlink xmlns:r="http://schemas.openxmlformats.org/officeDocument/2006/relationships" ref="P1427" r:id="rId2852"/>
    <hyperlink xmlns:r="http://schemas.openxmlformats.org/officeDocument/2006/relationships" ref="O1428" r:id="rId2853"/>
    <hyperlink xmlns:r="http://schemas.openxmlformats.org/officeDocument/2006/relationships" ref="P1428" r:id="rId2854"/>
    <hyperlink xmlns:r="http://schemas.openxmlformats.org/officeDocument/2006/relationships" ref="O1429" r:id="rId2855"/>
    <hyperlink xmlns:r="http://schemas.openxmlformats.org/officeDocument/2006/relationships" ref="P1429" r:id="rId2856"/>
    <hyperlink xmlns:r="http://schemas.openxmlformats.org/officeDocument/2006/relationships" ref="O1430" r:id="rId2857"/>
    <hyperlink xmlns:r="http://schemas.openxmlformats.org/officeDocument/2006/relationships" ref="P1430" r:id="rId2858"/>
    <hyperlink xmlns:r="http://schemas.openxmlformats.org/officeDocument/2006/relationships" ref="O1431" r:id="rId2859"/>
    <hyperlink xmlns:r="http://schemas.openxmlformats.org/officeDocument/2006/relationships" ref="P1431" r:id="rId2860"/>
    <hyperlink xmlns:r="http://schemas.openxmlformats.org/officeDocument/2006/relationships" ref="O1432" r:id="rId2861"/>
    <hyperlink xmlns:r="http://schemas.openxmlformats.org/officeDocument/2006/relationships" ref="P1432" r:id="rId2862"/>
    <hyperlink xmlns:r="http://schemas.openxmlformats.org/officeDocument/2006/relationships" ref="O1433" r:id="rId2863"/>
    <hyperlink xmlns:r="http://schemas.openxmlformats.org/officeDocument/2006/relationships" ref="P1433" r:id="rId2864"/>
    <hyperlink xmlns:r="http://schemas.openxmlformats.org/officeDocument/2006/relationships" ref="O1434" r:id="rId2865"/>
    <hyperlink xmlns:r="http://schemas.openxmlformats.org/officeDocument/2006/relationships" ref="P1434" r:id="rId2866"/>
    <hyperlink xmlns:r="http://schemas.openxmlformats.org/officeDocument/2006/relationships" ref="O1435" r:id="rId2867"/>
    <hyperlink xmlns:r="http://schemas.openxmlformats.org/officeDocument/2006/relationships" ref="P1435" r:id="rId2868"/>
    <hyperlink xmlns:r="http://schemas.openxmlformats.org/officeDocument/2006/relationships" ref="O1436" r:id="rId2869"/>
    <hyperlink xmlns:r="http://schemas.openxmlformats.org/officeDocument/2006/relationships" ref="P1436" r:id="rId2870"/>
    <hyperlink xmlns:r="http://schemas.openxmlformats.org/officeDocument/2006/relationships" ref="O1437" r:id="rId2871"/>
    <hyperlink xmlns:r="http://schemas.openxmlformats.org/officeDocument/2006/relationships" ref="P1437" r:id="rId2872"/>
    <hyperlink xmlns:r="http://schemas.openxmlformats.org/officeDocument/2006/relationships" ref="O1438" r:id="rId2873"/>
    <hyperlink xmlns:r="http://schemas.openxmlformats.org/officeDocument/2006/relationships" ref="P1438" r:id="rId2874"/>
    <hyperlink xmlns:r="http://schemas.openxmlformats.org/officeDocument/2006/relationships" ref="O1439" r:id="rId2875"/>
    <hyperlink xmlns:r="http://schemas.openxmlformats.org/officeDocument/2006/relationships" ref="P1439" r:id="rId2876"/>
    <hyperlink xmlns:r="http://schemas.openxmlformats.org/officeDocument/2006/relationships" ref="O1440" r:id="rId2877"/>
    <hyperlink xmlns:r="http://schemas.openxmlformats.org/officeDocument/2006/relationships" ref="P1440" r:id="rId2878"/>
    <hyperlink xmlns:r="http://schemas.openxmlformats.org/officeDocument/2006/relationships" ref="O1441" r:id="rId2879"/>
    <hyperlink xmlns:r="http://schemas.openxmlformats.org/officeDocument/2006/relationships" ref="P1441" r:id="rId2880"/>
    <hyperlink xmlns:r="http://schemas.openxmlformats.org/officeDocument/2006/relationships" ref="O1442" r:id="rId2881"/>
    <hyperlink xmlns:r="http://schemas.openxmlformats.org/officeDocument/2006/relationships" ref="P1442" r:id="rId2882"/>
    <hyperlink xmlns:r="http://schemas.openxmlformats.org/officeDocument/2006/relationships" ref="O1443" r:id="rId2883"/>
    <hyperlink xmlns:r="http://schemas.openxmlformats.org/officeDocument/2006/relationships" ref="P1443" r:id="rId2884"/>
    <hyperlink xmlns:r="http://schemas.openxmlformats.org/officeDocument/2006/relationships" ref="O1444" r:id="rId2885"/>
    <hyperlink xmlns:r="http://schemas.openxmlformats.org/officeDocument/2006/relationships" ref="P1444" r:id="rId2886"/>
    <hyperlink xmlns:r="http://schemas.openxmlformats.org/officeDocument/2006/relationships" ref="O1445" r:id="rId2887"/>
    <hyperlink xmlns:r="http://schemas.openxmlformats.org/officeDocument/2006/relationships" ref="P1445" r:id="rId2888"/>
    <hyperlink xmlns:r="http://schemas.openxmlformats.org/officeDocument/2006/relationships" ref="O1446" r:id="rId2889"/>
    <hyperlink xmlns:r="http://schemas.openxmlformats.org/officeDocument/2006/relationships" ref="P1446" r:id="rId2890"/>
    <hyperlink xmlns:r="http://schemas.openxmlformats.org/officeDocument/2006/relationships" ref="O1447" r:id="rId2891"/>
    <hyperlink xmlns:r="http://schemas.openxmlformats.org/officeDocument/2006/relationships" ref="P1447" r:id="rId2892"/>
    <hyperlink xmlns:r="http://schemas.openxmlformats.org/officeDocument/2006/relationships" ref="O1448" r:id="rId2893"/>
    <hyperlink xmlns:r="http://schemas.openxmlformats.org/officeDocument/2006/relationships" ref="P1448" r:id="rId2894"/>
    <hyperlink xmlns:r="http://schemas.openxmlformats.org/officeDocument/2006/relationships" ref="O1449" r:id="rId2895"/>
    <hyperlink xmlns:r="http://schemas.openxmlformats.org/officeDocument/2006/relationships" ref="P1449" r:id="rId2896"/>
    <hyperlink xmlns:r="http://schemas.openxmlformats.org/officeDocument/2006/relationships" ref="O1450" r:id="rId2897"/>
    <hyperlink xmlns:r="http://schemas.openxmlformats.org/officeDocument/2006/relationships" ref="P1450" r:id="rId2898"/>
    <hyperlink xmlns:r="http://schemas.openxmlformats.org/officeDocument/2006/relationships" ref="O1451" r:id="rId2899"/>
    <hyperlink xmlns:r="http://schemas.openxmlformats.org/officeDocument/2006/relationships" ref="P1451" r:id="rId2900"/>
    <hyperlink xmlns:r="http://schemas.openxmlformats.org/officeDocument/2006/relationships" ref="O1452" r:id="rId2901"/>
    <hyperlink xmlns:r="http://schemas.openxmlformats.org/officeDocument/2006/relationships" ref="P1452" r:id="rId2902"/>
    <hyperlink xmlns:r="http://schemas.openxmlformats.org/officeDocument/2006/relationships" ref="O1453" r:id="rId2903"/>
    <hyperlink xmlns:r="http://schemas.openxmlformats.org/officeDocument/2006/relationships" ref="P1453" r:id="rId2904"/>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4" customWidth="1" min="3" max="3"/>
    <col width="12" customWidth="1" min="4" max="4"/>
    <col width="40" customWidth="1" min="5" max="5"/>
    <col width="8" customWidth="1" min="6" max="6"/>
    <col width="6" customWidth="1" min="7" max="7"/>
    <col width="80" customWidth="1" min="8" max="8"/>
  </cols>
  <sheetData>
    <row r="1">
      <c r="A1" s="1" t="inlineStr">
        <is>
          <t>Source</t>
        </is>
      </c>
      <c r="B1" s="1" t="inlineStr">
        <is>
          <t>Kind</t>
        </is>
      </c>
      <c r="C1" s="1" t="inlineStr">
        <is>
          <t>Period</t>
        </is>
      </c>
      <c r="D1" s="1" t="inlineStr">
        <is>
          <t>Date</t>
        </is>
      </c>
      <c r="E1" s="1" t="inlineStr">
        <is>
          <t>Origin</t>
        </is>
      </c>
      <c r="F1" s="1" t="inlineStr">
        <is>
          <t>Audited</t>
        </is>
      </c>
      <c r="G1" s="1" t="inlineStr">
        <is>
          <t>Pages</t>
        </is>
      </c>
      <c r="H1" s="1" t="inlineStr">
        <is>
          <t>Link</t>
        </is>
      </c>
    </row>
    <row r="2">
      <c r="A2" s="2" t="inlineStr">
        <is>
          <t>S1</t>
        </is>
      </c>
      <c r="B2" s="2" t="inlineStr">
        <is>
          <t>annual report</t>
        </is>
      </c>
      <c r="C2" s="2" t="inlineStr">
        <is>
          <t>FY2023</t>
        </is>
      </c>
      <c r="D2" s="2" t="inlineStr">
        <is>
          <t>2024-03-27</t>
        </is>
      </c>
      <c r="E2" s="3" t="inlineStr">
        <is>
          <t>Katjes International GmbH &amp; Co. KG, Emmerich am Rhein (consolidated financial statements and group management report; auditor EY GmbH &amp; Co. KG)</t>
        </is>
      </c>
      <c r="F2" s="2" t="b">
        <v>1</v>
      </c>
      <c r="G2" s="2" t="n">
        <v>95</v>
      </c>
      <c r="H2" s="3" t="inlineStr">
        <is>
          <t>https://vanillabonds.com/dossier-data/pdf/katjes/katjes-2023-annual-report.pdf</t>
        </is>
      </c>
    </row>
    <row r="3">
      <c r="A3" s="2" t="inlineStr">
        <is>
          <t>S2</t>
        </is>
      </c>
      <c r="B3" s="2" t="inlineStr">
        <is>
          <t>annual report</t>
        </is>
      </c>
      <c r="C3" s="2" t="inlineStr">
        <is>
          <t>FY2024</t>
        </is>
      </c>
      <c r="D3" s="2" t="inlineStr">
        <is>
          <t>2025-04-09</t>
        </is>
      </c>
      <c r="E3" s="3" t="inlineStr">
        <is>
          <t>Katjes International GmbH &amp; Co. KG (audited by EY GmbH &amp; Co. KG)</t>
        </is>
      </c>
      <c r="F3" s="2" t="b">
        <v>1</v>
      </c>
      <c r="G3" s="2" t="n">
        <v>91</v>
      </c>
      <c r="H3" s="3" t="inlineStr">
        <is>
          <t>https://vanillabonds.com/dossier-data/pdf/katjes/katjes-2024-annual-report.pdf</t>
        </is>
      </c>
    </row>
    <row r="4">
      <c r="A4" s="2" t="inlineStr">
        <is>
          <t>S3</t>
        </is>
      </c>
      <c r="B4" s="2" t="inlineStr">
        <is>
          <t>annual report</t>
        </is>
      </c>
      <c r="C4" s="2" t="inlineStr">
        <is>
          <t>FY2025</t>
        </is>
      </c>
      <c r="D4" s="2" t="inlineStr">
        <is>
          <t>2026-04-02</t>
        </is>
      </c>
      <c r="E4" s="3" t="inlineStr">
        <is>
          <t>Katjes International GmbH &amp; Co. KG, Emmerich am Rhein (management; auditor EY GmbH &amp; Co. KG)</t>
        </is>
      </c>
      <c r="F4" s="2" t="b">
        <v>1</v>
      </c>
      <c r="G4" s="2" t="n">
        <v>92</v>
      </c>
      <c r="H4" s="3" t="inlineStr">
        <is>
          <t>https://vanillabonds.com/dossier-data/pdf/katjes/katjes-2025-annual-report.pdf</t>
        </is>
      </c>
    </row>
    <row r="5">
      <c r="A5" s="2" t="inlineStr">
        <is>
          <t>S4</t>
        </is>
      </c>
      <c r="B5" s="2" t="inlineStr">
        <is>
          <t>term sheet</t>
        </is>
      </c>
      <c r="C5" s="3" t="inlineStr">
        <is>
          <t>2023-09-21 to 2028-09-21 (bond 2023/2028)</t>
        </is>
      </c>
      <c r="D5" s="2" t="inlineStr">
        <is>
          <t>2023-09-21</t>
        </is>
      </c>
      <c r="E5" s="3" t="inlineStr">
        <is>
          <t>Katjes International GmbH &amp; Co. KG (issuer; author of the sheet not stated)</t>
        </is>
      </c>
      <c r="F5" s="2" t="b">
        <v>0</v>
      </c>
      <c r="G5" s="2" t="n">
        <v>2</v>
      </c>
      <c r="H5" s="3" t="inlineStr">
        <is>
          <t>https://vanillabonds.com/dossier-data/pdf/katjes/katjes-bond-2023-2028-terms.pdf</t>
        </is>
      </c>
    </row>
    <row r="6">
      <c r="A6" s="2" t="inlineStr">
        <is>
          <t>S5</t>
        </is>
      </c>
      <c r="B6" s="2" t="inlineStr">
        <is>
          <t>interim report</t>
        </is>
      </c>
      <c r="C6" s="2" t="inlineStr">
        <is>
          <t>H1-2026</t>
        </is>
      </c>
      <c r="D6" s="2" t="inlineStr">
        <is>
          <t>2026-09-08</t>
        </is>
      </c>
      <c r="E6" s="2" t="inlineStr">
        <is>
          <t>Katjes International GmbH &amp; Co. KG</t>
        </is>
      </c>
      <c r="F6" s="2" t="b">
        <v>0</v>
      </c>
      <c r="G6" s="2" t="n">
        <v>52</v>
      </c>
      <c r="H6" s="3" t="inlineStr">
        <is>
          <t>https://vanillabonds.com/dossier-data/pdf/katjes/katjes-h1-2026-interim-report.pdf</t>
        </is>
      </c>
    </row>
    <row r="7">
      <c r="A7" s="2" t="inlineStr">
        <is>
          <t>S6</t>
        </is>
      </c>
      <c r="B7" s="2" t="inlineStr">
        <is>
          <t>web page</t>
        </is>
      </c>
      <c r="C7" s="2" t="n"/>
      <c r="D7" s="2" t="inlineStr">
        <is>
          <t>2026-10-20</t>
        </is>
      </c>
      <c r="E7" s="2" t="inlineStr">
        <is>
          <t>GLEIF</t>
        </is>
      </c>
      <c r="F7" s="2" t="b">
        <v>0</v>
      </c>
      <c r="G7" s="2" t="n">
        <v>0</v>
      </c>
      <c r="H7" s="3" t="inlineStr">
        <is>
          <t>https://api.gleif.org/api/v1/lei-records?filter[entity.legalName]=Katjes International</t>
        </is>
      </c>
    </row>
    <row r="8">
      <c r="A8" s="2" t="inlineStr">
        <is>
          <t>S7</t>
        </is>
      </c>
      <c r="B8" s="2" t="inlineStr">
        <is>
          <t>web page</t>
        </is>
      </c>
      <c r="C8" s="2" t="n"/>
      <c r="D8" s="2" t="inlineStr">
        <is>
          <t>2026-10-20</t>
        </is>
      </c>
      <c r="E8" s="2" t="inlineStr">
        <is>
          <t>onvista</t>
        </is>
      </c>
      <c r="F8" s="2" t="b">
        <v>0</v>
      </c>
      <c r="G8" s="2" t="n">
        <v>0</v>
      </c>
      <c r="H8" s="3" t="inlineStr">
        <is>
          <t>https://www.onvista.de/anleihen/KATJES-INT-IHS-23-28-Anleihe-NO0012888769</t>
        </is>
      </c>
    </row>
    <row r="9">
      <c r="A9" s="2" t="inlineStr">
        <is>
          <t>S8</t>
        </is>
      </c>
      <c r="B9" s="2" t="inlineStr">
        <is>
          <t>web page</t>
        </is>
      </c>
      <c r="C9" s="2" t="n"/>
      <c r="D9" s="2" t="inlineStr">
        <is>
          <t>2026-10-20</t>
        </is>
      </c>
      <c r="E9" s="2" t="inlineStr">
        <is>
          <t>EQS-News via Placera</t>
        </is>
      </c>
      <c r="F9" s="2" t="b">
        <v>0</v>
      </c>
      <c r="G9" s="2" t="n">
        <v>0</v>
      </c>
      <c r="H9" s="3" t="inlineStr">
        <is>
          <t>https://www.placera.se/pressmeddelanden/katjes-international-successfully-taps-its-corporate-bond-by-eur-70-million-20250805</t>
        </is>
      </c>
    </row>
    <row r="10">
      <c r="A10" s="2" t="inlineStr">
        <is>
          <t>S9</t>
        </is>
      </c>
      <c r="B10" s="2" t="inlineStr">
        <is>
          <t>web page</t>
        </is>
      </c>
      <c r="C10" s="2" t="n"/>
      <c r="D10" s="2" t="inlineStr">
        <is>
          <t>2026-10-20</t>
        </is>
      </c>
      <c r="E10" s="2" t="inlineStr">
        <is>
          <t>Hogan Lovells</t>
        </is>
      </c>
      <c r="F10" s="2" t="b">
        <v>0</v>
      </c>
      <c r="G10" s="2" t="n">
        <v>0</v>
      </c>
      <c r="H10" s="3" t="inlineStr">
        <is>
          <t>https://www.hlc.com/de/news/hogan-lovells-beraet-katjes-bei-aufstockung-ihrer-nordic-bonds</t>
        </is>
      </c>
    </row>
    <row r="11">
      <c r="A11" s="2" t="inlineStr">
        <is>
          <t>S10</t>
        </is>
      </c>
      <c r="B11" s="2" t="inlineStr">
        <is>
          <t>web page</t>
        </is>
      </c>
      <c r="C11" s="2" t="n"/>
      <c r="D11" s="2" t="inlineStr">
        <is>
          <t>2026-10-20</t>
        </is>
      </c>
      <c r="E11" s="3" t="inlineStr">
        <is>
          <t>yumda (article dated 2026-04-09, reproducing the company release)</t>
        </is>
      </c>
      <c r="F11" s="2" t="b">
        <v>0</v>
      </c>
      <c r="G11" s="2" t="n">
        <v>0</v>
      </c>
      <c r="H11" s="3" t="inlineStr">
        <is>
          <t>https://www.yumda.com/de/news/1188448/katjes-mit-rekord-bei-umsatz-und-ergebnis.html</t>
        </is>
      </c>
    </row>
    <row r="12">
      <c r="A12" s="2" t="inlineStr">
        <is>
          <t>S11</t>
        </is>
      </c>
      <c r="B12" s="2" t="inlineStr">
        <is>
          <t>web page</t>
        </is>
      </c>
      <c r="C12" s="2" t="n"/>
      <c r="D12" s="2" t="inlineStr">
        <is>
          <t>2026-10-20</t>
        </is>
      </c>
      <c r="E12" s="2" t="inlineStr">
        <is>
          <t>yumda</t>
        </is>
      </c>
      <c r="F12" s="2" t="b">
        <v>0</v>
      </c>
      <c r="G12" s="2" t="n">
        <v>0</v>
      </c>
      <c r="H12" s="3" t="inlineStr">
        <is>
          <t>https://www.yumda.com/de/news/1147058/katjes-und-zuckerproduzenten-streiten-vor-gericht-um-schadensersatz.html</t>
        </is>
      </c>
    </row>
    <row r="13">
      <c r="A13" s="2" t="inlineStr">
        <is>
          <t>S12</t>
        </is>
      </c>
      <c r="B13" s="2" t="inlineStr">
        <is>
          <t>web page</t>
        </is>
      </c>
      <c r="C13" s="2" t="n"/>
      <c r="D13" s="2" t="inlineStr">
        <is>
          <t>2026-10-20</t>
        </is>
      </c>
      <c r="E13" s="2" t="inlineStr">
        <is>
          <t>Wikipedia</t>
        </is>
      </c>
      <c r="F13" s="2" t="b">
        <v>0</v>
      </c>
      <c r="G13" s="2" t="n">
        <v>0</v>
      </c>
      <c r="H13" s="3" t="inlineStr">
        <is>
          <t>https://en.wikipedia.org/wiki/Katjes_International</t>
        </is>
      </c>
    </row>
    <row r="14">
      <c r="A14" s="2" t="inlineStr">
        <is>
          <t>S13</t>
        </is>
      </c>
      <c r="B14" s="2" t="inlineStr">
        <is>
          <t>bond terms</t>
        </is>
      </c>
      <c r="C14" s="3" t="inlineStr">
        <is>
          <t>2023/2028 (issue 2023-09-21 to maturity 2028-09-21)</t>
        </is>
      </c>
      <c r="D14" s="2" t="inlineStr">
        <is>
          <t>2023-09-17</t>
        </is>
      </c>
      <c r="E14" s="3" t="inlineStr">
        <is>
          <t>Katjes International GmbH &amp; Co. KG and Nordic Trustee AS (Bond Trustee)</t>
        </is>
      </c>
      <c r="F14" s="2" t="b">
        <v>0</v>
      </c>
      <c r="G14" s="2" t="n">
        <v>52</v>
      </c>
      <c r="H14" s="3" t="inlineStr">
        <is>
          <t>https://vanillabonds.com/dossier-data/pdf/katjes/katjes-bond-2023-2028-bond-terms-signed.pdf</t>
        </is>
      </c>
    </row>
    <row r="15">
      <c r="A15" s="2" t="inlineStr">
        <is>
          <t>S14</t>
        </is>
      </c>
      <c r="B15" s="2" t="inlineStr">
        <is>
          <t>web page</t>
        </is>
      </c>
      <c r="C15" s="2" t="n"/>
      <c r="D15" s="2" t="inlineStr">
        <is>
          <t>2023-09-26</t>
        </is>
      </c>
      <c r="E15" s="2" t="inlineStr">
        <is>
          <t>Hogan Lovells release, 26 September 2023</t>
        </is>
      </c>
      <c r="F15" s="2" t="b">
        <v>0</v>
      </c>
      <c r="G15" s="2" t="n">
        <v>0</v>
      </c>
      <c r="H15" s="3" t="inlineStr">
        <is>
          <t>https://hlc.com/en/news/hogan-lovells-beraet-katjes-bei-anleiheumtausch-und--rueckkauf-sowie-oeffentlichem-angebot-und-platzierung-eines-115-mio-euro-nordic-bonds</t>
        </is>
      </c>
    </row>
    <row r="16">
      <c r="A16" s="2" t="inlineStr">
        <is>
          <t>S15</t>
        </is>
      </c>
      <c r="B16" s="2" t="inlineStr">
        <is>
          <t>term sheet (exchange)</t>
        </is>
      </c>
      <c r="C16" s="2" t="n"/>
      <c r="D16" s="2" t="inlineStr">
        <is>
          <t>2024-01-12</t>
        </is>
      </c>
      <c r="E16" s="3" t="inlineStr">
        <is>
          <t>Nordic ABM term sheet, Oslo Børs via Euronext (12 January 2024)</t>
        </is>
      </c>
      <c r="F16" s="2" t="b">
        <v>0</v>
      </c>
      <c r="G16" s="2" t="n">
        <v>3</v>
      </c>
      <c r="H16" s="3" t="inlineStr">
        <is>
          <t>https://live.euronext.com/sites/default/files/contributions_live/2024-01/1706518108_25703_Katjes%20International%20GmbH%20%26amp%3B%20Co.%20KG-%20Loan%20description%2818671930.1%29.pdf</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2026-10-26T10:31:15Z</dcterms:created>
  <dcterms:modified xmlns:dcterms="http://purl.org/dc/terms/" xmlns:xsi="http://www.w3.org/2001/XMLSchema-instance" xsi:type="dcterms:W3CDTF">2026-10-26T10:31:15Z</dcterms:modified>
</cp:coreProperties>
</file>