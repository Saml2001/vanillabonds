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nancials" sheetId="2" state="visible" r:id="rId2"/>
    <sheet xmlns:r="http://schemas.openxmlformats.org/officeDocument/2006/relationships" name="Bridge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Guidance" sheetId="6" state="visible" r:id="rId6"/>
    <sheet xmlns:r="http://schemas.openxmlformats.org/officeDocument/2006/relationships" name="Management" sheetId="7" state="visible" r:id="rId7"/>
    <sheet xmlns:r="http://schemas.openxmlformats.org/officeDocument/2006/relationships" name="Risks" sheetId="8" state="visible" r:id="rId8"/>
    <sheet xmlns:r="http://schemas.openxmlformats.org/officeDocument/2006/relationships" name="Facts" sheetId="9" state="visible" r:id="rId9"/>
    <sheet xmlns:r="http://schemas.openxmlformats.org/officeDocument/2006/relationships" name="Docum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&quot;x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E2A47"/>
    </font>
  </fonts>
  <fills count="4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vanillabonds.com/dossier-data/pdf/katjes/katjes-2023-annual-report.pdf#page=50" TargetMode="External" Id="rId1"/><Relationship Type="http://schemas.openxmlformats.org/officeDocument/2006/relationships/hyperlink" Target="https://vanillabonds.com/dossier-data/pdf/katjes/katjes-2023-annual-report.pdf#page=50" TargetMode="External" Id="rId2"/><Relationship Type="http://schemas.openxmlformats.org/officeDocument/2006/relationships/hyperlink" Target="https://vanillabonds.com/dossier-data/pdf/katjes/katjes-2023-annual-report.pdf#page=50" TargetMode="External" Id="rId3"/><Relationship Type="http://schemas.openxmlformats.org/officeDocument/2006/relationships/hyperlink" Target="https://vanillabonds.com/dossier-data/pdf/katjes/katjes-2023-annual-report.pdf#page=9" TargetMode="External" Id="rId4"/><Relationship Type="http://schemas.openxmlformats.org/officeDocument/2006/relationships/hyperlink" Target="https://vanillabonds.com/dossier-data/pdf/katjes/katjes-2023-annual-report.pdf#page=50" TargetMode="External" Id="rId5"/><Relationship Type="http://schemas.openxmlformats.org/officeDocument/2006/relationships/hyperlink" Target="https://vanillabonds.com/dossier-data/pdf/katjes/katjes-2023-annual-report.pdf#page=50" TargetMode="External" Id="rId6"/><Relationship Type="http://schemas.openxmlformats.org/officeDocument/2006/relationships/hyperlink" Target="https://vanillabonds.com/dossier-data/pdf/katjes/katjes-2023-annual-report.pdf#page=81" TargetMode="External" Id="rId7"/><Relationship Type="http://schemas.openxmlformats.org/officeDocument/2006/relationships/hyperlink" Target="https://vanillabonds.com/dossier-data/pdf/katjes/katjes-2023-annual-report.pdf#page=50" TargetMode="External" Id="rId8"/><Relationship Type="http://schemas.openxmlformats.org/officeDocument/2006/relationships/hyperlink" Target="https://vanillabonds.com/dossier-data/pdf/katjes/katjes-2023-annual-report.pdf#page=50" TargetMode="External" Id="rId9"/><Relationship Type="http://schemas.openxmlformats.org/officeDocument/2006/relationships/hyperlink" Target="https://vanillabonds.com/dossier-data/pdf/katjes/katjes-2023-annual-report.pdf#page=50" TargetMode="External" Id="rId10"/><Relationship Type="http://schemas.openxmlformats.org/officeDocument/2006/relationships/hyperlink" Target="https://vanillabonds.com/dossier-data/pdf/katjes/katjes-2023-annual-report.pdf#page=50" TargetMode="External" Id="rId11"/><Relationship Type="http://schemas.openxmlformats.org/officeDocument/2006/relationships/hyperlink" Target="https://vanillabonds.com/dossier-data/pdf/katjes/katjes-2023-annual-report.pdf#page=85" TargetMode="External" Id="rId12"/><Relationship Type="http://schemas.openxmlformats.org/officeDocument/2006/relationships/hyperlink" Target="https://vanillabonds.com/dossier-data/pdf/katjes/katjes-2023-annual-report.pdf#page=94" TargetMode="External" Id="rId13"/><Relationship Type="http://schemas.openxmlformats.org/officeDocument/2006/relationships/hyperlink" Target="https://vanillabonds.com/dossier-data/pdf/katjes/katjes-2023-annual-report.pdf#page=91" TargetMode="External" Id="rId14"/><Relationship Type="http://schemas.openxmlformats.org/officeDocument/2006/relationships/hyperlink" Target="https://vanillabonds.com/dossier-data/pdf/katjes/katjes-2023-annual-report.pdf#page=51" TargetMode="External" Id="rId15"/><Relationship Type="http://schemas.openxmlformats.org/officeDocument/2006/relationships/hyperlink" Target="https://vanillabonds.com/dossier-data/pdf/katjes/katjes-2023-annual-report.pdf#page=50" TargetMode="External" Id="rId16"/><Relationship Type="http://schemas.openxmlformats.org/officeDocument/2006/relationships/hyperlink" Target="https://vanillabonds.com/dossier-data/pdf/katjes/katjes-2023-annual-report.pdf#page=9" TargetMode="External" Id="rId17"/><Relationship Type="http://schemas.openxmlformats.org/officeDocument/2006/relationships/hyperlink" Target="https://vanillabonds.com/dossier-data/pdf/katjes/katjes-2023-annual-report.pdf#page=17" TargetMode="External" Id="rId18"/><Relationship Type="http://schemas.openxmlformats.org/officeDocument/2006/relationships/hyperlink" Target="https://vanillabonds.com/dossier-data/pdf/katjes/katjes-2023-annual-report.pdf#page=26" TargetMode="External" Id="rId19"/><Relationship Type="http://schemas.openxmlformats.org/officeDocument/2006/relationships/hyperlink" Target="https://vanillabonds.com/dossier-data/pdf/katjes/katjes-2023-annual-report.pdf#page=26" TargetMode="External" Id="rId20"/><Relationship Type="http://schemas.openxmlformats.org/officeDocument/2006/relationships/hyperlink" Target="https://vanillabonds.com/dossier-data/pdf/katjes/katjes-2023-annual-report.pdf#page=28" TargetMode="External" Id="rId21"/><Relationship Type="http://schemas.openxmlformats.org/officeDocument/2006/relationships/hyperlink" Target="https://vanillabonds.com/dossier-data/pdf/katjes/katjes-2023-annual-report.pdf#page=32" TargetMode="External" Id="rId22"/><Relationship Type="http://schemas.openxmlformats.org/officeDocument/2006/relationships/hyperlink" Target="https://vanillabonds.com/dossier-data/pdf/katjes/katjes-2023-annual-report.pdf#page=32" TargetMode="External" Id="rId23"/><Relationship Type="http://schemas.openxmlformats.org/officeDocument/2006/relationships/hyperlink" Target="https://vanillabonds.com/dossier-data/pdf/katjes/katjes-2023-annual-report.pdf#page=34" TargetMode="External" Id="rId24"/><Relationship Type="http://schemas.openxmlformats.org/officeDocument/2006/relationships/hyperlink" Target="https://vanillabonds.com/dossier-data/pdf/katjes/katjes-2023-annual-report.pdf#page=40" TargetMode="External" Id="rId25"/><Relationship Type="http://schemas.openxmlformats.org/officeDocument/2006/relationships/hyperlink" Target="https://vanillabonds.com/dossier-data/pdf/katjes/katjes-2023-annual-report.pdf#page=48" TargetMode="External" Id="rId26"/><Relationship Type="http://schemas.openxmlformats.org/officeDocument/2006/relationships/hyperlink" Target="https://vanillabonds.com/dossier-data/pdf/katjes/katjes-2023-annual-report.pdf#page=50" TargetMode="External" Id="rId27"/><Relationship Type="http://schemas.openxmlformats.org/officeDocument/2006/relationships/hyperlink" Target="https://vanillabonds.com/dossier-data/pdf/katjes/katjes-2023-annual-report.pdf#page=52" TargetMode="External" Id="rId28"/><Relationship Type="http://schemas.openxmlformats.org/officeDocument/2006/relationships/hyperlink" Target="https://vanillabonds.com/dossier-data/pdf/katjes/katjes-2023-annual-report.pdf#page=70" TargetMode="External" Id="rId29"/><Relationship Type="http://schemas.openxmlformats.org/officeDocument/2006/relationships/hyperlink" Target="https://vanillabonds.com/dossier-data/pdf/katjes/katjes-2023-annual-report.pdf#page=70" TargetMode="External" Id="rId30"/><Relationship Type="http://schemas.openxmlformats.org/officeDocument/2006/relationships/hyperlink" Target="https://vanillabonds.com/dossier-data/pdf/katjes/katjes-2023-annual-report.pdf#page=73" TargetMode="External" Id="rId31"/><Relationship Type="http://schemas.openxmlformats.org/officeDocument/2006/relationships/hyperlink" Target="https://vanillabonds.com/dossier-data/pdf/katjes/katjes-2023-annual-report.pdf#page=78" TargetMode="External" Id="rId32"/><Relationship Type="http://schemas.openxmlformats.org/officeDocument/2006/relationships/hyperlink" Target="https://vanillabonds.com/dossier-data/pdf/katjes/katjes-2023-annual-report.pdf#page=78" TargetMode="External" Id="rId33"/><Relationship Type="http://schemas.openxmlformats.org/officeDocument/2006/relationships/hyperlink" Target="https://vanillabonds.com/dossier-data/pdf/katjes/katjes-2023-annual-report.pdf#page=78" TargetMode="External" Id="rId34"/><Relationship Type="http://schemas.openxmlformats.org/officeDocument/2006/relationships/hyperlink" Target="https://vanillabonds.com/dossier-data/pdf/katjes/katjes-2023-annual-report.pdf#page=4" TargetMode="External" Id="rId35"/><Relationship Type="http://schemas.openxmlformats.org/officeDocument/2006/relationships/hyperlink" Target="https://vanillabonds.com/dossier-data/pdf/katjes/katjes-2023-annual-report.pdf#page=31" TargetMode="External" Id="rId36"/><Relationship Type="http://schemas.openxmlformats.org/officeDocument/2006/relationships/hyperlink" Target="https://vanillabonds.com/dossier-data/pdf/katjes/katjes-2023-annual-report.pdf#page=33" TargetMode="External" Id="rId37"/><Relationship Type="http://schemas.openxmlformats.org/officeDocument/2006/relationships/hyperlink" Target="https://vanillabonds.com/dossier-data/pdf/katjes/katjes-2023-annual-report.pdf#page=85" TargetMode="External" Id="rId38"/><Relationship Type="http://schemas.openxmlformats.org/officeDocument/2006/relationships/hyperlink" Target="https://vanillabonds.com/dossier-data/pdf/katjes/katjes-2023-annual-report.pdf#page=85" TargetMode="External" Id="rId39"/><Relationship Type="http://schemas.openxmlformats.org/officeDocument/2006/relationships/hyperlink" Target="https://vanillabonds.com/dossier-data/pdf/katjes/katjes-2023-annual-report.pdf#page=7" TargetMode="External" Id="rId40"/><Relationship Type="http://schemas.openxmlformats.org/officeDocument/2006/relationships/hyperlink" Target="https://vanillabonds.com/dossier-data/pdf/katjes/katjes-2023-annual-report.pdf#page=7" TargetMode="External" Id="rId41"/><Relationship Type="http://schemas.openxmlformats.org/officeDocument/2006/relationships/hyperlink" Target="https://vanillabonds.com/dossier-data/pdf/katjes/katjes-2023-annual-report.pdf#page=7" TargetMode="External" Id="rId42"/><Relationship Type="http://schemas.openxmlformats.org/officeDocument/2006/relationships/hyperlink" Target="https://vanillabonds.com/dossier-data/pdf/katjes/katjes-2023-annual-report.pdf#page=43" TargetMode="External" Id="rId43"/><Relationship Type="http://schemas.openxmlformats.org/officeDocument/2006/relationships/hyperlink" Target="https://vanillabonds.com/dossier-data/pdf/katjes/katjes-2023-annual-report.pdf#page=43" TargetMode="External" Id="rId44"/><Relationship Type="http://schemas.openxmlformats.org/officeDocument/2006/relationships/hyperlink" Target="https://vanillabonds.com/dossier-data/pdf/katjes/katjes-2023-annual-report.pdf#page=41" TargetMode="External" Id="rId45"/><Relationship Type="http://schemas.openxmlformats.org/officeDocument/2006/relationships/hyperlink" Target="https://vanillabonds.com/dossier-data/pdf/katjes/katjes-2023-annual-report.pdf#page=7" TargetMode="External" Id="rId46"/><Relationship Type="http://schemas.openxmlformats.org/officeDocument/2006/relationships/hyperlink" Target="https://vanillabonds.com/dossier-data/pdf/katjes/katjes-2023-annual-report.pdf#page=7" TargetMode="External" Id="rId47"/><Relationship Type="http://schemas.openxmlformats.org/officeDocument/2006/relationships/hyperlink" Target="https://vanillabonds.com/dossier-data/pdf/katjes/katjes-2023-annual-report.pdf#page=7" TargetMode="External" Id="rId48"/><Relationship Type="http://schemas.openxmlformats.org/officeDocument/2006/relationships/hyperlink" Target="https://vanillabonds.com/dossier-data/pdf/katjes/katjes-2023-annual-report.pdf#page=32" TargetMode="External" Id="rId49"/><Relationship Type="http://schemas.openxmlformats.org/officeDocument/2006/relationships/hyperlink" Target="https://vanillabonds.com/dossier-data/pdf/katjes/katjes-2023-annual-report.pdf#page=32" TargetMode="External" Id="rId50"/><Relationship Type="http://schemas.openxmlformats.org/officeDocument/2006/relationships/hyperlink" Target="https://vanillabonds.com/dossier-data/pdf/katjes/katjes-2023-annual-report.pdf#page=41" TargetMode="External" Id="rId51"/><Relationship Type="http://schemas.openxmlformats.org/officeDocument/2006/relationships/hyperlink" Target="https://vanillabonds.com/dossier-data/pdf/katjes/katjes-2023-annual-report.pdf#page=43" TargetMode="External" Id="rId52"/><Relationship Type="http://schemas.openxmlformats.org/officeDocument/2006/relationships/hyperlink" Target="https://vanillabonds.com/dossier-data/pdf/katjes/katjes-2023-annual-report.pdf#page=43" TargetMode="External" Id="rId53"/><Relationship Type="http://schemas.openxmlformats.org/officeDocument/2006/relationships/hyperlink" Target="https://vanillabonds.com/dossier-data/pdf/katjes/katjes-2023-annual-report.pdf#page=43" TargetMode="External" Id="rId54"/><Relationship Type="http://schemas.openxmlformats.org/officeDocument/2006/relationships/hyperlink" Target="https://vanillabonds.com/dossier-data/pdf/katjes/katjes-2023-annual-report.pdf#page=43" TargetMode="External" Id="rId55"/><Relationship Type="http://schemas.openxmlformats.org/officeDocument/2006/relationships/hyperlink" Target="https://vanillabonds.com/dossier-data/pdf/katjes/katjes-2023-annual-report.pdf#page=78" TargetMode="External" Id="rId56"/><Relationship Type="http://schemas.openxmlformats.org/officeDocument/2006/relationships/hyperlink" Target="https://vanillabonds.com/dossier-data/pdf/katjes/katjes-2023-annual-report.pdf#page=78" TargetMode="External" Id="rId57"/><Relationship Type="http://schemas.openxmlformats.org/officeDocument/2006/relationships/hyperlink" Target="https://vanillabonds.com/dossier-data/pdf/katjes/katjes-2023-annual-report.pdf#page=43" TargetMode="External" Id="rId58"/><Relationship Type="http://schemas.openxmlformats.org/officeDocument/2006/relationships/hyperlink" Target="https://vanillabonds.com/dossier-data/pdf/katjes/katjes-2023-annual-report.pdf#page=43" TargetMode="External" Id="rId59"/><Relationship Type="http://schemas.openxmlformats.org/officeDocument/2006/relationships/hyperlink" Target="https://vanillabonds.com/dossier-data/pdf/katjes/katjes-2023-annual-report.pdf#page=48" TargetMode="External" Id="rId60"/><Relationship Type="http://schemas.openxmlformats.org/officeDocument/2006/relationships/hyperlink" Target="https://vanillabonds.com/dossier-data/pdf/katjes/katjes-2023-annual-report.pdf#page=48" TargetMode="External" Id="rId61"/><Relationship Type="http://schemas.openxmlformats.org/officeDocument/2006/relationships/hyperlink" Target="https://vanillabonds.com/dossier-data/pdf/katjes/katjes-2023-annual-report.pdf#page=89" TargetMode="External" Id="rId62"/><Relationship Type="http://schemas.openxmlformats.org/officeDocument/2006/relationships/hyperlink" Target="https://vanillabonds.com/dossier-data/pdf/katjes/katjes-2023-annual-report.pdf#page=88" TargetMode="External" Id="rId63"/><Relationship Type="http://schemas.openxmlformats.org/officeDocument/2006/relationships/hyperlink" Target="https://vanillabonds.com/dossier-data/pdf/katjes/katjes-2023-annual-report.pdf#page=45" TargetMode="External" Id="rId64"/><Relationship Type="http://schemas.openxmlformats.org/officeDocument/2006/relationships/hyperlink" Target="https://vanillabonds.com/dossier-data/pdf/katjes/katjes-2023-annual-report.pdf#page=45" TargetMode="External" Id="rId65"/><Relationship Type="http://schemas.openxmlformats.org/officeDocument/2006/relationships/hyperlink" Target="https://vanillabonds.com/dossier-data/pdf/katjes/katjes-2023-annual-report.pdf#page=72" TargetMode="External" Id="rId66"/><Relationship Type="http://schemas.openxmlformats.org/officeDocument/2006/relationships/hyperlink" Target="https://vanillabonds.com/dossier-data/pdf/katjes/katjes-2023-annual-report.pdf#page=72" TargetMode="External" Id="rId67"/><Relationship Type="http://schemas.openxmlformats.org/officeDocument/2006/relationships/hyperlink" Target="https://vanillabonds.com/dossier-data/pdf/katjes/katjes-2023-annual-report.pdf#page=83" TargetMode="External" Id="rId68"/><Relationship Type="http://schemas.openxmlformats.org/officeDocument/2006/relationships/hyperlink" Target="https://vanillabonds.com/dossier-data/pdf/katjes/katjes-2023-annual-report.pdf#page=83" TargetMode="External" Id="rId69"/><Relationship Type="http://schemas.openxmlformats.org/officeDocument/2006/relationships/hyperlink" Target="https://vanillabonds.com/dossier-data/pdf/katjes/katjes-2023-annual-report.pdf#page=64" TargetMode="External" Id="rId70"/><Relationship Type="http://schemas.openxmlformats.org/officeDocument/2006/relationships/hyperlink" Target="https://vanillabonds.com/dossier-data/pdf/katjes/katjes-2023-annual-report.pdf#page=64" TargetMode="External" Id="rId71"/><Relationship Type="http://schemas.openxmlformats.org/officeDocument/2006/relationships/hyperlink" Target="https://vanillabonds.com/dossier-data/pdf/katjes/katjes-2023-annual-report.pdf#page=8" TargetMode="External" Id="rId72"/><Relationship Type="http://schemas.openxmlformats.org/officeDocument/2006/relationships/hyperlink" Target="https://vanillabonds.com/dossier-data/pdf/katjes/katjes-2023-annual-report.pdf#page=8" TargetMode="External" Id="rId73"/><Relationship Type="http://schemas.openxmlformats.org/officeDocument/2006/relationships/hyperlink" Target="https://vanillabonds.com/dossier-data/pdf/katjes/katjes-2023-annual-report.pdf#page=47" TargetMode="External" Id="rId74"/><Relationship Type="http://schemas.openxmlformats.org/officeDocument/2006/relationships/hyperlink" Target="https://vanillabonds.com/dossier-data/pdf/katjes/katjes-2023-annual-report.pdf#page=46" TargetMode="External" Id="rId75"/><Relationship Type="http://schemas.openxmlformats.org/officeDocument/2006/relationships/hyperlink" Target="https://vanillabonds.com/dossier-data/pdf/katjes/katjes-2023-annual-report.pdf#page=46" TargetMode="External" Id="rId76"/><Relationship Type="http://schemas.openxmlformats.org/officeDocument/2006/relationships/hyperlink" Target="https://vanillabonds.com/dossier-data/pdf/katjes/katjes-2023-annual-report.pdf#page=45" TargetMode="External" Id="rId77"/><Relationship Type="http://schemas.openxmlformats.org/officeDocument/2006/relationships/hyperlink" Target="https://vanillabonds.com/dossier-data/pdf/katjes/katjes-2023-annual-report.pdf#page=45" TargetMode="External" Id="rId78"/><Relationship Type="http://schemas.openxmlformats.org/officeDocument/2006/relationships/hyperlink" Target="https://vanillabonds.com/dossier-data/pdf/katjes/katjes-2023-annual-report.pdf#page=64" TargetMode="External" Id="rId79"/><Relationship Type="http://schemas.openxmlformats.org/officeDocument/2006/relationships/hyperlink" Target="https://vanillabonds.com/dossier-data/pdf/katjes/katjes-2023-annual-report.pdf#page=64" TargetMode="External" Id="rId80"/><Relationship Type="http://schemas.openxmlformats.org/officeDocument/2006/relationships/hyperlink" Target="https://vanillabonds.com/dossier-data/pdf/katjes/katjes-2023-annual-report.pdf#page=64" TargetMode="External" Id="rId81"/><Relationship Type="http://schemas.openxmlformats.org/officeDocument/2006/relationships/hyperlink" Target="https://vanillabonds.com/dossier-data/pdf/katjes/katjes-2023-annual-report.pdf#page=69" TargetMode="External" Id="rId82"/><Relationship Type="http://schemas.openxmlformats.org/officeDocument/2006/relationships/hyperlink" Target="https://vanillabonds.com/dossier-data/pdf/katjes/katjes-2023-annual-report.pdf#page=69" TargetMode="External" Id="rId83"/><Relationship Type="http://schemas.openxmlformats.org/officeDocument/2006/relationships/hyperlink" Target="https://vanillabonds.com/dossier-data/pdf/katjes/katjes-2023-annual-report.pdf#page=69" TargetMode="External" Id="rId84"/><Relationship Type="http://schemas.openxmlformats.org/officeDocument/2006/relationships/hyperlink" Target="https://vanillabonds.com/dossier-data/pdf/katjes/katjes-2023-annual-report.pdf#page=69" TargetMode="External" Id="rId85"/><Relationship Type="http://schemas.openxmlformats.org/officeDocument/2006/relationships/hyperlink" Target="https://vanillabonds.com/dossier-data/pdf/katjes/katjes-2023-annual-report.pdf#page=69" TargetMode="External" Id="rId86"/><Relationship Type="http://schemas.openxmlformats.org/officeDocument/2006/relationships/hyperlink" Target="https://vanillabonds.com/dossier-data/pdf/katjes/katjes-2023-annual-report.pdf#page=69" TargetMode="External" Id="rId87"/><Relationship Type="http://schemas.openxmlformats.org/officeDocument/2006/relationships/hyperlink" Target="https://vanillabonds.com/dossier-data/pdf/katjes/katjes-2023-annual-report.pdf#page=69" TargetMode="External" Id="rId88"/><Relationship Type="http://schemas.openxmlformats.org/officeDocument/2006/relationships/hyperlink" Target="https://vanillabonds.com/dossier-data/pdf/katjes/katjes-2023-annual-report.pdf#page=69" TargetMode="External" Id="rId89"/><Relationship Type="http://schemas.openxmlformats.org/officeDocument/2006/relationships/hyperlink" Target="https://vanillabonds.com/dossier-data/pdf/katjes/katjes-2023-annual-report.pdf#page=69" TargetMode="External" Id="rId90"/><Relationship Type="http://schemas.openxmlformats.org/officeDocument/2006/relationships/hyperlink" Target="https://vanillabonds.com/dossier-data/pdf/katjes/katjes-2023-annual-report.pdf#page=69" TargetMode="External" Id="rId91"/><Relationship Type="http://schemas.openxmlformats.org/officeDocument/2006/relationships/hyperlink" Target="https://vanillabonds.com/dossier-data/pdf/katjes/katjes-2023-annual-report.pdf#page=69" TargetMode="External" Id="rId92"/><Relationship Type="http://schemas.openxmlformats.org/officeDocument/2006/relationships/hyperlink" Target="https://vanillabonds.com/dossier-data/pdf/katjes/katjes-2023-annual-report.pdf#page=72" TargetMode="External" Id="rId93"/><Relationship Type="http://schemas.openxmlformats.org/officeDocument/2006/relationships/hyperlink" Target="https://vanillabonds.com/dossier-data/pdf/katjes/katjes-2023-annual-report.pdf#page=38" TargetMode="External" Id="rId94"/><Relationship Type="http://schemas.openxmlformats.org/officeDocument/2006/relationships/hyperlink" Target="https://vanillabonds.com/dossier-data/pdf/katjes/katjes-2023-annual-report.pdf#page=38" TargetMode="External" Id="rId95"/><Relationship Type="http://schemas.openxmlformats.org/officeDocument/2006/relationships/hyperlink" Target="https://vanillabonds.com/dossier-data/pdf/katjes/katjes-2023-annual-report.pdf#page=38" TargetMode="External" Id="rId96"/><Relationship Type="http://schemas.openxmlformats.org/officeDocument/2006/relationships/hyperlink" Target="https://vanillabonds.com/dossier-data/pdf/katjes/katjes-2023-annual-report.pdf#page=38" TargetMode="External" Id="rId97"/><Relationship Type="http://schemas.openxmlformats.org/officeDocument/2006/relationships/hyperlink" Target="https://vanillabonds.com/dossier-data/pdf/katjes/katjes-2023-annual-report.pdf#page=38" TargetMode="External" Id="rId98"/><Relationship Type="http://schemas.openxmlformats.org/officeDocument/2006/relationships/hyperlink" Target="https://vanillabonds.com/dossier-data/pdf/katjes/katjes-2023-annual-report.pdf#page=38" TargetMode="External" Id="rId99"/><Relationship Type="http://schemas.openxmlformats.org/officeDocument/2006/relationships/hyperlink" Target="https://vanillabonds.com/dossier-data/pdf/katjes/katjes-2023-annual-report.pdf#page=38" TargetMode="External" Id="rId100"/><Relationship Type="http://schemas.openxmlformats.org/officeDocument/2006/relationships/hyperlink" Target="https://vanillabonds.com/dossier-data/pdf/katjes/katjes-2023-annual-report.pdf#page=39" TargetMode="External" Id="rId101"/><Relationship Type="http://schemas.openxmlformats.org/officeDocument/2006/relationships/hyperlink" Target="https://vanillabonds.com/dossier-data/pdf/katjes/katjes-2023-annual-report.pdf#page=39" TargetMode="External" Id="rId102"/><Relationship Type="http://schemas.openxmlformats.org/officeDocument/2006/relationships/hyperlink" Target="https://vanillabonds.com/dossier-data/pdf/katjes/katjes-2023-annual-report.pdf#page=39" TargetMode="External" Id="rId103"/><Relationship Type="http://schemas.openxmlformats.org/officeDocument/2006/relationships/hyperlink" Target="https://vanillabonds.com/dossier-data/pdf/katjes/katjes-2023-annual-report.pdf#page=48" TargetMode="External" Id="rId104"/><Relationship Type="http://schemas.openxmlformats.org/officeDocument/2006/relationships/hyperlink" Target="https://vanillabonds.com/dossier-data/pdf/katjes/katjes-2023-annual-report.pdf#page=53" TargetMode="External" Id="rId105"/><Relationship Type="http://schemas.openxmlformats.org/officeDocument/2006/relationships/hyperlink" Target="https://vanillabonds.com/dossier-data/pdf/katjes/katjes-2023-annual-report.pdf#page=61" TargetMode="External" Id="rId106"/><Relationship Type="http://schemas.openxmlformats.org/officeDocument/2006/relationships/hyperlink" Target="https://vanillabonds.com/dossier-data/pdf/katjes/katjes-2023-annual-report.pdf#page=61" TargetMode="External" Id="rId107"/><Relationship Type="http://schemas.openxmlformats.org/officeDocument/2006/relationships/hyperlink" Target="https://vanillabonds.com/dossier-data/pdf/katjes/katjes-2023-annual-report.pdf#page=61" TargetMode="External" Id="rId108"/><Relationship Type="http://schemas.openxmlformats.org/officeDocument/2006/relationships/hyperlink" Target="https://vanillabonds.com/dossier-data/pdf/katjes/katjes-2023-annual-report.pdf#page=63" TargetMode="External" Id="rId109"/><Relationship Type="http://schemas.openxmlformats.org/officeDocument/2006/relationships/hyperlink" Target="https://vanillabonds.com/dossier-data/pdf/katjes/katjes-2023-annual-report.pdf#page=70" TargetMode="External" Id="rId110"/><Relationship Type="http://schemas.openxmlformats.org/officeDocument/2006/relationships/hyperlink" Target="https://vanillabonds.com/dossier-data/pdf/katjes/katjes-2023-annual-report.pdf#page=6" TargetMode="External" Id="rId111"/><Relationship Type="http://schemas.openxmlformats.org/officeDocument/2006/relationships/hyperlink" Target="https://vanillabonds.com/dossier-data/pdf/katjes/katjes-2023-annual-report.pdf#page=6" TargetMode="External" Id="rId112"/><Relationship Type="http://schemas.openxmlformats.org/officeDocument/2006/relationships/hyperlink" Target="https://vanillabonds.com/dossier-data/pdf/katjes/katjes-2023-annual-report.pdf#page=6" TargetMode="External" Id="rId113"/><Relationship Type="http://schemas.openxmlformats.org/officeDocument/2006/relationships/hyperlink" Target="https://vanillabonds.com/dossier-data/pdf/katjes/katjes-2023-annual-report.pdf#page=41" TargetMode="External" Id="rId114"/><Relationship Type="http://schemas.openxmlformats.org/officeDocument/2006/relationships/hyperlink" Target="https://vanillabonds.com/dossier-data/pdf/katjes/katjes-2023-annual-report.pdf#page=41" TargetMode="External" Id="rId115"/><Relationship Type="http://schemas.openxmlformats.org/officeDocument/2006/relationships/hyperlink" Target="https://vanillabonds.com/dossier-data/pdf/katjes/katjes-2023-annual-report.pdf#page=16" TargetMode="External" Id="rId116"/><Relationship Type="http://schemas.openxmlformats.org/officeDocument/2006/relationships/hyperlink" Target="https://vanillabonds.com/dossier-data/pdf/katjes/katjes-2023-annual-report.pdf#page=16" TargetMode="External" Id="rId117"/><Relationship Type="http://schemas.openxmlformats.org/officeDocument/2006/relationships/hyperlink" Target="https://vanillabonds.com/dossier-data/pdf/katjes/katjes-2023-annual-report.pdf#page=20" TargetMode="External" Id="rId118"/><Relationship Type="http://schemas.openxmlformats.org/officeDocument/2006/relationships/hyperlink" Target="https://vanillabonds.com/dossier-data/pdf/katjes/katjes-2023-annual-report.pdf#page=24" TargetMode="External" Id="rId119"/><Relationship Type="http://schemas.openxmlformats.org/officeDocument/2006/relationships/hyperlink" Target="https://vanillabonds.com/dossier-data/pdf/katjes/katjes-2023-annual-report.pdf#page=27" TargetMode="External" Id="rId120"/><Relationship Type="http://schemas.openxmlformats.org/officeDocument/2006/relationships/hyperlink" Target="https://vanillabonds.com/dossier-data/pdf/katjes/katjes-2023-annual-report.pdf#page=27" TargetMode="External" Id="rId121"/><Relationship Type="http://schemas.openxmlformats.org/officeDocument/2006/relationships/hyperlink" Target="https://vanillabonds.com/dossier-data/pdf/katjes/katjes-2023-annual-report.pdf#page=27" TargetMode="External" Id="rId122"/><Relationship Type="http://schemas.openxmlformats.org/officeDocument/2006/relationships/hyperlink" Target="https://vanillabonds.com/dossier-data/pdf/katjes/katjes-2023-annual-report.pdf#page=27" TargetMode="External" Id="rId123"/><Relationship Type="http://schemas.openxmlformats.org/officeDocument/2006/relationships/hyperlink" Target="https://vanillabonds.com/dossier-data/pdf/katjes/katjes-2023-annual-report.pdf#page=27" TargetMode="External" Id="rId124"/><Relationship Type="http://schemas.openxmlformats.org/officeDocument/2006/relationships/hyperlink" Target="https://vanillabonds.com/dossier-data/pdf/katjes/katjes-2023-annual-report.pdf#page=33" TargetMode="External" Id="rId125"/><Relationship Type="http://schemas.openxmlformats.org/officeDocument/2006/relationships/hyperlink" Target="https://vanillabonds.com/dossier-data/pdf/katjes/katjes-2023-annual-report.pdf#page=59" TargetMode="External" Id="rId126"/><Relationship Type="http://schemas.openxmlformats.org/officeDocument/2006/relationships/hyperlink" Target="https://vanillabonds.com/dossier-data/pdf/katjes/katjes-2023-annual-report.pdf#page=59" TargetMode="External" Id="rId127"/><Relationship Type="http://schemas.openxmlformats.org/officeDocument/2006/relationships/hyperlink" Target="https://vanillabonds.com/dossier-data/pdf/katjes/katjes-2023-annual-report.pdf#page=59" TargetMode="External" Id="rId128"/><Relationship Type="http://schemas.openxmlformats.org/officeDocument/2006/relationships/hyperlink" Target="https://vanillabonds.com/dossier-data/pdf/katjes/katjes-2023-annual-report.pdf#page=6" TargetMode="External" Id="rId129"/><Relationship Type="http://schemas.openxmlformats.org/officeDocument/2006/relationships/hyperlink" Target="https://vanillabonds.com/dossier-data/pdf/katjes/katjes-2023-annual-report.pdf#page=34" TargetMode="External" Id="rId130"/><Relationship Type="http://schemas.openxmlformats.org/officeDocument/2006/relationships/hyperlink" Target="https://vanillabonds.com/dossier-data/pdf/katjes/katjes-2023-annual-report.pdf#page=40" TargetMode="External" Id="rId131"/><Relationship Type="http://schemas.openxmlformats.org/officeDocument/2006/relationships/hyperlink" Target="https://vanillabonds.com/dossier-data/pdf/katjes/katjes-2023-annual-report.pdf#page=47" TargetMode="External" Id="rId132"/><Relationship Type="http://schemas.openxmlformats.org/officeDocument/2006/relationships/hyperlink" Target="https://vanillabonds.com/dossier-data/pdf/katjes/katjes-2023-annual-report.pdf#page=50" TargetMode="External" Id="rId133"/><Relationship Type="http://schemas.openxmlformats.org/officeDocument/2006/relationships/hyperlink" Target="https://vanillabonds.com/dossier-data/pdf/katjes/katjes-2023-annual-report.pdf#page=79" TargetMode="External" Id="rId134"/><Relationship Type="http://schemas.openxmlformats.org/officeDocument/2006/relationships/hyperlink" Target="https://vanillabonds.com/dossier-data/pdf/katjes/katjes-2023-annual-report.pdf#page=81" TargetMode="External" Id="rId135"/><Relationship Type="http://schemas.openxmlformats.org/officeDocument/2006/relationships/hyperlink" Target="https://vanillabonds.com/dossier-data/pdf/katjes/katjes-2023-annual-report.pdf#page=84" TargetMode="External" Id="rId136"/><Relationship Type="http://schemas.openxmlformats.org/officeDocument/2006/relationships/hyperlink" Target="https://vanillabonds.com/dossier-data/pdf/katjes/katjes-2023-annual-report.pdf#page=85" TargetMode="External" Id="rId137"/><Relationship Type="http://schemas.openxmlformats.org/officeDocument/2006/relationships/hyperlink" Target="https://vanillabonds.com/dossier-data/pdf/katjes/katjes-2023-annual-report.pdf#page=27" TargetMode="External" Id="rId138"/><Relationship Type="http://schemas.openxmlformats.org/officeDocument/2006/relationships/hyperlink" Target="https://vanillabonds.com/dossier-data/pdf/katjes/katjes-2023-annual-report.pdf#page=28" TargetMode="External" Id="rId139"/><Relationship Type="http://schemas.openxmlformats.org/officeDocument/2006/relationships/hyperlink" Target="https://vanillabonds.com/dossier-data/pdf/katjes/katjes-2023-annual-report.pdf#page=35" TargetMode="External" Id="rId140"/><Relationship Type="http://schemas.openxmlformats.org/officeDocument/2006/relationships/hyperlink" Target="https://vanillabonds.com/dossier-data/pdf/katjes/katjes-2023-annual-report.pdf#page=40" TargetMode="External" Id="rId141"/><Relationship Type="http://schemas.openxmlformats.org/officeDocument/2006/relationships/hyperlink" Target="https://vanillabonds.com/dossier-data/pdf/katjes/katjes-2023-annual-report.pdf#page=62" TargetMode="External" Id="rId142"/><Relationship Type="http://schemas.openxmlformats.org/officeDocument/2006/relationships/hyperlink" Target="https://vanillabonds.com/dossier-data/pdf/katjes/katjes-2023-annual-report.pdf#page=27" TargetMode="External" Id="rId143"/><Relationship Type="http://schemas.openxmlformats.org/officeDocument/2006/relationships/hyperlink" Target="https://vanillabonds.com/dossier-data/pdf/katjes/katjes-2023-annual-report.pdf#page=27" TargetMode="External" Id="rId144"/><Relationship Type="http://schemas.openxmlformats.org/officeDocument/2006/relationships/hyperlink" Target="https://vanillabonds.com/dossier-data/pdf/katjes/katjes-2023-annual-report.pdf#page=27" TargetMode="External" Id="rId145"/><Relationship Type="http://schemas.openxmlformats.org/officeDocument/2006/relationships/hyperlink" Target="https://vanillabonds.com/dossier-data/pdf/katjes/katjes-2023-annual-report.pdf#page=27" TargetMode="External" Id="rId146"/><Relationship Type="http://schemas.openxmlformats.org/officeDocument/2006/relationships/hyperlink" Target="https://vanillabonds.com/dossier-data/pdf/katjes/katjes-2023-annual-report.pdf#page=27" TargetMode="External" Id="rId147"/><Relationship Type="http://schemas.openxmlformats.org/officeDocument/2006/relationships/hyperlink" Target="https://vanillabonds.com/dossier-data/pdf/katjes/katjes-2023-annual-report.pdf#page=29" TargetMode="External" Id="rId148"/><Relationship Type="http://schemas.openxmlformats.org/officeDocument/2006/relationships/hyperlink" Target="https://vanillabonds.com/dossier-data/pdf/katjes/katjes-2023-annual-report.pdf#page=29" TargetMode="External" Id="rId149"/><Relationship Type="http://schemas.openxmlformats.org/officeDocument/2006/relationships/hyperlink" Target="https://vanillabonds.com/dossier-data/pdf/katjes/katjes-2023-annual-report.pdf#page=32" TargetMode="External" Id="rId150"/><Relationship Type="http://schemas.openxmlformats.org/officeDocument/2006/relationships/hyperlink" Target="https://vanillabonds.com/dossier-data/pdf/katjes/katjes-2023-annual-report.pdf#page=32" TargetMode="External" Id="rId151"/><Relationship Type="http://schemas.openxmlformats.org/officeDocument/2006/relationships/hyperlink" Target="https://vanillabonds.com/dossier-data/pdf/katjes/katjes-2023-annual-report.pdf#page=61" TargetMode="External" Id="rId152"/><Relationship Type="http://schemas.openxmlformats.org/officeDocument/2006/relationships/hyperlink" Target="https://vanillabonds.com/dossier-data/pdf/katjes/katjes-2023-annual-report.pdf#page=81" TargetMode="External" Id="rId153"/><Relationship Type="http://schemas.openxmlformats.org/officeDocument/2006/relationships/hyperlink" Target="https://vanillabonds.com/dossier-data/pdf/katjes/katjes-2023-annual-report.pdf#page=21" TargetMode="External" Id="rId154"/><Relationship Type="http://schemas.openxmlformats.org/officeDocument/2006/relationships/hyperlink" Target="https://vanillabonds.com/dossier-data/pdf/katjes/katjes-2023-annual-report.pdf#page=63" TargetMode="External" Id="rId155"/><Relationship Type="http://schemas.openxmlformats.org/officeDocument/2006/relationships/hyperlink" Target="https://vanillabonds.com/dossier-data/pdf/katjes/katjes-2023-annual-report.pdf#page=63" TargetMode="External" Id="rId156"/><Relationship Type="http://schemas.openxmlformats.org/officeDocument/2006/relationships/hyperlink" Target="https://vanillabonds.com/dossier-data/pdf/katjes/katjes-2023-annual-report.pdf#page=48" TargetMode="External" Id="rId157"/><Relationship Type="http://schemas.openxmlformats.org/officeDocument/2006/relationships/hyperlink" Target="https://vanillabonds.com/dossier-data/pdf/katjes/katjes-2023-annual-report.pdf#page=60" TargetMode="External" Id="rId158"/><Relationship Type="http://schemas.openxmlformats.org/officeDocument/2006/relationships/hyperlink" Target="https://vanillabonds.com/dossier-data/pdf/katjes/katjes-2023-annual-report.pdf#page=87" TargetMode="External" Id="rId159"/><Relationship Type="http://schemas.openxmlformats.org/officeDocument/2006/relationships/hyperlink" Target="https://vanillabonds.com/dossier-data/pdf/katjes/katjes-2023-annual-report.pdf#page=87" TargetMode="External" Id="rId160"/><Relationship Type="http://schemas.openxmlformats.org/officeDocument/2006/relationships/hyperlink" Target="https://vanillabonds.com/dossier-data/pdf/katjes/katjes-2023-annual-report.pdf#page=87" TargetMode="External" Id="rId161"/><Relationship Type="http://schemas.openxmlformats.org/officeDocument/2006/relationships/hyperlink" Target="https://vanillabonds.com/dossier-data/pdf/katjes/katjes-2023-annual-report.pdf#page=87" TargetMode="External" Id="rId162"/><Relationship Type="http://schemas.openxmlformats.org/officeDocument/2006/relationships/hyperlink" Target="https://vanillabonds.com/dossier-data/pdf/katjes/katjes-2023-annual-report.pdf#page=87" TargetMode="External" Id="rId163"/><Relationship Type="http://schemas.openxmlformats.org/officeDocument/2006/relationships/hyperlink" Target="https://vanillabonds.com/dossier-data/pdf/katjes/katjes-2023-annual-report.pdf#page=87" TargetMode="External" Id="rId164"/><Relationship Type="http://schemas.openxmlformats.org/officeDocument/2006/relationships/hyperlink" Target="https://vanillabonds.com/dossier-data/pdf/katjes/katjes-2023-annual-report.pdf#page=87" TargetMode="External" Id="rId165"/><Relationship Type="http://schemas.openxmlformats.org/officeDocument/2006/relationships/hyperlink" Target="https://vanillabonds.com/dossier-data/pdf/katjes/katjes-2023-annual-report.pdf#page=87" TargetMode="External" Id="rId166"/><Relationship Type="http://schemas.openxmlformats.org/officeDocument/2006/relationships/hyperlink" Target="https://vanillabonds.com/dossier-data/pdf/katjes/katjes-2023-annual-report.pdf#page=87" TargetMode="External" Id="rId167"/><Relationship Type="http://schemas.openxmlformats.org/officeDocument/2006/relationships/hyperlink" Target="https://vanillabonds.com/dossier-data/pdf/katjes/katjes-2023-annual-report.pdf#page=87" TargetMode="External" Id="rId168"/><Relationship Type="http://schemas.openxmlformats.org/officeDocument/2006/relationships/hyperlink" Target="https://vanillabonds.com/dossier-data/pdf/katjes/katjes-2023-annual-report.pdf#page=87" TargetMode="External" Id="rId169"/><Relationship Type="http://schemas.openxmlformats.org/officeDocument/2006/relationships/hyperlink" Target="https://vanillabonds.com/dossier-data/pdf/katjes/katjes-2023-annual-report.pdf#page=87" TargetMode="External" Id="rId170"/><Relationship Type="http://schemas.openxmlformats.org/officeDocument/2006/relationships/hyperlink" Target="https://vanillabonds.com/dossier-data/pdf/katjes/katjes-2023-annual-report.pdf#page=87" TargetMode="External" Id="rId171"/><Relationship Type="http://schemas.openxmlformats.org/officeDocument/2006/relationships/hyperlink" Target="https://vanillabonds.com/dossier-data/pdf/katjes/katjes-2023-annual-report.pdf#page=87" TargetMode="External" Id="rId172"/><Relationship Type="http://schemas.openxmlformats.org/officeDocument/2006/relationships/hyperlink" Target="https://vanillabonds.com/dossier-data/pdf/katjes/katjes-2023-annual-report.pdf#page=87" TargetMode="External" Id="rId173"/><Relationship Type="http://schemas.openxmlformats.org/officeDocument/2006/relationships/hyperlink" Target="https://vanillabonds.com/dossier-data/pdf/katjes/katjes-2023-annual-report.pdf#page=87" TargetMode="External" Id="rId174"/><Relationship Type="http://schemas.openxmlformats.org/officeDocument/2006/relationships/hyperlink" Target="https://vanillabonds.com/dossier-data/pdf/katjes/katjes-2023-annual-report.pdf#page=87" TargetMode="External" Id="rId175"/><Relationship Type="http://schemas.openxmlformats.org/officeDocument/2006/relationships/hyperlink" Target="https://vanillabonds.com/dossier-data/pdf/katjes/katjes-2023-annual-report.pdf#page=87" TargetMode="External" Id="rId176"/><Relationship Type="http://schemas.openxmlformats.org/officeDocument/2006/relationships/hyperlink" Target="https://vanillabonds.com/dossier-data/pdf/katjes/katjes-2023-annual-report.pdf#page=87" TargetMode="External" Id="rId177"/><Relationship Type="http://schemas.openxmlformats.org/officeDocument/2006/relationships/hyperlink" Target="https://vanillabonds.com/dossier-data/pdf/katjes/katjes-2023-annual-report.pdf#page=87" TargetMode="External" Id="rId178"/><Relationship Type="http://schemas.openxmlformats.org/officeDocument/2006/relationships/hyperlink" Target="https://vanillabonds.com/dossier-data/pdf/katjes/katjes-2023-annual-report.pdf#page=87" TargetMode="External" Id="rId179"/><Relationship Type="http://schemas.openxmlformats.org/officeDocument/2006/relationships/hyperlink" Target="https://vanillabonds.com/dossier-data/pdf/katjes/katjes-2023-annual-report.pdf#page=87" TargetMode="External" Id="rId180"/><Relationship Type="http://schemas.openxmlformats.org/officeDocument/2006/relationships/hyperlink" Target="https://vanillabonds.com/dossier-data/pdf/katjes/katjes-2023-annual-report.pdf#page=87" TargetMode="External" Id="rId181"/><Relationship Type="http://schemas.openxmlformats.org/officeDocument/2006/relationships/hyperlink" Target="https://vanillabonds.com/dossier-data/pdf/katjes/katjes-2023-annual-report.pdf#page=87" TargetMode="External" Id="rId182"/><Relationship Type="http://schemas.openxmlformats.org/officeDocument/2006/relationships/hyperlink" Target="https://vanillabonds.com/dossier-data/pdf/katjes/katjes-2023-annual-report.pdf#page=87" TargetMode="External" Id="rId183"/><Relationship Type="http://schemas.openxmlformats.org/officeDocument/2006/relationships/hyperlink" Target="https://vanillabonds.com/dossier-data/pdf/katjes/katjes-2023-annual-report.pdf#page=87" TargetMode="External" Id="rId184"/><Relationship Type="http://schemas.openxmlformats.org/officeDocument/2006/relationships/hyperlink" Target="https://vanillabonds.com/dossier-data/pdf/katjes/katjes-2023-annual-report.pdf#page=87" TargetMode="External" Id="rId185"/><Relationship Type="http://schemas.openxmlformats.org/officeDocument/2006/relationships/hyperlink" Target="https://vanillabonds.com/dossier-data/pdf/katjes/katjes-2023-annual-report.pdf#page=87" TargetMode="External" Id="rId186"/><Relationship Type="http://schemas.openxmlformats.org/officeDocument/2006/relationships/hyperlink" Target="https://vanillabonds.com/dossier-data/pdf/katjes/katjes-2023-annual-report.pdf#page=6" TargetMode="External" Id="rId187"/><Relationship Type="http://schemas.openxmlformats.org/officeDocument/2006/relationships/hyperlink" Target="https://vanillabonds.com/dossier-data/pdf/katjes/katjes-2023-annual-report.pdf#page=6" TargetMode="External" Id="rId188"/><Relationship Type="http://schemas.openxmlformats.org/officeDocument/2006/relationships/hyperlink" Target="https://vanillabonds.com/dossier-data/pdf/katjes/katjes-2023-annual-report.pdf#page=6" TargetMode="External" Id="rId189"/><Relationship Type="http://schemas.openxmlformats.org/officeDocument/2006/relationships/hyperlink" Target="https://vanillabonds.com/dossier-data/pdf/katjes/katjes-2023-annual-report.pdf#page=79" TargetMode="External" Id="rId190"/><Relationship Type="http://schemas.openxmlformats.org/officeDocument/2006/relationships/hyperlink" Target="https://vanillabonds.com/dossier-data/pdf/katjes/katjes-2023-annual-report.pdf#page=84" TargetMode="External" Id="rId191"/><Relationship Type="http://schemas.openxmlformats.org/officeDocument/2006/relationships/hyperlink" Target="https://vanillabonds.com/dossier-data/pdf/katjes/katjes-2023-annual-report.pdf#page=84" TargetMode="External" Id="rId192"/><Relationship Type="http://schemas.openxmlformats.org/officeDocument/2006/relationships/hyperlink" Target="https://vanillabonds.com/dossier-data/pdf/katjes/katjes-2023-annual-report.pdf#page=84" TargetMode="External" Id="rId193"/><Relationship Type="http://schemas.openxmlformats.org/officeDocument/2006/relationships/hyperlink" Target="https://vanillabonds.com/dossier-data/pdf/katjes/katjes-2023-annual-report.pdf#page=84" TargetMode="External" Id="rId194"/><Relationship Type="http://schemas.openxmlformats.org/officeDocument/2006/relationships/hyperlink" Target="https://vanillabonds.com/dossier-data/pdf/katjes/katjes-2023-annual-report.pdf#page=84" TargetMode="External" Id="rId195"/><Relationship Type="http://schemas.openxmlformats.org/officeDocument/2006/relationships/hyperlink" Target="https://vanillabonds.com/dossier-data/pdf/katjes/katjes-2023-annual-report.pdf#page=84" TargetMode="External" Id="rId196"/><Relationship Type="http://schemas.openxmlformats.org/officeDocument/2006/relationships/hyperlink" Target="https://vanillabonds.com/dossier-data/pdf/katjes/katjes-2023-annual-report.pdf#page=84" TargetMode="External" Id="rId197"/><Relationship Type="http://schemas.openxmlformats.org/officeDocument/2006/relationships/hyperlink" Target="https://vanillabonds.com/dossier-data/pdf/katjes/katjes-2023-annual-report.pdf#page=71" TargetMode="External" Id="rId198"/><Relationship Type="http://schemas.openxmlformats.org/officeDocument/2006/relationships/hyperlink" Target="https://vanillabonds.com/dossier-data/pdf/katjes/katjes-2023-annual-report.pdf#page=29" TargetMode="External" Id="rId199"/><Relationship Type="http://schemas.openxmlformats.org/officeDocument/2006/relationships/hyperlink" Target="https://vanillabonds.com/dossier-data/pdf/katjes/katjes-2023-annual-report.pdf#page=29" TargetMode="External" Id="rId200"/><Relationship Type="http://schemas.openxmlformats.org/officeDocument/2006/relationships/hyperlink" Target="https://vanillabonds.com/dossier-data/pdf/katjes/katjes-2023-annual-report.pdf#page=29" TargetMode="External" Id="rId201"/><Relationship Type="http://schemas.openxmlformats.org/officeDocument/2006/relationships/hyperlink" Target="https://vanillabonds.com/dossier-data/pdf/katjes/katjes-2023-annual-report.pdf#page=29" TargetMode="External" Id="rId202"/><Relationship Type="http://schemas.openxmlformats.org/officeDocument/2006/relationships/hyperlink" Target="https://vanillabonds.com/dossier-data/pdf/katjes/katjes-2023-annual-report.pdf#page=29" TargetMode="External" Id="rId203"/><Relationship Type="http://schemas.openxmlformats.org/officeDocument/2006/relationships/hyperlink" Target="https://vanillabonds.com/dossier-data/pdf/katjes/katjes-2023-annual-report.pdf#page=29" TargetMode="External" Id="rId204"/><Relationship Type="http://schemas.openxmlformats.org/officeDocument/2006/relationships/hyperlink" Target="https://vanillabonds.com/dossier-data/pdf/katjes/katjes-2023-annual-report.pdf#page=29" TargetMode="External" Id="rId205"/><Relationship Type="http://schemas.openxmlformats.org/officeDocument/2006/relationships/hyperlink" Target="https://vanillabonds.com/dossier-data/pdf/katjes/katjes-2023-annual-report.pdf#page=29" TargetMode="External" Id="rId206"/><Relationship Type="http://schemas.openxmlformats.org/officeDocument/2006/relationships/hyperlink" Target="https://vanillabonds.com/dossier-data/pdf/katjes/katjes-2023-annual-report.pdf#page=29" TargetMode="External" Id="rId207"/><Relationship Type="http://schemas.openxmlformats.org/officeDocument/2006/relationships/hyperlink" Target="https://vanillabonds.com/dossier-data/pdf/katjes/katjes-2023-annual-report.pdf#page=30" TargetMode="External" Id="rId208"/><Relationship Type="http://schemas.openxmlformats.org/officeDocument/2006/relationships/hyperlink" Target="https://vanillabonds.com/dossier-data/pdf/katjes/katjes-2023-annual-report.pdf#page=30" TargetMode="External" Id="rId209"/><Relationship Type="http://schemas.openxmlformats.org/officeDocument/2006/relationships/hyperlink" Target="https://vanillabonds.com/dossier-data/pdf/katjes/katjes-2023-annual-report.pdf#page=30" TargetMode="External" Id="rId210"/><Relationship Type="http://schemas.openxmlformats.org/officeDocument/2006/relationships/hyperlink" Target="https://vanillabonds.com/dossier-data/pdf/katjes/katjes-2023-annual-report.pdf#page=30" TargetMode="External" Id="rId211"/><Relationship Type="http://schemas.openxmlformats.org/officeDocument/2006/relationships/hyperlink" Target="https://vanillabonds.com/dossier-data/pdf/katjes/katjes-2023-annual-report.pdf#page=30" TargetMode="External" Id="rId212"/><Relationship Type="http://schemas.openxmlformats.org/officeDocument/2006/relationships/hyperlink" Target="https://vanillabonds.com/dossier-data/pdf/katjes/katjes-2023-annual-report.pdf#page=30" TargetMode="External" Id="rId213"/><Relationship Type="http://schemas.openxmlformats.org/officeDocument/2006/relationships/hyperlink" Target="https://vanillabonds.com/dossier-data/pdf/katjes/katjes-2023-annual-report.pdf#page=30" TargetMode="External" Id="rId214"/><Relationship Type="http://schemas.openxmlformats.org/officeDocument/2006/relationships/hyperlink" Target="https://vanillabonds.com/dossier-data/pdf/katjes/katjes-2023-annual-report.pdf#page=41" TargetMode="External" Id="rId215"/><Relationship Type="http://schemas.openxmlformats.org/officeDocument/2006/relationships/hyperlink" Target="https://vanillabonds.com/dossier-data/pdf/katjes/katjes-2023-annual-report.pdf#page=41" TargetMode="External" Id="rId216"/><Relationship Type="http://schemas.openxmlformats.org/officeDocument/2006/relationships/hyperlink" Target="https://vanillabonds.com/dossier-data/pdf/katjes/katjes-2023-annual-report.pdf#page=41" TargetMode="External" Id="rId217"/><Relationship Type="http://schemas.openxmlformats.org/officeDocument/2006/relationships/hyperlink" Target="https://vanillabonds.com/dossier-data/pdf/katjes/katjes-2023-annual-report.pdf#page=52" TargetMode="External" Id="rId218"/><Relationship Type="http://schemas.openxmlformats.org/officeDocument/2006/relationships/hyperlink" Target="https://vanillabonds.com/dossier-data/pdf/katjes/katjes-2023-annual-report.pdf#page=54" TargetMode="External" Id="rId219"/><Relationship Type="http://schemas.openxmlformats.org/officeDocument/2006/relationships/hyperlink" Target="https://vanillabonds.com/dossier-data/pdf/katjes/katjes-2023-annual-report.pdf#page=29" TargetMode="External" Id="rId220"/><Relationship Type="http://schemas.openxmlformats.org/officeDocument/2006/relationships/hyperlink" Target="https://vanillabonds.com/dossier-data/pdf/katjes/katjes-2023-annual-report.pdf#page=29" TargetMode="External" Id="rId221"/><Relationship Type="http://schemas.openxmlformats.org/officeDocument/2006/relationships/hyperlink" Target="https://vanillabonds.com/dossier-data/pdf/katjes/katjes-2023-annual-report.pdf#page=59" TargetMode="External" Id="rId222"/><Relationship Type="http://schemas.openxmlformats.org/officeDocument/2006/relationships/hyperlink" Target="https://vanillabonds.com/dossier-data/pdf/katjes/katjes-2023-annual-report.pdf#page=20" TargetMode="External" Id="rId223"/><Relationship Type="http://schemas.openxmlformats.org/officeDocument/2006/relationships/hyperlink" Target="https://vanillabonds.com/dossier-data/pdf/katjes/katjes-2023-annual-report.pdf#page=35" TargetMode="External" Id="rId224"/><Relationship Type="http://schemas.openxmlformats.org/officeDocument/2006/relationships/hyperlink" Target="https://vanillabonds.com/dossier-data/pdf/katjes/katjes-2023-annual-report.pdf#page=59" TargetMode="External" Id="rId225"/><Relationship Type="http://schemas.openxmlformats.org/officeDocument/2006/relationships/hyperlink" Target="https://vanillabonds.com/dossier-data/pdf/katjes/katjes-2023-annual-report.pdf#page=32" TargetMode="External" Id="rId226"/><Relationship Type="http://schemas.openxmlformats.org/officeDocument/2006/relationships/hyperlink" Target="https://vanillabonds.com/dossier-data/pdf/katjes/katjes-2023-annual-report.pdf#page=59" TargetMode="External" Id="rId227"/><Relationship Type="http://schemas.openxmlformats.org/officeDocument/2006/relationships/hyperlink" Target="https://vanillabonds.com/dossier-data/pdf/katjes/katjes-2023-annual-report.pdf#page=79" TargetMode="External" Id="rId228"/><Relationship Type="http://schemas.openxmlformats.org/officeDocument/2006/relationships/hyperlink" Target="https://vanillabonds.com/dossier-data/pdf/katjes/katjes-2023-annual-report.pdf#page=79" TargetMode="External" Id="rId229"/><Relationship Type="http://schemas.openxmlformats.org/officeDocument/2006/relationships/hyperlink" Target="https://vanillabonds.com/dossier-data/pdf/katjes/katjes-2023-annual-report.pdf#page=54" TargetMode="External" Id="rId230"/><Relationship Type="http://schemas.openxmlformats.org/officeDocument/2006/relationships/hyperlink" Target="https://vanillabonds.com/dossier-data/pdf/katjes/katjes-2023-annual-report.pdf#page=79" TargetMode="External" Id="rId231"/><Relationship Type="http://schemas.openxmlformats.org/officeDocument/2006/relationships/hyperlink" Target="https://vanillabonds.com/dossier-data/pdf/katjes/katjes-2023-annual-report.pdf#page=79" TargetMode="External" Id="rId232"/><Relationship Type="http://schemas.openxmlformats.org/officeDocument/2006/relationships/hyperlink" Target="https://vanillabonds.com/dossier-data/pdf/katjes/katjes-2023-annual-report.pdf#page=80" TargetMode="External" Id="rId233"/><Relationship Type="http://schemas.openxmlformats.org/officeDocument/2006/relationships/hyperlink" Target="https://vanillabonds.com/dossier-data/pdf/katjes/katjes-2023-annual-report.pdf#page=46" TargetMode="External" Id="rId234"/><Relationship Type="http://schemas.openxmlformats.org/officeDocument/2006/relationships/hyperlink" Target="https://vanillabonds.com/dossier-data/pdf/katjes/katjes-2023-annual-report.pdf#page=46" TargetMode="External" Id="rId235"/><Relationship Type="http://schemas.openxmlformats.org/officeDocument/2006/relationships/hyperlink" Target="https://vanillabonds.com/dossier-data/pdf/katjes/katjes-2023-annual-report.pdf#page=64" TargetMode="External" Id="rId236"/><Relationship Type="http://schemas.openxmlformats.org/officeDocument/2006/relationships/hyperlink" Target="https://vanillabonds.com/dossier-data/pdf/katjes/katjes-2023-annual-report.pdf#page=70" TargetMode="External" Id="rId237"/><Relationship Type="http://schemas.openxmlformats.org/officeDocument/2006/relationships/hyperlink" Target="https://vanillabonds.com/dossier-data/pdf/katjes/katjes-2023-annual-report.pdf#page=75" TargetMode="External" Id="rId238"/><Relationship Type="http://schemas.openxmlformats.org/officeDocument/2006/relationships/hyperlink" Target="https://vanillabonds.com/dossier-data/pdf/katjes/katjes-2023-annual-report.pdf#page=47" TargetMode="External" Id="rId239"/><Relationship Type="http://schemas.openxmlformats.org/officeDocument/2006/relationships/hyperlink" Target="https://vanillabonds.com/dossier-data/pdf/katjes/katjes-2023-annual-report.pdf#page=33" TargetMode="External" Id="rId240"/><Relationship Type="http://schemas.openxmlformats.org/officeDocument/2006/relationships/hyperlink" Target="https://vanillabonds.com/dossier-data/pdf/katjes/katjes-2023-annual-report.pdf#page=85" TargetMode="External" Id="rId241"/><Relationship Type="http://schemas.openxmlformats.org/officeDocument/2006/relationships/hyperlink" Target="https://vanillabonds.com/dossier-data/pdf/katjes/katjes-2023-annual-report.pdf#page=39" TargetMode="External" Id="rId242"/><Relationship Type="http://schemas.openxmlformats.org/officeDocument/2006/relationships/hyperlink" Target="https://vanillabonds.com/dossier-data/pdf/katjes/katjes-2023-annual-report.pdf#page=74" TargetMode="External" Id="rId243"/><Relationship Type="http://schemas.openxmlformats.org/officeDocument/2006/relationships/hyperlink" Target="https://vanillabonds.com/dossier-data/pdf/katjes/katjes-2023-annual-report.pdf#page=74" TargetMode="External" Id="rId244"/><Relationship Type="http://schemas.openxmlformats.org/officeDocument/2006/relationships/hyperlink" Target="https://vanillabonds.com/dossier-data/pdf/katjes/katjes-2023-annual-report.pdf#page=80" TargetMode="External" Id="rId245"/><Relationship Type="http://schemas.openxmlformats.org/officeDocument/2006/relationships/hyperlink" Target="https://vanillabonds.com/dossier-data/pdf/katjes/katjes-2023-annual-report.pdf#page=80" TargetMode="External" Id="rId246"/><Relationship Type="http://schemas.openxmlformats.org/officeDocument/2006/relationships/hyperlink" Target="https://vanillabonds.com/dossier-data/pdf/katjes/katjes-2023-annual-report.pdf#page=78" TargetMode="External" Id="rId247"/><Relationship Type="http://schemas.openxmlformats.org/officeDocument/2006/relationships/hyperlink" Target="https://vanillabonds.com/dossier-data/pdf/katjes/katjes-2023-annual-report.pdf#page=78" TargetMode="External" Id="rId248"/><Relationship Type="http://schemas.openxmlformats.org/officeDocument/2006/relationships/hyperlink" Target="https://vanillabonds.com/dossier-data/pdf/katjes/katjes-2023-annual-report.pdf#page=78" TargetMode="External" Id="rId249"/><Relationship Type="http://schemas.openxmlformats.org/officeDocument/2006/relationships/hyperlink" Target="https://vanillabonds.com/dossier-data/pdf/katjes/katjes-2023-annual-report.pdf#page=78" TargetMode="External" Id="rId250"/><Relationship Type="http://schemas.openxmlformats.org/officeDocument/2006/relationships/hyperlink" Target="https://vanillabonds.com/dossier-data/pdf/katjes/katjes-2023-annual-report.pdf#page=78" TargetMode="External" Id="rId251"/><Relationship Type="http://schemas.openxmlformats.org/officeDocument/2006/relationships/hyperlink" Target="https://vanillabonds.com/dossier-data/pdf/katjes/katjes-2023-annual-report.pdf#page=81" TargetMode="External" Id="rId252"/><Relationship Type="http://schemas.openxmlformats.org/officeDocument/2006/relationships/hyperlink" Target="https://vanillabonds.com/dossier-data/pdf/katjes/katjes-2023-annual-report.pdf#page=81" TargetMode="External" Id="rId253"/><Relationship Type="http://schemas.openxmlformats.org/officeDocument/2006/relationships/hyperlink" Target="https://vanillabonds.com/dossier-data/pdf/katjes/katjes-2023-annual-report.pdf#page=81" TargetMode="External" Id="rId254"/><Relationship Type="http://schemas.openxmlformats.org/officeDocument/2006/relationships/hyperlink" Target="https://vanillabonds.com/dossier-data/pdf/katjes/katjes-2023-annual-report.pdf#page=81" TargetMode="External" Id="rId255"/><Relationship Type="http://schemas.openxmlformats.org/officeDocument/2006/relationships/hyperlink" Target="https://vanillabonds.com/dossier-data/pdf/katjes/katjes-2023-annual-report.pdf#page=81" TargetMode="External" Id="rId256"/><Relationship Type="http://schemas.openxmlformats.org/officeDocument/2006/relationships/hyperlink" Target="https://vanillabonds.com/dossier-data/pdf/katjes/katjes-2023-annual-report.pdf#page=81" TargetMode="External" Id="rId257"/><Relationship Type="http://schemas.openxmlformats.org/officeDocument/2006/relationships/hyperlink" Target="https://vanillabonds.com/dossier-data/pdf/katjes/katjes-2023-annual-report.pdf#page=82" TargetMode="External" Id="rId258"/><Relationship Type="http://schemas.openxmlformats.org/officeDocument/2006/relationships/hyperlink" Target="https://vanillabonds.com/dossier-data/pdf/katjes/katjes-2023-annual-report.pdf#page=82" TargetMode="External" Id="rId259"/><Relationship Type="http://schemas.openxmlformats.org/officeDocument/2006/relationships/hyperlink" Target="https://vanillabonds.com/dossier-data/pdf/katjes/katjes-2023-annual-report.pdf#page=82" TargetMode="External" Id="rId260"/><Relationship Type="http://schemas.openxmlformats.org/officeDocument/2006/relationships/hyperlink" Target="https://vanillabonds.com/dossier-data/pdf/katjes/katjes-2023-annual-report.pdf#page=82" TargetMode="External" Id="rId261"/><Relationship Type="http://schemas.openxmlformats.org/officeDocument/2006/relationships/hyperlink" Target="https://vanillabonds.com/dossier-data/pdf/katjes/katjes-2023-annual-report.pdf#page=78" TargetMode="External" Id="rId262"/><Relationship Type="http://schemas.openxmlformats.org/officeDocument/2006/relationships/hyperlink" Target="https://vanillabonds.com/dossier-data/pdf/katjes/katjes-2023-annual-report.pdf#page=78" TargetMode="External" Id="rId263"/><Relationship Type="http://schemas.openxmlformats.org/officeDocument/2006/relationships/hyperlink" Target="https://vanillabonds.com/dossier-data/pdf/katjes/katjes-2023-annual-report.pdf#page=78" TargetMode="External" Id="rId264"/><Relationship Type="http://schemas.openxmlformats.org/officeDocument/2006/relationships/hyperlink" Target="https://vanillabonds.com/dossier-data/pdf/katjes/katjes-2023-annual-report.pdf#page=78" TargetMode="External" Id="rId265"/><Relationship Type="http://schemas.openxmlformats.org/officeDocument/2006/relationships/hyperlink" Target="https://vanillabonds.com/dossier-data/pdf/katjes/katjes-2023-annual-report.pdf#page=78" TargetMode="External" Id="rId266"/><Relationship Type="http://schemas.openxmlformats.org/officeDocument/2006/relationships/hyperlink" Target="https://vanillabonds.com/dossier-data/pdf/katjes/katjes-2023-annual-report.pdf#page=81" TargetMode="External" Id="rId267"/><Relationship Type="http://schemas.openxmlformats.org/officeDocument/2006/relationships/hyperlink" Target="https://vanillabonds.com/dossier-data/pdf/katjes/katjes-2023-annual-report.pdf#page=81" TargetMode="External" Id="rId268"/><Relationship Type="http://schemas.openxmlformats.org/officeDocument/2006/relationships/hyperlink" Target="https://vanillabonds.com/dossier-data/pdf/katjes/katjes-2023-annual-report.pdf#page=81" TargetMode="External" Id="rId269"/><Relationship Type="http://schemas.openxmlformats.org/officeDocument/2006/relationships/hyperlink" Target="https://vanillabonds.com/dossier-data/pdf/katjes/katjes-2023-annual-report.pdf#page=81" TargetMode="External" Id="rId270"/><Relationship Type="http://schemas.openxmlformats.org/officeDocument/2006/relationships/hyperlink" Target="https://vanillabonds.com/dossier-data/pdf/katjes/katjes-2023-annual-report.pdf#page=81" TargetMode="External" Id="rId271"/><Relationship Type="http://schemas.openxmlformats.org/officeDocument/2006/relationships/hyperlink" Target="https://vanillabonds.com/dossier-data/pdf/katjes/katjes-2023-annual-report.pdf#page=81" TargetMode="External" Id="rId272"/><Relationship Type="http://schemas.openxmlformats.org/officeDocument/2006/relationships/hyperlink" Target="https://vanillabonds.com/dossier-data/pdf/katjes/katjes-2023-annual-report.pdf#page=82" TargetMode="External" Id="rId273"/><Relationship Type="http://schemas.openxmlformats.org/officeDocument/2006/relationships/hyperlink" Target="https://vanillabonds.com/dossier-data/pdf/katjes/katjes-2023-annual-report.pdf#page=82" TargetMode="External" Id="rId274"/><Relationship Type="http://schemas.openxmlformats.org/officeDocument/2006/relationships/hyperlink" Target="https://vanillabonds.com/dossier-data/pdf/katjes/katjes-2023-annual-report.pdf#page=82" TargetMode="External" Id="rId275"/><Relationship Type="http://schemas.openxmlformats.org/officeDocument/2006/relationships/hyperlink" Target="https://vanillabonds.com/dossier-data/pdf/katjes/katjes-2023-annual-report.pdf#page=82" TargetMode="External" Id="rId276"/><Relationship Type="http://schemas.openxmlformats.org/officeDocument/2006/relationships/hyperlink" Target="https://vanillabonds.com/dossier-data/pdf/katjes/katjes-2023-annual-report.pdf#page=48" TargetMode="External" Id="rId277"/><Relationship Type="http://schemas.openxmlformats.org/officeDocument/2006/relationships/hyperlink" Target="https://vanillabonds.com/dossier-data/pdf/katjes/katjes-2023-annual-report.pdf#page=48" TargetMode="External" Id="rId278"/><Relationship Type="http://schemas.openxmlformats.org/officeDocument/2006/relationships/hyperlink" Target="https://vanillabonds.com/dossier-data/pdf/katjes/katjes-2023-annual-report.pdf#page=69" TargetMode="External" Id="rId279"/><Relationship Type="http://schemas.openxmlformats.org/officeDocument/2006/relationships/hyperlink" Target="https://vanillabonds.com/dossier-data/pdf/katjes/katjes-2023-annual-report.pdf#page=69" TargetMode="External" Id="rId280"/><Relationship Type="http://schemas.openxmlformats.org/officeDocument/2006/relationships/hyperlink" Target="https://vanillabonds.com/dossier-data/pdf/katjes/katjes-2023-annual-report.pdf#page=69" TargetMode="External" Id="rId281"/><Relationship Type="http://schemas.openxmlformats.org/officeDocument/2006/relationships/hyperlink" Target="https://vanillabonds.com/dossier-data/pdf/katjes/katjes-2023-annual-report.pdf#page=61" TargetMode="External" Id="rId282"/><Relationship Type="http://schemas.openxmlformats.org/officeDocument/2006/relationships/hyperlink" Target="https://vanillabonds.com/dossier-data/pdf/katjes/katjes-2023-annual-report.pdf#page=33" TargetMode="External" Id="rId283"/><Relationship Type="http://schemas.openxmlformats.org/officeDocument/2006/relationships/hyperlink" Target="https://vanillabonds.com/dossier-data/pdf/katjes/katjes-2023-annual-report.pdf#page=72" TargetMode="External" Id="rId284"/><Relationship Type="http://schemas.openxmlformats.org/officeDocument/2006/relationships/hyperlink" Target="https://vanillabonds.com/dossier-data/pdf/katjes/katjes-2023-annual-report.pdf#page=5" TargetMode="External" Id="rId285"/><Relationship Type="http://schemas.openxmlformats.org/officeDocument/2006/relationships/hyperlink" Target="https://vanillabonds.com/dossier-data/pdf/katjes/katjes-2023-annual-report.pdf#page=26" TargetMode="External" Id="rId286"/><Relationship Type="http://schemas.openxmlformats.org/officeDocument/2006/relationships/hyperlink" Target="https://vanillabonds.com/dossier-data/pdf/katjes/katjes-2023-annual-report.pdf#page=41" TargetMode="External" Id="rId287"/><Relationship Type="http://schemas.openxmlformats.org/officeDocument/2006/relationships/hyperlink" Target="https://vanillabonds.com/dossier-data/pdf/katjes/katjes-2023-annual-report.pdf#page=41" TargetMode="External" Id="rId288"/><Relationship Type="http://schemas.openxmlformats.org/officeDocument/2006/relationships/hyperlink" Target="https://vanillabonds.com/dossier-data/pdf/katjes/katjes-2023-annual-report.pdf#page=33" TargetMode="External" Id="rId289"/><Relationship Type="http://schemas.openxmlformats.org/officeDocument/2006/relationships/hyperlink" Target="https://vanillabonds.com/dossier-data/pdf/katjes/katjes-2023-annual-report.pdf#page=33" TargetMode="External" Id="rId290"/><Relationship Type="http://schemas.openxmlformats.org/officeDocument/2006/relationships/hyperlink" Target="https://vanillabonds.com/dossier-data/pdf/katjes/katjes-2023-annual-report.pdf#page=61" TargetMode="External" Id="rId291"/><Relationship Type="http://schemas.openxmlformats.org/officeDocument/2006/relationships/hyperlink" Target="https://vanillabonds.com/dossier-data/pdf/katjes/katjes-2023-annual-report.pdf#page=61" TargetMode="External" Id="rId292"/><Relationship Type="http://schemas.openxmlformats.org/officeDocument/2006/relationships/hyperlink" Target="https://vanillabonds.com/dossier-data/pdf/katjes/katjes-2023-annual-report.pdf#page=62" TargetMode="External" Id="rId293"/><Relationship Type="http://schemas.openxmlformats.org/officeDocument/2006/relationships/hyperlink" Target="https://vanillabonds.com/dossier-data/pdf/katjes/katjes-2023-annual-report.pdf#page=64" TargetMode="External" Id="rId294"/><Relationship Type="http://schemas.openxmlformats.org/officeDocument/2006/relationships/hyperlink" Target="https://vanillabonds.com/dossier-data/pdf/katjes/katjes-2023-annual-report.pdf#page=40" TargetMode="External" Id="rId295"/><Relationship Type="http://schemas.openxmlformats.org/officeDocument/2006/relationships/hyperlink" Target="https://vanillabonds.com/dossier-data/pdf/katjes/katjes-2023-annual-report.pdf#page=62" TargetMode="External" Id="rId296"/><Relationship Type="http://schemas.openxmlformats.org/officeDocument/2006/relationships/hyperlink" Target="https://vanillabonds.com/dossier-data/pdf/katjes/katjes-2023-annual-report.pdf#page=78" TargetMode="External" Id="rId297"/><Relationship Type="http://schemas.openxmlformats.org/officeDocument/2006/relationships/hyperlink" Target="https://vanillabonds.com/dossier-data/pdf/katjes/katjes-2023-annual-report.pdf#page=84" TargetMode="External" Id="rId298"/><Relationship Type="http://schemas.openxmlformats.org/officeDocument/2006/relationships/hyperlink" Target="https://vanillabonds.com/dossier-data/pdf/katjes/katjes-2023-annual-report.pdf#page=84" TargetMode="External" Id="rId299"/><Relationship Type="http://schemas.openxmlformats.org/officeDocument/2006/relationships/hyperlink" Target="https://vanillabonds.com/dossier-data/pdf/katjes/katjes-2023-annual-report.pdf#page=35" TargetMode="External" Id="rId300"/><Relationship Type="http://schemas.openxmlformats.org/officeDocument/2006/relationships/hyperlink" Target="https://vanillabonds.com/dossier-data/pdf/katjes/katjes-2023-annual-report.pdf#page=70" TargetMode="External" Id="rId301"/><Relationship Type="http://schemas.openxmlformats.org/officeDocument/2006/relationships/hyperlink" Target="https://vanillabonds.com/dossier-data/pdf/katjes/katjes-2023-annual-report.pdf#page=59" TargetMode="External" Id="rId302"/><Relationship Type="http://schemas.openxmlformats.org/officeDocument/2006/relationships/hyperlink" Target="https://vanillabonds.com/dossier-data/pdf/katjes/katjes-2023-annual-report.pdf#page=66" TargetMode="External" Id="rId303"/><Relationship Type="http://schemas.openxmlformats.org/officeDocument/2006/relationships/hyperlink" Target="https://vanillabonds.com/dossier-data/pdf/katjes/katjes-2023-annual-report.pdf#page=66" TargetMode="External" Id="rId304"/><Relationship Type="http://schemas.openxmlformats.org/officeDocument/2006/relationships/hyperlink" Target="https://vanillabonds.com/dossier-data/pdf/katjes/katjes-2023-annual-report.pdf#page=67" TargetMode="External" Id="rId305"/><Relationship Type="http://schemas.openxmlformats.org/officeDocument/2006/relationships/hyperlink" Target="https://vanillabonds.com/dossier-data/pdf/katjes/katjes-2023-annual-report.pdf#page=67" TargetMode="External" Id="rId306"/><Relationship Type="http://schemas.openxmlformats.org/officeDocument/2006/relationships/hyperlink" Target="https://vanillabonds.com/dossier-data/pdf/katjes/katjes-2023-annual-report.pdf#page=67" TargetMode="External" Id="rId307"/><Relationship Type="http://schemas.openxmlformats.org/officeDocument/2006/relationships/hyperlink" Target="https://vanillabonds.com/dossier-data/pdf/katjes/katjes-2023-annual-report.pdf#page=67" TargetMode="External" Id="rId308"/><Relationship Type="http://schemas.openxmlformats.org/officeDocument/2006/relationships/hyperlink" Target="https://vanillabonds.com/dossier-data/pdf/katjes/katjes-2023-annual-report.pdf#page=67" TargetMode="External" Id="rId309"/><Relationship Type="http://schemas.openxmlformats.org/officeDocument/2006/relationships/hyperlink" Target="https://vanillabonds.com/dossier-data/pdf/katjes/katjes-2023-annual-report.pdf#page=67" TargetMode="External" Id="rId310"/><Relationship Type="http://schemas.openxmlformats.org/officeDocument/2006/relationships/hyperlink" Target="https://vanillabonds.com/dossier-data/pdf/katjes/katjes-2023-annual-report.pdf#page=67" TargetMode="External" Id="rId311"/><Relationship Type="http://schemas.openxmlformats.org/officeDocument/2006/relationships/hyperlink" Target="https://vanillabonds.com/dossier-data/pdf/katjes/katjes-2023-annual-report.pdf#page=83" TargetMode="External" Id="rId312"/><Relationship Type="http://schemas.openxmlformats.org/officeDocument/2006/relationships/hyperlink" Target="https://vanillabonds.com/dossier-data/pdf/katjes/katjes-2023-annual-report.pdf#page=23" TargetMode="External" Id="rId313"/><Relationship Type="http://schemas.openxmlformats.org/officeDocument/2006/relationships/hyperlink" Target="https://vanillabonds.com/dossier-data/pdf/katjes/katjes-2023-annual-report.pdf#page=30" TargetMode="External" Id="rId314"/><Relationship Type="http://schemas.openxmlformats.org/officeDocument/2006/relationships/hyperlink" Target="https://vanillabonds.com/dossier-data/pdf/katjes/katjes-2023-annual-report.pdf#page=35" TargetMode="External" Id="rId315"/><Relationship Type="http://schemas.openxmlformats.org/officeDocument/2006/relationships/hyperlink" Target="https://vanillabonds.com/dossier-data/pdf/katjes/katjes-2023-annual-report.pdf#page=35" TargetMode="External" Id="rId316"/><Relationship Type="http://schemas.openxmlformats.org/officeDocument/2006/relationships/hyperlink" Target="https://vanillabonds.com/dossier-data/pdf/katjes/katjes-2023-annual-report.pdf#page=4" TargetMode="External" Id="rId317"/><Relationship Type="http://schemas.openxmlformats.org/officeDocument/2006/relationships/hyperlink" Target="https://vanillabonds.com/dossier-data/pdf/katjes/katjes-2023-annual-report.pdf#page=4" TargetMode="External" Id="rId318"/><Relationship Type="http://schemas.openxmlformats.org/officeDocument/2006/relationships/hyperlink" Target="https://vanillabonds.com/dossier-data/pdf/katjes/katjes-2023-annual-report.pdf#page=48" TargetMode="External" Id="rId319"/><Relationship Type="http://schemas.openxmlformats.org/officeDocument/2006/relationships/hyperlink" Target="https://vanillabonds.com/dossier-data/pdf/katjes/katjes-2023-annual-report.pdf#page=68" TargetMode="External" Id="rId320"/><Relationship Type="http://schemas.openxmlformats.org/officeDocument/2006/relationships/hyperlink" Target="https://vanillabonds.com/dossier-data/pdf/katjes/katjes-2023-annual-report.pdf#page=72" TargetMode="External" Id="rId321"/><Relationship Type="http://schemas.openxmlformats.org/officeDocument/2006/relationships/hyperlink" Target="https://vanillabonds.com/dossier-data/pdf/katjes/katjes-2023-annual-report.pdf#page=85" TargetMode="External" Id="rId322"/><Relationship Type="http://schemas.openxmlformats.org/officeDocument/2006/relationships/hyperlink" Target="https://vanillabonds.com/dossier-data/pdf/katjes/katjes-2024-annual-report.pdf#page=47" TargetMode="External" Id="rId323"/><Relationship Type="http://schemas.openxmlformats.org/officeDocument/2006/relationships/hyperlink" Target="https://vanillabonds.com/dossier-data/pdf/katjes/katjes-2024-annual-report.pdf#page=47" TargetMode="External" Id="rId324"/><Relationship Type="http://schemas.openxmlformats.org/officeDocument/2006/relationships/hyperlink" Target="https://vanillabonds.com/dossier-data/pdf/katjes/katjes-2024-annual-report.pdf#page=47" TargetMode="External" Id="rId325"/><Relationship Type="http://schemas.openxmlformats.org/officeDocument/2006/relationships/hyperlink" Target="https://vanillabonds.com/dossier-data/pdf/katjes/katjes-2024-annual-report.pdf#page=9" TargetMode="External" Id="rId326"/><Relationship Type="http://schemas.openxmlformats.org/officeDocument/2006/relationships/hyperlink" Target="https://vanillabonds.com/dossier-data/pdf/katjes/katjes-2024-annual-report.pdf#page=47" TargetMode="External" Id="rId327"/><Relationship Type="http://schemas.openxmlformats.org/officeDocument/2006/relationships/hyperlink" Target="https://vanillabonds.com/dossier-data/pdf/katjes/katjes-2024-annual-report.pdf#page=47" TargetMode="External" Id="rId328"/><Relationship Type="http://schemas.openxmlformats.org/officeDocument/2006/relationships/hyperlink" Target="https://vanillabonds.com/dossier-data/pdf/katjes/katjes-2024-annual-report.pdf#page=77" TargetMode="External" Id="rId329"/><Relationship Type="http://schemas.openxmlformats.org/officeDocument/2006/relationships/hyperlink" Target="https://vanillabonds.com/dossier-data/pdf/katjes/katjes-2024-annual-report.pdf#page=26" TargetMode="External" Id="rId330"/><Relationship Type="http://schemas.openxmlformats.org/officeDocument/2006/relationships/hyperlink" Target="https://vanillabonds.com/dossier-data/pdf/katjes/katjes-2024-annual-report.pdf#page=47" TargetMode="External" Id="rId331"/><Relationship Type="http://schemas.openxmlformats.org/officeDocument/2006/relationships/hyperlink" Target="https://vanillabonds.com/dossier-data/pdf/katjes/katjes-2024-annual-report.pdf#page=47" TargetMode="External" Id="rId332"/><Relationship Type="http://schemas.openxmlformats.org/officeDocument/2006/relationships/hyperlink" Target="https://vanillabonds.com/dossier-data/pdf/katjes/katjes-2024-annual-report.pdf#page=47" TargetMode="External" Id="rId333"/><Relationship Type="http://schemas.openxmlformats.org/officeDocument/2006/relationships/hyperlink" Target="https://vanillabonds.com/dossier-data/pdf/katjes/katjes-2024-annual-report.pdf#page=47" TargetMode="External" Id="rId334"/><Relationship Type="http://schemas.openxmlformats.org/officeDocument/2006/relationships/hyperlink" Target="https://vanillabonds.com/dossier-data/pdf/katjes/katjes-2024-annual-report.pdf#page=90" TargetMode="External" Id="rId335"/><Relationship Type="http://schemas.openxmlformats.org/officeDocument/2006/relationships/hyperlink" Target="https://vanillabonds.com/dossier-data/pdf/katjes/katjes-2024-annual-report.pdf#page=87" TargetMode="External" Id="rId336"/><Relationship Type="http://schemas.openxmlformats.org/officeDocument/2006/relationships/hyperlink" Target="https://vanillabonds.com/dossier-data/pdf/katjes/katjes-2024-annual-report.pdf#page=48" TargetMode="External" Id="rId337"/><Relationship Type="http://schemas.openxmlformats.org/officeDocument/2006/relationships/hyperlink" Target="https://vanillabonds.com/dossier-data/pdf/katjes/katjes-2024-annual-report.pdf#page=40" TargetMode="External" Id="rId338"/><Relationship Type="http://schemas.openxmlformats.org/officeDocument/2006/relationships/hyperlink" Target="https://vanillabonds.com/dossier-data/pdf/katjes/katjes-2024-annual-report.pdf#page=9" TargetMode="External" Id="rId339"/><Relationship Type="http://schemas.openxmlformats.org/officeDocument/2006/relationships/hyperlink" Target="https://vanillabonds.com/dossier-data/pdf/katjes/katjes-2024-annual-report.pdf#page=12" TargetMode="External" Id="rId340"/><Relationship Type="http://schemas.openxmlformats.org/officeDocument/2006/relationships/hyperlink" Target="https://vanillabonds.com/dossier-data/pdf/katjes/katjes-2024-annual-report.pdf#page=29" TargetMode="External" Id="rId341"/><Relationship Type="http://schemas.openxmlformats.org/officeDocument/2006/relationships/hyperlink" Target="https://vanillabonds.com/dossier-data/pdf/katjes/katjes-2024-annual-report.pdf#page=31" TargetMode="External" Id="rId342"/><Relationship Type="http://schemas.openxmlformats.org/officeDocument/2006/relationships/hyperlink" Target="https://vanillabonds.com/dossier-data/pdf/katjes/katjes-2024-annual-report.pdf#page=32" TargetMode="External" Id="rId343"/><Relationship Type="http://schemas.openxmlformats.org/officeDocument/2006/relationships/hyperlink" Target="https://vanillabonds.com/dossier-data/pdf/katjes/katjes-2024-annual-report.pdf#page=40" TargetMode="External" Id="rId344"/><Relationship Type="http://schemas.openxmlformats.org/officeDocument/2006/relationships/hyperlink" Target="https://vanillabonds.com/dossier-data/pdf/katjes/katjes-2024-annual-report.pdf#page=42" TargetMode="External" Id="rId345"/><Relationship Type="http://schemas.openxmlformats.org/officeDocument/2006/relationships/hyperlink" Target="https://vanillabonds.com/dossier-data/pdf/katjes/katjes-2024-annual-report.pdf#page=42" TargetMode="External" Id="rId346"/><Relationship Type="http://schemas.openxmlformats.org/officeDocument/2006/relationships/hyperlink" Target="https://vanillabonds.com/dossier-data/pdf/katjes/katjes-2024-annual-report.pdf#page=45" TargetMode="External" Id="rId347"/><Relationship Type="http://schemas.openxmlformats.org/officeDocument/2006/relationships/hyperlink" Target="https://vanillabonds.com/dossier-data/pdf/katjes/katjes-2024-annual-report.pdf#page=45" TargetMode="External" Id="rId348"/><Relationship Type="http://schemas.openxmlformats.org/officeDocument/2006/relationships/hyperlink" Target="https://vanillabonds.com/dossier-data/pdf/katjes/katjes-2024-annual-report.pdf#page=47" TargetMode="External" Id="rId349"/><Relationship Type="http://schemas.openxmlformats.org/officeDocument/2006/relationships/hyperlink" Target="https://vanillabonds.com/dossier-data/pdf/katjes/katjes-2024-annual-report.pdf#page=49" TargetMode="External" Id="rId350"/><Relationship Type="http://schemas.openxmlformats.org/officeDocument/2006/relationships/hyperlink" Target="https://vanillabonds.com/dossier-data/pdf/katjes/katjes-2024-annual-report.pdf#page=60" TargetMode="External" Id="rId351"/><Relationship Type="http://schemas.openxmlformats.org/officeDocument/2006/relationships/hyperlink" Target="https://vanillabonds.com/dossier-data/pdf/katjes/katjes-2024-annual-report.pdf#page=63" TargetMode="External" Id="rId352"/><Relationship Type="http://schemas.openxmlformats.org/officeDocument/2006/relationships/hyperlink" Target="https://vanillabonds.com/dossier-data/pdf/katjes/katjes-2024-annual-report.pdf#page=69" TargetMode="External" Id="rId353"/><Relationship Type="http://schemas.openxmlformats.org/officeDocument/2006/relationships/hyperlink" Target="https://vanillabonds.com/dossier-data/pdf/katjes/katjes-2024-annual-report.pdf#page=71" TargetMode="External" Id="rId354"/><Relationship Type="http://schemas.openxmlformats.org/officeDocument/2006/relationships/hyperlink" Target="https://vanillabonds.com/dossier-data/pdf/katjes/katjes-2024-annual-report.pdf#page=73" TargetMode="External" Id="rId355"/><Relationship Type="http://schemas.openxmlformats.org/officeDocument/2006/relationships/hyperlink" Target="https://vanillabonds.com/dossier-data/pdf/katjes/katjes-2024-annual-report.pdf#page=74" TargetMode="External" Id="rId356"/><Relationship Type="http://schemas.openxmlformats.org/officeDocument/2006/relationships/hyperlink" Target="https://vanillabonds.com/dossier-data/pdf/katjes/katjes-2024-annual-report.pdf#page=74" TargetMode="External" Id="rId357"/><Relationship Type="http://schemas.openxmlformats.org/officeDocument/2006/relationships/hyperlink" Target="https://vanillabonds.com/dossier-data/pdf/katjes/katjes-2024-annual-report.pdf#page=75" TargetMode="External" Id="rId358"/><Relationship Type="http://schemas.openxmlformats.org/officeDocument/2006/relationships/hyperlink" Target="https://vanillabonds.com/dossier-data/pdf/katjes/katjes-2024-annual-report.pdf#page=75" TargetMode="External" Id="rId359"/><Relationship Type="http://schemas.openxmlformats.org/officeDocument/2006/relationships/hyperlink" Target="https://vanillabonds.com/dossier-data/pdf/katjes/katjes-2024-annual-report.pdf#page=77" TargetMode="External" Id="rId360"/><Relationship Type="http://schemas.openxmlformats.org/officeDocument/2006/relationships/hyperlink" Target="https://vanillabonds.com/dossier-data/pdf/katjes/katjes-2024-annual-report.pdf#page=88" TargetMode="External" Id="rId361"/><Relationship Type="http://schemas.openxmlformats.org/officeDocument/2006/relationships/hyperlink" Target="https://vanillabonds.com/dossier-data/pdf/katjes/katjes-2024-annual-report.pdf#page=28" TargetMode="External" Id="rId362"/><Relationship Type="http://schemas.openxmlformats.org/officeDocument/2006/relationships/hyperlink" Target="https://vanillabonds.com/dossier-data/pdf/katjes/katjes-2024-annual-report.pdf#page=55" TargetMode="External" Id="rId363"/><Relationship Type="http://schemas.openxmlformats.org/officeDocument/2006/relationships/hyperlink" Target="https://vanillabonds.com/dossier-data/pdf/katjes/katjes-2024-annual-report.pdf#page=81" TargetMode="External" Id="rId364"/><Relationship Type="http://schemas.openxmlformats.org/officeDocument/2006/relationships/hyperlink" Target="https://vanillabonds.com/dossier-data/pdf/katjes/katjes-2024-annual-report.pdf#page=40" TargetMode="External" Id="rId365"/><Relationship Type="http://schemas.openxmlformats.org/officeDocument/2006/relationships/hyperlink" Target="https://vanillabonds.com/dossier-data/pdf/katjes/katjes-2024-annual-report.pdf#page=40" TargetMode="External" Id="rId366"/><Relationship Type="http://schemas.openxmlformats.org/officeDocument/2006/relationships/hyperlink" Target="https://vanillabonds.com/dossier-data/pdf/katjes/katjes-2024-annual-report.pdf#page=38" TargetMode="External" Id="rId367"/><Relationship Type="http://schemas.openxmlformats.org/officeDocument/2006/relationships/hyperlink" Target="https://vanillabonds.com/dossier-data/pdf/katjes/katjes-2024-annual-report.pdf#page=29" TargetMode="External" Id="rId368"/><Relationship Type="http://schemas.openxmlformats.org/officeDocument/2006/relationships/hyperlink" Target="https://vanillabonds.com/dossier-data/pdf/katjes/katjes-2024-annual-report.pdf#page=29" TargetMode="External" Id="rId369"/><Relationship Type="http://schemas.openxmlformats.org/officeDocument/2006/relationships/hyperlink" Target="https://vanillabonds.com/dossier-data/pdf/katjes/katjes-2024-annual-report.pdf#page=40" TargetMode="External" Id="rId370"/><Relationship Type="http://schemas.openxmlformats.org/officeDocument/2006/relationships/hyperlink" Target="https://vanillabonds.com/dossier-data/pdf/katjes/katjes-2024-annual-report.pdf#page=40" TargetMode="External" Id="rId371"/><Relationship Type="http://schemas.openxmlformats.org/officeDocument/2006/relationships/hyperlink" Target="https://vanillabonds.com/dossier-data/pdf/katjes/katjes-2024-annual-report.pdf#page=40" TargetMode="External" Id="rId372"/><Relationship Type="http://schemas.openxmlformats.org/officeDocument/2006/relationships/hyperlink" Target="https://vanillabonds.com/dossier-data/pdf/katjes/katjes-2024-annual-report.pdf#page=40" TargetMode="External" Id="rId373"/><Relationship Type="http://schemas.openxmlformats.org/officeDocument/2006/relationships/hyperlink" Target="https://vanillabonds.com/dossier-data/pdf/katjes/katjes-2024-annual-report.pdf#page=74" TargetMode="External" Id="rId374"/><Relationship Type="http://schemas.openxmlformats.org/officeDocument/2006/relationships/hyperlink" Target="https://vanillabonds.com/dossier-data/pdf/katjes/katjes-2024-annual-report.pdf#page=74" TargetMode="External" Id="rId375"/><Relationship Type="http://schemas.openxmlformats.org/officeDocument/2006/relationships/hyperlink" Target="https://vanillabonds.com/dossier-data/pdf/katjes/katjes-2024-annual-report.pdf#page=40" TargetMode="External" Id="rId376"/><Relationship Type="http://schemas.openxmlformats.org/officeDocument/2006/relationships/hyperlink" Target="https://vanillabonds.com/dossier-data/pdf/katjes/katjes-2024-annual-report.pdf#page=40" TargetMode="External" Id="rId377"/><Relationship Type="http://schemas.openxmlformats.org/officeDocument/2006/relationships/hyperlink" Target="https://vanillabonds.com/dossier-data/pdf/katjes/katjes-2024-annual-report.pdf#page=45" TargetMode="External" Id="rId378"/><Relationship Type="http://schemas.openxmlformats.org/officeDocument/2006/relationships/hyperlink" Target="https://vanillabonds.com/dossier-data/pdf/katjes/katjes-2024-annual-report.pdf#page=45" TargetMode="External" Id="rId379"/><Relationship Type="http://schemas.openxmlformats.org/officeDocument/2006/relationships/hyperlink" Target="https://vanillabonds.com/dossier-data/pdf/katjes/katjes-2024-annual-report.pdf#page=45" TargetMode="External" Id="rId380"/><Relationship Type="http://schemas.openxmlformats.org/officeDocument/2006/relationships/hyperlink" Target="https://vanillabonds.com/dossier-data/pdf/katjes/katjes-2024-annual-report.pdf#page=45" TargetMode="External" Id="rId381"/><Relationship Type="http://schemas.openxmlformats.org/officeDocument/2006/relationships/hyperlink" Target="https://vanillabonds.com/dossier-data/pdf/katjes/katjes-2024-annual-report.pdf#page=42" TargetMode="External" Id="rId382"/><Relationship Type="http://schemas.openxmlformats.org/officeDocument/2006/relationships/hyperlink" Target="https://vanillabonds.com/dossier-data/pdf/katjes/katjes-2024-annual-report.pdf#page=42" TargetMode="External" Id="rId383"/><Relationship Type="http://schemas.openxmlformats.org/officeDocument/2006/relationships/hyperlink" Target="https://vanillabonds.com/dossier-data/pdf/katjes/katjes-2024-annual-report.pdf#page=68" TargetMode="External" Id="rId384"/><Relationship Type="http://schemas.openxmlformats.org/officeDocument/2006/relationships/hyperlink" Target="https://vanillabonds.com/dossier-data/pdf/katjes/katjes-2024-annual-report.pdf#page=68" TargetMode="External" Id="rId385"/><Relationship Type="http://schemas.openxmlformats.org/officeDocument/2006/relationships/hyperlink" Target="https://vanillabonds.com/dossier-data/pdf/katjes/katjes-2024-annual-report.pdf#page=69" TargetMode="External" Id="rId386"/><Relationship Type="http://schemas.openxmlformats.org/officeDocument/2006/relationships/hyperlink" Target="https://vanillabonds.com/dossier-data/pdf/katjes/katjes-2024-annual-report.pdf#page=69" TargetMode="External" Id="rId387"/><Relationship Type="http://schemas.openxmlformats.org/officeDocument/2006/relationships/hyperlink" Target="https://vanillabonds.com/dossier-data/pdf/katjes/katjes-2024-annual-report.pdf#page=60" TargetMode="External" Id="rId388"/><Relationship Type="http://schemas.openxmlformats.org/officeDocument/2006/relationships/hyperlink" Target="https://vanillabonds.com/dossier-data/pdf/katjes/katjes-2024-annual-report.pdf#page=60" TargetMode="External" Id="rId389"/><Relationship Type="http://schemas.openxmlformats.org/officeDocument/2006/relationships/hyperlink" Target="https://vanillabonds.com/dossier-data/pdf/katjes/katjes-2024-annual-report.pdf#page=43" TargetMode="External" Id="rId390"/><Relationship Type="http://schemas.openxmlformats.org/officeDocument/2006/relationships/hyperlink" Target="https://vanillabonds.com/dossier-data/pdf/katjes/katjes-2024-annual-report.pdf#page=43" TargetMode="External" Id="rId391"/><Relationship Type="http://schemas.openxmlformats.org/officeDocument/2006/relationships/hyperlink" Target="https://vanillabonds.com/dossier-data/pdf/katjes/katjes-2024-annual-report.pdf#page=42" TargetMode="External" Id="rId392"/><Relationship Type="http://schemas.openxmlformats.org/officeDocument/2006/relationships/hyperlink" Target="https://vanillabonds.com/dossier-data/pdf/katjes/katjes-2024-annual-report.pdf#page=42" TargetMode="External" Id="rId393"/><Relationship Type="http://schemas.openxmlformats.org/officeDocument/2006/relationships/hyperlink" Target="https://vanillabonds.com/dossier-data/pdf/katjes/katjes-2024-annual-report.pdf#page=60" TargetMode="External" Id="rId394"/><Relationship Type="http://schemas.openxmlformats.org/officeDocument/2006/relationships/hyperlink" Target="https://vanillabonds.com/dossier-data/pdf/katjes/katjes-2024-annual-report.pdf#page=60" TargetMode="External" Id="rId395"/><Relationship Type="http://schemas.openxmlformats.org/officeDocument/2006/relationships/hyperlink" Target="https://vanillabonds.com/dossier-data/pdf/katjes/katjes-2024-annual-report.pdf#page=65" TargetMode="External" Id="rId396"/><Relationship Type="http://schemas.openxmlformats.org/officeDocument/2006/relationships/hyperlink" Target="https://vanillabonds.com/dossier-data/pdf/katjes/katjes-2024-annual-report.pdf#page=65" TargetMode="External" Id="rId397"/><Relationship Type="http://schemas.openxmlformats.org/officeDocument/2006/relationships/hyperlink" Target="https://vanillabonds.com/dossier-data/pdf/katjes/katjes-2024-annual-report.pdf#page=65" TargetMode="External" Id="rId398"/><Relationship Type="http://schemas.openxmlformats.org/officeDocument/2006/relationships/hyperlink" Target="https://vanillabonds.com/dossier-data/pdf/katjes/katjes-2024-annual-report.pdf#page=65" TargetMode="External" Id="rId399"/><Relationship Type="http://schemas.openxmlformats.org/officeDocument/2006/relationships/hyperlink" Target="https://vanillabonds.com/dossier-data/pdf/katjes/katjes-2024-annual-report.pdf#page=65" TargetMode="External" Id="rId400"/><Relationship Type="http://schemas.openxmlformats.org/officeDocument/2006/relationships/hyperlink" Target="https://vanillabonds.com/dossier-data/pdf/katjes/katjes-2024-annual-report.pdf#page=65" TargetMode="External" Id="rId401"/><Relationship Type="http://schemas.openxmlformats.org/officeDocument/2006/relationships/hyperlink" Target="https://vanillabonds.com/dossier-data/pdf/katjes/katjes-2024-annual-report.pdf#page=65" TargetMode="External" Id="rId402"/><Relationship Type="http://schemas.openxmlformats.org/officeDocument/2006/relationships/hyperlink" Target="https://vanillabonds.com/dossier-data/pdf/katjes/katjes-2024-annual-report.pdf#page=65" TargetMode="External" Id="rId403"/><Relationship Type="http://schemas.openxmlformats.org/officeDocument/2006/relationships/hyperlink" Target="https://vanillabonds.com/dossier-data/pdf/katjes/katjes-2024-annual-report.pdf#page=65" TargetMode="External" Id="rId404"/><Relationship Type="http://schemas.openxmlformats.org/officeDocument/2006/relationships/hyperlink" Target="https://vanillabonds.com/dossier-data/pdf/katjes/katjes-2024-annual-report.pdf#page=65" TargetMode="External" Id="rId405"/><Relationship Type="http://schemas.openxmlformats.org/officeDocument/2006/relationships/hyperlink" Target="https://vanillabonds.com/dossier-data/pdf/katjes/katjes-2024-annual-report.pdf#page=69" TargetMode="External" Id="rId406"/><Relationship Type="http://schemas.openxmlformats.org/officeDocument/2006/relationships/hyperlink" Target="https://vanillabonds.com/dossier-data/pdf/katjes/katjes-2024-annual-report.pdf#page=35" TargetMode="External" Id="rId407"/><Relationship Type="http://schemas.openxmlformats.org/officeDocument/2006/relationships/hyperlink" Target="https://vanillabonds.com/dossier-data/pdf/katjes/katjes-2024-annual-report.pdf#page=35" TargetMode="External" Id="rId408"/><Relationship Type="http://schemas.openxmlformats.org/officeDocument/2006/relationships/hyperlink" Target="https://vanillabonds.com/dossier-data/pdf/katjes/katjes-2024-annual-report.pdf#page=35" TargetMode="External" Id="rId409"/><Relationship Type="http://schemas.openxmlformats.org/officeDocument/2006/relationships/hyperlink" Target="https://vanillabonds.com/dossier-data/pdf/katjes/katjes-2024-annual-report.pdf#page=35" TargetMode="External" Id="rId410"/><Relationship Type="http://schemas.openxmlformats.org/officeDocument/2006/relationships/hyperlink" Target="https://vanillabonds.com/dossier-data/pdf/katjes/katjes-2024-annual-report.pdf#page=35" TargetMode="External" Id="rId411"/><Relationship Type="http://schemas.openxmlformats.org/officeDocument/2006/relationships/hyperlink" Target="https://vanillabonds.com/dossier-data/pdf/katjes/katjes-2024-annual-report.pdf#page=35" TargetMode="External" Id="rId412"/><Relationship Type="http://schemas.openxmlformats.org/officeDocument/2006/relationships/hyperlink" Target="https://vanillabonds.com/dossier-data/pdf/katjes/katjes-2024-annual-report.pdf#page=35" TargetMode="External" Id="rId413"/><Relationship Type="http://schemas.openxmlformats.org/officeDocument/2006/relationships/hyperlink" Target="https://vanillabonds.com/dossier-data/pdf/katjes/katjes-2024-annual-report.pdf#page=36" TargetMode="External" Id="rId414"/><Relationship Type="http://schemas.openxmlformats.org/officeDocument/2006/relationships/hyperlink" Target="https://vanillabonds.com/dossier-data/pdf/katjes/katjes-2024-annual-report.pdf#page=36" TargetMode="External" Id="rId415"/><Relationship Type="http://schemas.openxmlformats.org/officeDocument/2006/relationships/hyperlink" Target="https://vanillabonds.com/dossier-data/pdf/katjes/katjes-2024-annual-report.pdf#page=57" TargetMode="External" Id="rId416"/><Relationship Type="http://schemas.openxmlformats.org/officeDocument/2006/relationships/hyperlink" Target="https://vanillabonds.com/dossier-data/pdf/katjes/katjes-2024-annual-report.pdf#page=57" TargetMode="External" Id="rId417"/><Relationship Type="http://schemas.openxmlformats.org/officeDocument/2006/relationships/hyperlink" Target="https://vanillabonds.com/dossier-data/pdf/katjes/katjes-2024-annual-report.pdf#page=57" TargetMode="External" Id="rId418"/><Relationship Type="http://schemas.openxmlformats.org/officeDocument/2006/relationships/hyperlink" Target="https://vanillabonds.com/dossier-data/pdf/katjes/katjes-2024-annual-report.pdf#page=59" TargetMode="External" Id="rId419"/><Relationship Type="http://schemas.openxmlformats.org/officeDocument/2006/relationships/hyperlink" Target="https://vanillabonds.com/dossier-data/pdf/katjes/katjes-2024-annual-report.pdf#page=66" TargetMode="External" Id="rId420"/><Relationship Type="http://schemas.openxmlformats.org/officeDocument/2006/relationships/hyperlink" Target="https://vanillabonds.com/dossier-data/pdf/katjes/katjes-2024-annual-report.pdf#page=66" TargetMode="External" Id="rId421"/><Relationship Type="http://schemas.openxmlformats.org/officeDocument/2006/relationships/hyperlink" Target="https://vanillabonds.com/dossier-data/pdf/katjes/katjes-2024-annual-report.pdf#page=6" TargetMode="External" Id="rId422"/><Relationship Type="http://schemas.openxmlformats.org/officeDocument/2006/relationships/hyperlink" Target="https://vanillabonds.com/dossier-data/pdf/katjes/katjes-2024-annual-report.pdf#page=6" TargetMode="External" Id="rId423"/><Relationship Type="http://schemas.openxmlformats.org/officeDocument/2006/relationships/hyperlink" Target="https://vanillabonds.com/dossier-data/pdf/katjes/katjes-2024-annual-report.pdf#page=6" TargetMode="External" Id="rId424"/><Relationship Type="http://schemas.openxmlformats.org/officeDocument/2006/relationships/hyperlink" Target="https://vanillabonds.com/dossier-data/pdf/katjes/katjes-2024-annual-report.pdf#page=38" TargetMode="External" Id="rId425"/><Relationship Type="http://schemas.openxmlformats.org/officeDocument/2006/relationships/hyperlink" Target="https://vanillabonds.com/dossier-data/pdf/katjes/katjes-2024-annual-report.pdf#page=4" TargetMode="External" Id="rId426"/><Relationship Type="http://schemas.openxmlformats.org/officeDocument/2006/relationships/hyperlink" Target="https://vanillabonds.com/dossier-data/pdf/katjes/katjes-2024-annual-report.pdf#page=14" TargetMode="External" Id="rId427"/><Relationship Type="http://schemas.openxmlformats.org/officeDocument/2006/relationships/hyperlink" Target="https://vanillabonds.com/dossier-data/pdf/katjes/katjes-2024-annual-report.pdf#page=18" TargetMode="External" Id="rId428"/><Relationship Type="http://schemas.openxmlformats.org/officeDocument/2006/relationships/hyperlink" Target="https://vanillabonds.com/dossier-data/pdf/katjes/katjes-2024-annual-report.pdf#page=21" TargetMode="External" Id="rId429"/><Relationship Type="http://schemas.openxmlformats.org/officeDocument/2006/relationships/hyperlink" Target="https://vanillabonds.com/dossier-data/pdf/katjes/katjes-2024-annual-report.pdf#page=24" TargetMode="External" Id="rId430"/><Relationship Type="http://schemas.openxmlformats.org/officeDocument/2006/relationships/hyperlink" Target="https://vanillabonds.com/dossier-data/pdf/katjes/katjes-2024-annual-report.pdf#page=24" TargetMode="External" Id="rId431"/><Relationship Type="http://schemas.openxmlformats.org/officeDocument/2006/relationships/hyperlink" Target="https://vanillabonds.com/dossier-data/pdf/katjes/katjes-2024-annual-report.pdf#page=24" TargetMode="External" Id="rId432"/><Relationship Type="http://schemas.openxmlformats.org/officeDocument/2006/relationships/hyperlink" Target="https://vanillabonds.com/dossier-data/pdf/katjes/katjes-2024-annual-report.pdf#page=24" TargetMode="External" Id="rId433"/><Relationship Type="http://schemas.openxmlformats.org/officeDocument/2006/relationships/hyperlink" Target="https://vanillabonds.com/dossier-data/pdf/katjes/katjes-2024-annual-report.pdf#page=24" TargetMode="External" Id="rId434"/><Relationship Type="http://schemas.openxmlformats.org/officeDocument/2006/relationships/hyperlink" Target="https://vanillabonds.com/dossier-data/pdf/katjes/katjes-2024-annual-report.pdf#page=24" TargetMode="External" Id="rId435"/><Relationship Type="http://schemas.openxmlformats.org/officeDocument/2006/relationships/hyperlink" Target="https://vanillabonds.com/dossier-data/pdf/katjes/katjes-2024-annual-report.pdf#page=24" TargetMode="External" Id="rId436"/><Relationship Type="http://schemas.openxmlformats.org/officeDocument/2006/relationships/hyperlink" Target="https://vanillabonds.com/dossier-data/pdf/katjes/katjes-2024-annual-report.pdf#page=55" TargetMode="External" Id="rId437"/><Relationship Type="http://schemas.openxmlformats.org/officeDocument/2006/relationships/hyperlink" Target="https://vanillabonds.com/dossier-data/pdf/katjes/katjes-2024-annual-report.pdf#page=55" TargetMode="External" Id="rId438"/><Relationship Type="http://schemas.openxmlformats.org/officeDocument/2006/relationships/hyperlink" Target="https://vanillabonds.com/dossier-data/pdf/katjes/katjes-2024-annual-report.pdf#page=6" TargetMode="External" Id="rId439"/><Relationship Type="http://schemas.openxmlformats.org/officeDocument/2006/relationships/hyperlink" Target="https://vanillabonds.com/dossier-data/pdf/katjes/katjes-2024-annual-report.pdf#page=37" TargetMode="External" Id="rId440"/><Relationship Type="http://schemas.openxmlformats.org/officeDocument/2006/relationships/hyperlink" Target="https://vanillabonds.com/dossier-data/pdf/katjes/katjes-2024-annual-report.pdf#page=44" TargetMode="External" Id="rId441"/><Relationship Type="http://schemas.openxmlformats.org/officeDocument/2006/relationships/hyperlink" Target="https://vanillabonds.com/dossier-data/pdf/katjes/katjes-2024-annual-report.pdf#page=47" TargetMode="External" Id="rId442"/><Relationship Type="http://schemas.openxmlformats.org/officeDocument/2006/relationships/hyperlink" Target="https://vanillabonds.com/dossier-data/pdf/katjes/katjes-2024-annual-report.pdf#page=67" TargetMode="External" Id="rId443"/><Relationship Type="http://schemas.openxmlformats.org/officeDocument/2006/relationships/hyperlink" Target="https://vanillabonds.com/dossier-data/pdf/katjes/katjes-2024-annual-report.pdf#page=77" TargetMode="External" Id="rId444"/><Relationship Type="http://schemas.openxmlformats.org/officeDocument/2006/relationships/hyperlink" Target="https://vanillabonds.com/dossier-data/pdf/katjes/katjes-2024-annual-report.pdf#page=80" TargetMode="External" Id="rId445"/><Relationship Type="http://schemas.openxmlformats.org/officeDocument/2006/relationships/hyperlink" Target="https://vanillabonds.com/dossier-data/pdf/katjes/katjes-2024-annual-report.pdf#page=80" TargetMode="External" Id="rId446"/><Relationship Type="http://schemas.openxmlformats.org/officeDocument/2006/relationships/hyperlink" Target="https://vanillabonds.com/dossier-data/pdf/katjes/katjes-2024-annual-report.pdf#page=81" TargetMode="External" Id="rId447"/><Relationship Type="http://schemas.openxmlformats.org/officeDocument/2006/relationships/hyperlink" Target="https://vanillabonds.com/dossier-data/pdf/katjes/katjes-2024-annual-report.pdf#page=25" TargetMode="External" Id="rId448"/><Relationship Type="http://schemas.openxmlformats.org/officeDocument/2006/relationships/hyperlink" Target="https://vanillabonds.com/dossier-data/pdf/katjes/katjes-2024-annual-report.pdf#page=37" TargetMode="External" Id="rId449"/><Relationship Type="http://schemas.openxmlformats.org/officeDocument/2006/relationships/hyperlink" Target="https://vanillabonds.com/dossier-data/pdf/katjes/katjes-2024-annual-report.pdf#page=38" TargetMode="External" Id="rId450"/><Relationship Type="http://schemas.openxmlformats.org/officeDocument/2006/relationships/hyperlink" Target="https://vanillabonds.com/dossier-data/pdf/katjes/katjes-2024-annual-report.pdf#page=58" TargetMode="External" Id="rId451"/><Relationship Type="http://schemas.openxmlformats.org/officeDocument/2006/relationships/hyperlink" Target="https://vanillabonds.com/dossier-data/pdf/katjes/katjes-2024-annual-report.pdf#page=24" TargetMode="External" Id="rId452"/><Relationship Type="http://schemas.openxmlformats.org/officeDocument/2006/relationships/hyperlink" Target="https://vanillabonds.com/dossier-data/pdf/katjes/katjes-2024-annual-report.pdf#page=24" TargetMode="External" Id="rId453"/><Relationship Type="http://schemas.openxmlformats.org/officeDocument/2006/relationships/hyperlink" Target="https://vanillabonds.com/dossier-data/pdf/katjes/katjes-2024-annual-report.pdf#page=24" TargetMode="External" Id="rId454"/><Relationship Type="http://schemas.openxmlformats.org/officeDocument/2006/relationships/hyperlink" Target="https://vanillabonds.com/dossier-data/pdf/katjes/katjes-2024-annual-report.pdf#page=24" TargetMode="External" Id="rId455"/><Relationship Type="http://schemas.openxmlformats.org/officeDocument/2006/relationships/hyperlink" Target="https://vanillabonds.com/dossier-data/pdf/katjes/katjes-2024-annual-report.pdf#page=26" TargetMode="External" Id="rId456"/><Relationship Type="http://schemas.openxmlformats.org/officeDocument/2006/relationships/hyperlink" Target="https://vanillabonds.com/dossier-data/pdf/katjes/katjes-2024-annual-report.pdf#page=26" TargetMode="External" Id="rId457"/><Relationship Type="http://schemas.openxmlformats.org/officeDocument/2006/relationships/hyperlink" Target="https://vanillabonds.com/dossier-data/pdf/katjes/katjes-2024-annual-report.pdf#page=26" TargetMode="External" Id="rId458"/><Relationship Type="http://schemas.openxmlformats.org/officeDocument/2006/relationships/hyperlink" Target="https://vanillabonds.com/dossier-data/pdf/katjes/katjes-2024-annual-report.pdf#page=29" TargetMode="External" Id="rId459"/><Relationship Type="http://schemas.openxmlformats.org/officeDocument/2006/relationships/hyperlink" Target="https://vanillabonds.com/dossier-data/pdf/katjes/katjes-2024-annual-report.pdf#page=13" TargetMode="External" Id="rId460"/><Relationship Type="http://schemas.openxmlformats.org/officeDocument/2006/relationships/hyperlink" Target="https://vanillabonds.com/dossier-data/pdf/katjes/katjes-2024-annual-report.pdf#page=18" TargetMode="External" Id="rId461"/><Relationship Type="http://schemas.openxmlformats.org/officeDocument/2006/relationships/hyperlink" Target="https://vanillabonds.com/dossier-data/pdf/katjes/katjes-2024-annual-report.pdf#page=29" TargetMode="External" Id="rId462"/><Relationship Type="http://schemas.openxmlformats.org/officeDocument/2006/relationships/hyperlink" Target="https://vanillabonds.com/dossier-data/pdf/katjes/katjes-2024-annual-report.pdf#page=29" TargetMode="External" Id="rId463"/><Relationship Type="http://schemas.openxmlformats.org/officeDocument/2006/relationships/hyperlink" Target="https://vanillabonds.com/dossier-data/pdf/katjes/katjes-2024-annual-report.pdf#page=32" TargetMode="External" Id="rId464"/><Relationship Type="http://schemas.openxmlformats.org/officeDocument/2006/relationships/hyperlink" Target="https://vanillabonds.com/dossier-data/pdf/katjes/katjes-2024-annual-report.pdf#page=77" TargetMode="External" Id="rId465"/><Relationship Type="http://schemas.openxmlformats.org/officeDocument/2006/relationships/hyperlink" Target="https://vanillabonds.com/dossier-data/pdf/katjes/katjes-2024-annual-report.pdf#page=17" TargetMode="External" Id="rId466"/><Relationship Type="http://schemas.openxmlformats.org/officeDocument/2006/relationships/hyperlink" Target="https://vanillabonds.com/dossier-data/pdf/katjes/katjes-2024-annual-report.pdf#page=24" TargetMode="External" Id="rId467"/><Relationship Type="http://schemas.openxmlformats.org/officeDocument/2006/relationships/hyperlink" Target="https://vanillabonds.com/dossier-data/pdf/katjes/katjes-2024-annual-report.pdf#page=55" TargetMode="External" Id="rId468"/><Relationship Type="http://schemas.openxmlformats.org/officeDocument/2006/relationships/hyperlink" Target="https://vanillabonds.com/dossier-data/pdf/katjes/katjes-2024-annual-report.pdf#page=84" TargetMode="External" Id="rId469"/><Relationship Type="http://schemas.openxmlformats.org/officeDocument/2006/relationships/hyperlink" Target="https://vanillabonds.com/dossier-data/pdf/katjes/katjes-2024-annual-report.pdf#page=59" TargetMode="External" Id="rId470"/><Relationship Type="http://schemas.openxmlformats.org/officeDocument/2006/relationships/hyperlink" Target="https://vanillabonds.com/dossier-data/pdf/katjes/katjes-2024-annual-report.pdf#page=59" TargetMode="External" Id="rId471"/><Relationship Type="http://schemas.openxmlformats.org/officeDocument/2006/relationships/hyperlink" Target="https://vanillabonds.com/dossier-data/pdf/katjes/katjes-2024-annual-report.pdf#page=59" TargetMode="External" Id="rId472"/><Relationship Type="http://schemas.openxmlformats.org/officeDocument/2006/relationships/hyperlink" Target="https://vanillabonds.com/dossier-data/pdf/katjes/katjes-2024-annual-report.pdf#page=59" TargetMode="External" Id="rId473"/><Relationship Type="http://schemas.openxmlformats.org/officeDocument/2006/relationships/hyperlink" Target="https://vanillabonds.com/dossier-data/pdf/katjes/katjes-2024-annual-report.pdf#page=45" TargetMode="External" Id="rId474"/><Relationship Type="http://schemas.openxmlformats.org/officeDocument/2006/relationships/hyperlink" Target="https://vanillabonds.com/dossier-data/pdf/katjes/katjes-2024-annual-report.pdf#page=56" TargetMode="External" Id="rId475"/><Relationship Type="http://schemas.openxmlformats.org/officeDocument/2006/relationships/hyperlink" Target="https://vanillabonds.com/dossier-data/pdf/katjes/katjes-2024-annual-report.pdf#page=83" TargetMode="External" Id="rId476"/><Relationship Type="http://schemas.openxmlformats.org/officeDocument/2006/relationships/hyperlink" Target="https://vanillabonds.com/dossier-data/pdf/katjes/katjes-2024-annual-report.pdf#page=83" TargetMode="External" Id="rId477"/><Relationship Type="http://schemas.openxmlformats.org/officeDocument/2006/relationships/hyperlink" Target="https://vanillabonds.com/dossier-data/pdf/katjes/katjes-2024-annual-report.pdf#page=83" TargetMode="External" Id="rId478"/><Relationship Type="http://schemas.openxmlformats.org/officeDocument/2006/relationships/hyperlink" Target="https://vanillabonds.com/dossier-data/pdf/katjes/katjes-2024-annual-report.pdf#page=83" TargetMode="External" Id="rId479"/><Relationship Type="http://schemas.openxmlformats.org/officeDocument/2006/relationships/hyperlink" Target="https://vanillabonds.com/dossier-data/pdf/katjes/katjes-2024-annual-report.pdf#page=83" TargetMode="External" Id="rId480"/><Relationship Type="http://schemas.openxmlformats.org/officeDocument/2006/relationships/hyperlink" Target="https://vanillabonds.com/dossier-data/pdf/katjes/katjes-2024-annual-report.pdf#page=83" TargetMode="External" Id="rId481"/><Relationship Type="http://schemas.openxmlformats.org/officeDocument/2006/relationships/hyperlink" Target="https://vanillabonds.com/dossier-data/pdf/katjes/katjes-2024-annual-report.pdf#page=83" TargetMode="External" Id="rId482"/><Relationship Type="http://schemas.openxmlformats.org/officeDocument/2006/relationships/hyperlink" Target="https://vanillabonds.com/dossier-data/pdf/katjes/katjes-2024-annual-report.pdf#page=83" TargetMode="External" Id="rId483"/><Relationship Type="http://schemas.openxmlformats.org/officeDocument/2006/relationships/hyperlink" Target="https://vanillabonds.com/dossier-data/pdf/katjes/katjes-2024-annual-report.pdf#page=83" TargetMode="External" Id="rId484"/><Relationship Type="http://schemas.openxmlformats.org/officeDocument/2006/relationships/hyperlink" Target="https://vanillabonds.com/dossier-data/pdf/katjes/katjes-2024-annual-report.pdf#page=83" TargetMode="External" Id="rId485"/><Relationship Type="http://schemas.openxmlformats.org/officeDocument/2006/relationships/hyperlink" Target="https://vanillabonds.com/dossier-data/pdf/katjes/katjes-2024-annual-report.pdf#page=83" TargetMode="External" Id="rId486"/><Relationship Type="http://schemas.openxmlformats.org/officeDocument/2006/relationships/hyperlink" Target="https://vanillabonds.com/dossier-data/pdf/katjes/katjes-2024-annual-report.pdf#page=83" TargetMode="External" Id="rId487"/><Relationship Type="http://schemas.openxmlformats.org/officeDocument/2006/relationships/hyperlink" Target="https://vanillabonds.com/dossier-data/pdf/katjes/katjes-2024-annual-report.pdf#page=83" TargetMode="External" Id="rId488"/><Relationship Type="http://schemas.openxmlformats.org/officeDocument/2006/relationships/hyperlink" Target="https://vanillabonds.com/dossier-data/pdf/katjes/katjes-2024-annual-report.pdf#page=83" TargetMode="External" Id="rId489"/><Relationship Type="http://schemas.openxmlformats.org/officeDocument/2006/relationships/hyperlink" Target="https://vanillabonds.com/dossier-data/pdf/katjes/katjes-2024-annual-report.pdf#page=83" TargetMode="External" Id="rId490"/><Relationship Type="http://schemas.openxmlformats.org/officeDocument/2006/relationships/hyperlink" Target="https://vanillabonds.com/dossier-data/pdf/katjes/katjes-2024-annual-report.pdf#page=83" TargetMode="External" Id="rId491"/><Relationship Type="http://schemas.openxmlformats.org/officeDocument/2006/relationships/hyperlink" Target="https://vanillabonds.com/dossier-data/pdf/katjes/katjes-2024-annual-report.pdf#page=83" TargetMode="External" Id="rId492"/><Relationship Type="http://schemas.openxmlformats.org/officeDocument/2006/relationships/hyperlink" Target="https://vanillabonds.com/dossier-data/pdf/katjes/katjes-2024-annual-report.pdf#page=83" TargetMode="External" Id="rId493"/><Relationship Type="http://schemas.openxmlformats.org/officeDocument/2006/relationships/hyperlink" Target="https://vanillabonds.com/dossier-data/pdf/katjes/katjes-2024-annual-report.pdf#page=6" TargetMode="External" Id="rId494"/><Relationship Type="http://schemas.openxmlformats.org/officeDocument/2006/relationships/hyperlink" Target="https://vanillabonds.com/dossier-data/pdf/katjes/katjes-2024-annual-report.pdf#page=6" TargetMode="External" Id="rId495"/><Relationship Type="http://schemas.openxmlformats.org/officeDocument/2006/relationships/hyperlink" Target="https://vanillabonds.com/dossier-data/pdf/katjes/katjes-2024-annual-report.pdf#page=6" TargetMode="External" Id="rId496"/><Relationship Type="http://schemas.openxmlformats.org/officeDocument/2006/relationships/hyperlink" Target="https://vanillabonds.com/dossier-data/pdf/katjes/katjes-2024-annual-report.pdf#page=80" TargetMode="External" Id="rId497"/><Relationship Type="http://schemas.openxmlformats.org/officeDocument/2006/relationships/hyperlink" Target="https://vanillabonds.com/dossier-data/pdf/katjes/katjes-2024-annual-report.pdf#page=80" TargetMode="External" Id="rId498"/><Relationship Type="http://schemas.openxmlformats.org/officeDocument/2006/relationships/hyperlink" Target="https://vanillabonds.com/dossier-data/pdf/katjes/katjes-2024-annual-report.pdf#page=80" TargetMode="External" Id="rId499"/><Relationship Type="http://schemas.openxmlformats.org/officeDocument/2006/relationships/hyperlink" Target="https://vanillabonds.com/dossier-data/pdf/katjes/katjes-2024-annual-report.pdf#page=80" TargetMode="External" Id="rId500"/><Relationship Type="http://schemas.openxmlformats.org/officeDocument/2006/relationships/hyperlink" Target="https://vanillabonds.com/dossier-data/pdf/katjes/katjes-2024-annual-report.pdf#page=80" TargetMode="External" Id="rId501"/><Relationship Type="http://schemas.openxmlformats.org/officeDocument/2006/relationships/hyperlink" Target="https://vanillabonds.com/dossier-data/pdf/katjes/katjes-2024-annual-report.pdf#page=80" TargetMode="External" Id="rId502"/><Relationship Type="http://schemas.openxmlformats.org/officeDocument/2006/relationships/hyperlink" Target="https://vanillabonds.com/dossier-data/pdf/katjes/katjes-2024-annual-report.pdf#page=67" TargetMode="External" Id="rId503"/><Relationship Type="http://schemas.openxmlformats.org/officeDocument/2006/relationships/hyperlink" Target="https://vanillabonds.com/dossier-data/pdf/katjes/katjes-2024-annual-report.pdf#page=26" TargetMode="External" Id="rId504"/><Relationship Type="http://schemas.openxmlformats.org/officeDocument/2006/relationships/hyperlink" Target="https://vanillabonds.com/dossier-data/pdf/katjes/katjes-2024-annual-report.pdf#page=26" TargetMode="External" Id="rId505"/><Relationship Type="http://schemas.openxmlformats.org/officeDocument/2006/relationships/hyperlink" Target="https://vanillabonds.com/dossier-data/pdf/katjes/katjes-2024-annual-report.pdf#page=26" TargetMode="External" Id="rId506"/><Relationship Type="http://schemas.openxmlformats.org/officeDocument/2006/relationships/hyperlink" Target="https://vanillabonds.com/dossier-data/pdf/katjes/katjes-2024-annual-report.pdf#page=27" TargetMode="External" Id="rId507"/><Relationship Type="http://schemas.openxmlformats.org/officeDocument/2006/relationships/hyperlink" Target="https://vanillabonds.com/dossier-data/pdf/katjes/katjes-2024-annual-report.pdf#page=27" TargetMode="External" Id="rId508"/><Relationship Type="http://schemas.openxmlformats.org/officeDocument/2006/relationships/hyperlink" Target="https://vanillabonds.com/dossier-data/pdf/katjes/katjes-2024-annual-report.pdf#page=27" TargetMode="External" Id="rId509"/><Relationship Type="http://schemas.openxmlformats.org/officeDocument/2006/relationships/hyperlink" Target="https://vanillabonds.com/dossier-data/pdf/katjes/katjes-2024-annual-report.pdf#page=27" TargetMode="External" Id="rId510"/><Relationship Type="http://schemas.openxmlformats.org/officeDocument/2006/relationships/hyperlink" Target="https://vanillabonds.com/dossier-data/pdf/katjes/katjes-2024-annual-report.pdf#page=27" TargetMode="External" Id="rId511"/><Relationship Type="http://schemas.openxmlformats.org/officeDocument/2006/relationships/hyperlink" Target="https://vanillabonds.com/dossier-data/pdf/katjes/katjes-2024-annual-report.pdf#page=27" TargetMode="External" Id="rId512"/><Relationship Type="http://schemas.openxmlformats.org/officeDocument/2006/relationships/hyperlink" Target="https://vanillabonds.com/dossier-data/pdf/katjes/katjes-2024-annual-report.pdf#page=27" TargetMode="External" Id="rId513"/><Relationship Type="http://schemas.openxmlformats.org/officeDocument/2006/relationships/hyperlink" Target="https://vanillabonds.com/dossier-data/pdf/katjes/katjes-2024-annual-report.pdf#page=27" TargetMode="External" Id="rId514"/><Relationship Type="http://schemas.openxmlformats.org/officeDocument/2006/relationships/hyperlink" Target="https://vanillabonds.com/dossier-data/pdf/katjes/katjes-2024-annual-report.pdf#page=27" TargetMode="External" Id="rId515"/><Relationship Type="http://schemas.openxmlformats.org/officeDocument/2006/relationships/hyperlink" Target="https://vanillabonds.com/dossier-data/pdf/katjes/katjes-2024-annual-report.pdf#page=27" TargetMode="External" Id="rId516"/><Relationship Type="http://schemas.openxmlformats.org/officeDocument/2006/relationships/hyperlink" Target="https://vanillabonds.com/dossier-data/pdf/katjes/katjes-2024-annual-report.pdf#page=27" TargetMode="External" Id="rId517"/><Relationship Type="http://schemas.openxmlformats.org/officeDocument/2006/relationships/hyperlink" Target="https://vanillabonds.com/dossier-data/pdf/katjes/katjes-2024-annual-report.pdf#page=27" TargetMode="External" Id="rId518"/><Relationship Type="http://schemas.openxmlformats.org/officeDocument/2006/relationships/hyperlink" Target="https://vanillabonds.com/dossier-data/pdf/katjes/katjes-2024-annual-report.pdf#page=38" TargetMode="External" Id="rId519"/><Relationship Type="http://schemas.openxmlformats.org/officeDocument/2006/relationships/hyperlink" Target="https://vanillabonds.com/dossier-data/pdf/katjes/katjes-2024-annual-report.pdf#page=38" TargetMode="External" Id="rId520"/><Relationship Type="http://schemas.openxmlformats.org/officeDocument/2006/relationships/hyperlink" Target="https://vanillabonds.com/dossier-data/pdf/katjes/katjes-2024-annual-report.pdf#page=49" TargetMode="External" Id="rId521"/><Relationship Type="http://schemas.openxmlformats.org/officeDocument/2006/relationships/hyperlink" Target="https://vanillabonds.com/dossier-data/pdf/katjes/katjes-2024-annual-report.pdf#page=49" TargetMode="External" Id="rId522"/><Relationship Type="http://schemas.openxmlformats.org/officeDocument/2006/relationships/hyperlink" Target="https://vanillabonds.com/dossier-data/pdf/katjes/katjes-2024-annual-report.pdf#page=51" TargetMode="External" Id="rId523"/><Relationship Type="http://schemas.openxmlformats.org/officeDocument/2006/relationships/hyperlink" Target="https://vanillabonds.com/dossier-data/pdf/katjes/katjes-2024-annual-report.pdf#page=15" TargetMode="External" Id="rId524"/><Relationship Type="http://schemas.openxmlformats.org/officeDocument/2006/relationships/hyperlink" Target="https://vanillabonds.com/dossier-data/pdf/katjes/katjes-2024-annual-report.pdf#page=74" TargetMode="External" Id="rId525"/><Relationship Type="http://schemas.openxmlformats.org/officeDocument/2006/relationships/hyperlink" Target="https://vanillabonds.com/dossier-data/pdf/katjes/katjes-2024-annual-report.pdf#page=74" TargetMode="External" Id="rId526"/><Relationship Type="http://schemas.openxmlformats.org/officeDocument/2006/relationships/hyperlink" Target="https://vanillabonds.com/dossier-data/pdf/katjes/katjes-2024-annual-report.pdf#page=74" TargetMode="External" Id="rId527"/><Relationship Type="http://schemas.openxmlformats.org/officeDocument/2006/relationships/hyperlink" Target="https://vanillabonds.com/dossier-data/pdf/katjes/katjes-2024-annual-report.pdf#page=20" TargetMode="External" Id="rId528"/><Relationship Type="http://schemas.openxmlformats.org/officeDocument/2006/relationships/hyperlink" Target="https://vanillabonds.com/dossier-data/pdf/katjes/katjes-2024-annual-report.pdf#page=24" TargetMode="External" Id="rId529"/><Relationship Type="http://schemas.openxmlformats.org/officeDocument/2006/relationships/hyperlink" Target="https://vanillabonds.com/dossier-data/pdf/katjes/katjes-2024-annual-report.pdf#page=32" TargetMode="External" Id="rId530"/><Relationship Type="http://schemas.openxmlformats.org/officeDocument/2006/relationships/hyperlink" Target="https://vanillabonds.com/dossier-data/pdf/katjes/katjes-2024-annual-report.pdf#page=32" TargetMode="External" Id="rId531"/><Relationship Type="http://schemas.openxmlformats.org/officeDocument/2006/relationships/hyperlink" Target="https://vanillabonds.com/dossier-data/pdf/katjes/katjes-2024-annual-report.pdf#page=51" TargetMode="External" Id="rId532"/><Relationship Type="http://schemas.openxmlformats.org/officeDocument/2006/relationships/hyperlink" Target="https://vanillabonds.com/dossier-data/pdf/katjes/katjes-2024-annual-report.pdf#page=80" TargetMode="External" Id="rId533"/><Relationship Type="http://schemas.openxmlformats.org/officeDocument/2006/relationships/hyperlink" Target="https://vanillabonds.com/dossier-data/pdf/katjes/katjes-2024-annual-report.pdf#page=40" TargetMode="External" Id="rId534"/><Relationship Type="http://schemas.openxmlformats.org/officeDocument/2006/relationships/hyperlink" Target="https://vanillabonds.com/dossier-data/pdf/katjes/katjes-2024-annual-report.pdf#page=75" TargetMode="External" Id="rId535"/><Relationship Type="http://schemas.openxmlformats.org/officeDocument/2006/relationships/hyperlink" Target="https://vanillabonds.com/dossier-data/pdf/katjes/katjes-2024-annual-report.pdf#page=75" TargetMode="External" Id="rId536"/><Relationship Type="http://schemas.openxmlformats.org/officeDocument/2006/relationships/hyperlink" Target="https://vanillabonds.com/dossier-data/pdf/katjes/katjes-2024-annual-report.pdf#page=75" TargetMode="External" Id="rId537"/><Relationship Type="http://schemas.openxmlformats.org/officeDocument/2006/relationships/hyperlink" Target="https://vanillabonds.com/dossier-data/pdf/katjes/katjes-2024-annual-report.pdf#page=43" TargetMode="External" Id="rId538"/><Relationship Type="http://schemas.openxmlformats.org/officeDocument/2006/relationships/hyperlink" Target="https://vanillabonds.com/dossier-data/pdf/katjes/katjes-2024-annual-report.pdf#page=43" TargetMode="External" Id="rId539"/><Relationship Type="http://schemas.openxmlformats.org/officeDocument/2006/relationships/hyperlink" Target="https://vanillabonds.com/dossier-data/pdf/katjes/katjes-2024-annual-report.pdf#page=66" TargetMode="External" Id="rId540"/><Relationship Type="http://schemas.openxmlformats.org/officeDocument/2006/relationships/hyperlink" Target="https://vanillabonds.com/dossier-data/pdf/katjes/katjes-2024-annual-report.pdf#page=85" TargetMode="External" Id="rId541"/><Relationship Type="http://schemas.openxmlformats.org/officeDocument/2006/relationships/hyperlink" Target="https://vanillabonds.com/dossier-data/pdf/katjes/katjes-2024-annual-report.pdf#page=90" TargetMode="External" Id="rId542"/><Relationship Type="http://schemas.openxmlformats.org/officeDocument/2006/relationships/hyperlink" Target="https://vanillabonds.com/dossier-data/pdf/katjes/katjes-2024-annual-report.pdf#page=40" TargetMode="External" Id="rId543"/><Relationship Type="http://schemas.openxmlformats.org/officeDocument/2006/relationships/hyperlink" Target="https://vanillabonds.com/dossier-data/pdf/katjes/katjes-2024-annual-report.pdf#page=43" TargetMode="External" Id="rId544"/><Relationship Type="http://schemas.openxmlformats.org/officeDocument/2006/relationships/hyperlink" Target="https://vanillabonds.com/dossier-data/pdf/katjes/katjes-2024-annual-report.pdf#page=53" TargetMode="External" Id="rId545"/><Relationship Type="http://schemas.openxmlformats.org/officeDocument/2006/relationships/hyperlink" Target="https://vanillabonds.com/dossier-data/pdf/katjes/katjes-2024-annual-report.pdf#page=70" TargetMode="External" Id="rId546"/><Relationship Type="http://schemas.openxmlformats.org/officeDocument/2006/relationships/hyperlink" Target="https://vanillabonds.com/dossier-data/pdf/katjes/katjes-2024-annual-report.pdf#page=76" TargetMode="External" Id="rId547"/><Relationship Type="http://schemas.openxmlformats.org/officeDocument/2006/relationships/hyperlink" Target="https://vanillabonds.com/dossier-data/pdf/katjes/katjes-2024-annual-report.pdf#page=76" TargetMode="External" Id="rId548"/><Relationship Type="http://schemas.openxmlformats.org/officeDocument/2006/relationships/hyperlink" Target="https://vanillabonds.com/dossier-data/pdf/katjes/katjes-2024-annual-report.pdf#page=74" TargetMode="External" Id="rId549"/><Relationship Type="http://schemas.openxmlformats.org/officeDocument/2006/relationships/hyperlink" Target="https://vanillabonds.com/dossier-data/pdf/katjes/katjes-2024-annual-report.pdf#page=74" TargetMode="External" Id="rId550"/><Relationship Type="http://schemas.openxmlformats.org/officeDocument/2006/relationships/hyperlink" Target="https://vanillabonds.com/dossier-data/pdf/katjes/katjes-2024-annual-report.pdf#page=74" TargetMode="External" Id="rId551"/><Relationship Type="http://schemas.openxmlformats.org/officeDocument/2006/relationships/hyperlink" Target="https://vanillabonds.com/dossier-data/pdf/katjes/katjes-2024-annual-report.pdf#page=74" TargetMode="External" Id="rId552"/><Relationship Type="http://schemas.openxmlformats.org/officeDocument/2006/relationships/hyperlink" Target="https://vanillabonds.com/dossier-data/pdf/katjes/katjes-2024-annual-report.pdf#page=74" TargetMode="External" Id="rId553"/><Relationship Type="http://schemas.openxmlformats.org/officeDocument/2006/relationships/hyperlink" Target="https://vanillabonds.com/dossier-data/pdf/katjes/katjes-2024-annual-report.pdf#page=77" TargetMode="External" Id="rId554"/><Relationship Type="http://schemas.openxmlformats.org/officeDocument/2006/relationships/hyperlink" Target="https://vanillabonds.com/dossier-data/pdf/katjes/katjes-2024-annual-report.pdf#page=77" TargetMode="External" Id="rId555"/><Relationship Type="http://schemas.openxmlformats.org/officeDocument/2006/relationships/hyperlink" Target="https://vanillabonds.com/dossier-data/pdf/katjes/katjes-2024-annual-report.pdf#page=77" TargetMode="External" Id="rId556"/><Relationship Type="http://schemas.openxmlformats.org/officeDocument/2006/relationships/hyperlink" Target="https://vanillabonds.com/dossier-data/pdf/katjes/katjes-2024-annual-report.pdf#page=77" TargetMode="External" Id="rId557"/><Relationship Type="http://schemas.openxmlformats.org/officeDocument/2006/relationships/hyperlink" Target="https://vanillabonds.com/dossier-data/pdf/katjes/katjes-2024-annual-report.pdf#page=77" TargetMode="External" Id="rId558"/><Relationship Type="http://schemas.openxmlformats.org/officeDocument/2006/relationships/hyperlink" Target="https://vanillabonds.com/dossier-data/pdf/katjes/katjes-2024-annual-report.pdf#page=77" TargetMode="External" Id="rId559"/><Relationship Type="http://schemas.openxmlformats.org/officeDocument/2006/relationships/hyperlink" Target="https://vanillabonds.com/dossier-data/pdf/katjes/katjes-2024-annual-report.pdf#page=78" TargetMode="External" Id="rId560"/><Relationship Type="http://schemas.openxmlformats.org/officeDocument/2006/relationships/hyperlink" Target="https://vanillabonds.com/dossier-data/pdf/katjes/katjes-2024-annual-report.pdf#page=78" TargetMode="External" Id="rId561"/><Relationship Type="http://schemas.openxmlformats.org/officeDocument/2006/relationships/hyperlink" Target="https://vanillabonds.com/dossier-data/pdf/katjes/katjes-2024-annual-report.pdf#page=78" TargetMode="External" Id="rId562"/><Relationship Type="http://schemas.openxmlformats.org/officeDocument/2006/relationships/hyperlink" Target="https://vanillabonds.com/dossier-data/pdf/katjes/katjes-2024-annual-report.pdf#page=78" TargetMode="External" Id="rId563"/><Relationship Type="http://schemas.openxmlformats.org/officeDocument/2006/relationships/hyperlink" Target="https://vanillabonds.com/dossier-data/pdf/katjes/katjes-2024-annual-report.pdf#page=74" TargetMode="External" Id="rId564"/><Relationship Type="http://schemas.openxmlformats.org/officeDocument/2006/relationships/hyperlink" Target="https://vanillabonds.com/dossier-data/pdf/katjes/katjes-2024-annual-report.pdf#page=74" TargetMode="External" Id="rId565"/><Relationship Type="http://schemas.openxmlformats.org/officeDocument/2006/relationships/hyperlink" Target="https://vanillabonds.com/dossier-data/pdf/katjes/katjes-2024-annual-report.pdf#page=74" TargetMode="External" Id="rId566"/><Relationship Type="http://schemas.openxmlformats.org/officeDocument/2006/relationships/hyperlink" Target="https://vanillabonds.com/dossier-data/pdf/katjes/katjes-2024-annual-report.pdf#page=74" TargetMode="External" Id="rId567"/><Relationship Type="http://schemas.openxmlformats.org/officeDocument/2006/relationships/hyperlink" Target="https://vanillabonds.com/dossier-data/pdf/katjes/katjes-2024-annual-report.pdf#page=74" TargetMode="External" Id="rId568"/><Relationship Type="http://schemas.openxmlformats.org/officeDocument/2006/relationships/hyperlink" Target="https://vanillabonds.com/dossier-data/pdf/katjes/katjes-2024-annual-report.pdf#page=77" TargetMode="External" Id="rId569"/><Relationship Type="http://schemas.openxmlformats.org/officeDocument/2006/relationships/hyperlink" Target="https://vanillabonds.com/dossier-data/pdf/katjes/katjes-2024-annual-report.pdf#page=77" TargetMode="External" Id="rId570"/><Relationship Type="http://schemas.openxmlformats.org/officeDocument/2006/relationships/hyperlink" Target="https://vanillabonds.com/dossier-data/pdf/katjes/katjes-2024-annual-report.pdf#page=77" TargetMode="External" Id="rId571"/><Relationship Type="http://schemas.openxmlformats.org/officeDocument/2006/relationships/hyperlink" Target="https://vanillabonds.com/dossier-data/pdf/katjes/katjes-2024-annual-report.pdf#page=77" TargetMode="External" Id="rId572"/><Relationship Type="http://schemas.openxmlformats.org/officeDocument/2006/relationships/hyperlink" Target="https://vanillabonds.com/dossier-data/pdf/katjes/katjes-2024-annual-report.pdf#page=77" TargetMode="External" Id="rId573"/><Relationship Type="http://schemas.openxmlformats.org/officeDocument/2006/relationships/hyperlink" Target="https://vanillabonds.com/dossier-data/pdf/katjes/katjes-2024-annual-report.pdf#page=77" TargetMode="External" Id="rId574"/><Relationship Type="http://schemas.openxmlformats.org/officeDocument/2006/relationships/hyperlink" Target="https://vanillabonds.com/dossier-data/pdf/katjes/katjes-2024-annual-report.pdf#page=78" TargetMode="External" Id="rId575"/><Relationship Type="http://schemas.openxmlformats.org/officeDocument/2006/relationships/hyperlink" Target="https://vanillabonds.com/dossier-data/pdf/katjes/katjes-2024-annual-report.pdf#page=78" TargetMode="External" Id="rId576"/><Relationship Type="http://schemas.openxmlformats.org/officeDocument/2006/relationships/hyperlink" Target="https://vanillabonds.com/dossier-data/pdf/katjes/katjes-2024-annual-report.pdf#page=78" TargetMode="External" Id="rId577"/><Relationship Type="http://schemas.openxmlformats.org/officeDocument/2006/relationships/hyperlink" Target="https://vanillabonds.com/dossier-data/pdf/katjes/katjes-2024-annual-report.pdf#page=78" TargetMode="External" Id="rId578"/><Relationship Type="http://schemas.openxmlformats.org/officeDocument/2006/relationships/hyperlink" Target="https://vanillabonds.com/dossier-data/pdf/katjes/katjes-2024-annual-report.pdf#page=45" TargetMode="External" Id="rId579"/><Relationship Type="http://schemas.openxmlformats.org/officeDocument/2006/relationships/hyperlink" Target="https://vanillabonds.com/dossier-data/pdf/katjes/katjes-2024-annual-report.pdf#page=45" TargetMode="External" Id="rId580"/><Relationship Type="http://schemas.openxmlformats.org/officeDocument/2006/relationships/hyperlink" Target="https://vanillabonds.com/dossier-data/pdf/katjes/katjes-2024-annual-report.pdf#page=65" TargetMode="External" Id="rId581"/><Relationship Type="http://schemas.openxmlformats.org/officeDocument/2006/relationships/hyperlink" Target="https://vanillabonds.com/dossier-data/pdf/katjes/katjes-2024-annual-report.pdf#page=57" TargetMode="External" Id="rId582"/><Relationship Type="http://schemas.openxmlformats.org/officeDocument/2006/relationships/hyperlink" Target="https://vanillabonds.com/dossier-data/pdf/katjes/katjes-2024-annual-report.pdf#page=60" TargetMode="External" Id="rId583"/><Relationship Type="http://schemas.openxmlformats.org/officeDocument/2006/relationships/hyperlink" Target="https://vanillabonds.com/dossier-data/pdf/katjes/katjes-2024-annual-report.pdf#page=68" TargetMode="External" Id="rId584"/><Relationship Type="http://schemas.openxmlformats.org/officeDocument/2006/relationships/hyperlink" Target="https://vanillabonds.com/dossier-data/pdf/katjes/katjes-2024-annual-report.pdf#page=68" TargetMode="External" Id="rId585"/><Relationship Type="http://schemas.openxmlformats.org/officeDocument/2006/relationships/hyperlink" Target="https://vanillabonds.com/dossier-data/pdf/katjes/katjes-2024-annual-report.pdf#page=23" TargetMode="External" Id="rId586"/><Relationship Type="http://schemas.openxmlformats.org/officeDocument/2006/relationships/hyperlink" Target="https://vanillabonds.com/dossier-data/pdf/katjes/katjes-2024-annual-report.pdf#page=23" TargetMode="External" Id="rId587"/><Relationship Type="http://schemas.openxmlformats.org/officeDocument/2006/relationships/hyperlink" Target="https://vanillabonds.com/dossier-data/pdf/katjes/katjes-2024-annual-report.pdf#page=38" TargetMode="External" Id="rId588"/><Relationship Type="http://schemas.openxmlformats.org/officeDocument/2006/relationships/hyperlink" Target="https://vanillabonds.com/dossier-data/pdf/katjes/katjes-2024-annual-report.pdf#page=30" TargetMode="External" Id="rId589"/><Relationship Type="http://schemas.openxmlformats.org/officeDocument/2006/relationships/hyperlink" Target="https://vanillabonds.com/dossier-data/pdf/katjes/katjes-2024-annual-report.pdf#page=30" TargetMode="External" Id="rId590"/><Relationship Type="http://schemas.openxmlformats.org/officeDocument/2006/relationships/hyperlink" Target="https://vanillabonds.com/dossier-data/pdf/katjes/katjes-2024-annual-report.pdf#page=30" TargetMode="External" Id="rId591"/><Relationship Type="http://schemas.openxmlformats.org/officeDocument/2006/relationships/hyperlink" Target="https://vanillabonds.com/dossier-data/pdf/katjes/katjes-2024-annual-report.pdf#page=57" TargetMode="External" Id="rId592"/><Relationship Type="http://schemas.openxmlformats.org/officeDocument/2006/relationships/hyperlink" Target="https://vanillabonds.com/dossier-data/pdf/katjes/katjes-2024-annual-report.pdf#page=60" TargetMode="External" Id="rId593"/><Relationship Type="http://schemas.openxmlformats.org/officeDocument/2006/relationships/hyperlink" Target="https://vanillabonds.com/dossier-data/pdf/katjes/katjes-2024-annual-report.pdf#page=37" TargetMode="External" Id="rId594"/><Relationship Type="http://schemas.openxmlformats.org/officeDocument/2006/relationships/hyperlink" Target="https://vanillabonds.com/dossier-data/pdf/katjes/katjes-2024-annual-report.pdf#page=58" TargetMode="External" Id="rId595"/><Relationship Type="http://schemas.openxmlformats.org/officeDocument/2006/relationships/hyperlink" Target="https://vanillabonds.com/dossier-data/pdf/katjes/katjes-2024-annual-report.pdf#page=80" TargetMode="External" Id="rId596"/><Relationship Type="http://schemas.openxmlformats.org/officeDocument/2006/relationships/hyperlink" Target="https://vanillabonds.com/dossier-data/pdf/katjes/katjes-2024-annual-report.pdf#page=38" TargetMode="External" Id="rId597"/><Relationship Type="http://schemas.openxmlformats.org/officeDocument/2006/relationships/hyperlink" Target="https://vanillabonds.com/dossier-data/pdf/katjes/katjes-2024-annual-report.pdf#page=38" TargetMode="External" Id="rId598"/><Relationship Type="http://schemas.openxmlformats.org/officeDocument/2006/relationships/hyperlink" Target="https://vanillabonds.com/dossier-data/pdf/katjes/katjes-2024-annual-report.pdf#page=84" TargetMode="External" Id="rId599"/><Relationship Type="http://schemas.openxmlformats.org/officeDocument/2006/relationships/hyperlink" Target="https://vanillabonds.com/dossier-data/pdf/katjes/katjes-2024-annual-report.pdf#page=84" TargetMode="External" Id="rId600"/><Relationship Type="http://schemas.openxmlformats.org/officeDocument/2006/relationships/hyperlink" Target="https://vanillabonds.com/dossier-data/pdf/katjes/katjes-2024-annual-report.pdf#page=62" TargetMode="External" Id="rId601"/><Relationship Type="http://schemas.openxmlformats.org/officeDocument/2006/relationships/hyperlink" Target="https://vanillabonds.com/dossier-data/pdf/katjes/katjes-2024-annual-report.pdf#page=62" TargetMode="External" Id="rId602"/><Relationship Type="http://schemas.openxmlformats.org/officeDocument/2006/relationships/hyperlink" Target="https://vanillabonds.com/dossier-data/pdf/katjes/katjes-2024-annual-report.pdf#page=63" TargetMode="External" Id="rId603"/><Relationship Type="http://schemas.openxmlformats.org/officeDocument/2006/relationships/hyperlink" Target="https://vanillabonds.com/dossier-data/pdf/katjes/katjes-2024-annual-report.pdf#page=63" TargetMode="External" Id="rId604"/><Relationship Type="http://schemas.openxmlformats.org/officeDocument/2006/relationships/hyperlink" Target="https://vanillabonds.com/dossier-data/pdf/katjes/katjes-2024-annual-report.pdf#page=63" TargetMode="External" Id="rId605"/><Relationship Type="http://schemas.openxmlformats.org/officeDocument/2006/relationships/hyperlink" Target="https://vanillabonds.com/dossier-data/pdf/katjes/katjes-2024-annual-report.pdf#page=63" TargetMode="External" Id="rId606"/><Relationship Type="http://schemas.openxmlformats.org/officeDocument/2006/relationships/hyperlink" Target="https://vanillabonds.com/dossier-data/pdf/katjes/katjes-2024-annual-report.pdf#page=63" TargetMode="External" Id="rId607"/><Relationship Type="http://schemas.openxmlformats.org/officeDocument/2006/relationships/hyperlink" Target="https://vanillabonds.com/dossier-data/pdf/katjes/katjes-2024-annual-report.pdf#page=63" TargetMode="External" Id="rId608"/><Relationship Type="http://schemas.openxmlformats.org/officeDocument/2006/relationships/hyperlink" Target="https://vanillabonds.com/dossier-data/pdf/katjes/katjes-2024-annual-report.pdf#page=63" TargetMode="External" Id="rId609"/><Relationship Type="http://schemas.openxmlformats.org/officeDocument/2006/relationships/hyperlink" Target="https://vanillabonds.com/dossier-data/pdf/katjes/katjes-2024-annual-report.pdf#page=75" TargetMode="External" Id="rId610"/><Relationship Type="http://schemas.openxmlformats.org/officeDocument/2006/relationships/hyperlink" Target="https://vanillabonds.com/dossier-data/pdf/katjes/katjes-2024-annual-report.pdf#page=79" TargetMode="External" Id="rId611"/><Relationship Type="http://schemas.openxmlformats.org/officeDocument/2006/relationships/hyperlink" Target="https://vanillabonds.com/dossier-data/pdf/katjes/katjes-2024-annual-report.pdf#page=13" TargetMode="External" Id="rId612"/><Relationship Type="http://schemas.openxmlformats.org/officeDocument/2006/relationships/hyperlink" Target="https://vanillabonds.com/dossier-data/pdf/katjes/katjes-2024-annual-report.pdf#page=32" TargetMode="External" Id="rId613"/><Relationship Type="http://schemas.openxmlformats.org/officeDocument/2006/relationships/hyperlink" Target="https://vanillabonds.com/dossier-data/pdf/katjes/katjes-2024-annual-report.pdf#page=32" TargetMode="External" Id="rId614"/><Relationship Type="http://schemas.openxmlformats.org/officeDocument/2006/relationships/hyperlink" Target="https://vanillabonds.com/dossier-data/pdf/katjes/katjes-2024-annual-report.pdf#page=45" TargetMode="External" Id="rId615"/><Relationship Type="http://schemas.openxmlformats.org/officeDocument/2006/relationships/hyperlink" Target="https://vanillabonds.com/dossier-data/pdf/katjes/katjes-2024-annual-report.pdf#page=64" TargetMode="External" Id="rId616"/><Relationship Type="http://schemas.openxmlformats.org/officeDocument/2006/relationships/hyperlink" Target="https://vanillabonds.com/dossier-data/pdf/katjes/katjes-2024-annual-report.pdf#page=68" TargetMode="External" Id="rId617"/><Relationship Type="http://schemas.openxmlformats.org/officeDocument/2006/relationships/hyperlink" Target="https://vanillabonds.com/dossier-data/pdf/katjes/katjes-2025-annual-report.pdf#page=44" TargetMode="External" Id="rId618"/><Relationship Type="http://schemas.openxmlformats.org/officeDocument/2006/relationships/hyperlink" Target="https://vanillabonds.com/dossier-data/pdf/katjes/katjes-2025-annual-report.pdf#page=44" TargetMode="External" Id="rId619"/><Relationship Type="http://schemas.openxmlformats.org/officeDocument/2006/relationships/hyperlink" Target="https://vanillabonds.com/dossier-data/pdf/katjes/katjes-2025-annual-report.pdf#page=44" TargetMode="External" Id="rId620"/><Relationship Type="http://schemas.openxmlformats.org/officeDocument/2006/relationships/hyperlink" Target="https://vanillabonds.com/dossier-data/pdf/katjes/katjes-2025-annual-report.pdf#page=9" TargetMode="External" Id="rId621"/><Relationship Type="http://schemas.openxmlformats.org/officeDocument/2006/relationships/hyperlink" Target="https://vanillabonds.com/dossier-data/pdf/katjes/katjes-2025-annual-report.pdf#page=44" TargetMode="External" Id="rId622"/><Relationship Type="http://schemas.openxmlformats.org/officeDocument/2006/relationships/hyperlink" Target="https://vanillabonds.com/dossier-data/pdf/katjes/katjes-2025-annual-report.pdf#page=44" TargetMode="External" Id="rId623"/><Relationship Type="http://schemas.openxmlformats.org/officeDocument/2006/relationships/hyperlink" Target="https://vanillabonds.com/dossier-data/pdf/katjes/katjes-2025-annual-report.pdf#page=77" TargetMode="External" Id="rId624"/><Relationship Type="http://schemas.openxmlformats.org/officeDocument/2006/relationships/hyperlink" Target="https://vanillabonds.com/dossier-data/pdf/katjes/katjes-2025-annual-report.pdf#page=21" TargetMode="External" Id="rId625"/><Relationship Type="http://schemas.openxmlformats.org/officeDocument/2006/relationships/hyperlink" Target="https://vanillabonds.com/dossier-data/pdf/katjes/katjes-2025-annual-report.pdf#page=44" TargetMode="External" Id="rId626"/><Relationship Type="http://schemas.openxmlformats.org/officeDocument/2006/relationships/hyperlink" Target="https://vanillabonds.com/dossier-data/pdf/katjes/katjes-2025-annual-report.pdf#page=44" TargetMode="External" Id="rId627"/><Relationship Type="http://schemas.openxmlformats.org/officeDocument/2006/relationships/hyperlink" Target="https://vanillabonds.com/dossier-data/pdf/katjes/katjes-2025-annual-report.pdf#page=67" TargetMode="External" Id="rId628"/><Relationship Type="http://schemas.openxmlformats.org/officeDocument/2006/relationships/hyperlink" Target="https://vanillabonds.com/dossier-data/pdf/katjes/katjes-2025-annual-report.pdf#page=91" TargetMode="External" Id="rId629"/><Relationship Type="http://schemas.openxmlformats.org/officeDocument/2006/relationships/hyperlink" Target="https://vanillabonds.com/dossier-data/pdf/katjes/katjes-2025-annual-report.pdf#page=88" TargetMode="External" Id="rId630"/><Relationship Type="http://schemas.openxmlformats.org/officeDocument/2006/relationships/hyperlink" Target="https://vanillabonds.com/dossier-data/pdf/katjes/katjes-2025-annual-report.pdf#page=45" TargetMode="External" Id="rId631"/><Relationship Type="http://schemas.openxmlformats.org/officeDocument/2006/relationships/hyperlink" Target="https://vanillabonds.com/dossier-data/pdf/katjes/katjes-2025-annual-report.pdf#page=88" TargetMode="External" Id="rId632"/><Relationship Type="http://schemas.openxmlformats.org/officeDocument/2006/relationships/hyperlink" Target="https://vanillabonds.com/dossier-data/pdf/katjes/katjes-2025-annual-report.pdf#page=18" TargetMode="External" Id="rId633"/><Relationship Type="http://schemas.openxmlformats.org/officeDocument/2006/relationships/hyperlink" Target="https://vanillabonds.com/dossier-data/pdf/katjes/katjes-2025-annual-report.pdf#page=25" TargetMode="External" Id="rId634"/><Relationship Type="http://schemas.openxmlformats.org/officeDocument/2006/relationships/hyperlink" Target="https://vanillabonds.com/dossier-data/pdf/katjes/katjes-2025-annual-report.pdf#page=25" TargetMode="External" Id="rId635"/><Relationship Type="http://schemas.openxmlformats.org/officeDocument/2006/relationships/hyperlink" Target="https://vanillabonds.com/dossier-data/pdf/katjes/katjes-2025-annual-report.pdf#page=34" TargetMode="External" Id="rId636"/><Relationship Type="http://schemas.openxmlformats.org/officeDocument/2006/relationships/hyperlink" Target="https://vanillabonds.com/dossier-data/pdf/katjes/katjes-2025-annual-report.pdf#page=42" TargetMode="External" Id="rId637"/><Relationship Type="http://schemas.openxmlformats.org/officeDocument/2006/relationships/hyperlink" Target="https://vanillabonds.com/dossier-data/pdf/katjes/katjes-2025-annual-report.pdf#page=46" TargetMode="External" Id="rId638"/><Relationship Type="http://schemas.openxmlformats.org/officeDocument/2006/relationships/hyperlink" Target="https://vanillabonds.com/dossier-data/pdf/katjes/katjes-2025-annual-report.pdf#page=47" TargetMode="External" Id="rId639"/><Relationship Type="http://schemas.openxmlformats.org/officeDocument/2006/relationships/hyperlink" Target="https://vanillabonds.com/dossier-data/pdf/katjes/katjes-2025-annual-report.pdf#page=61" TargetMode="External" Id="rId640"/><Relationship Type="http://schemas.openxmlformats.org/officeDocument/2006/relationships/hyperlink" Target="https://vanillabonds.com/dossier-data/pdf/katjes/katjes-2025-annual-report.pdf#page=73" TargetMode="External" Id="rId641"/><Relationship Type="http://schemas.openxmlformats.org/officeDocument/2006/relationships/hyperlink" Target="https://vanillabonds.com/dossier-data/pdf/katjes/katjes-2025-annual-report.pdf#page=74" TargetMode="External" Id="rId642"/><Relationship Type="http://schemas.openxmlformats.org/officeDocument/2006/relationships/hyperlink" Target="https://vanillabonds.com/dossier-data/pdf/katjes/katjes-2025-annual-report.pdf#page=75" TargetMode="External" Id="rId643"/><Relationship Type="http://schemas.openxmlformats.org/officeDocument/2006/relationships/hyperlink" Target="https://vanillabonds.com/dossier-data/pdf/katjes/katjes-2025-annual-report.pdf#page=5" TargetMode="External" Id="rId644"/><Relationship Type="http://schemas.openxmlformats.org/officeDocument/2006/relationships/hyperlink" Target="https://vanillabonds.com/dossier-data/pdf/katjes/katjes-2025-annual-report.pdf#page=5" TargetMode="External" Id="rId645"/><Relationship Type="http://schemas.openxmlformats.org/officeDocument/2006/relationships/hyperlink" Target="https://vanillabonds.com/dossier-data/pdf/katjes/katjes-2025-annual-report.pdf#page=5" TargetMode="External" Id="rId646"/><Relationship Type="http://schemas.openxmlformats.org/officeDocument/2006/relationships/hyperlink" Target="https://vanillabonds.com/dossier-data/pdf/katjes/katjes-2025-annual-report.pdf#page=42" TargetMode="External" Id="rId647"/><Relationship Type="http://schemas.openxmlformats.org/officeDocument/2006/relationships/hyperlink" Target="https://vanillabonds.com/dossier-data/pdf/katjes/katjes-2025-annual-report.pdf#page=45" TargetMode="External" Id="rId648"/><Relationship Type="http://schemas.openxmlformats.org/officeDocument/2006/relationships/hyperlink" Target="https://vanillabonds.com/dossier-data/pdf/katjes/katjes-2025-annual-report.pdf#page=53" TargetMode="External" Id="rId649"/><Relationship Type="http://schemas.openxmlformats.org/officeDocument/2006/relationships/hyperlink" Target="https://vanillabonds.com/dossier-data/pdf/katjes/katjes-2025-annual-report.pdf#page=53" TargetMode="External" Id="rId650"/><Relationship Type="http://schemas.openxmlformats.org/officeDocument/2006/relationships/hyperlink" Target="https://vanillabonds.com/dossier-data/pdf/katjes/katjes-2025-annual-report.pdf#page=81" TargetMode="External" Id="rId651"/><Relationship Type="http://schemas.openxmlformats.org/officeDocument/2006/relationships/hyperlink" Target="https://vanillabonds.com/dossier-data/pdf/katjes/katjes-2025-annual-report.pdf#page=7" TargetMode="External" Id="rId652"/><Relationship Type="http://schemas.openxmlformats.org/officeDocument/2006/relationships/hyperlink" Target="https://vanillabonds.com/dossier-data/pdf/katjes/katjes-2025-annual-report.pdf#page=7" TargetMode="External" Id="rId653"/><Relationship Type="http://schemas.openxmlformats.org/officeDocument/2006/relationships/hyperlink" Target="https://vanillabonds.com/dossier-data/pdf/katjes/katjes-2025-annual-report.pdf#page=7" TargetMode="External" Id="rId654"/><Relationship Type="http://schemas.openxmlformats.org/officeDocument/2006/relationships/hyperlink" Target="https://vanillabonds.com/dossier-data/pdf/katjes/katjes-2025-annual-report.pdf#page=37" TargetMode="External" Id="rId655"/><Relationship Type="http://schemas.openxmlformats.org/officeDocument/2006/relationships/hyperlink" Target="https://vanillabonds.com/dossier-data/pdf/katjes/katjes-2025-annual-report.pdf#page=37" TargetMode="External" Id="rId656"/><Relationship Type="http://schemas.openxmlformats.org/officeDocument/2006/relationships/hyperlink" Target="https://vanillabonds.com/dossier-data/pdf/katjes/katjes-2025-annual-report.pdf#page=7" TargetMode="External" Id="rId657"/><Relationship Type="http://schemas.openxmlformats.org/officeDocument/2006/relationships/hyperlink" Target="https://vanillabonds.com/dossier-data/pdf/katjes/katjes-2025-annual-report.pdf#page=7" TargetMode="External" Id="rId658"/><Relationship Type="http://schemas.openxmlformats.org/officeDocument/2006/relationships/hyperlink" Target="https://vanillabonds.com/dossier-data/pdf/katjes/katjes-2025-annual-report.pdf#page=7" TargetMode="External" Id="rId659"/><Relationship Type="http://schemas.openxmlformats.org/officeDocument/2006/relationships/hyperlink" Target="https://vanillabonds.com/dossier-data/pdf/katjes/katjes-2025-annual-report.pdf#page=25" TargetMode="External" Id="rId660"/><Relationship Type="http://schemas.openxmlformats.org/officeDocument/2006/relationships/hyperlink" Target="https://vanillabonds.com/dossier-data/pdf/katjes/katjes-2025-annual-report.pdf#page=25" TargetMode="External" Id="rId661"/><Relationship Type="http://schemas.openxmlformats.org/officeDocument/2006/relationships/hyperlink" Target="https://vanillabonds.com/dossier-data/pdf/katjes/katjes-2025-annual-report.pdf#page=37" TargetMode="External" Id="rId662"/><Relationship Type="http://schemas.openxmlformats.org/officeDocument/2006/relationships/hyperlink" Target="https://vanillabonds.com/dossier-data/pdf/katjes/katjes-2025-annual-report.pdf#page=37" TargetMode="External" Id="rId663"/><Relationship Type="http://schemas.openxmlformats.org/officeDocument/2006/relationships/hyperlink" Target="https://vanillabonds.com/dossier-data/pdf/katjes/katjes-2025-annual-report.pdf#page=37" TargetMode="External" Id="rId664"/><Relationship Type="http://schemas.openxmlformats.org/officeDocument/2006/relationships/hyperlink" Target="https://vanillabonds.com/dossier-data/pdf/katjes/katjes-2025-annual-report.pdf#page=37" TargetMode="External" Id="rId665"/><Relationship Type="http://schemas.openxmlformats.org/officeDocument/2006/relationships/hyperlink" Target="https://vanillabonds.com/dossier-data/pdf/katjes/katjes-2025-annual-report.pdf#page=86" TargetMode="External" Id="rId666"/><Relationship Type="http://schemas.openxmlformats.org/officeDocument/2006/relationships/hyperlink" Target="https://vanillabonds.com/dossier-data/pdf/katjes/katjes-2025-annual-report.pdf#page=85" TargetMode="External" Id="rId667"/><Relationship Type="http://schemas.openxmlformats.org/officeDocument/2006/relationships/hyperlink" Target="https://vanillabonds.com/dossier-data/pdf/katjes/katjes-2025-annual-report.pdf#page=37" TargetMode="External" Id="rId668"/><Relationship Type="http://schemas.openxmlformats.org/officeDocument/2006/relationships/hyperlink" Target="https://vanillabonds.com/dossier-data/pdf/katjes/katjes-2025-annual-report.pdf#page=37" TargetMode="External" Id="rId669"/><Relationship Type="http://schemas.openxmlformats.org/officeDocument/2006/relationships/hyperlink" Target="https://vanillabonds.com/dossier-data/pdf/katjes/katjes-2025-annual-report.pdf#page=42" TargetMode="External" Id="rId670"/><Relationship Type="http://schemas.openxmlformats.org/officeDocument/2006/relationships/hyperlink" Target="https://vanillabonds.com/dossier-data/pdf/katjes/katjes-2025-annual-report.pdf#page=42" TargetMode="External" Id="rId671"/><Relationship Type="http://schemas.openxmlformats.org/officeDocument/2006/relationships/hyperlink" Target="https://vanillabonds.com/dossier-data/pdf/katjes/katjes-2025-annual-report.pdf#page=86" TargetMode="External" Id="rId672"/><Relationship Type="http://schemas.openxmlformats.org/officeDocument/2006/relationships/hyperlink" Target="https://vanillabonds.com/dossier-data/pdf/katjes/katjes-2025-annual-report.pdf#page=85" TargetMode="External" Id="rId673"/><Relationship Type="http://schemas.openxmlformats.org/officeDocument/2006/relationships/hyperlink" Target="https://vanillabonds.com/dossier-data/pdf/katjes/katjes-2025-annual-report.pdf#page=42" TargetMode="External" Id="rId674"/><Relationship Type="http://schemas.openxmlformats.org/officeDocument/2006/relationships/hyperlink" Target="https://vanillabonds.com/dossier-data/pdf/katjes/katjes-2025-annual-report.pdf#page=39" TargetMode="External" Id="rId675"/><Relationship Type="http://schemas.openxmlformats.org/officeDocument/2006/relationships/hyperlink" Target="https://vanillabonds.com/dossier-data/pdf/katjes/katjes-2025-annual-report.pdf#page=39" TargetMode="External" Id="rId676"/><Relationship Type="http://schemas.openxmlformats.org/officeDocument/2006/relationships/hyperlink" Target="https://vanillabonds.com/dossier-data/pdf/katjes/katjes-2025-annual-report.pdf#page=58" TargetMode="External" Id="rId677"/><Relationship Type="http://schemas.openxmlformats.org/officeDocument/2006/relationships/hyperlink" Target="https://vanillabonds.com/dossier-data/pdf/katjes/katjes-2025-annual-report.pdf#page=58" TargetMode="External" Id="rId678"/><Relationship Type="http://schemas.openxmlformats.org/officeDocument/2006/relationships/hyperlink" Target="https://vanillabonds.com/dossier-data/pdf/katjes/katjes-2025-annual-report.pdf#page=58" TargetMode="External" Id="rId679"/><Relationship Type="http://schemas.openxmlformats.org/officeDocument/2006/relationships/hyperlink" Target="https://vanillabonds.com/dossier-data/pdf/katjes/katjes-2025-annual-report.pdf#page=58" TargetMode="External" Id="rId680"/><Relationship Type="http://schemas.openxmlformats.org/officeDocument/2006/relationships/hyperlink" Target="https://vanillabonds.com/dossier-data/pdf/katjes/katjes-2025-annual-report.pdf#page=41" TargetMode="External" Id="rId681"/><Relationship Type="http://schemas.openxmlformats.org/officeDocument/2006/relationships/hyperlink" Target="https://vanillabonds.com/dossier-data/pdf/katjes/katjes-2025-annual-report.pdf#page=40" TargetMode="External" Id="rId682"/><Relationship Type="http://schemas.openxmlformats.org/officeDocument/2006/relationships/hyperlink" Target="https://vanillabonds.com/dossier-data/pdf/katjes/katjes-2025-annual-report.pdf#page=40" TargetMode="External" Id="rId683"/><Relationship Type="http://schemas.openxmlformats.org/officeDocument/2006/relationships/hyperlink" Target="https://vanillabonds.com/dossier-data/pdf/katjes/katjes-2025-annual-report.pdf#page=39" TargetMode="External" Id="rId684"/><Relationship Type="http://schemas.openxmlformats.org/officeDocument/2006/relationships/hyperlink" Target="https://vanillabonds.com/dossier-data/pdf/katjes/katjes-2025-annual-report.pdf#page=39" TargetMode="External" Id="rId685"/><Relationship Type="http://schemas.openxmlformats.org/officeDocument/2006/relationships/hyperlink" Target="https://vanillabonds.com/dossier-data/pdf/katjes/katjes-2025-annual-report.pdf#page=58" TargetMode="External" Id="rId686"/><Relationship Type="http://schemas.openxmlformats.org/officeDocument/2006/relationships/hyperlink" Target="https://vanillabonds.com/dossier-data/pdf/katjes/katjes-2025-annual-report.pdf#page=58" TargetMode="External" Id="rId687"/><Relationship Type="http://schemas.openxmlformats.org/officeDocument/2006/relationships/hyperlink" Target="https://vanillabonds.com/dossier-data/pdf/katjes/katjes-2025-annual-report.pdf#page=58" TargetMode="External" Id="rId688"/><Relationship Type="http://schemas.openxmlformats.org/officeDocument/2006/relationships/hyperlink" Target="https://vanillabonds.com/dossier-data/pdf/katjes/katjes-2025-annual-report.pdf#page=58" TargetMode="External" Id="rId689"/><Relationship Type="http://schemas.openxmlformats.org/officeDocument/2006/relationships/hyperlink" Target="https://vanillabonds.com/dossier-data/pdf/katjes/katjes-2025-annual-report.pdf#page=58" TargetMode="External" Id="rId690"/><Relationship Type="http://schemas.openxmlformats.org/officeDocument/2006/relationships/hyperlink" Target="https://vanillabonds.com/dossier-data/pdf/katjes/katjes-2025-annual-report.pdf#page=63" TargetMode="External" Id="rId691"/><Relationship Type="http://schemas.openxmlformats.org/officeDocument/2006/relationships/hyperlink" Target="https://vanillabonds.com/dossier-data/pdf/katjes/katjes-2025-annual-report.pdf#page=63" TargetMode="External" Id="rId692"/><Relationship Type="http://schemas.openxmlformats.org/officeDocument/2006/relationships/hyperlink" Target="https://vanillabonds.com/dossier-data/pdf/katjes/katjes-2025-annual-report.pdf#page=63" TargetMode="External" Id="rId693"/><Relationship Type="http://schemas.openxmlformats.org/officeDocument/2006/relationships/hyperlink" Target="https://vanillabonds.com/dossier-data/pdf/katjes/katjes-2025-annual-report.pdf#page=63" TargetMode="External" Id="rId694"/><Relationship Type="http://schemas.openxmlformats.org/officeDocument/2006/relationships/hyperlink" Target="https://vanillabonds.com/dossier-data/pdf/katjes/katjes-2025-annual-report.pdf#page=63" TargetMode="External" Id="rId695"/><Relationship Type="http://schemas.openxmlformats.org/officeDocument/2006/relationships/hyperlink" Target="https://vanillabonds.com/dossier-data/pdf/katjes/katjes-2025-annual-report.pdf#page=63" TargetMode="External" Id="rId696"/><Relationship Type="http://schemas.openxmlformats.org/officeDocument/2006/relationships/hyperlink" Target="https://vanillabonds.com/dossier-data/pdf/katjes/katjes-2025-annual-report.pdf#page=63" TargetMode="External" Id="rId697"/><Relationship Type="http://schemas.openxmlformats.org/officeDocument/2006/relationships/hyperlink" Target="https://vanillabonds.com/dossier-data/pdf/katjes/katjes-2025-annual-report.pdf#page=63" TargetMode="External" Id="rId698"/><Relationship Type="http://schemas.openxmlformats.org/officeDocument/2006/relationships/hyperlink" Target="https://vanillabonds.com/dossier-data/pdf/katjes/katjes-2025-annual-report.pdf#page=63" TargetMode="External" Id="rId699"/><Relationship Type="http://schemas.openxmlformats.org/officeDocument/2006/relationships/hyperlink" Target="https://vanillabonds.com/dossier-data/pdf/katjes/katjes-2025-annual-report.pdf#page=32" TargetMode="External" Id="rId700"/><Relationship Type="http://schemas.openxmlformats.org/officeDocument/2006/relationships/hyperlink" Target="https://vanillabonds.com/dossier-data/pdf/katjes/katjes-2025-annual-report.pdf#page=26" TargetMode="External" Id="rId701"/><Relationship Type="http://schemas.openxmlformats.org/officeDocument/2006/relationships/hyperlink" Target="https://vanillabonds.com/dossier-data/pdf/katjes/katjes-2025-annual-report.pdf#page=30" TargetMode="External" Id="rId702"/><Relationship Type="http://schemas.openxmlformats.org/officeDocument/2006/relationships/hyperlink" Target="https://vanillabonds.com/dossier-data/pdf/katjes/katjes-2025-annual-report.pdf#page=32" TargetMode="External" Id="rId703"/><Relationship Type="http://schemas.openxmlformats.org/officeDocument/2006/relationships/hyperlink" Target="https://vanillabonds.com/dossier-data/pdf/katjes/katjes-2025-annual-report.pdf#page=32" TargetMode="External" Id="rId704"/><Relationship Type="http://schemas.openxmlformats.org/officeDocument/2006/relationships/hyperlink" Target="https://vanillabonds.com/dossier-data/pdf/katjes/katjes-2025-annual-report.pdf#page=32" TargetMode="External" Id="rId705"/><Relationship Type="http://schemas.openxmlformats.org/officeDocument/2006/relationships/hyperlink" Target="https://vanillabonds.com/dossier-data/pdf/katjes/katjes-2025-annual-report.pdf#page=32" TargetMode="External" Id="rId706"/><Relationship Type="http://schemas.openxmlformats.org/officeDocument/2006/relationships/hyperlink" Target="https://vanillabonds.com/dossier-data/pdf/katjes/katjes-2025-annual-report.pdf#page=32" TargetMode="External" Id="rId707"/><Relationship Type="http://schemas.openxmlformats.org/officeDocument/2006/relationships/hyperlink" Target="https://vanillabonds.com/dossier-data/pdf/katjes/katjes-2025-annual-report.pdf#page=32" TargetMode="External" Id="rId708"/><Relationship Type="http://schemas.openxmlformats.org/officeDocument/2006/relationships/hyperlink" Target="https://vanillabonds.com/dossier-data/pdf/katjes/katjes-2025-annual-report.pdf#page=33" TargetMode="External" Id="rId709"/><Relationship Type="http://schemas.openxmlformats.org/officeDocument/2006/relationships/hyperlink" Target="https://vanillabonds.com/dossier-data/pdf/katjes/katjes-2025-annual-report.pdf#page=66" TargetMode="External" Id="rId710"/><Relationship Type="http://schemas.openxmlformats.org/officeDocument/2006/relationships/hyperlink" Target="https://vanillabonds.com/dossier-data/pdf/katjes/katjes-2025-annual-report.pdf#page=81" TargetMode="External" Id="rId711"/><Relationship Type="http://schemas.openxmlformats.org/officeDocument/2006/relationships/hyperlink" Target="https://vanillabonds.com/dossier-data/pdf/katjes/katjes-2025-annual-report.pdf#page=84" TargetMode="External" Id="rId712"/><Relationship Type="http://schemas.openxmlformats.org/officeDocument/2006/relationships/hyperlink" Target="https://vanillabonds.com/dossier-data/pdf/katjes/katjes-2025-annual-report.pdf#page=6" TargetMode="External" Id="rId713"/><Relationship Type="http://schemas.openxmlformats.org/officeDocument/2006/relationships/hyperlink" Target="https://vanillabonds.com/dossier-data/pdf/katjes/katjes-2025-annual-report.pdf#page=6" TargetMode="External" Id="rId714"/><Relationship Type="http://schemas.openxmlformats.org/officeDocument/2006/relationships/hyperlink" Target="https://vanillabonds.com/dossier-data/pdf/katjes/katjes-2025-annual-report.pdf#page=6" TargetMode="External" Id="rId715"/><Relationship Type="http://schemas.openxmlformats.org/officeDocument/2006/relationships/hyperlink" Target="https://vanillabonds.com/dossier-data/pdf/katjes/katjes-2025-annual-report.pdf#page=35" TargetMode="External" Id="rId716"/><Relationship Type="http://schemas.openxmlformats.org/officeDocument/2006/relationships/hyperlink" Target="https://vanillabonds.com/dossier-data/pdf/katjes/katjes-2025-annual-report.pdf#page=35" TargetMode="External" Id="rId717"/><Relationship Type="http://schemas.openxmlformats.org/officeDocument/2006/relationships/hyperlink" Target="https://vanillabonds.com/dossier-data/pdf/katjes/katjes-2025-annual-report.pdf#page=34" TargetMode="External" Id="rId718"/><Relationship Type="http://schemas.openxmlformats.org/officeDocument/2006/relationships/hyperlink" Target="https://vanillabonds.com/dossier-data/pdf/katjes/katjes-2025-annual-report.pdf#page=12" TargetMode="External" Id="rId719"/><Relationship Type="http://schemas.openxmlformats.org/officeDocument/2006/relationships/hyperlink" Target="https://vanillabonds.com/dossier-data/pdf/katjes/katjes-2025-annual-report.pdf#page=19" TargetMode="External" Id="rId720"/><Relationship Type="http://schemas.openxmlformats.org/officeDocument/2006/relationships/hyperlink" Target="https://vanillabonds.com/dossier-data/pdf/katjes/katjes-2025-annual-report.pdf#page=19" TargetMode="External" Id="rId721"/><Relationship Type="http://schemas.openxmlformats.org/officeDocument/2006/relationships/hyperlink" Target="https://vanillabonds.com/dossier-data/pdf/katjes/katjes-2025-annual-report.pdf#page=19" TargetMode="External" Id="rId722"/><Relationship Type="http://schemas.openxmlformats.org/officeDocument/2006/relationships/hyperlink" Target="https://vanillabonds.com/dossier-data/pdf/katjes/katjes-2025-annual-report.pdf#page=19" TargetMode="External" Id="rId723"/><Relationship Type="http://schemas.openxmlformats.org/officeDocument/2006/relationships/hyperlink" Target="https://vanillabonds.com/dossier-data/pdf/katjes/katjes-2025-annual-report.pdf#page=19" TargetMode="External" Id="rId724"/><Relationship Type="http://schemas.openxmlformats.org/officeDocument/2006/relationships/hyperlink" Target="https://vanillabonds.com/dossier-data/pdf/katjes/katjes-2025-annual-report.pdf#page=19" TargetMode="External" Id="rId725"/><Relationship Type="http://schemas.openxmlformats.org/officeDocument/2006/relationships/hyperlink" Target="https://vanillabonds.com/dossier-data/pdf/katjes/katjes-2025-annual-report.pdf#page=19" TargetMode="External" Id="rId726"/><Relationship Type="http://schemas.openxmlformats.org/officeDocument/2006/relationships/hyperlink" Target="https://vanillabonds.com/dossier-data/pdf/katjes/katjes-2025-annual-report.pdf#page=53" TargetMode="External" Id="rId727"/><Relationship Type="http://schemas.openxmlformats.org/officeDocument/2006/relationships/hyperlink" Target="https://vanillabonds.com/dossier-data/pdf/katjes/katjes-2025-annual-report.pdf#page=53" TargetMode="External" Id="rId728"/><Relationship Type="http://schemas.openxmlformats.org/officeDocument/2006/relationships/hyperlink" Target="https://vanillabonds.com/dossier-data/pdf/katjes/katjes-2025-annual-report.pdf#page=27" TargetMode="External" Id="rId729"/><Relationship Type="http://schemas.openxmlformats.org/officeDocument/2006/relationships/hyperlink" Target="https://vanillabonds.com/dossier-data/pdf/katjes/katjes-2025-annual-report.pdf#page=34" TargetMode="External" Id="rId730"/><Relationship Type="http://schemas.openxmlformats.org/officeDocument/2006/relationships/hyperlink" Target="https://vanillabonds.com/dossier-data/pdf/katjes/katjes-2025-annual-report.pdf#page=44" TargetMode="External" Id="rId731"/><Relationship Type="http://schemas.openxmlformats.org/officeDocument/2006/relationships/hyperlink" Target="https://vanillabonds.com/dossier-data/pdf/katjes/katjes-2025-annual-report.pdf#page=44" TargetMode="External" Id="rId732"/><Relationship Type="http://schemas.openxmlformats.org/officeDocument/2006/relationships/hyperlink" Target="https://vanillabonds.com/dossier-data/pdf/katjes/katjes-2025-annual-report.pdf#page=67" TargetMode="External" Id="rId733"/><Relationship Type="http://schemas.openxmlformats.org/officeDocument/2006/relationships/hyperlink" Target="https://vanillabonds.com/dossier-data/pdf/katjes/katjes-2025-annual-report.pdf#page=75" TargetMode="External" Id="rId734"/><Relationship Type="http://schemas.openxmlformats.org/officeDocument/2006/relationships/hyperlink" Target="https://vanillabonds.com/dossier-data/pdf/katjes/katjes-2025-annual-report.pdf#page=80" TargetMode="External" Id="rId735"/><Relationship Type="http://schemas.openxmlformats.org/officeDocument/2006/relationships/hyperlink" Target="https://vanillabonds.com/dossier-data/pdf/katjes/katjes-2025-annual-report.pdf#page=81" TargetMode="External" Id="rId736"/><Relationship Type="http://schemas.openxmlformats.org/officeDocument/2006/relationships/hyperlink" Target="https://vanillabonds.com/dossier-data/pdf/katjes/katjes-2025-annual-report.pdf#page=81" TargetMode="External" Id="rId737"/><Relationship Type="http://schemas.openxmlformats.org/officeDocument/2006/relationships/hyperlink" Target="https://vanillabonds.com/dossier-data/pdf/katjes/katjes-2025-annual-report.pdf#page=20" TargetMode="External" Id="rId738"/><Relationship Type="http://schemas.openxmlformats.org/officeDocument/2006/relationships/hyperlink" Target="https://vanillabonds.com/dossier-data/pdf/katjes/katjes-2025-annual-report.pdf#page=34" TargetMode="External" Id="rId739"/><Relationship Type="http://schemas.openxmlformats.org/officeDocument/2006/relationships/hyperlink" Target="https://vanillabonds.com/dossier-data/pdf/katjes/katjes-2025-annual-report.pdf#page=56" TargetMode="External" Id="rId740"/><Relationship Type="http://schemas.openxmlformats.org/officeDocument/2006/relationships/hyperlink" Target="https://vanillabonds.com/dossier-data/pdf/katjes/katjes-2025-annual-report.pdf#page=77" TargetMode="External" Id="rId741"/><Relationship Type="http://schemas.openxmlformats.org/officeDocument/2006/relationships/hyperlink" Target="https://vanillabonds.com/dossier-data/pdf/katjes/katjes-2025-annual-report.pdf#page=11" TargetMode="External" Id="rId742"/><Relationship Type="http://schemas.openxmlformats.org/officeDocument/2006/relationships/hyperlink" Target="https://vanillabonds.com/dossier-data/pdf/katjes/katjes-2025-annual-report.pdf#page=19" TargetMode="External" Id="rId743"/><Relationship Type="http://schemas.openxmlformats.org/officeDocument/2006/relationships/hyperlink" Target="https://vanillabonds.com/dossier-data/pdf/katjes/katjes-2025-annual-report.pdf#page=19" TargetMode="External" Id="rId744"/><Relationship Type="http://schemas.openxmlformats.org/officeDocument/2006/relationships/hyperlink" Target="https://vanillabonds.com/dossier-data/pdf/katjes/katjes-2025-annual-report.pdf#page=19" TargetMode="External" Id="rId745"/><Relationship Type="http://schemas.openxmlformats.org/officeDocument/2006/relationships/hyperlink" Target="https://vanillabonds.com/dossier-data/pdf/katjes/katjes-2025-annual-report.pdf#page=19" TargetMode="External" Id="rId746"/><Relationship Type="http://schemas.openxmlformats.org/officeDocument/2006/relationships/hyperlink" Target="https://vanillabonds.com/dossier-data/pdf/katjes/katjes-2025-annual-report.pdf#page=19" TargetMode="External" Id="rId747"/><Relationship Type="http://schemas.openxmlformats.org/officeDocument/2006/relationships/hyperlink" Target="https://vanillabonds.com/dossier-data/pdf/katjes/katjes-2025-annual-report.pdf#page=20" TargetMode="External" Id="rId748"/><Relationship Type="http://schemas.openxmlformats.org/officeDocument/2006/relationships/hyperlink" Target="https://vanillabonds.com/dossier-data/pdf/katjes/katjes-2025-annual-report.pdf#page=21" TargetMode="External" Id="rId749"/><Relationship Type="http://schemas.openxmlformats.org/officeDocument/2006/relationships/hyperlink" Target="https://vanillabonds.com/dossier-data/pdf/katjes/katjes-2025-annual-report.pdf#page=23" TargetMode="External" Id="rId750"/><Relationship Type="http://schemas.openxmlformats.org/officeDocument/2006/relationships/hyperlink" Target="https://vanillabonds.com/dossier-data/pdf/katjes/katjes-2025-annual-report.pdf#page=31" TargetMode="External" Id="rId751"/><Relationship Type="http://schemas.openxmlformats.org/officeDocument/2006/relationships/hyperlink" Target="https://vanillabonds.com/dossier-data/pdf/katjes/katjes-2025-annual-report.pdf#page=31" TargetMode="External" Id="rId752"/><Relationship Type="http://schemas.openxmlformats.org/officeDocument/2006/relationships/hyperlink" Target="https://vanillabonds.com/dossier-data/pdf/katjes/katjes-2025-annual-report.pdf#page=56" TargetMode="External" Id="rId753"/><Relationship Type="http://schemas.openxmlformats.org/officeDocument/2006/relationships/hyperlink" Target="https://vanillabonds.com/dossier-data/pdf/katjes/katjes-2025-annual-report.pdf#page=57" TargetMode="External" Id="rId754"/><Relationship Type="http://schemas.openxmlformats.org/officeDocument/2006/relationships/hyperlink" Target="https://vanillabonds.com/dossier-data/pdf/katjes/katjes-2025-annual-report.pdf#page=57" TargetMode="External" Id="rId755"/><Relationship Type="http://schemas.openxmlformats.org/officeDocument/2006/relationships/hyperlink" Target="https://vanillabonds.com/dossier-data/pdf/katjes/katjes-2025-annual-report.pdf#page=57" TargetMode="External" Id="rId756"/><Relationship Type="http://schemas.openxmlformats.org/officeDocument/2006/relationships/hyperlink" Target="https://vanillabonds.com/dossier-data/pdf/katjes/katjes-2025-annual-report.pdf#page=63" TargetMode="External" Id="rId757"/><Relationship Type="http://schemas.openxmlformats.org/officeDocument/2006/relationships/hyperlink" Target="https://vanillabonds.com/dossier-data/pdf/katjes/katjes-2025-annual-report.pdf#page=53" TargetMode="External" Id="rId758"/><Relationship Type="http://schemas.openxmlformats.org/officeDocument/2006/relationships/hyperlink" Target="https://vanillabonds.com/dossier-data/pdf/katjes/katjes-2025-annual-report.pdf#page=83" TargetMode="External" Id="rId759"/><Relationship Type="http://schemas.openxmlformats.org/officeDocument/2006/relationships/hyperlink" Target="https://vanillabonds.com/dossier-data/pdf/katjes/katjes-2025-annual-report.pdf#page=83" TargetMode="External" Id="rId760"/><Relationship Type="http://schemas.openxmlformats.org/officeDocument/2006/relationships/hyperlink" Target="https://vanillabonds.com/dossier-data/pdf/katjes/katjes-2025-annual-report.pdf#page=83" TargetMode="External" Id="rId761"/><Relationship Type="http://schemas.openxmlformats.org/officeDocument/2006/relationships/hyperlink" Target="https://vanillabonds.com/dossier-data/pdf/katjes/katjes-2025-annual-report.pdf#page=83" TargetMode="External" Id="rId762"/><Relationship Type="http://schemas.openxmlformats.org/officeDocument/2006/relationships/hyperlink" Target="https://vanillabonds.com/dossier-data/pdf/katjes/katjes-2025-annual-report.pdf#page=83" TargetMode="External" Id="rId763"/><Relationship Type="http://schemas.openxmlformats.org/officeDocument/2006/relationships/hyperlink" Target="https://vanillabonds.com/dossier-data/pdf/katjes/katjes-2025-annual-report.pdf#page=83" TargetMode="External" Id="rId764"/><Relationship Type="http://schemas.openxmlformats.org/officeDocument/2006/relationships/hyperlink" Target="https://vanillabonds.com/dossier-data/pdf/katjes/katjes-2025-annual-report.pdf#page=83" TargetMode="External" Id="rId765"/><Relationship Type="http://schemas.openxmlformats.org/officeDocument/2006/relationships/hyperlink" Target="https://vanillabonds.com/dossier-data/pdf/katjes/katjes-2025-annual-report.pdf#page=84" TargetMode="External" Id="rId766"/><Relationship Type="http://schemas.openxmlformats.org/officeDocument/2006/relationships/hyperlink" Target="https://vanillabonds.com/dossier-data/pdf/katjes/katjes-2025-annual-report.pdf#page=84" TargetMode="External" Id="rId767"/><Relationship Type="http://schemas.openxmlformats.org/officeDocument/2006/relationships/hyperlink" Target="https://vanillabonds.com/dossier-data/pdf/katjes/katjes-2025-annual-report.pdf#page=84" TargetMode="External" Id="rId768"/><Relationship Type="http://schemas.openxmlformats.org/officeDocument/2006/relationships/hyperlink" Target="https://vanillabonds.com/dossier-data/pdf/katjes/katjes-2025-annual-report.pdf#page=84" TargetMode="External" Id="rId769"/><Relationship Type="http://schemas.openxmlformats.org/officeDocument/2006/relationships/hyperlink" Target="https://vanillabonds.com/dossier-data/pdf/katjes/katjes-2025-annual-report.pdf#page=84" TargetMode="External" Id="rId770"/><Relationship Type="http://schemas.openxmlformats.org/officeDocument/2006/relationships/hyperlink" Target="https://vanillabonds.com/dossier-data/pdf/katjes/katjes-2025-annual-report.pdf#page=84" TargetMode="External" Id="rId771"/><Relationship Type="http://schemas.openxmlformats.org/officeDocument/2006/relationships/hyperlink" Target="https://vanillabonds.com/dossier-data/pdf/katjes/katjes-2025-annual-report.pdf#page=84" TargetMode="External" Id="rId772"/><Relationship Type="http://schemas.openxmlformats.org/officeDocument/2006/relationships/hyperlink" Target="https://vanillabonds.com/dossier-data/pdf/katjes/katjes-2025-annual-report.pdf#page=84" TargetMode="External" Id="rId773"/><Relationship Type="http://schemas.openxmlformats.org/officeDocument/2006/relationships/hyperlink" Target="https://vanillabonds.com/dossier-data/pdf/katjes/katjes-2025-annual-report.pdf#page=84" TargetMode="External" Id="rId774"/><Relationship Type="http://schemas.openxmlformats.org/officeDocument/2006/relationships/hyperlink" Target="https://vanillabonds.com/dossier-data/pdf/katjes/katjes-2025-annual-report.pdf#page=84" TargetMode="External" Id="rId775"/><Relationship Type="http://schemas.openxmlformats.org/officeDocument/2006/relationships/hyperlink" Target="https://vanillabonds.com/dossier-data/pdf/katjes/katjes-2025-annual-report.pdf#page=84" TargetMode="External" Id="rId776"/><Relationship Type="http://schemas.openxmlformats.org/officeDocument/2006/relationships/hyperlink" Target="https://vanillabonds.com/dossier-data/pdf/katjes/katjes-2025-annual-report.pdf#page=84" TargetMode="External" Id="rId777"/><Relationship Type="http://schemas.openxmlformats.org/officeDocument/2006/relationships/hyperlink" Target="https://vanillabonds.com/dossier-data/pdf/katjes/katjes-2025-annual-report.pdf#page=84" TargetMode="External" Id="rId778"/><Relationship Type="http://schemas.openxmlformats.org/officeDocument/2006/relationships/hyperlink" Target="https://vanillabonds.com/dossier-data/pdf/katjes/katjes-2025-annual-report.pdf#page=84" TargetMode="External" Id="rId779"/><Relationship Type="http://schemas.openxmlformats.org/officeDocument/2006/relationships/hyperlink" Target="https://vanillabonds.com/dossier-data/pdf/katjes/katjes-2025-annual-report.pdf#page=84" TargetMode="External" Id="rId780"/><Relationship Type="http://schemas.openxmlformats.org/officeDocument/2006/relationships/hyperlink" Target="https://vanillabonds.com/dossier-data/pdf/katjes/katjes-2025-annual-report.pdf#page=6" TargetMode="External" Id="rId781"/><Relationship Type="http://schemas.openxmlformats.org/officeDocument/2006/relationships/hyperlink" Target="https://vanillabonds.com/dossier-data/pdf/katjes/katjes-2025-annual-report.pdf#page=44" TargetMode="External" Id="rId782"/><Relationship Type="http://schemas.openxmlformats.org/officeDocument/2006/relationships/hyperlink" Target="https://vanillabonds.com/dossier-data/pdf/katjes/katjes-2025-annual-report.pdf#page=80" TargetMode="External" Id="rId783"/><Relationship Type="http://schemas.openxmlformats.org/officeDocument/2006/relationships/hyperlink" Target="https://vanillabonds.com/dossier-data/pdf/katjes/katjes-2025-annual-report.pdf#page=80" TargetMode="External" Id="rId784"/><Relationship Type="http://schemas.openxmlformats.org/officeDocument/2006/relationships/hyperlink" Target="https://vanillabonds.com/dossier-data/pdf/katjes/katjes-2025-annual-report.pdf#page=80" TargetMode="External" Id="rId785"/><Relationship Type="http://schemas.openxmlformats.org/officeDocument/2006/relationships/hyperlink" Target="https://vanillabonds.com/dossier-data/pdf/katjes/katjes-2025-annual-report.pdf#page=80" TargetMode="External" Id="rId786"/><Relationship Type="http://schemas.openxmlformats.org/officeDocument/2006/relationships/hyperlink" Target="https://vanillabonds.com/dossier-data/pdf/katjes/katjes-2025-annual-report.pdf#page=80" TargetMode="External" Id="rId787"/><Relationship Type="http://schemas.openxmlformats.org/officeDocument/2006/relationships/hyperlink" Target="https://vanillabonds.com/dossier-data/pdf/katjes/katjes-2025-annual-report.pdf#page=80" TargetMode="External" Id="rId788"/><Relationship Type="http://schemas.openxmlformats.org/officeDocument/2006/relationships/hyperlink" Target="https://vanillabonds.com/dossier-data/pdf/katjes/katjes-2025-annual-report.pdf#page=80" TargetMode="External" Id="rId789"/><Relationship Type="http://schemas.openxmlformats.org/officeDocument/2006/relationships/hyperlink" Target="https://vanillabonds.com/dossier-data/pdf/katjes/katjes-2025-annual-report.pdf#page=80" TargetMode="External" Id="rId790"/><Relationship Type="http://schemas.openxmlformats.org/officeDocument/2006/relationships/hyperlink" Target="https://vanillabonds.com/dossier-data/pdf/katjes/katjes-2025-annual-report.pdf#page=80" TargetMode="External" Id="rId791"/><Relationship Type="http://schemas.openxmlformats.org/officeDocument/2006/relationships/hyperlink" Target="https://vanillabonds.com/dossier-data/pdf/katjes/katjes-2025-annual-report.pdf#page=80" TargetMode="External" Id="rId792"/><Relationship Type="http://schemas.openxmlformats.org/officeDocument/2006/relationships/hyperlink" Target="https://vanillabonds.com/dossier-data/pdf/katjes/katjes-2025-annual-report.pdf#page=21" TargetMode="External" Id="rId793"/><Relationship Type="http://schemas.openxmlformats.org/officeDocument/2006/relationships/hyperlink" Target="https://vanillabonds.com/dossier-data/pdf/katjes/katjes-2025-annual-report.pdf#page=21" TargetMode="External" Id="rId794"/><Relationship Type="http://schemas.openxmlformats.org/officeDocument/2006/relationships/hyperlink" Target="https://vanillabonds.com/dossier-data/pdf/katjes/katjes-2025-annual-report.pdf#page=21" TargetMode="External" Id="rId795"/><Relationship Type="http://schemas.openxmlformats.org/officeDocument/2006/relationships/hyperlink" Target="https://vanillabonds.com/dossier-data/pdf/katjes/katjes-2025-annual-report.pdf#page=21" TargetMode="External" Id="rId796"/><Relationship Type="http://schemas.openxmlformats.org/officeDocument/2006/relationships/hyperlink" Target="https://vanillabonds.com/dossier-data/pdf/katjes/katjes-2025-annual-report.pdf#page=21" TargetMode="External" Id="rId797"/><Relationship Type="http://schemas.openxmlformats.org/officeDocument/2006/relationships/hyperlink" Target="https://vanillabonds.com/dossier-data/pdf/katjes/katjes-2025-annual-report.pdf#page=21" TargetMode="External" Id="rId798"/><Relationship Type="http://schemas.openxmlformats.org/officeDocument/2006/relationships/hyperlink" Target="https://vanillabonds.com/dossier-data/pdf/katjes/katjes-2025-annual-report.pdf#page=21" TargetMode="External" Id="rId799"/><Relationship Type="http://schemas.openxmlformats.org/officeDocument/2006/relationships/hyperlink" Target="https://vanillabonds.com/dossier-data/pdf/katjes/katjes-2025-annual-report.pdf#page=21" TargetMode="External" Id="rId800"/><Relationship Type="http://schemas.openxmlformats.org/officeDocument/2006/relationships/hyperlink" Target="https://vanillabonds.com/dossier-data/pdf/katjes/katjes-2025-annual-report.pdf#page=22" TargetMode="External" Id="rId801"/><Relationship Type="http://schemas.openxmlformats.org/officeDocument/2006/relationships/hyperlink" Target="https://vanillabonds.com/dossier-data/pdf/katjes/katjes-2025-annual-report.pdf#page=22" TargetMode="External" Id="rId802"/><Relationship Type="http://schemas.openxmlformats.org/officeDocument/2006/relationships/hyperlink" Target="https://vanillabonds.com/dossier-data/pdf/katjes/katjes-2025-annual-report.pdf#page=22" TargetMode="External" Id="rId803"/><Relationship Type="http://schemas.openxmlformats.org/officeDocument/2006/relationships/hyperlink" Target="https://vanillabonds.com/dossier-data/pdf/katjes/katjes-2025-annual-report.pdf#page=22" TargetMode="External" Id="rId804"/><Relationship Type="http://schemas.openxmlformats.org/officeDocument/2006/relationships/hyperlink" Target="https://vanillabonds.com/dossier-data/pdf/katjes/katjes-2025-annual-report.pdf#page=22" TargetMode="External" Id="rId805"/><Relationship Type="http://schemas.openxmlformats.org/officeDocument/2006/relationships/hyperlink" Target="https://vanillabonds.com/dossier-data/pdf/katjes/katjes-2025-annual-report.pdf#page=22" TargetMode="External" Id="rId806"/><Relationship Type="http://schemas.openxmlformats.org/officeDocument/2006/relationships/hyperlink" Target="https://vanillabonds.com/dossier-data/pdf/katjes/katjes-2025-annual-report.pdf#page=22" TargetMode="External" Id="rId807"/><Relationship Type="http://schemas.openxmlformats.org/officeDocument/2006/relationships/hyperlink" Target="https://vanillabonds.com/dossier-data/pdf/katjes/katjes-2025-annual-report.pdf#page=22" TargetMode="External" Id="rId808"/><Relationship Type="http://schemas.openxmlformats.org/officeDocument/2006/relationships/hyperlink" Target="https://vanillabonds.com/dossier-data/pdf/katjes/katjes-2025-annual-report.pdf#page=22" TargetMode="External" Id="rId809"/><Relationship Type="http://schemas.openxmlformats.org/officeDocument/2006/relationships/hyperlink" Target="https://vanillabonds.com/dossier-data/pdf/katjes/katjes-2025-annual-report.pdf#page=22" TargetMode="External" Id="rId810"/><Relationship Type="http://schemas.openxmlformats.org/officeDocument/2006/relationships/hyperlink" Target="https://vanillabonds.com/dossier-data/pdf/katjes/katjes-2025-annual-report.pdf#page=22" TargetMode="External" Id="rId811"/><Relationship Type="http://schemas.openxmlformats.org/officeDocument/2006/relationships/hyperlink" Target="https://vanillabonds.com/dossier-data/pdf/katjes/katjes-2025-annual-report.pdf#page=22" TargetMode="External" Id="rId812"/><Relationship Type="http://schemas.openxmlformats.org/officeDocument/2006/relationships/hyperlink" Target="https://vanillabonds.com/dossier-data/pdf/katjes/katjes-2025-annual-report.pdf#page=23" TargetMode="External" Id="rId813"/><Relationship Type="http://schemas.openxmlformats.org/officeDocument/2006/relationships/hyperlink" Target="https://vanillabonds.com/dossier-data/pdf/katjes/katjes-2025-annual-report.pdf#page=35" TargetMode="External" Id="rId814"/><Relationship Type="http://schemas.openxmlformats.org/officeDocument/2006/relationships/hyperlink" Target="https://vanillabonds.com/dossier-data/pdf/katjes/katjes-2025-annual-report.pdf#page=35" TargetMode="External" Id="rId815"/><Relationship Type="http://schemas.openxmlformats.org/officeDocument/2006/relationships/hyperlink" Target="https://vanillabonds.com/dossier-data/pdf/katjes/katjes-2025-annual-report.pdf#page=35" TargetMode="External" Id="rId816"/><Relationship Type="http://schemas.openxmlformats.org/officeDocument/2006/relationships/hyperlink" Target="https://vanillabonds.com/dossier-data/pdf/katjes/katjes-2025-annual-report.pdf#page=35" TargetMode="External" Id="rId817"/><Relationship Type="http://schemas.openxmlformats.org/officeDocument/2006/relationships/hyperlink" Target="https://vanillabonds.com/dossier-data/pdf/katjes/katjes-2025-annual-report.pdf#page=35" TargetMode="External" Id="rId818"/><Relationship Type="http://schemas.openxmlformats.org/officeDocument/2006/relationships/hyperlink" Target="https://vanillabonds.com/dossier-data/pdf/katjes/katjes-2025-annual-report.pdf#page=35" TargetMode="External" Id="rId819"/><Relationship Type="http://schemas.openxmlformats.org/officeDocument/2006/relationships/hyperlink" Target="https://vanillabonds.com/dossier-data/pdf/katjes/katjes-2025-annual-report.pdf#page=35" TargetMode="External" Id="rId820"/><Relationship Type="http://schemas.openxmlformats.org/officeDocument/2006/relationships/hyperlink" Target="https://vanillabonds.com/dossier-data/pdf/katjes/katjes-2025-annual-report.pdf#page=28" TargetMode="External" Id="rId821"/><Relationship Type="http://schemas.openxmlformats.org/officeDocument/2006/relationships/hyperlink" Target="https://vanillabonds.com/dossier-data/pdf/katjes/katjes-2025-annual-report.pdf#page=31" TargetMode="External" Id="rId822"/><Relationship Type="http://schemas.openxmlformats.org/officeDocument/2006/relationships/hyperlink" Target="https://vanillabonds.com/dossier-data/pdf/katjes/katjes-2025-annual-report.pdf#page=46" TargetMode="External" Id="rId823"/><Relationship Type="http://schemas.openxmlformats.org/officeDocument/2006/relationships/hyperlink" Target="https://vanillabonds.com/dossier-data/pdf/katjes/katjes-2025-annual-report.pdf#page=50" TargetMode="External" Id="rId824"/><Relationship Type="http://schemas.openxmlformats.org/officeDocument/2006/relationships/hyperlink" Target="https://vanillabonds.com/dossier-data/pdf/katjes/katjes-2025-annual-report.pdf#page=23" TargetMode="External" Id="rId825"/><Relationship Type="http://schemas.openxmlformats.org/officeDocument/2006/relationships/hyperlink" Target="https://vanillabonds.com/dossier-data/pdf/katjes/katjes-2025-annual-report.pdf#page=13" TargetMode="External" Id="rId826"/><Relationship Type="http://schemas.openxmlformats.org/officeDocument/2006/relationships/hyperlink" Target="https://vanillabonds.com/dossier-data/pdf/katjes/katjes-2025-annual-report.pdf#page=14" TargetMode="External" Id="rId827"/><Relationship Type="http://schemas.openxmlformats.org/officeDocument/2006/relationships/hyperlink" Target="https://vanillabonds.com/dossier-data/pdf/katjes/katjes-2025-annual-report.pdf#page=15" TargetMode="External" Id="rId828"/><Relationship Type="http://schemas.openxmlformats.org/officeDocument/2006/relationships/hyperlink" Target="https://vanillabonds.com/dossier-data/pdf/katjes/katjes-2025-annual-report.pdf#page=16" TargetMode="External" Id="rId829"/><Relationship Type="http://schemas.openxmlformats.org/officeDocument/2006/relationships/hyperlink" Target="https://vanillabonds.com/dossier-data/pdf/katjes/katjes-2025-annual-report.pdf#page=55" TargetMode="External" Id="rId830"/><Relationship Type="http://schemas.openxmlformats.org/officeDocument/2006/relationships/hyperlink" Target="https://vanillabonds.com/dossier-data/pdf/katjes/katjes-2025-annual-report.pdf#page=21" TargetMode="External" Id="rId831"/><Relationship Type="http://schemas.openxmlformats.org/officeDocument/2006/relationships/hyperlink" Target="https://vanillabonds.com/dossier-data/pdf/katjes/katjes-2025-annual-report.pdf#page=31" TargetMode="External" Id="rId832"/><Relationship Type="http://schemas.openxmlformats.org/officeDocument/2006/relationships/hyperlink" Target="https://vanillabonds.com/dossier-data/pdf/katjes/katjes-2025-annual-report.pdf#page=74" TargetMode="External" Id="rId833"/><Relationship Type="http://schemas.openxmlformats.org/officeDocument/2006/relationships/hyperlink" Target="https://vanillabonds.com/dossier-data/pdf/katjes/katjes-2025-annual-report.pdf#page=29" TargetMode="External" Id="rId834"/><Relationship Type="http://schemas.openxmlformats.org/officeDocument/2006/relationships/hyperlink" Target="https://vanillabonds.com/dossier-data/pdf/katjes/katjes-2025-annual-report.pdf#page=37" TargetMode="External" Id="rId835"/><Relationship Type="http://schemas.openxmlformats.org/officeDocument/2006/relationships/hyperlink" Target="https://vanillabonds.com/dossier-data/pdf/katjes/katjes-2025-annual-report.pdf#page=75" TargetMode="External" Id="rId836"/><Relationship Type="http://schemas.openxmlformats.org/officeDocument/2006/relationships/hyperlink" Target="https://vanillabonds.com/dossier-data/pdf/katjes/katjes-2025-annual-report.pdf#page=75" TargetMode="External" Id="rId837"/><Relationship Type="http://schemas.openxmlformats.org/officeDocument/2006/relationships/hyperlink" Target="https://vanillabonds.com/dossier-data/pdf/katjes/katjes-2025-annual-report.pdf#page=75" TargetMode="External" Id="rId838"/><Relationship Type="http://schemas.openxmlformats.org/officeDocument/2006/relationships/hyperlink" Target="https://vanillabonds.com/dossier-data/pdf/katjes/katjes-2025-annual-report.pdf#page=75" TargetMode="External" Id="rId839"/><Relationship Type="http://schemas.openxmlformats.org/officeDocument/2006/relationships/hyperlink" Target="https://vanillabonds.com/dossier-data/pdf/katjes/katjes-2025-annual-report.pdf#page=75" TargetMode="External" Id="rId840"/><Relationship Type="http://schemas.openxmlformats.org/officeDocument/2006/relationships/hyperlink" Target="https://vanillabonds.com/dossier-data/pdf/katjes/katjes-2025-annual-report.pdf#page=75" TargetMode="External" Id="rId841"/><Relationship Type="http://schemas.openxmlformats.org/officeDocument/2006/relationships/hyperlink" Target="https://vanillabonds.com/dossier-data/pdf/katjes/katjes-2025-annual-report.pdf#page=40" TargetMode="External" Id="rId842"/><Relationship Type="http://schemas.openxmlformats.org/officeDocument/2006/relationships/hyperlink" Target="https://vanillabonds.com/dossier-data/pdf/katjes/katjes-2025-annual-report.pdf#page=40" TargetMode="External" Id="rId843"/><Relationship Type="http://schemas.openxmlformats.org/officeDocument/2006/relationships/hyperlink" Target="https://vanillabonds.com/dossier-data/pdf/katjes/katjes-2025-annual-report.pdf#page=62" TargetMode="External" Id="rId844"/><Relationship Type="http://schemas.openxmlformats.org/officeDocument/2006/relationships/hyperlink" Target="https://vanillabonds.com/dossier-data/pdf/katjes/katjes-2025-annual-report.pdf#page=66" TargetMode="External" Id="rId845"/><Relationship Type="http://schemas.openxmlformats.org/officeDocument/2006/relationships/hyperlink" Target="https://vanillabonds.com/dossier-data/pdf/katjes/katjes-2025-annual-report.pdf#page=69" TargetMode="External" Id="rId846"/><Relationship Type="http://schemas.openxmlformats.org/officeDocument/2006/relationships/hyperlink" Target="https://vanillabonds.com/dossier-data/pdf/katjes/katjes-2025-annual-report.pdf#page=77" TargetMode="External" Id="rId847"/><Relationship Type="http://schemas.openxmlformats.org/officeDocument/2006/relationships/hyperlink" Target="https://vanillabonds.com/dossier-data/pdf/katjes/katjes-2025-annual-report.pdf#page=91" TargetMode="External" Id="rId848"/><Relationship Type="http://schemas.openxmlformats.org/officeDocument/2006/relationships/hyperlink" Target="https://vanillabonds.com/dossier-data/pdf/katjes/katjes-2025-annual-report.pdf#page=24" TargetMode="External" Id="rId849"/><Relationship Type="http://schemas.openxmlformats.org/officeDocument/2006/relationships/hyperlink" Target="https://vanillabonds.com/dossier-data/pdf/katjes/katjes-2025-annual-report.pdf#page=40" TargetMode="External" Id="rId850"/><Relationship Type="http://schemas.openxmlformats.org/officeDocument/2006/relationships/hyperlink" Target="https://vanillabonds.com/dossier-data/pdf/katjes/katjes-2025-annual-report.pdf#page=70" TargetMode="External" Id="rId851"/><Relationship Type="http://schemas.openxmlformats.org/officeDocument/2006/relationships/hyperlink" Target="https://vanillabonds.com/dossier-data/pdf/katjes/katjes-2025-annual-report.pdf#page=70" TargetMode="External" Id="rId852"/><Relationship Type="http://schemas.openxmlformats.org/officeDocument/2006/relationships/hyperlink" Target="https://vanillabonds.com/dossier-data/pdf/katjes/katjes-2025-annual-report.pdf#page=76" TargetMode="External" Id="rId853"/><Relationship Type="http://schemas.openxmlformats.org/officeDocument/2006/relationships/hyperlink" Target="https://vanillabonds.com/dossier-data/pdf/katjes/katjes-2025-annual-report.pdf#page=76" TargetMode="External" Id="rId854"/><Relationship Type="http://schemas.openxmlformats.org/officeDocument/2006/relationships/hyperlink" Target="https://vanillabonds.com/dossier-data/pdf/katjes/katjes-2025-annual-report.pdf#page=76" TargetMode="External" Id="rId855"/><Relationship Type="http://schemas.openxmlformats.org/officeDocument/2006/relationships/hyperlink" Target="https://vanillabonds.com/dossier-data/pdf/katjes/katjes-2025-annual-report.pdf#page=74" TargetMode="External" Id="rId856"/><Relationship Type="http://schemas.openxmlformats.org/officeDocument/2006/relationships/hyperlink" Target="https://vanillabonds.com/dossier-data/pdf/katjes/katjes-2025-annual-report.pdf#page=74" TargetMode="External" Id="rId857"/><Relationship Type="http://schemas.openxmlformats.org/officeDocument/2006/relationships/hyperlink" Target="https://vanillabonds.com/dossier-data/pdf/katjes/katjes-2025-annual-report.pdf#page=74" TargetMode="External" Id="rId858"/><Relationship Type="http://schemas.openxmlformats.org/officeDocument/2006/relationships/hyperlink" Target="https://vanillabonds.com/dossier-data/pdf/katjes/katjes-2025-annual-report.pdf#page=74" TargetMode="External" Id="rId859"/><Relationship Type="http://schemas.openxmlformats.org/officeDocument/2006/relationships/hyperlink" Target="https://vanillabonds.com/dossier-data/pdf/katjes/katjes-2025-annual-report.pdf#page=74" TargetMode="External" Id="rId860"/><Relationship Type="http://schemas.openxmlformats.org/officeDocument/2006/relationships/hyperlink" Target="https://vanillabonds.com/dossier-data/pdf/katjes/katjes-2025-annual-report.pdf#page=77" TargetMode="External" Id="rId861"/><Relationship Type="http://schemas.openxmlformats.org/officeDocument/2006/relationships/hyperlink" Target="https://vanillabonds.com/dossier-data/pdf/katjes/katjes-2025-annual-report.pdf#page=77" TargetMode="External" Id="rId862"/><Relationship Type="http://schemas.openxmlformats.org/officeDocument/2006/relationships/hyperlink" Target="https://vanillabonds.com/dossier-data/pdf/katjes/katjes-2025-annual-report.pdf#page=77" TargetMode="External" Id="rId863"/><Relationship Type="http://schemas.openxmlformats.org/officeDocument/2006/relationships/hyperlink" Target="https://vanillabonds.com/dossier-data/pdf/katjes/katjes-2025-annual-report.pdf#page=77" TargetMode="External" Id="rId864"/><Relationship Type="http://schemas.openxmlformats.org/officeDocument/2006/relationships/hyperlink" Target="https://vanillabonds.com/dossier-data/pdf/katjes/katjes-2025-annual-report.pdf#page=77" TargetMode="External" Id="rId865"/><Relationship Type="http://schemas.openxmlformats.org/officeDocument/2006/relationships/hyperlink" Target="https://vanillabonds.com/dossier-data/pdf/katjes/katjes-2025-annual-report.pdf#page=77" TargetMode="External" Id="rId866"/><Relationship Type="http://schemas.openxmlformats.org/officeDocument/2006/relationships/hyperlink" Target="https://vanillabonds.com/dossier-data/pdf/katjes/katjes-2025-annual-report.pdf#page=77" TargetMode="External" Id="rId867"/><Relationship Type="http://schemas.openxmlformats.org/officeDocument/2006/relationships/hyperlink" Target="https://vanillabonds.com/dossier-data/pdf/katjes/katjes-2025-annual-report.pdf#page=77" TargetMode="External" Id="rId868"/><Relationship Type="http://schemas.openxmlformats.org/officeDocument/2006/relationships/hyperlink" Target="https://vanillabonds.com/dossier-data/pdf/katjes/katjes-2025-annual-report.pdf#page=78" TargetMode="External" Id="rId869"/><Relationship Type="http://schemas.openxmlformats.org/officeDocument/2006/relationships/hyperlink" Target="https://vanillabonds.com/dossier-data/pdf/katjes/katjes-2025-annual-report.pdf#page=78" TargetMode="External" Id="rId870"/><Relationship Type="http://schemas.openxmlformats.org/officeDocument/2006/relationships/hyperlink" Target="https://vanillabonds.com/dossier-data/pdf/katjes/katjes-2025-annual-report.pdf#page=78" TargetMode="External" Id="rId871"/><Relationship Type="http://schemas.openxmlformats.org/officeDocument/2006/relationships/hyperlink" Target="https://vanillabonds.com/dossier-data/pdf/katjes/katjes-2025-annual-report.pdf#page=78" TargetMode="External" Id="rId872"/><Relationship Type="http://schemas.openxmlformats.org/officeDocument/2006/relationships/hyperlink" Target="https://vanillabonds.com/dossier-data/pdf/katjes/katjes-2025-annual-report.pdf#page=78" TargetMode="External" Id="rId873"/><Relationship Type="http://schemas.openxmlformats.org/officeDocument/2006/relationships/hyperlink" Target="https://vanillabonds.com/dossier-data/pdf/katjes/katjes-2025-annual-report.pdf#page=78" TargetMode="External" Id="rId874"/><Relationship Type="http://schemas.openxmlformats.org/officeDocument/2006/relationships/hyperlink" Target="https://vanillabonds.com/dossier-data/pdf/katjes/katjes-2025-annual-report.pdf#page=78" TargetMode="External" Id="rId875"/><Relationship Type="http://schemas.openxmlformats.org/officeDocument/2006/relationships/hyperlink" Target="https://vanillabonds.com/dossier-data/pdf/katjes/katjes-2025-annual-report.pdf#page=78" TargetMode="External" Id="rId876"/><Relationship Type="http://schemas.openxmlformats.org/officeDocument/2006/relationships/hyperlink" Target="https://vanillabonds.com/dossier-data/pdf/katjes/katjes-2025-annual-report.pdf#page=74" TargetMode="External" Id="rId877"/><Relationship Type="http://schemas.openxmlformats.org/officeDocument/2006/relationships/hyperlink" Target="https://vanillabonds.com/dossier-data/pdf/katjes/katjes-2025-annual-report.pdf#page=74" TargetMode="External" Id="rId878"/><Relationship Type="http://schemas.openxmlformats.org/officeDocument/2006/relationships/hyperlink" Target="https://vanillabonds.com/dossier-data/pdf/katjes/katjes-2025-annual-report.pdf#page=74" TargetMode="External" Id="rId879"/><Relationship Type="http://schemas.openxmlformats.org/officeDocument/2006/relationships/hyperlink" Target="https://vanillabonds.com/dossier-data/pdf/katjes/katjes-2025-annual-report.pdf#page=74" TargetMode="External" Id="rId880"/><Relationship Type="http://schemas.openxmlformats.org/officeDocument/2006/relationships/hyperlink" Target="https://vanillabonds.com/dossier-data/pdf/katjes/katjes-2025-annual-report.pdf#page=74" TargetMode="External" Id="rId881"/><Relationship Type="http://schemas.openxmlformats.org/officeDocument/2006/relationships/hyperlink" Target="https://vanillabonds.com/dossier-data/pdf/katjes/katjes-2025-annual-report.pdf#page=77" TargetMode="External" Id="rId882"/><Relationship Type="http://schemas.openxmlformats.org/officeDocument/2006/relationships/hyperlink" Target="https://vanillabonds.com/dossier-data/pdf/katjes/katjes-2025-annual-report.pdf#page=77" TargetMode="External" Id="rId883"/><Relationship Type="http://schemas.openxmlformats.org/officeDocument/2006/relationships/hyperlink" Target="https://vanillabonds.com/dossier-data/pdf/katjes/katjes-2025-annual-report.pdf#page=77" TargetMode="External" Id="rId884"/><Relationship Type="http://schemas.openxmlformats.org/officeDocument/2006/relationships/hyperlink" Target="https://vanillabonds.com/dossier-data/pdf/katjes/katjes-2025-annual-report.pdf#page=77" TargetMode="External" Id="rId885"/><Relationship Type="http://schemas.openxmlformats.org/officeDocument/2006/relationships/hyperlink" Target="https://vanillabonds.com/dossier-data/pdf/katjes/katjes-2025-annual-report.pdf#page=77" TargetMode="External" Id="rId886"/><Relationship Type="http://schemas.openxmlformats.org/officeDocument/2006/relationships/hyperlink" Target="https://vanillabonds.com/dossier-data/pdf/katjes/katjes-2025-annual-report.pdf#page=77" TargetMode="External" Id="rId887"/><Relationship Type="http://schemas.openxmlformats.org/officeDocument/2006/relationships/hyperlink" Target="https://vanillabonds.com/dossier-data/pdf/katjes/katjes-2025-annual-report.pdf#page=77" TargetMode="External" Id="rId888"/><Relationship Type="http://schemas.openxmlformats.org/officeDocument/2006/relationships/hyperlink" Target="https://vanillabonds.com/dossier-data/pdf/katjes/katjes-2025-annual-report.pdf#page=77" TargetMode="External" Id="rId889"/><Relationship Type="http://schemas.openxmlformats.org/officeDocument/2006/relationships/hyperlink" Target="https://vanillabonds.com/dossier-data/pdf/katjes/katjes-2025-annual-report.pdf#page=78" TargetMode="External" Id="rId890"/><Relationship Type="http://schemas.openxmlformats.org/officeDocument/2006/relationships/hyperlink" Target="https://vanillabonds.com/dossier-data/pdf/katjes/katjes-2025-annual-report.pdf#page=78" TargetMode="External" Id="rId891"/><Relationship Type="http://schemas.openxmlformats.org/officeDocument/2006/relationships/hyperlink" Target="https://vanillabonds.com/dossier-data/pdf/katjes/katjes-2025-annual-report.pdf#page=78" TargetMode="External" Id="rId892"/><Relationship Type="http://schemas.openxmlformats.org/officeDocument/2006/relationships/hyperlink" Target="https://vanillabonds.com/dossier-data/pdf/katjes/katjes-2025-annual-report.pdf#page=78" TargetMode="External" Id="rId893"/><Relationship Type="http://schemas.openxmlformats.org/officeDocument/2006/relationships/hyperlink" Target="https://vanillabonds.com/dossier-data/pdf/katjes/katjes-2025-annual-report.pdf#page=78" TargetMode="External" Id="rId894"/><Relationship Type="http://schemas.openxmlformats.org/officeDocument/2006/relationships/hyperlink" Target="https://vanillabonds.com/dossier-data/pdf/katjes/katjes-2025-annual-report.pdf#page=78" TargetMode="External" Id="rId895"/><Relationship Type="http://schemas.openxmlformats.org/officeDocument/2006/relationships/hyperlink" Target="https://vanillabonds.com/dossier-data/pdf/katjes/katjes-2025-annual-report.pdf#page=78" TargetMode="External" Id="rId896"/><Relationship Type="http://schemas.openxmlformats.org/officeDocument/2006/relationships/hyperlink" Target="https://vanillabonds.com/dossier-data/pdf/katjes/katjes-2025-annual-report.pdf#page=78" TargetMode="External" Id="rId897"/><Relationship Type="http://schemas.openxmlformats.org/officeDocument/2006/relationships/hyperlink" Target="https://vanillabonds.com/dossier-data/pdf/katjes/katjes-2025-annual-report.pdf#page=42" TargetMode="External" Id="rId898"/><Relationship Type="http://schemas.openxmlformats.org/officeDocument/2006/relationships/hyperlink" Target="https://vanillabonds.com/dossier-data/pdf/katjes/katjes-2025-annual-report.pdf#page=42" TargetMode="External" Id="rId899"/><Relationship Type="http://schemas.openxmlformats.org/officeDocument/2006/relationships/hyperlink" Target="https://vanillabonds.com/dossier-data/pdf/katjes/katjes-2025-annual-report.pdf#page=63" TargetMode="External" Id="rId900"/><Relationship Type="http://schemas.openxmlformats.org/officeDocument/2006/relationships/hyperlink" Target="https://vanillabonds.com/dossier-data/pdf/katjes/katjes-2025-annual-report.pdf#page=64" TargetMode="External" Id="rId901"/><Relationship Type="http://schemas.openxmlformats.org/officeDocument/2006/relationships/hyperlink" Target="https://vanillabonds.com/dossier-data/pdf/katjes/katjes-2025-annual-report.pdf#page=65" TargetMode="External" Id="rId902"/><Relationship Type="http://schemas.openxmlformats.org/officeDocument/2006/relationships/hyperlink" Target="https://vanillabonds.com/dossier-data/pdf/katjes/katjes-2025-annual-report.pdf#page=55" TargetMode="External" Id="rId903"/><Relationship Type="http://schemas.openxmlformats.org/officeDocument/2006/relationships/hyperlink" Target="https://vanillabonds.com/dossier-data/pdf/katjes/katjes-2025-annual-report.pdf#page=68" TargetMode="External" Id="rId904"/><Relationship Type="http://schemas.openxmlformats.org/officeDocument/2006/relationships/hyperlink" Target="https://vanillabonds.com/dossier-data/pdf/katjes/katjes-2025-annual-report.pdf#page=53" TargetMode="External" Id="rId905"/><Relationship Type="http://schemas.openxmlformats.org/officeDocument/2006/relationships/hyperlink" Target="https://vanillabonds.com/dossier-data/pdf/katjes/katjes-2025-annual-report.pdf#page=4" TargetMode="External" Id="rId906"/><Relationship Type="http://schemas.openxmlformats.org/officeDocument/2006/relationships/hyperlink" Target="https://vanillabonds.com/dossier-data/pdf/katjes/katjes-2025-annual-report.pdf#page=18" TargetMode="External" Id="rId907"/><Relationship Type="http://schemas.openxmlformats.org/officeDocument/2006/relationships/hyperlink" Target="https://vanillabonds.com/dossier-data/pdf/katjes/katjes-2025-annual-report.pdf#page=35" TargetMode="External" Id="rId908"/><Relationship Type="http://schemas.openxmlformats.org/officeDocument/2006/relationships/hyperlink" Target="https://vanillabonds.com/dossier-data/pdf/katjes/katjes-2025-annual-report.pdf#page=35" TargetMode="External" Id="rId909"/><Relationship Type="http://schemas.openxmlformats.org/officeDocument/2006/relationships/hyperlink" Target="https://vanillabonds.com/dossier-data/pdf/katjes/katjes-2025-annual-report.pdf#page=77" TargetMode="External" Id="rId910"/><Relationship Type="http://schemas.openxmlformats.org/officeDocument/2006/relationships/hyperlink" Target="https://vanillabonds.com/dossier-data/pdf/katjes/katjes-2025-annual-report.pdf#page=26" TargetMode="External" Id="rId911"/><Relationship Type="http://schemas.openxmlformats.org/officeDocument/2006/relationships/hyperlink" Target="https://vanillabonds.com/dossier-data/pdf/katjes/katjes-2025-annual-report.pdf#page=55" TargetMode="External" Id="rId912"/><Relationship Type="http://schemas.openxmlformats.org/officeDocument/2006/relationships/hyperlink" Target="https://vanillabonds.com/dossier-data/pdf/katjes/katjes-2025-annual-report.pdf#page=56" TargetMode="External" Id="rId913"/><Relationship Type="http://schemas.openxmlformats.org/officeDocument/2006/relationships/hyperlink" Target="https://vanillabonds.com/dossier-data/pdf/katjes/katjes-2025-annual-report.pdf#page=58" TargetMode="External" Id="rId914"/><Relationship Type="http://schemas.openxmlformats.org/officeDocument/2006/relationships/hyperlink" Target="https://vanillabonds.com/dossier-data/pdf/katjes/katjes-2025-annual-report.pdf#page=34" TargetMode="External" Id="rId915"/><Relationship Type="http://schemas.openxmlformats.org/officeDocument/2006/relationships/hyperlink" Target="https://vanillabonds.com/dossier-data/pdf/katjes/katjes-2025-annual-report.pdf#page=56" TargetMode="External" Id="rId916"/><Relationship Type="http://schemas.openxmlformats.org/officeDocument/2006/relationships/hyperlink" Target="https://vanillabonds.com/dossier-data/pdf/katjes/katjes-2025-annual-report.pdf#page=80" TargetMode="External" Id="rId917"/><Relationship Type="http://schemas.openxmlformats.org/officeDocument/2006/relationships/hyperlink" Target="https://vanillabonds.com/dossier-data/pdf/katjes/katjes-2025-annual-report.pdf#page=80" TargetMode="External" Id="rId918"/><Relationship Type="http://schemas.openxmlformats.org/officeDocument/2006/relationships/hyperlink" Target="https://vanillabonds.com/dossier-data/pdf/katjes/katjes-2025-annual-report.pdf#page=35" TargetMode="External" Id="rId919"/><Relationship Type="http://schemas.openxmlformats.org/officeDocument/2006/relationships/hyperlink" Target="https://vanillabonds.com/dossier-data/pdf/katjes/katjes-2025-annual-report.pdf#page=35" TargetMode="External" Id="rId920"/><Relationship Type="http://schemas.openxmlformats.org/officeDocument/2006/relationships/hyperlink" Target="https://vanillabonds.com/dossier-data/pdf/katjes/katjes-2025-annual-report.pdf#page=60" TargetMode="External" Id="rId921"/><Relationship Type="http://schemas.openxmlformats.org/officeDocument/2006/relationships/hyperlink" Target="https://vanillabonds.com/dossier-data/pdf/katjes/katjes-2025-annual-report.pdf#page=60" TargetMode="External" Id="rId922"/><Relationship Type="http://schemas.openxmlformats.org/officeDocument/2006/relationships/hyperlink" Target="https://vanillabonds.com/dossier-data/pdf/katjes/katjes-2025-annual-report.pdf#page=61" TargetMode="External" Id="rId923"/><Relationship Type="http://schemas.openxmlformats.org/officeDocument/2006/relationships/hyperlink" Target="https://vanillabonds.com/dossier-data/pdf/katjes/katjes-2025-annual-report.pdf#page=61" TargetMode="External" Id="rId924"/><Relationship Type="http://schemas.openxmlformats.org/officeDocument/2006/relationships/hyperlink" Target="https://vanillabonds.com/dossier-data/pdf/katjes/katjes-2025-annual-report.pdf#page=61" TargetMode="External" Id="rId925"/><Relationship Type="http://schemas.openxmlformats.org/officeDocument/2006/relationships/hyperlink" Target="https://vanillabonds.com/dossier-data/pdf/katjes/katjes-2025-annual-report.pdf#page=61" TargetMode="External" Id="rId926"/><Relationship Type="http://schemas.openxmlformats.org/officeDocument/2006/relationships/hyperlink" Target="https://vanillabonds.com/dossier-data/pdf/katjes/katjes-2025-annual-report.pdf#page=61" TargetMode="External" Id="rId927"/><Relationship Type="http://schemas.openxmlformats.org/officeDocument/2006/relationships/hyperlink" Target="https://vanillabonds.com/dossier-data/pdf/katjes/katjes-2025-annual-report.pdf#page=61" TargetMode="External" Id="rId928"/><Relationship Type="http://schemas.openxmlformats.org/officeDocument/2006/relationships/hyperlink" Target="https://vanillabonds.com/dossier-data/pdf/katjes/katjes-2025-annual-report.pdf#page=61" TargetMode="External" Id="rId929"/><Relationship Type="http://schemas.openxmlformats.org/officeDocument/2006/relationships/hyperlink" Target="https://vanillabonds.com/dossier-data/pdf/katjes/katjes-2025-annual-report.pdf#page=61" TargetMode="External" Id="rId930"/><Relationship Type="http://schemas.openxmlformats.org/officeDocument/2006/relationships/hyperlink" Target="https://vanillabonds.com/dossier-data/pdf/katjes/katjes-2025-annual-report.pdf#page=79" TargetMode="External" Id="rId931"/><Relationship Type="http://schemas.openxmlformats.org/officeDocument/2006/relationships/hyperlink" Target="https://vanillabonds.com/dossier-data/pdf/katjes/katjes-2025-annual-report.pdf#page=22" TargetMode="External" Id="rId932"/><Relationship Type="http://schemas.openxmlformats.org/officeDocument/2006/relationships/hyperlink" Target="https://vanillabonds.com/dossier-data/pdf/katjes/katjes-2025-annual-report.pdf#page=28" TargetMode="External" Id="rId933"/><Relationship Type="http://schemas.openxmlformats.org/officeDocument/2006/relationships/hyperlink" Target="https://vanillabonds.com/dossier-data/pdf/katjes/katjes-2025-annual-report.pdf#page=29" TargetMode="External" Id="rId934"/><Relationship Type="http://schemas.openxmlformats.org/officeDocument/2006/relationships/hyperlink" Target="https://vanillabonds.com/dossier-data/pdf/katjes/katjes-2025-annual-report.pdf#page=29" TargetMode="External" Id="rId935"/><Relationship Type="http://schemas.openxmlformats.org/officeDocument/2006/relationships/hyperlink" Target="https://vanillabonds.com/dossier-data/pdf/katjes/katjes-2025-annual-report.pdf#page=74" TargetMode="External" Id="rId936"/><Relationship Type="http://schemas.openxmlformats.org/officeDocument/2006/relationships/hyperlink" Target="https://vanillabonds.com/dossier-data/pdf/katjes/katjes-2025-annual-report.pdf#page=4" TargetMode="External" Id="rId937"/><Relationship Type="http://schemas.openxmlformats.org/officeDocument/2006/relationships/hyperlink" Target="https://vanillabonds.com/dossier-data/pdf/katjes/katjes-2025-annual-report.pdf#page=26" TargetMode="External" Id="rId938"/><Relationship Type="http://schemas.openxmlformats.org/officeDocument/2006/relationships/hyperlink" Target="https://vanillabonds.com/dossier-data/pdf/katjes/katjes-2025-annual-report.pdf#page=62" TargetMode="External" Id="rId939"/><Relationship Type="http://schemas.openxmlformats.org/officeDocument/2006/relationships/hyperlink" Target="https://vanillabonds.com/dossier-data/pdf/katjes/katjes-2025-annual-report.pdf#page=68" TargetMode="External" Id="rId940"/><Relationship Type="http://schemas.openxmlformats.org/officeDocument/2006/relationships/hyperlink" Target="https://vanillabonds.com/dossier-data/pdf/katjes/katjes-2025-annual-report.pdf#page=81" TargetMode="External" Id="rId941"/><Relationship Type="http://schemas.openxmlformats.org/officeDocument/2006/relationships/hyperlink" Target="https://vanillabonds.com/dossier-data/pdf/katjes/katjes-bond-2023-2028-terms.pdf#page=1" TargetMode="External" Id="rId942"/><Relationship Type="http://schemas.openxmlformats.org/officeDocument/2006/relationships/hyperlink" Target="https://vanillabonds.com/dossier-data/pdf/katjes/katjes-bond-2023-2028-terms.pdf#page=1" TargetMode="External" Id="rId943"/><Relationship Type="http://schemas.openxmlformats.org/officeDocument/2006/relationships/hyperlink" Target="https://vanillabonds.com/dossier-data/pdf/katjes/katjes-bond-2023-2028-terms.pdf#page=1" TargetMode="External" Id="rId944"/><Relationship Type="http://schemas.openxmlformats.org/officeDocument/2006/relationships/hyperlink" Target="https://vanillabonds.com/dossier-data/pdf/katjes/katjes-bond-2023-2028-terms.pdf#page=1" TargetMode="External" Id="rId945"/><Relationship Type="http://schemas.openxmlformats.org/officeDocument/2006/relationships/hyperlink" Target="https://vanillabonds.com/dossier-data/pdf/katjes/katjes-bond-2023-2028-terms.pdf#page=2" TargetMode="External" Id="rId946"/><Relationship Type="http://schemas.openxmlformats.org/officeDocument/2006/relationships/hyperlink" Target="https://vanillabonds.com/dossier-data/pdf/katjes/katjes-bond-2023-2028-terms.pdf#page=1" TargetMode="External" Id="rId947"/><Relationship Type="http://schemas.openxmlformats.org/officeDocument/2006/relationships/hyperlink" Target="https://vanillabonds.com/dossier-data/pdf/katjes/katjes-bond-2023-2028-terms.pdf#page=2" TargetMode="External" Id="rId948"/><Relationship Type="http://schemas.openxmlformats.org/officeDocument/2006/relationships/hyperlink" Target="https://vanillabonds.com/dossier-data/pdf/katjes/katjes-bond-2023-2028-terms.pdf#page=1" TargetMode="External" Id="rId949"/><Relationship Type="http://schemas.openxmlformats.org/officeDocument/2006/relationships/hyperlink" Target="https://vanillabonds.com/dossier-data/pdf/katjes/katjes-bond-2023-2028-terms.pdf#page=1" TargetMode="External" Id="rId950"/><Relationship Type="http://schemas.openxmlformats.org/officeDocument/2006/relationships/hyperlink" Target="https://vanillabonds.com/dossier-data/pdf/katjes/katjes-bond-2023-2028-terms.pdf#page=1" TargetMode="External" Id="rId951"/><Relationship Type="http://schemas.openxmlformats.org/officeDocument/2006/relationships/hyperlink" Target="https://vanillabonds.com/dossier-data/pdf/katjes/katjes-bond-2023-2028-terms.pdf#page=1" TargetMode="External" Id="rId952"/><Relationship Type="http://schemas.openxmlformats.org/officeDocument/2006/relationships/hyperlink" Target="https://vanillabonds.com/dossier-data/pdf/katjes/katjes-bond-2023-2028-terms.pdf#page=1" TargetMode="External" Id="rId953"/><Relationship Type="http://schemas.openxmlformats.org/officeDocument/2006/relationships/hyperlink" Target="https://vanillabonds.com/dossier-data/pdf/katjes/katjes-bond-2023-2028-terms.pdf#page=1" TargetMode="External" Id="rId954"/><Relationship Type="http://schemas.openxmlformats.org/officeDocument/2006/relationships/hyperlink" Target="https://vanillabonds.com/dossier-data/pdf/katjes/katjes-bond-2023-2028-terms.pdf#page=1" TargetMode="External" Id="rId955"/><Relationship Type="http://schemas.openxmlformats.org/officeDocument/2006/relationships/hyperlink" Target="https://vanillabonds.com/dossier-data/pdf/katjes/katjes-bond-2023-2028-terms.pdf#page=2" TargetMode="External" Id="rId956"/><Relationship Type="http://schemas.openxmlformats.org/officeDocument/2006/relationships/hyperlink" Target="https://vanillabonds.com/dossier-data/pdf/katjes/katjes-bond-2023-2028-terms.pdf#page=2" TargetMode="External" Id="rId957"/><Relationship Type="http://schemas.openxmlformats.org/officeDocument/2006/relationships/hyperlink" Target="https://vanillabonds.com/dossier-data/pdf/katjes/katjes-bond-2023-2028-terms.pdf#page=2" TargetMode="External" Id="rId958"/><Relationship Type="http://schemas.openxmlformats.org/officeDocument/2006/relationships/hyperlink" Target="https://vanillabonds.com/dossier-data/pdf/katjes/katjes-bond-2023-2028-terms.pdf#page=2" TargetMode="External" Id="rId959"/><Relationship Type="http://schemas.openxmlformats.org/officeDocument/2006/relationships/hyperlink" Target="https://vanillabonds.com/dossier-data/pdf/katjes/katjes-bond-2023-2028-terms.pdf#page=2" TargetMode="External" Id="rId960"/><Relationship Type="http://schemas.openxmlformats.org/officeDocument/2006/relationships/hyperlink" Target="https://vanillabonds.com/dossier-data/pdf/katjes/katjes-bond-2023-2028-terms.pdf#page=2" TargetMode="External" Id="rId961"/><Relationship Type="http://schemas.openxmlformats.org/officeDocument/2006/relationships/hyperlink" Target="https://vanillabonds.com/dossier-data/pdf/katjes/katjes-bond-2023-2028-terms.pdf#page=2" TargetMode="External" Id="rId962"/><Relationship Type="http://schemas.openxmlformats.org/officeDocument/2006/relationships/hyperlink" Target="https://vanillabonds.com/dossier-data/pdf/katjes/katjes-bond-2023-2028-terms.pdf#page=2" TargetMode="External" Id="rId963"/><Relationship Type="http://schemas.openxmlformats.org/officeDocument/2006/relationships/hyperlink" Target="https://vanillabonds.com/dossier-data/pdf/katjes/katjes-bond-2023-2028-terms.pdf#page=2" TargetMode="External" Id="rId964"/><Relationship Type="http://schemas.openxmlformats.org/officeDocument/2006/relationships/hyperlink" Target="https://vanillabonds.com/dossier-data/pdf/katjes/katjes-bond-2023-2028-terms.pdf#page=2" TargetMode="External" Id="rId965"/><Relationship Type="http://schemas.openxmlformats.org/officeDocument/2006/relationships/hyperlink" Target="https://vanillabonds.com/dossier-data/pdf/katjes/katjes-bond-2023-2028-terms.pdf#page=1" TargetMode="External" Id="rId966"/><Relationship Type="http://schemas.openxmlformats.org/officeDocument/2006/relationships/hyperlink" Target="https://vanillabonds.com/dossier-data/pdf/katjes/katjes-bond-2023-2028-terms.pdf#page=1" TargetMode="External" Id="rId967"/><Relationship Type="http://schemas.openxmlformats.org/officeDocument/2006/relationships/hyperlink" Target="https://vanillabonds.com/dossier-data/pdf/katjes/katjes-bond-2023-2028-terms.pdf#page=1" TargetMode="External" Id="rId968"/><Relationship Type="http://schemas.openxmlformats.org/officeDocument/2006/relationships/hyperlink" Target="https://vanillabonds.com/dossier-data/pdf/katjes/katjes-bond-2023-2028-terms.pdf#page=1" TargetMode="External" Id="rId969"/><Relationship Type="http://schemas.openxmlformats.org/officeDocument/2006/relationships/hyperlink" Target="https://vanillabonds.com/dossier-data/pdf/katjes/katjes-bond-2023-2028-terms.pdf#page=2" TargetMode="External" Id="rId970"/><Relationship Type="http://schemas.openxmlformats.org/officeDocument/2006/relationships/hyperlink" Target="https://vanillabonds.com/dossier-data/pdf/katjes/katjes-bond-2023-2028-terms.pdf#page=2" TargetMode="External" Id="rId971"/><Relationship Type="http://schemas.openxmlformats.org/officeDocument/2006/relationships/hyperlink" Target="https://vanillabonds.com/dossier-data/pdf/katjes/katjes-bond-2023-2028-terms.pdf#page=2" TargetMode="External" Id="rId972"/><Relationship Type="http://schemas.openxmlformats.org/officeDocument/2006/relationships/hyperlink" Target="https://vanillabonds.com/dossier-data/pdf/katjes/katjes-bond-2023-2028-terms.pdf#page=1" TargetMode="External" Id="rId973"/><Relationship Type="http://schemas.openxmlformats.org/officeDocument/2006/relationships/hyperlink" Target="https://vanillabonds.com/dossier-data/pdf/katjes/katjes-bond-2023-2028-terms.pdf#page=1" TargetMode="External" Id="rId974"/><Relationship Type="http://schemas.openxmlformats.org/officeDocument/2006/relationships/hyperlink" Target="https://vanillabonds.com/dossier-data/pdf/katjes/katjes-bond-2023-2028-terms.pdf#page=1" TargetMode="External" Id="rId975"/><Relationship Type="http://schemas.openxmlformats.org/officeDocument/2006/relationships/hyperlink" Target="https://vanillabonds.com/dossier-data/pdf/katjes/katjes-bond-2023-2028-terms.pdf#page=1" TargetMode="External" Id="rId976"/><Relationship Type="http://schemas.openxmlformats.org/officeDocument/2006/relationships/hyperlink" Target="https://vanillabonds.com/dossier-data/pdf/katjes/katjes-bond-2023-2028-terms.pdf#page=1" TargetMode="External" Id="rId977"/><Relationship Type="http://schemas.openxmlformats.org/officeDocument/2006/relationships/hyperlink" Target="https://vanillabonds.com/dossier-data/pdf/katjes/katjes-bond-2023-2028-terms.pdf#page=1" TargetMode="External" Id="rId978"/><Relationship Type="http://schemas.openxmlformats.org/officeDocument/2006/relationships/hyperlink" Target="https://vanillabonds.com/dossier-data/pdf/katjes/katjes-bond-2023-2028-terms.pdf#page=1" TargetMode="External" Id="rId979"/><Relationship Type="http://schemas.openxmlformats.org/officeDocument/2006/relationships/hyperlink" Target="https://vanillabonds.com/dossier-data/pdf/katjes/katjes-bond-2023-2028-terms.pdf#page=1" TargetMode="External" Id="rId980"/><Relationship Type="http://schemas.openxmlformats.org/officeDocument/2006/relationships/hyperlink" Target="https://vanillabonds.com/dossier-data/pdf/katjes/katjes-bond-2023-2028-terms.pdf#page=1" TargetMode="External" Id="rId981"/><Relationship Type="http://schemas.openxmlformats.org/officeDocument/2006/relationships/hyperlink" Target="https://vanillabonds.com/dossier-data/pdf/katjes/katjes-bond-2023-2028-terms.pdf#page=1" TargetMode="External" Id="rId982"/><Relationship Type="http://schemas.openxmlformats.org/officeDocument/2006/relationships/hyperlink" Target="https://vanillabonds.com/dossier-data/pdf/katjes/katjes-bond-2023-2028-terms.pdf#page=1" TargetMode="External" Id="rId983"/><Relationship Type="http://schemas.openxmlformats.org/officeDocument/2006/relationships/hyperlink" Target="https://vanillabonds.com/dossier-data/pdf/katjes/katjes-bond-2023-2028-terms.pdf#page=1" TargetMode="External" Id="rId984"/><Relationship Type="http://schemas.openxmlformats.org/officeDocument/2006/relationships/hyperlink" Target="https://vanillabonds.com/dossier-data/pdf/katjes/katjes-bond-2023-2028-terms.pdf#page=1" TargetMode="External" Id="rId985"/><Relationship Type="http://schemas.openxmlformats.org/officeDocument/2006/relationships/hyperlink" Target="https://vanillabonds.com/dossier-data/pdf/katjes/katjes-bond-2023-2028-terms.pdf#page=1" TargetMode="External" Id="rId986"/><Relationship Type="http://schemas.openxmlformats.org/officeDocument/2006/relationships/hyperlink" Target="https://vanillabonds.com/dossier-data/pdf/katjes/katjes-bond-2023-2028-terms.pdf#page=1" TargetMode="External" Id="rId987"/><Relationship Type="http://schemas.openxmlformats.org/officeDocument/2006/relationships/hyperlink" Target="https://vanillabonds.com/dossier-data/pdf/katjes/katjes-bond-2023-2028-terms.pdf#page=1" TargetMode="External" Id="rId988"/><Relationship Type="http://schemas.openxmlformats.org/officeDocument/2006/relationships/hyperlink" Target="https://vanillabonds.com/dossier-data/pdf/katjes/katjes-bond-2023-2028-terms.pdf#page=1" TargetMode="External" Id="rId989"/><Relationship Type="http://schemas.openxmlformats.org/officeDocument/2006/relationships/hyperlink" Target="https://vanillabonds.com/dossier-data/pdf/katjes/katjes-bond-2023-2028-terms.pdf#page=1" TargetMode="External" Id="rId990"/><Relationship Type="http://schemas.openxmlformats.org/officeDocument/2006/relationships/hyperlink" Target="https://vanillabonds.com/dossier-data/pdf/katjes/katjes-bond-2023-2028-terms.pdf#page=1" TargetMode="External" Id="rId991"/><Relationship Type="http://schemas.openxmlformats.org/officeDocument/2006/relationships/hyperlink" Target="https://vanillabonds.com/dossier-data/pdf/katjes/katjes-bond-2023-2028-terms.pdf#page=1" TargetMode="External" Id="rId992"/><Relationship Type="http://schemas.openxmlformats.org/officeDocument/2006/relationships/hyperlink" Target="https://vanillabonds.com/dossier-data/pdf/katjes/katjes-bond-2023-2028-terms.pdf#page=1" TargetMode="External" Id="rId993"/><Relationship Type="http://schemas.openxmlformats.org/officeDocument/2006/relationships/hyperlink" Target="https://vanillabonds.com/dossier-data/pdf/katjes/katjes-bond-2023-2028-terms.pdf#page=1" TargetMode="External" Id="rId994"/><Relationship Type="http://schemas.openxmlformats.org/officeDocument/2006/relationships/hyperlink" Target="https://vanillabonds.com/dossier-data/pdf/katjes/katjes-bond-2023-2028-terms.pdf#page=1" TargetMode="External" Id="rId995"/><Relationship Type="http://schemas.openxmlformats.org/officeDocument/2006/relationships/hyperlink" Target="https://vanillabonds.com/dossier-data/pdf/katjes/katjes-bond-2023-2028-terms.pdf#page=1" TargetMode="External" Id="rId996"/><Relationship Type="http://schemas.openxmlformats.org/officeDocument/2006/relationships/hyperlink" Target="https://vanillabonds.com/dossier-data/pdf/katjes/katjes-bond-2023-2028-terms.pdf#page=1" TargetMode="External" Id="rId997"/><Relationship Type="http://schemas.openxmlformats.org/officeDocument/2006/relationships/hyperlink" Target="https://vanillabonds.com/dossier-data/pdf/katjes/katjes-bond-2023-2028-terms.pdf#page=2" TargetMode="External" Id="rId998"/><Relationship Type="http://schemas.openxmlformats.org/officeDocument/2006/relationships/hyperlink" Target="https://vanillabonds.com/dossier-data/pdf/katjes/katjes-bond-2023-2028-terms.pdf#page=2" TargetMode="External" Id="rId999"/><Relationship Type="http://schemas.openxmlformats.org/officeDocument/2006/relationships/hyperlink" Target="https://vanillabonds.com/dossier-data/pdf/katjes/katjes-bond-2023-2028-terms.pdf#page=2" TargetMode="External" Id="rId1000"/><Relationship Type="http://schemas.openxmlformats.org/officeDocument/2006/relationships/hyperlink" Target="https://vanillabonds.com/dossier-data/pdf/katjes/katjes-bond-2023-2028-terms.pdf#page=2" TargetMode="External" Id="rId1001"/><Relationship Type="http://schemas.openxmlformats.org/officeDocument/2006/relationships/hyperlink" Target="https://vanillabonds.com/dossier-data/pdf/katjes/katjes-h1-2026-interim-report.pdf#page=49" TargetMode="External" Id="rId1002"/><Relationship Type="http://schemas.openxmlformats.org/officeDocument/2006/relationships/hyperlink" Target="https://vanillabonds.com/dossier-data/pdf/katjes/katjes-h1-2026-interim-report.pdf#page=36" TargetMode="External" Id="rId1003"/><Relationship Type="http://schemas.openxmlformats.org/officeDocument/2006/relationships/hyperlink" Target="https://vanillabonds.com/dossier-data/pdf/katjes/katjes-h1-2026-interim-report.pdf#page=36" TargetMode="External" Id="rId1004"/><Relationship Type="http://schemas.openxmlformats.org/officeDocument/2006/relationships/hyperlink" Target="https://vanillabonds.com/dossier-data/pdf/katjes/katjes-h1-2026-interim-report.pdf#page=7" TargetMode="External" Id="rId1005"/><Relationship Type="http://schemas.openxmlformats.org/officeDocument/2006/relationships/hyperlink" Target="https://vanillabonds.com/dossier-data/pdf/katjes/katjes-h1-2026-interim-report.pdf#page=36" TargetMode="External" Id="rId1006"/><Relationship Type="http://schemas.openxmlformats.org/officeDocument/2006/relationships/hyperlink" Target="https://vanillabonds.com/dossier-data/pdf/katjes/katjes-h1-2026-interim-report.pdf#page=36" TargetMode="External" Id="rId1007"/><Relationship Type="http://schemas.openxmlformats.org/officeDocument/2006/relationships/hyperlink" Target="https://vanillabonds.com/dossier-data/pdf/katjes/katjes-h1-2026-interim-report.pdf#page=45" TargetMode="External" Id="rId1008"/><Relationship Type="http://schemas.openxmlformats.org/officeDocument/2006/relationships/hyperlink" Target="https://vanillabonds.com/dossier-data/pdf/katjes/katjes-h1-2026-interim-report.pdf#page=19" TargetMode="External" Id="rId1009"/><Relationship Type="http://schemas.openxmlformats.org/officeDocument/2006/relationships/hyperlink" Target="https://vanillabonds.com/dossier-data/pdf/katjes/katjes-h1-2026-interim-report.pdf#page=25" TargetMode="External" Id="rId1010"/><Relationship Type="http://schemas.openxmlformats.org/officeDocument/2006/relationships/hyperlink" Target="https://vanillabonds.com/dossier-data/pdf/katjes/katjes-h1-2026-interim-report.pdf#page=25" TargetMode="External" Id="rId1011"/><Relationship Type="http://schemas.openxmlformats.org/officeDocument/2006/relationships/hyperlink" Target="https://vanillabonds.com/dossier-data/pdf/katjes/katjes-h1-2026-interim-report.pdf#page=48" TargetMode="External" Id="rId1012"/><Relationship Type="http://schemas.openxmlformats.org/officeDocument/2006/relationships/hyperlink" Target="https://vanillabonds.com/dossier-data/pdf/katjes/katjes-h1-2026-interim-report.pdf#page=37" TargetMode="External" Id="rId1013"/><Relationship Type="http://schemas.openxmlformats.org/officeDocument/2006/relationships/hyperlink" Target="https://vanillabonds.com/dossier-data/pdf/katjes/katjes-h1-2026-interim-report.pdf#page=37" TargetMode="External" Id="rId1014"/><Relationship Type="http://schemas.openxmlformats.org/officeDocument/2006/relationships/hyperlink" Target="https://vanillabonds.com/dossier-data/pdf/katjes/katjes-h1-2026-interim-report.pdf#page=37" TargetMode="External" Id="rId1015"/><Relationship Type="http://schemas.openxmlformats.org/officeDocument/2006/relationships/hyperlink" Target="https://vanillabonds.com/dossier-data/pdf/katjes/katjes-h1-2026-interim-report.pdf#page=7" TargetMode="External" Id="rId1016"/><Relationship Type="http://schemas.openxmlformats.org/officeDocument/2006/relationships/hyperlink" Target="https://vanillabonds.com/dossier-data/pdf/katjes/katjes-h1-2026-interim-report.pdf#page=9" TargetMode="External" Id="rId1017"/><Relationship Type="http://schemas.openxmlformats.org/officeDocument/2006/relationships/hyperlink" Target="https://vanillabonds.com/dossier-data/pdf/katjes/katjes-h1-2026-interim-report.pdf#page=9" TargetMode="External" Id="rId1018"/><Relationship Type="http://schemas.openxmlformats.org/officeDocument/2006/relationships/hyperlink" Target="https://vanillabonds.com/dossier-data/pdf/katjes/katjes-h1-2026-interim-report.pdf#page=12" TargetMode="External" Id="rId1019"/><Relationship Type="http://schemas.openxmlformats.org/officeDocument/2006/relationships/hyperlink" Target="https://vanillabonds.com/dossier-data/pdf/katjes/katjes-h1-2026-interim-report.pdf#page=13" TargetMode="External" Id="rId1020"/><Relationship Type="http://schemas.openxmlformats.org/officeDocument/2006/relationships/hyperlink" Target="https://vanillabonds.com/dossier-data/pdf/katjes/katjes-h1-2026-interim-report.pdf#page=15" TargetMode="External" Id="rId1021"/><Relationship Type="http://schemas.openxmlformats.org/officeDocument/2006/relationships/hyperlink" Target="https://vanillabonds.com/dossier-data/pdf/katjes/katjes-h1-2026-interim-report.pdf#page=17" TargetMode="External" Id="rId1022"/><Relationship Type="http://schemas.openxmlformats.org/officeDocument/2006/relationships/hyperlink" Target="https://vanillabonds.com/dossier-data/pdf/katjes/katjes-h1-2026-interim-report.pdf#page=17" TargetMode="External" Id="rId1023"/><Relationship Type="http://schemas.openxmlformats.org/officeDocument/2006/relationships/hyperlink" Target="https://vanillabonds.com/dossier-data/pdf/katjes/katjes-h1-2026-interim-report.pdf#page=18" TargetMode="External" Id="rId1024"/><Relationship Type="http://schemas.openxmlformats.org/officeDocument/2006/relationships/hyperlink" Target="https://vanillabonds.com/dossier-data/pdf/katjes/katjes-h1-2026-interim-report.pdf#page=18" TargetMode="External" Id="rId1025"/><Relationship Type="http://schemas.openxmlformats.org/officeDocument/2006/relationships/hyperlink" Target="https://vanillabonds.com/dossier-data/pdf/katjes/katjes-h1-2026-interim-report.pdf#page=18" TargetMode="External" Id="rId1026"/><Relationship Type="http://schemas.openxmlformats.org/officeDocument/2006/relationships/hyperlink" Target="https://vanillabonds.com/dossier-data/pdf/katjes/katjes-h1-2026-interim-report.pdf#page=18" TargetMode="External" Id="rId1027"/><Relationship Type="http://schemas.openxmlformats.org/officeDocument/2006/relationships/hyperlink" Target="https://vanillabonds.com/dossier-data/pdf/katjes/katjes-h1-2026-interim-report.pdf#page=18" TargetMode="External" Id="rId1028"/><Relationship Type="http://schemas.openxmlformats.org/officeDocument/2006/relationships/hyperlink" Target="https://vanillabonds.com/dossier-data/pdf/katjes/katjes-h1-2026-interim-report.pdf#page=22" TargetMode="External" Id="rId1029"/><Relationship Type="http://schemas.openxmlformats.org/officeDocument/2006/relationships/hyperlink" Target="https://vanillabonds.com/dossier-data/pdf/katjes/katjes-h1-2026-interim-report.pdf#page=23" TargetMode="External" Id="rId1030"/><Relationship Type="http://schemas.openxmlformats.org/officeDocument/2006/relationships/hyperlink" Target="https://vanillabonds.com/dossier-data/pdf/katjes/katjes-h1-2026-interim-report.pdf#page=24" TargetMode="External" Id="rId1031"/><Relationship Type="http://schemas.openxmlformats.org/officeDocument/2006/relationships/hyperlink" Target="https://vanillabonds.com/dossier-data/pdf/katjes/katjes-h1-2026-interim-report.pdf#page=24" TargetMode="External" Id="rId1032"/><Relationship Type="http://schemas.openxmlformats.org/officeDocument/2006/relationships/hyperlink" Target="https://vanillabonds.com/dossier-data/pdf/katjes/katjes-h1-2026-interim-report.pdf#page=24" TargetMode="External" Id="rId1033"/><Relationship Type="http://schemas.openxmlformats.org/officeDocument/2006/relationships/hyperlink" Target="https://vanillabonds.com/dossier-data/pdf/katjes/katjes-h1-2026-interim-report.pdf#page=25" TargetMode="External" Id="rId1034"/><Relationship Type="http://schemas.openxmlformats.org/officeDocument/2006/relationships/hyperlink" Target="https://vanillabonds.com/dossier-data/pdf/katjes/katjes-h1-2026-interim-report.pdf#page=29" TargetMode="External" Id="rId1035"/><Relationship Type="http://schemas.openxmlformats.org/officeDocument/2006/relationships/hyperlink" Target="https://vanillabonds.com/dossier-data/pdf/katjes/katjes-h1-2026-interim-report.pdf#page=29" TargetMode="External" Id="rId1036"/><Relationship Type="http://schemas.openxmlformats.org/officeDocument/2006/relationships/hyperlink" Target="https://vanillabonds.com/dossier-data/pdf/katjes/katjes-h1-2026-interim-report.pdf#page=30" TargetMode="External" Id="rId1037"/><Relationship Type="http://schemas.openxmlformats.org/officeDocument/2006/relationships/hyperlink" Target="https://vanillabonds.com/dossier-data/pdf/katjes/katjes-h1-2026-interim-report.pdf#page=31" TargetMode="External" Id="rId1038"/><Relationship Type="http://schemas.openxmlformats.org/officeDocument/2006/relationships/hyperlink" Target="https://vanillabonds.com/dossier-data/pdf/katjes/katjes-h1-2026-interim-report.pdf#page=31" TargetMode="External" Id="rId1039"/><Relationship Type="http://schemas.openxmlformats.org/officeDocument/2006/relationships/hyperlink" Target="https://vanillabonds.com/dossier-data/pdf/katjes/katjes-h1-2026-interim-report.pdf#page=32" TargetMode="External" Id="rId1040"/><Relationship Type="http://schemas.openxmlformats.org/officeDocument/2006/relationships/hyperlink" Target="https://vanillabonds.com/dossier-data/pdf/katjes/katjes-h1-2026-interim-report.pdf#page=32" TargetMode="External" Id="rId1041"/><Relationship Type="http://schemas.openxmlformats.org/officeDocument/2006/relationships/hyperlink" Target="https://vanillabonds.com/dossier-data/pdf/katjes/katjes-h1-2026-interim-report.pdf#page=32" TargetMode="External" Id="rId1042"/><Relationship Type="http://schemas.openxmlformats.org/officeDocument/2006/relationships/hyperlink" Target="https://vanillabonds.com/dossier-data/pdf/katjes/katjes-h1-2026-interim-report.pdf#page=34" TargetMode="External" Id="rId1043"/><Relationship Type="http://schemas.openxmlformats.org/officeDocument/2006/relationships/hyperlink" Target="https://vanillabonds.com/dossier-data/pdf/katjes/katjes-h1-2026-interim-report.pdf#page=34" TargetMode="External" Id="rId1044"/><Relationship Type="http://schemas.openxmlformats.org/officeDocument/2006/relationships/hyperlink" Target="https://vanillabonds.com/dossier-data/pdf/katjes/katjes-h1-2026-interim-report.pdf#page=34" TargetMode="External" Id="rId1045"/><Relationship Type="http://schemas.openxmlformats.org/officeDocument/2006/relationships/hyperlink" Target="https://vanillabonds.com/dossier-data/pdf/katjes/katjes-h1-2026-interim-report.pdf#page=34" TargetMode="External" Id="rId1046"/><Relationship Type="http://schemas.openxmlformats.org/officeDocument/2006/relationships/hyperlink" Target="https://vanillabonds.com/dossier-data/pdf/katjes/katjes-h1-2026-interim-report.pdf#page=34" TargetMode="External" Id="rId1047"/><Relationship Type="http://schemas.openxmlformats.org/officeDocument/2006/relationships/hyperlink" Target="https://vanillabonds.com/dossier-data/pdf/katjes/katjes-h1-2026-interim-report.pdf#page=34" TargetMode="External" Id="rId1048"/><Relationship Type="http://schemas.openxmlformats.org/officeDocument/2006/relationships/hyperlink" Target="https://vanillabonds.com/dossier-data/pdf/katjes/katjes-h1-2026-interim-report.pdf#page=38" TargetMode="External" Id="rId1049"/><Relationship Type="http://schemas.openxmlformats.org/officeDocument/2006/relationships/hyperlink" Target="https://vanillabonds.com/dossier-data/pdf/katjes/katjes-h1-2026-interim-report.pdf#page=41" TargetMode="External" Id="rId1050"/><Relationship Type="http://schemas.openxmlformats.org/officeDocument/2006/relationships/hyperlink" Target="https://vanillabonds.com/dossier-data/pdf/katjes/katjes-h1-2026-interim-report.pdf#page=43" TargetMode="External" Id="rId1051"/><Relationship Type="http://schemas.openxmlformats.org/officeDocument/2006/relationships/hyperlink" Target="https://vanillabonds.com/dossier-data/pdf/katjes/katjes-h1-2026-interim-report.pdf#page=44" TargetMode="External" Id="rId1052"/><Relationship Type="http://schemas.openxmlformats.org/officeDocument/2006/relationships/hyperlink" Target="https://vanillabonds.com/dossier-data/pdf/katjes/katjes-h1-2026-interim-report.pdf#page=4" TargetMode="External" Id="rId1053"/><Relationship Type="http://schemas.openxmlformats.org/officeDocument/2006/relationships/hyperlink" Target="https://vanillabonds.com/dossier-data/pdf/katjes/katjes-h1-2026-interim-report.pdf#page=9" TargetMode="External" Id="rId1054"/><Relationship Type="http://schemas.openxmlformats.org/officeDocument/2006/relationships/hyperlink" Target="https://vanillabonds.com/dossier-data/pdf/katjes/katjes-h1-2026-interim-report.pdf#page=12" TargetMode="External" Id="rId1055"/><Relationship Type="http://schemas.openxmlformats.org/officeDocument/2006/relationships/hyperlink" Target="https://vanillabonds.com/dossier-data/pdf/katjes/katjes-h1-2026-interim-report.pdf#page=13" TargetMode="External" Id="rId1056"/><Relationship Type="http://schemas.openxmlformats.org/officeDocument/2006/relationships/hyperlink" Target="https://vanillabonds.com/dossier-data/pdf/katjes/katjes-h1-2026-interim-report.pdf#page=14" TargetMode="External" Id="rId1057"/><Relationship Type="http://schemas.openxmlformats.org/officeDocument/2006/relationships/hyperlink" Target="https://vanillabonds.com/dossier-data/pdf/katjes/katjes-h1-2026-interim-report.pdf#page=15" TargetMode="External" Id="rId1058"/><Relationship Type="http://schemas.openxmlformats.org/officeDocument/2006/relationships/hyperlink" Target="https://vanillabonds.com/dossier-data/pdf/katjes/katjes-h1-2026-interim-report.pdf#page=15" TargetMode="External" Id="rId1059"/><Relationship Type="http://schemas.openxmlformats.org/officeDocument/2006/relationships/hyperlink" Target="https://vanillabonds.com/dossier-data/pdf/katjes/katjes-h1-2026-interim-report.pdf#page=18" TargetMode="External" Id="rId1060"/><Relationship Type="http://schemas.openxmlformats.org/officeDocument/2006/relationships/hyperlink" Target="https://vanillabonds.com/dossier-data/pdf/katjes/katjes-h1-2026-interim-report.pdf#page=21" TargetMode="External" Id="rId1061"/><Relationship Type="http://schemas.openxmlformats.org/officeDocument/2006/relationships/hyperlink" Target="https://vanillabonds.com/dossier-data/pdf/katjes/katjes-h1-2026-interim-report.pdf#page=21" TargetMode="External" Id="rId1062"/><Relationship Type="http://schemas.openxmlformats.org/officeDocument/2006/relationships/hyperlink" Target="https://vanillabonds.com/dossier-data/pdf/katjes/katjes-h1-2026-interim-report.pdf#page=49" TargetMode="External" Id="rId1063"/><Relationship Type="http://schemas.openxmlformats.org/officeDocument/2006/relationships/hyperlink" Target="https://vanillabonds.com/dossier-data/pdf/katjes/katjes-h1-2026-interim-report.pdf#page=29" TargetMode="External" Id="rId1064"/><Relationship Type="http://schemas.openxmlformats.org/officeDocument/2006/relationships/hyperlink" Target="https://vanillabonds.com/dossier-data/pdf/katjes/katjes-h1-2026-interim-report.pdf#page=29" TargetMode="External" Id="rId1065"/><Relationship Type="http://schemas.openxmlformats.org/officeDocument/2006/relationships/hyperlink" Target="https://vanillabonds.com/dossier-data/pdf/katjes/katjes-h1-2026-interim-report.pdf#page=23" TargetMode="External" Id="rId1066"/><Relationship Type="http://schemas.openxmlformats.org/officeDocument/2006/relationships/hyperlink" Target="https://vanillabonds.com/dossier-data/pdf/katjes/katjes-h1-2026-interim-report.pdf#page=23" TargetMode="External" Id="rId1067"/><Relationship Type="http://schemas.openxmlformats.org/officeDocument/2006/relationships/hyperlink" Target="https://vanillabonds.com/dossier-data/pdf/katjes/katjes-h1-2026-interim-report.pdf#page=29" TargetMode="External" Id="rId1068"/><Relationship Type="http://schemas.openxmlformats.org/officeDocument/2006/relationships/hyperlink" Target="https://vanillabonds.com/dossier-data/pdf/katjes/katjes-h1-2026-interim-report.pdf#page=29" TargetMode="External" Id="rId1069"/><Relationship Type="http://schemas.openxmlformats.org/officeDocument/2006/relationships/hyperlink" Target="https://vanillabonds.com/dossier-data/pdf/katjes/katjes-h1-2026-interim-report.pdf#page=29" TargetMode="External" Id="rId1070"/><Relationship Type="http://schemas.openxmlformats.org/officeDocument/2006/relationships/hyperlink" Target="https://vanillabonds.com/dossier-data/pdf/katjes/katjes-h1-2026-interim-report.pdf#page=29" TargetMode="External" Id="rId1071"/><Relationship Type="http://schemas.openxmlformats.org/officeDocument/2006/relationships/hyperlink" Target="https://vanillabonds.com/dossier-data/pdf/katjes/katjes-h1-2026-interim-report.pdf#page=34" TargetMode="External" Id="rId1072"/><Relationship Type="http://schemas.openxmlformats.org/officeDocument/2006/relationships/hyperlink" Target="https://vanillabonds.com/dossier-data/pdf/katjes/katjes-h1-2026-interim-report.pdf#page=34" TargetMode="External" Id="rId1073"/><Relationship Type="http://schemas.openxmlformats.org/officeDocument/2006/relationships/hyperlink" Target="https://vanillabonds.com/dossier-data/pdf/katjes/katjes-h1-2026-interim-report.pdf#page=23" TargetMode="External" Id="rId1074"/><Relationship Type="http://schemas.openxmlformats.org/officeDocument/2006/relationships/hyperlink" Target="https://vanillabonds.com/dossier-data/pdf/katjes/katjes-h1-2026-interim-report.pdf#page=23" TargetMode="External" Id="rId1075"/><Relationship Type="http://schemas.openxmlformats.org/officeDocument/2006/relationships/hyperlink" Target="https://vanillabonds.com/dossier-data/pdf/katjes/katjes-h1-2026-interim-report.pdf#page=34" TargetMode="External" Id="rId1076"/><Relationship Type="http://schemas.openxmlformats.org/officeDocument/2006/relationships/hyperlink" Target="https://vanillabonds.com/dossier-data/pdf/katjes/katjes-h1-2026-interim-report.pdf#page=34" TargetMode="External" Id="rId1077"/><Relationship Type="http://schemas.openxmlformats.org/officeDocument/2006/relationships/hyperlink" Target="https://vanillabonds.com/dossier-data/pdf/katjes/katjes-h1-2026-interim-report.pdf#page=34" TargetMode="External" Id="rId1078"/><Relationship Type="http://schemas.openxmlformats.org/officeDocument/2006/relationships/hyperlink" Target="https://vanillabonds.com/dossier-data/pdf/katjes/katjes-h1-2026-interim-report.pdf#page=34" TargetMode="External" Id="rId1079"/><Relationship Type="http://schemas.openxmlformats.org/officeDocument/2006/relationships/hyperlink" Target="https://vanillabonds.com/dossier-data/pdf/katjes/katjes-h1-2026-interim-report.pdf#page=31" TargetMode="External" Id="rId1080"/><Relationship Type="http://schemas.openxmlformats.org/officeDocument/2006/relationships/hyperlink" Target="https://vanillabonds.com/dossier-data/pdf/katjes/katjes-h1-2026-interim-report.pdf#page=34" TargetMode="External" Id="rId1081"/><Relationship Type="http://schemas.openxmlformats.org/officeDocument/2006/relationships/hyperlink" Target="https://vanillabonds.com/dossier-data/pdf/katjes/katjes-h1-2026-interim-report.pdf#page=31" TargetMode="External" Id="rId1082"/><Relationship Type="http://schemas.openxmlformats.org/officeDocument/2006/relationships/hyperlink" Target="https://vanillabonds.com/dossier-data/pdf/katjes/katjes-h1-2026-interim-report.pdf#page=42" TargetMode="External" Id="rId1083"/><Relationship Type="http://schemas.openxmlformats.org/officeDocument/2006/relationships/hyperlink" Target="https://vanillabonds.com/dossier-data/pdf/katjes/katjes-h1-2026-interim-report.pdf#page=41" TargetMode="External" Id="rId1084"/><Relationship Type="http://schemas.openxmlformats.org/officeDocument/2006/relationships/hyperlink" Target="https://vanillabonds.com/dossier-data/pdf/katjes/katjes-h1-2026-interim-report.pdf#page=41" TargetMode="External" Id="rId1085"/><Relationship Type="http://schemas.openxmlformats.org/officeDocument/2006/relationships/hyperlink" Target="https://vanillabonds.com/dossier-data/pdf/katjes/katjes-h1-2026-interim-report.pdf#page=32" TargetMode="External" Id="rId1086"/><Relationship Type="http://schemas.openxmlformats.org/officeDocument/2006/relationships/hyperlink" Target="https://vanillabonds.com/dossier-data/pdf/katjes/katjes-h1-2026-interim-report.pdf#page=33" TargetMode="External" Id="rId1087"/><Relationship Type="http://schemas.openxmlformats.org/officeDocument/2006/relationships/hyperlink" Target="https://vanillabonds.com/dossier-data/pdf/katjes/katjes-h1-2026-interim-report.pdf#page=32" TargetMode="External" Id="rId1088"/><Relationship Type="http://schemas.openxmlformats.org/officeDocument/2006/relationships/hyperlink" Target="https://vanillabonds.com/dossier-data/pdf/katjes/katjes-h1-2026-interim-report.pdf#page=31" TargetMode="External" Id="rId1089"/><Relationship Type="http://schemas.openxmlformats.org/officeDocument/2006/relationships/hyperlink" Target="https://vanillabonds.com/dossier-data/pdf/katjes/katjes-h1-2026-interim-report.pdf#page=31" TargetMode="External" Id="rId1090"/><Relationship Type="http://schemas.openxmlformats.org/officeDocument/2006/relationships/hyperlink" Target="https://vanillabonds.com/dossier-data/pdf/katjes/katjes-h1-2026-interim-report.pdf#page=21" TargetMode="External" Id="rId1091"/><Relationship Type="http://schemas.openxmlformats.org/officeDocument/2006/relationships/hyperlink" Target="https://vanillabonds.com/dossier-data/pdf/katjes/katjes-h1-2026-interim-report.pdf#page=25" TargetMode="External" Id="rId1092"/><Relationship Type="http://schemas.openxmlformats.org/officeDocument/2006/relationships/hyperlink" Target="https://vanillabonds.com/dossier-data/pdf/katjes/katjes-h1-2026-interim-report.pdf#page=42" TargetMode="External" Id="rId1093"/><Relationship Type="http://schemas.openxmlformats.org/officeDocument/2006/relationships/hyperlink" Target="https://vanillabonds.com/dossier-data/pdf/katjes/katjes-h1-2026-interim-report.pdf#page=42" TargetMode="External" Id="rId1094"/><Relationship Type="http://schemas.openxmlformats.org/officeDocument/2006/relationships/hyperlink" Target="https://vanillabonds.com/dossier-data/pdf/katjes/katjes-h1-2026-interim-report.pdf#page=22" TargetMode="External" Id="rId1095"/><Relationship Type="http://schemas.openxmlformats.org/officeDocument/2006/relationships/hyperlink" Target="https://vanillabonds.com/dossier-data/pdf/katjes/katjes-h1-2026-interim-report.pdf#page=23" TargetMode="External" Id="rId1096"/><Relationship Type="http://schemas.openxmlformats.org/officeDocument/2006/relationships/hyperlink" Target="https://vanillabonds.com/dossier-data/pdf/katjes/katjes-h1-2026-interim-report.pdf#page=23" TargetMode="External" Id="rId1097"/><Relationship Type="http://schemas.openxmlformats.org/officeDocument/2006/relationships/hyperlink" Target="https://vanillabonds.com/dossier-data/pdf/katjes/katjes-h1-2026-interim-report.pdf#page=26" TargetMode="External" Id="rId1098"/><Relationship Type="http://schemas.openxmlformats.org/officeDocument/2006/relationships/hyperlink" Target="https://vanillabonds.com/dossier-data/pdf/katjes/katjes-h1-2026-interim-report.pdf#page=26" TargetMode="External" Id="rId1099"/><Relationship Type="http://schemas.openxmlformats.org/officeDocument/2006/relationships/hyperlink" Target="https://vanillabonds.com/dossier-data/pdf/katjes/katjes-h1-2026-interim-report.pdf#page=41" TargetMode="External" Id="rId1100"/><Relationship Type="http://schemas.openxmlformats.org/officeDocument/2006/relationships/hyperlink" Target="https://vanillabonds.com/dossier-data/pdf/katjes/katjes-h1-2026-interim-report.pdf#page=6" TargetMode="External" Id="rId1101"/><Relationship Type="http://schemas.openxmlformats.org/officeDocument/2006/relationships/hyperlink" Target="https://vanillabonds.com/dossier-data/pdf/katjes/katjes-h1-2026-interim-report.pdf#page=6" TargetMode="External" Id="rId1102"/><Relationship Type="http://schemas.openxmlformats.org/officeDocument/2006/relationships/hyperlink" Target="https://vanillabonds.com/dossier-data/pdf/katjes/katjes-h1-2026-interim-report.pdf#page=6" TargetMode="External" Id="rId1103"/><Relationship Type="http://schemas.openxmlformats.org/officeDocument/2006/relationships/hyperlink" Target="https://vanillabonds.com/dossier-data/pdf/katjes/katjes-h1-2026-interim-report.pdf#page=5" TargetMode="External" Id="rId1104"/><Relationship Type="http://schemas.openxmlformats.org/officeDocument/2006/relationships/hyperlink" Target="https://vanillabonds.com/dossier-data/pdf/katjes/katjes-h1-2026-interim-report.pdf#page=17" TargetMode="External" Id="rId1105"/><Relationship Type="http://schemas.openxmlformats.org/officeDocument/2006/relationships/hyperlink" Target="https://vanillabonds.com/dossier-data/pdf/katjes/katjes-h1-2026-interim-report.pdf#page=18" TargetMode="External" Id="rId1106"/><Relationship Type="http://schemas.openxmlformats.org/officeDocument/2006/relationships/hyperlink" Target="https://vanillabonds.com/dossier-data/pdf/katjes/katjes-h1-2026-interim-report.pdf#page=18" TargetMode="External" Id="rId1107"/><Relationship Type="http://schemas.openxmlformats.org/officeDocument/2006/relationships/hyperlink" Target="https://vanillabonds.com/dossier-data/pdf/katjes/katjes-h1-2026-interim-report.pdf#page=18" TargetMode="External" Id="rId1108"/><Relationship Type="http://schemas.openxmlformats.org/officeDocument/2006/relationships/hyperlink" Target="https://vanillabonds.com/dossier-data/pdf/katjes/katjes-h1-2026-interim-report.pdf#page=18" TargetMode="External" Id="rId1109"/><Relationship Type="http://schemas.openxmlformats.org/officeDocument/2006/relationships/hyperlink" Target="https://vanillabonds.com/dossier-data/pdf/katjes/katjes-h1-2026-interim-report.pdf#page=18" TargetMode="External" Id="rId1110"/><Relationship Type="http://schemas.openxmlformats.org/officeDocument/2006/relationships/hyperlink" Target="https://vanillabonds.com/dossier-data/pdf/katjes/katjes-h1-2026-interim-report.pdf#page=18" TargetMode="External" Id="rId1111"/><Relationship Type="http://schemas.openxmlformats.org/officeDocument/2006/relationships/hyperlink" Target="https://vanillabonds.com/dossier-data/pdf/katjes/katjes-h1-2026-interim-report.pdf#page=21" TargetMode="External" Id="rId1112"/><Relationship Type="http://schemas.openxmlformats.org/officeDocument/2006/relationships/hyperlink" Target="https://vanillabonds.com/dossier-data/pdf/katjes/katjes-h1-2026-interim-report.pdf#page=38" TargetMode="External" Id="rId1113"/><Relationship Type="http://schemas.openxmlformats.org/officeDocument/2006/relationships/hyperlink" Target="https://vanillabonds.com/dossier-data/pdf/katjes/katjes-h1-2026-interim-report.pdf#page=39" TargetMode="External" Id="rId1114"/><Relationship Type="http://schemas.openxmlformats.org/officeDocument/2006/relationships/hyperlink" Target="https://vanillabonds.com/dossier-data/pdf/katjes/katjes-h1-2026-interim-report.pdf#page=6" TargetMode="External" Id="rId1115"/><Relationship Type="http://schemas.openxmlformats.org/officeDocument/2006/relationships/hyperlink" Target="https://vanillabonds.com/dossier-data/pdf/katjes/katjes-h1-2026-interim-report.pdf#page=17" TargetMode="External" Id="rId1116"/><Relationship Type="http://schemas.openxmlformats.org/officeDocument/2006/relationships/hyperlink" Target="https://vanillabonds.com/dossier-data/pdf/katjes/katjes-h1-2026-interim-report.pdf#page=18" TargetMode="External" Id="rId1117"/><Relationship Type="http://schemas.openxmlformats.org/officeDocument/2006/relationships/hyperlink" Target="https://vanillabonds.com/dossier-data/pdf/katjes/katjes-h1-2026-interim-report.pdf#page=48" TargetMode="External" Id="rId1118"/><Relationship Type="http://schemas.openxmlformats.org/officeDocument/2006/relationships/hyperlink" Target="https://vanillabonds.com/dossier-data/pdf/katjes/katjes-h1-2026-interim-report.pdf#page=48" TargetMode="External" Id="rId1119"/><Relationship Type="http://schemas.openxmlformats.org/officeDocument/2006/relationships/hyperlink" Target="https://vanillabonds.com/dossier-data/pdf/katjes/katjes-h1-2026-interim-report.pdf#page=48" TargetMode="External" Id="rId1120"/><Relationship Type="http://schemas.openxmlformats.org/officeDocument/2006/relationships/hyperlink" Target="https://vanillabonds.com/dossier-data/pdf/katjes/katjes-h1-2026-interim-report.pdf#page=18" TargetMode="External" Id="rId1121"/><Relationship Type="http://schemas.openxmlformats.org/officeDocument/2006/relationships/hyperlink" Target="https://vanillabonds.com/dossier-data/pdf/katjes/katjes-h1-2026-interim-report.pdf#page=45" TargetMode="External" Id="rId1122"/><Relationship Type="http://schemas.openxmlformats.org/officeDocument/2006/relationships/hyperlink" Target="https://vanillabonds.com/dossier-data/pdf/katjes/katjes-h1-2026-interim-report.pdf#page=15" TargetMode="External" Id="rId1123"/><Relationship Type="http://schemas.openxmlformats.org/officeDocument/2006/relationships/hyperlink" Target="https://vanillabonds.com/dossier-data/pdf/katjes/katjes-h1-2026-interim-report.pdf#page=19" TargetMode="External" Id="rId1124"/><Relationship Type="http://schemas.openxmlformats.org/officeDocument/2006/relationships/hyperlink" Target="https://vanillabonds.com/dossier-data/pdf/katjes/katjes-h1-2026-interim-report.pdf#page=19" TargetMode="External" Id="rId1125"/><Relationship Type="http://schemas.openxmlformats.org/officeDocument/2006/relationships/hyperlink" Target="https://vanillabonds.com/dossier-data/pdf/katjes/katjes-h1-2026-interim-report.pdf#page=19" TargetMode="External" Id="rId1126"/><Relationship Type="http://schemas.openxmlformats.org/officeDocument/2006/relationships/hyperlink" Target="https://vanillabonds.com/dossier-data/pdf/katjes/katjes-h1-2026-interim-report.pdf#page=22" TargetMode="External" Id="rId1127"/><Relationship Type="http://schemas.openxmlformats.org/officeDocument/2006/relationships/hyperlink" Target="https://vanillabonds.com/dossier-data/pdf/katjes/katjes-h1-2026-interim-report.pdf#page=25" TargetMode="External" Id="rId1128"/><Relationship Type="http://schemas.openxmlformats.org/officeDocument/2006/relationships/hyperlink" Target="https://vanillabonds.com/dossier-data/pdf/katjes/katjes-h1-2026-interim-report.pdf#page=25" TargetMode="External" Id="rId1129"/><Relationship Type="http://schemas.openxmlformats.org/officeDocument/2006/relationships/hyperlink" Target="https://vanillabonds.com/dossier-data/pdf/katjes/katjes-h1-2026-interim-report.pdf#page=38" TargetMode="External" Id="rId1130"/><Relationship Type="http://schemas.openxmlformats.org/officeDocument/2006/relationships/hyperlink" Target="https://vanillabonds.com/dossier-data/pdf/katjes/katjes-h1-2026-interim-report.pdf#page=38" TargetMode="External" Id="rId1131"/><Relationship Type="http://schemas.openxmlformats.org/officeDocument/2006/relationships/hyperlink" Target="https://vanillabonds.com/dossier-data/pdf/katjes/katjes-h1-2026-interim-report.pdf#page=50" TargetMode="External" Id="rId1132"/><Relationship Type="http://schemas.openxmlformats.org/officeDocument/2006/relationships/hyperlink" Target="https://vanillabonds.com/dossier-data/pdf/katjes/katjes-h1-2026-interim-report.pdf#page=50" TargetMode="External" Id="rId1133"/><Relationship Type="http://schemas.openxmlformats.org/officeDocument/2006/relationships/hyperlink" Target="https://vanillabonds.com/dossier-data/pdf/katjes/katjes-h1-2026-interim-report.pdf#page=50" TargetMode="External" Id="rId1134"/><Relationship Type="http://schemas.openxmlformats.org/officeDocument/2006/relationships/hyperlink" Target="https://vanillabonds.com/dossier-data/pdf/katjes/katjes-h1-2026-interim-report.pdf#page=50" TargetMode="External" Id="rId1135"/><Relationship Type="http://schemas.openxmlformats.org/officeDocument/2006/relationships/hyperlink" Target="https://vanillabonds.com/dossier-data/pdf/katjes/katjes-h1-2026-interim-report.pdf#page=50" TargetMode="External" Id="rId1136"/><Relationship Type="http://schemas.openxmlformats.org/officeDocument/2006/relationships/hyperlink" Target="https://vanillabonds.com/dossier-data/pdf/katjes/katjes-h1-2026-interim-report.pdf#page=50" TargetMode="External" Id="rId1137"/><Relationship Type="http://schemas.openxmlformats.org/officeDocument/2006/relationships/hyperlink" Target="https://vanillabonds.com/dossier-data/pdf/katjes/katjes-h1-2026-interim-report.pdf#page=50" TargetMode="External" Id="rId1138"/><Relationship Type="http://schemas.openxmlformats.org/officeDocument/2006/relationships/hyperlink" Target="https://vanillabonds.com/dossier-data/pdf/katjes/katjes-h1-2026-interim-report.pdf#page=51" TargetMode="External" Id="rId1139"/><Relationship Type="http://schemas.openxmlformats.org/officeDocument/2006/relationships/hyperlink" Target="https://vanillabonds.com/dossier-data/pdf/katjes/katjes-h1-2026-interim-report.pdf#page=51" TargetMode="External" Id="rId1140"/><Relationship Type="http://schemas.openxmlformats.org/officeDocument/2006/relationships/hyperlink" Target="https://vanillabonds.com/dossier-data/pdf/katjes/katjes-h1-2026-interim-report.pdf#page=51" TargetMode="External" Id="rId1141"/><Relationship Type="http://schemas.openxmlformats.org/officeDocument/2006/relationships/hyperlink" Target="https://vanillabonds.com/dossier-data/pdf/katjes/katjes-h1-2026-interim-report.pdf#page=51" TargetMode="External" Id="rId1142"/><Relationship Type="http://schemas.openxmlformats.org/officeDocument/2006/relationships/hyperlink" Target="https://vanillabonds.com/dossier-data/pdf/katjes/katjes-h1-2026-interim-report.pdf#page=51" TargetMode="External" Id="rId1143"/><Relationship Type="http://schemas.openxmlformats.org/officeDocument/2006/relationships/hyperlink" Target="https://vanillabonds.com/dossier-data/pdf/katjes/katjes-h1-2026-interim-report.pdf#page=51" TargetMode="External" Id="rId1144"/><Relationship Type="http://schemas.openxmlformats.org/officeDocument/2006/relationships/hyperlink" Target="https://vanillabonds.com/dossier-data/pdf/katjes/katjes-h1-2026-interim-report.pdf#page=51" TargetMode="External" Id="rId1145"/><Relationship Type="http://schemas.openxmlformats.org/officeDocument/2006/relationships/hyperlink" Target="https://vanillabonds.com/dossier-data/pdf/katjes/katjes-h1-2026-interim-report.pdf#page=51" TargetMode="External" Id="rId1146"/><Relationship Type="http://schemas.openxmlformats.org/officeDocument/2006/relationships/hyperlink" Target="https://vanillabonds.com/dossier-data/pdf/katjes/katjes-h1-2026-interim-report.pdf#page=51" TargetMode="External" Id="rId1147"/><Relationship Type="http://schemas.openxmlformats.org/officeDocument/2006/relationships/hyperlink" Target="https://vanillabonds.com/dossier-data/pdf/katjes/katjes-h1-2026-interim-report.pdf#page=51" TargetMode="External" Id="rId1148"/><Relationship Type="http://schemas.openxmlformats.org/officeDocument/2006/relationships/hyperlink" Target="https://vanillabonds.com/dossier-data/pdf/katjes/katjes-h1-2026-interim-report.pdf#page=51" TargetMode="External" Id="rId1149"/><Relationship Type="http://schemas.openxmlformats.org/officeDocument/2006/relationships/hyperlink" Target="https://vanillabonds.com/dossier-data/pdf/katjes/katjes-h1-2026-interim-report.pdf#page=51" TargetMode="External" Id="rId1150"/><Relationship Type="http://schemas.openxmlformats.org/officeDocument/2006/relationships/hyperlink" Target="https://vanillabonds.com/dossier-data/pdf/katjes/katjes-h1-2026-interim-report.pdf#page=51" TargetMode="External" Id="rId1151"/><Relationship Type="http://schemas.openxmlformats.org/officeDocument/2006/relationships/hyperlink" Target="https://vanillabonds.com/dossier-data/pdf/katjes/katjes-h1-2026-interim-report.pdf#page=51" TargetMode="External" Id="rId1152"/><Relationship Type="http://schemas.openxmlformats.org/officeDocument/2006/relationships/hyperlink" Target="https://vanillabonds.com/dossier-data/pdf/katjes/katjes-h1-2026-interim-report.pdf#page=51" TargetMode="External" Id="rId1153"/><Relationship Type="http://schemas.openxmlformats.org/officeDocument/2006/relationships/hyperlink" Target="https://vanillabonds.com/dossier-data/pdf/katjes/katjes-h1-2026-interim-report.pdf#page=6" TargetMode="External" Id="rId1154"/><Relationship Type="http://schemas.openxmlformats.org/officeDocument/2006/relationships/hyperlink" Target="https://vanillabonds.com/dossier-data/pdf/katjes/katjes-h1-2026-interim-report.pdf#page=6" TargetMode="External" Id="rId1155"/><Relationship Type="http://schemas.openxmlformats.org/officeDocument/2006/relationships/hyperlink" Target="https://vanillabonds.com/dossier-data/pdf/katjes/katjes-h1-2026-interim-report.pdf#page=6" TargetMode="External" Id="rId1156"/><Relationship Type="http://schemas.openxmlformats.org/officeDocument/2006/relationships/hyperlink" Target="https://vanillabonds.com/dossier-data/pdf/katjes/katjes-h1-2026-interim-report.pdf#page=48" TargetMode="External" Id="rId1157"/><Relationship Type="http://schemas.openxmlformats.org/officeDocument/2006/relationships/hyperlink" Target="https://vanillabonds.com/dossier-data/pdf/katjes/katjes-h1-2026-interim-report.pdf#page=48" TargetMode="External" Id="rId1158"/><Relationship Type="http://schemas.openxmlformats.org/officeDocument/2006/relationships/hyperlink" Target="https://vanillabonds.com/dossier-data/pdf/katjes/katjes-h1-2026-interim-report.pdf#page=48" TargetMode="External" Id="rId1159"/><Relationship Type="http://schemas.openxmlformats.org/officeDocument/2006/relationships/hyperlink" Target="https://vanillabonds.com/dossier-data/pdf/katjes/katjes-h1-2026-interim-report.pdf#page=48" TargetMode="External" Id="rId1160"/><Relationship Type="http://schemas.openxmlformats.org/officeDocument/2006/relationships/hyperlink" Target="https://vanillabonds.com/dossier-data/pdf/katjes/katjes-h1-2026-interim-report.pdf#page=48" TargetMode="External" Id="rId1161"/><Relationship Type="http://schemas.openxmlformats.org/officeDocument/2006/relationships/hyperlink" Target="https://vanillabonds.com/dossier-data/pdf/katjes/katjes-h1-2026-interim-report.pdf#page=48" TargetMode="External" Id="rId1162"/><Relationship Type="http://schemas.openxmlformats.org/officeDocument/2006/relationships/hyperlink" Target="https://vanillabonds.com/dossier-data/pdf/katjes/katjes-h1-2026-interim-report.pdf#page=48" TargetMode="External" Id="rId1163"/><Relationship Type="http://schemas.openxmlformats.org/officeDocument/2006/relationships/hyperlink" Target="https://vanillabonds.com/dossier-data/pdf/katjes/katjes-h1-2026-interim-report.pdf#page=19" TargetMode="External" Id="rId1164"/><Relationship Type="http://schemas.openxmlformats.org/officeDocument/2006/relationships/hyperlink" Target="https://vanillabonds.com/dossier-data/pdf/katjes/katjes-h1-2026-interim-report.pdf#page=19" TargetMode="External" Id="rId1165"/><Relationship Type="http://schemas.openxmlformats.org/officeDocument/2006/relationships/hyperlink" Target="https://vanillabonds.com/dossier-data/pdf/katjes/katjes-h1-2026-interim-report.pdf#page=19" TargetMode="External" Id="rId1166"/><Relationship Type="http://schemas.openxmlformats.org/officeDocument/2006/relationships/hyperlink" Target="https://vanillabonds.com/dossier-data/pdf/katjes/katjes-h1-2026-interim-report.pdf#page=19" TargetMode="External" Id="rId1167"/><Relationship Type="http://schemas.openxmlformats.org/officeDocument/2006/relationships/hyperlink" Target="https://vanillabonds.com/dossier-data/pdf/katjes/katjes-h1-2026-interim-report.pdf#page=19" TargetMode="External" Id="rId1168"/><Relationship Type="http://schemas.openxmlformats.org/officeDocument/2006/relationships/hyperlink" Target="https://vanillabonds.com/dossier-data/pdf/katjes/katjes-h1-2026-interim-report.pdf#page=19" TargetMode="External" Id="rId1169"/><Relationship Type="http://schemas.openxmlformats.org/officeDocument/2006/relationships/hyperlink" Target="https://vanillabonds.com/dossier-data/pdf/katjes/katjes-h1-2026-interim-report.pdf#page=19" TargetMode="External" Id="rId1170"/><Relationship Type="http://schemas.openxmlformats.org/officeDocument/2006/relationships/hyperlink" Target="https://vanillabonds.com/dossier-data/pdf/katjes/katjes-h1-2026-interim-report.pdf#page=19" TargetMode="External" Id="rId1171"/><Relationship Type="http://schemas.openxmlformats.org/officeDocument/2006/relationships/hyperlink" Target="https://vanillabonds.com/dossier-data/pdf/katjes/katjes-h1-2026-interim-report.pdf#page=19" TargetMode="External" Id="rId1172"/><Relationship Type="http://schemas.openxmlformats.org/officeDocument/2006/relationships/hyperlink" Target="https://vanillabonds.com/dossier-data/pdf/katjes/katjes-h1-2026-interim-report.pdf#page=19" TargetMode="External" Id="rId1173"/><Relationship Type="http://schemas.openxmlformats.org/officeDocument/2006/relationships/hyperlink" Target="https://vanillabonds.com/dossier-data/pdf/katjes/katjes-h1-2026-interim-report.pdf#page=20" TargetMode="External" Id="rId1174"/><Relationship Type="http://schemas.openxmlformats.org/officeDocument/2006/relationships/hyperlink" Target="https://vanillabonds.com/dossier-data/pdf/katjes/katjes-h1-2026-interim-report.pdf#page=20" TargetMode="External" Id="rId1175"/><Relationship Type="http://schemas.openxmlformats.org/officeDocument/2006/relationships/hyperlink" Target="https://vanillabonds.com/dossier-data/pdf/katjes/katjes-h1-2026-interim-report.pdf#page=20" TargetMode="External" Id="rId1176"/><Relationship Type="http://schemas.openxmlformats.org/officeDocument/2006/relationships/hyperlink" Target="https://vanillabonds.com/dossier-data/pdf/katjes/katjes-h1-2026-interim-report.pdf#page=37" TargetMode="External" Id="rId1177"/><Relationship Type="http://schemas.openxmlformats.org/officeDocument/2006/relationships/hyperlink" Target="https://vanillabonds.com/dossier-data/pdf/katjes/katjes-h1-2026-interim-report.pdf#page=9" TargetMode="External" Id="rId1178"/><Relationship Type="http://schemas.openxmlformats.org/officeDocument/2006/relationships/hyperlink" Target="https://vanillabonds.com/dossier-data/pdf/katjes/katjes-h1-2026-interim-report.pdf#page=12" TargetMode="External" Id="rId1179"/><Relationship Type="http://schemas.openxmlformats.org/officeDocument/2006/relationships/hyperlink" Target="https://vanillabonds.com/dossier-data/pdf/katjes/katjes-h1-2026-interim-report.pdf#page=23" TargetMode="External" Id="rId1180"/><Relationship Type="http://schemas.openxmlformats.org/officeDocument/2006/relationships/hyperlink" Target="https://vanillabonds.com/dossier-data/pdf/katjes/katjes-h1-2026-interim-report.pdf#page=23" TargetMode="External" Id="rId1181"/><Relationship Type="http://schemas.openxmlformats.org/officeDocument/2006/relationships/hyperlink" Target="https://vanillabonds.com/dossier-data/pdf/katjes/katjes-h1-2026-interim-report.pdf#page=23" TargetMode="External" Id="rId1182"/><Relationship Type="http://schemas.openxmlformats.org/officeDocument/2006/relationships/hyperlink" Target="https://vanillabonds.com/dossier-data/pdf/katjes/katjes-h1-2026-interim-report.pdf#page=38" TargetMode="External" Id="rId1183"/><Relationship Type="http://schemas.openxmlformats.org/officeDocument/2006/relationships/hyperlink" Target="https://vanillabonds.com/dossier-data/pdf/katjes/katjes-h1-2026-interim-report.pdf#page=39" TargetMode="External" Id="rId1184"/><Relationship Type="http://schemas.openxmlformats.org/officeDocument/2006/relationships/hyperlink" Target="https://vanillabonds.com/dossier-data/pdf/katjes/katjes-h1-2026-interim-report.pdf#page=41" TargetMode="External" Id="rId1185"/><Relationship Type="http://schemas.openxmlformats.org/officeDocument/2006/relationships/hyperlink" Target="https://vanillabonds.com/dossier-data/pdf/katjes/katjes-h1-2026-interim-report.pdf#page=25" TargetMode="External" Id="rId1186"/><Relationship Type="http://schemas.openxmlformats.org/officeDocument/2006/relationships/hyperlink" Target="https://vanillabonds.com/dossier-data/pdf/katjes/katjes-h1-2026-interim-report.pdf#page=25" TargetMode="External" Id="rId1187"/><Relationship Type="http://schemas.openxmlformats.org/officeDocument/2006/relationships/hyperlink" Target="https://vanillabonds.com/dossier-data/pdf/katjes/katjes-h1-2026-interim-report.pdf#page=25" TargetMode="External" Id="rId1188"/><Relationship Type="http://schemas.openxmlformats.org/officeDocument/2006/relationships/hyperlink" Target="https://vanillabonds.com/dossier-data/pdf/katjes/katjes-h1-2026-interim-report.pdf#page=47" TargetMode="External" Id="rId1189"/><Relationship Type="http://schemas.openxmlformats.org/officeDocument/2006/relationships/hyperlink" Target="https://vanillabonds.com/dossier-data/pdf/katjes/katjes-h1-2026-interim-report.pdf#page=49" TargetMode="External" Id="rId1190"/><Relationship Type="http://schemas.openxmlformats.org/officeDocument/2006/relationships/hyperlink" Target="https://vanillabonds.com/dossier-data/pdf/katjes/katjes-h1-2026-interim-report.pdf#page=25" TargetMode="External" Id="rId1191"/><Relationship Type="http://schemas.openxmlformats.org/officeDocument/2006/relationships/hyperlink" Target="https://vanillabonds.com/dossier-data/pdf/katjes/katjes-h1-2026-interim-report.pdf#page=40" TargetMode="External" Id="rId1192"/><Relationship Type="http://schemas.openxmlformats.org/officeDocument/2006/relationships/hyperlink" Target="https://vanillabonds.com/dossier-data/pdf/katjes/katjes-h1-2026-interim-report.pdf#page=46" TargetMode="External" Id="rId1193"/><Relationship Type="http://schemas.openxmlformats.org/officeDocument/2006/relationships/hyperlink" Target="https://vanillabonds.com/dossier-data/pdf/katjes/katjes-h1-2026-interim-report.pdf#page=46" TargetMode="External" Id="rId1194"/><Relationship Type="http://schemas.openxmlformats.org/officeDocument/2006/relationships/hyperlink" Target="https://vanillabonds.com/dossier-data/pdf/katjes/katjes-h1-2026-interim-report.pdf#page=46" TargetMode="External" Id="rId1195"/><Relationship Type="http://schemas.openxmlformats.org/officeDocument/2006/relationships/hyperlink" Target="https://vanillabonds.com/dossier-data/pdf/katjes/katjes-h1-2026-interim-report.pdf#page=46" TargetMode="External" Id="rId1196"/><Relationship Type="http://schemas.openxmlformats.org/officeDocument/2006/relationships/hyperlink" Target="https://vanillabonds.com/dossier-data/pdf/katjes/katjes-h1-2026-interim-report.pdf#page=46" TargetMode="External" Id="rId1197"/><Relationship Type="http://schemas.openxmlformats.org/officeDocument/2006/relationships/hyperlink" Target="https://vanillabonds.com/dossier-data/pdf/katjes/katjes-h1-2026-interim-report.pdf#page=46" TargetMode="External" Id="rId1198"/><Relationship Type="http://schemas.openxmlformats.org/officeDocument/2006/relationships/hyperlink" Target="https://vanillabonds.com/dossier-data/pdf/katjes/katjes-h1-2026-interim-report.pdf#page=46" TargetMode="External" Id="rId1199"/><Relationship Type="http://schemas.openxmlformats.org/officeDocument/2006/relationships/hyperlink" Target="https://vanillabonds.com/dossier-data/pdf/katjes/katjes-h1-2026-interim-report.pdf#page=46" TargetMode="External" Id="rId1200"/><Relationship Type="http://schemas.openxmlformats.org/officeDocument/2006/relationships/hyperlink" Target="https://vanillabonds.com/dossier-data/pdf/katjes/katjes-h1-2026-interim-report.pdf#page=45" TargetMode="External" Id="rId1201"/><Relationship Type="http://schemas.openxmlformats.org/officeDocument/2006/relationships/hyperlink" Target="https://vanillabonds.com/dossier-data/pdf/katjes/katjes-h1-2026-interim-report.pdf#page=45" TargetMode="External" Id="rId1202"/><Relationship Type="http://schemas.openxmlformats.org/officeDocument/2006/relationships/hyperlink" Target="https://vanillabonds.com/dossier-data/pdf/katjes/katjes-h1-2026-interim-report.pdf#page=45" TargetMode="External" Id="rId1203"/><Relationship Type="http://schemas.openxmlformats.org/officeDocument/2006/relationships/hyperlink" Target="https://vanillabonds.com/dossier-data/pdf/katjes/katjes-h1-2026-interim-report.pdf#page=45" TargetMode="External" Id="rId1204"/><Relationship Type="http://schemas.openxmlformats.org/officeDocument/2006/relationships/hyperlink" Target="https://vanillabonds.com/dossier-data/pdf/katjes/katjes-h1-2026-interim-report.pdf#page=45" TargetMode="External" Id="rId1205"/><Relationship Type="http://schemas.openxmlformats.org/officeDocument/2006/relationships/hyperlink" Target="https://vanillabonds.com/dossier-data/pdf/katjes/katjes-h1-2026-interim-report.pdf#page=45" TargetMode="External" Id="rId1206"/><Relationship Type="http://schemas.openxmlformats.org/officeDocument/2006/relationships/hyperlink" Target="https://vanillabonds.com/dossier-data/pdf/katjes/katjes-h1-2026-interim-report.pdf#page=45" TargetMode="External" Id="rId1207"/><Relationship Type="http://schemas.openxmlformats.org/officeDocument/2006/relationships/hyperlink" Target="https://vanillabonds.com/dossier-data/pdf/katjes/katjes-h1-2026-interim-report.pdf#page=45" TargetMode="External" Id="rId1208"/><Relationship Type="http://schemas.openxmlformats.org/officeDocument/2006/relationships/hyperlink" Target="https://vanillabonds.com/dossier-data/pdf/katjes/katjes-h1-2026-interim-report.pdf#page=45" TargetMode="External" Id="rId1209"/><Relationship Type="http://schemas.openxmlformats.org/officeDocument/2006/relationships/hyperlink" Target="https://vanillabonds.com/dossier-data/pdf/katjes/katjes-h1-2026-interim-report.pdf#page=22" TargetMode="External" Id="rId1210"/><Relationship Type="http://schemas.openxmlformats.org/officeDocument/2006/relationships/hyperlink" Target="https://vanillabonds.com/dossier-data/pdf/katjes/katjes-h1-2026-interim-report.pdf#page=22" TargetMode="External" Id="rId1211"/><Relationship Type="http://schemas.openxmlformats.org/officeDocument/2006/relationships/hyperlink" Target="https://vanillabonds.com/dossier-data/pdf/katjes/katjes-h1-2026-interim-report.pdf#page=22" TargetMode="External" Id="rId1212"/><Relationship Type="http://schemas.openxmlformats.org/officeDocument/2006/relationships/hyperlink" Target="https://vanillabonds.com/dossier-data/pdf/katjes/katjes-h1-2026-interim-report.pdf#page=22" TargetMode="External" Id="rId1213"/><Relationship Type="http://schemas.openxmlformats.org/officeDocument/2006/relationships/hyperlink" Target="https://vanillabonds.com/dossier-data/pdf/katjes/katjes-h1-2026-interim-report.pdf#page=45" TargetMode="External" Id="rId1214"/><Relationship Type="http://schemas.openxmlformats.org/officeDocument/2006/relationships/hyperlink" Target="https://vanillabonds.com/dossier-data/pdf/katjes/katjes-h1-2026-interim-report.pdf#page=45" TargetMode="External" Id="rId1215"/><Relationship Type="http://schemas.openxmlformats.org/officeDocument/2006/relationships/hyperlink" Target="https://vanillabonds.com/dossier-data/pdf/katjes/katjes-h1-2026-interim-report.pdf#page=45" TargetMode="External" Id="rId1216"/><Relationship Type="http://schemas.openxmlformats.org/officeDocument/2006/relationships/hyperlink" Target="https://vanillabonds.com/dossier-data/pdf/katjes/katjes-h1-2026-interim-report.pdf#page=45" TargetMode="External" Id="rId1217"/><Relationship Type="http://schemas.openxmlformats.org/officeDocument/2006/relationships/hyperlink" Target="https://vanillabonds.com/dossier-data/pdf/katjes/katjes-h1-2026-interim-report.pdf#page=45" TargetMode="External" Id="rId1218"/><Relationship Type="http://schemas.openxmlformats.org/officeDocument/2006/relationships/hyperlink" Target="https://vanillabonds.com/dossier-data/pdf/katjes/katjes-h1-2026-interim-report.pdf#page=45" TargetMode="External" Id="rId1219"/><Relationship Type="http://schemas.openxmlformats.org/officeDocument/2006/relationships/hyperlink" Target="https://vanillabonds.com/dossier-data/pdf/katjes/katjes-h1-2026-interim-report.pdf#page=45" TargetMode="External" Id="rId1220"/><Relationship Type="http://schemas.openxmlformats.org/officeDocument/2006/relationships/hyperlink" Target="https://vanillabonds.com/dossier-data/pdf/katjes/katjes-h1-2026-interim-report.pdf#page=45" TargetMode="External" Id="rId1221"/><Relationship Type="http://schemas.openxmlformats.org/officeDocument/2006/relationships/hyperlink" Target="https://vanillabonds.com/dossier-data/pdf/katjes/katjes-h1-2026-interim-report.pdf#page=45" TargetMode="External" Id="rId1222"/><Relationship Type="http://schemas.openxmlformats.org/officeDocument/2006/relationships/hyperlink" Target="https://vanillabonds.com/dossier-data/pdf/katjes/katjes-h1-2026-interim-report.pdf#page=45" TargetMode="External" Id="rId1223"/><Relationship Type="http://schemas.openxmlformats.org/officeDocument/2006/relationships/hyperlink" Target="https://vanillabonds.com/dossier-data/pdf/katjes/katjes-h1-2026-interim-report.pdf#page=46" TargetMode="External" Id="rId1224"/><Relationship Type="http://schemas.openxmlformats.org/officeDocument/2006/relationships/hyperlink" Target="https://vanillabonds.com/dossier-data/pdf/katjes/katjes-h1-2026-interim-report.pdf#page=46" TargetMode="External" Id="rId1225"/><Relationship Type="http://schemas.openxmlformats.org/officeDocument/2006/relationships/hyperlink" Target="https://vanillabonds.com/dossier-data/pdf/katjes/katjes-h1-2026-interim-report.pdf#page=46" TargetMode="External" Id="rId1226"/><Relationship Type="http://schemas.openxmlformats.org/officeDocument/2006/relationships/hyperlink" Target="https://vanillabonds.com/dossier-data/pdf/katjes/katjes-h1-2026-interim-report.pdf#page=46" TargetMode="External" Id="rId1227"/><Relationship Type="http://schemas.openxmlformats.org/officeDocument/2006/relationships/hyperlink" Target="https://vanillabonds.com/dossier-data/pdf/katjes/katjes-h1-2026-interim-report.pdf#page=46" TargetMode="External" Id="rId1228"/><Relationship Type="http://schemas.openxmlformats.org/officeDocument/2006/relationships/hyperlink" Target="https://vanillabonds.com/dossier-data/pdf/katjes/katjes-h1-2026-interim-report.pdf#page=46" TargetMode="External" Id="rId1229"/><Relationship Type="http://schemas.openxmlformats.org/officeDocument/2006/relationships/hyperlink" Target="https://vanillabonds.com/dossier-data/pdf/katjes/katjes-h1-2026-interim-report.pdf#page=46" TargetMode="External" Id="rId1230"/><Relationship Type="http://schemas.openxmlformats.org/officeDocument/2006/relationships/hyperlink" Target="https://vanillabonds.com/dossier-data/pdf/katjes/katjes-h1-2026-interim-report.pdf#page=46" TargetMode="External" Id="rId1231"/><Relationship Type="http://schemas.openxmlformats.org/officeDocument/2006/relationships/hyperlink" Target="https://vanillabonds.com/dossier-data/pdf/katjes/katjes-h1-2026-interim-report.pdf#page=34" TargetMode="External" Id="rId1232"/><Relationship Type="http://schemas.openxmlformats.org/officeDocument/2006/relationships/hyperlink" Target="https://vanillabonds.com/dossier-data/pdf/katjes/katjes-h1-2026-interim-report.pdf#page=34" TargetMode="External" Id="rId1233"/><Relationship Type="http://schemas.openxmlformats.org/officeDocument/2006/relationships/hyperlink" Target="https://vanillabonds.com/dossier-data/pdf/katjes/katjes-h1-2026-interim-report.pdf#page=43" TargetMode="External" Id="rId1234"/><Relationship Type="http://schemas.openxmlformats.org/officeDocument/2006/relationships/hyperlink" Target="https://vanillabonds.com/dossier-data/pdf/katjes/katjes-h1-2026-interim-report.pdf#page=44" TargetMode="External" Id="rId1235"/><Relationship Type="http://schemas.openxmlformats.org/officeDocument/2006/relationships/hyperlink" Target="https://vanillabonds.com/dossier-data/pdf/katjes/katjes-h1-2026-interim-report.pdf#page=17" TargetMode="External" Id="rId1236"/><Relationship Type="http://schemas.openxmlformats.org/officeDocument/2006/relationships/hyperlink" Target="https://vanillabonds.com/dossier-data/pdf/katjes/katjes-h1-2026-interim-report.pdf#page=27" TargetMode="External" Id="rId1237"/><Relationship Type="http://schemas.openxmlformats.org/officeDocument/2006/relationships/hyperlink" Target="https://vanillabonds.com/dossier-data/pdf/katjes/katjes-h1-2026-interim-report.pdf#page=27" TargetMode="External" Id="rId1238"/><Relationship Type="http://schemas.openxmlformats.org/officeDocument/2006/relationships/hyperlink" Target="https://vanillabonds.com/dossier-data/pdf/katjes/katjes-h1-2026-interim-report.pdf#page=5" TargetMode="External" Id="rId1239"/><Relationship Type="http://schemas.openxmlformats.org/officeDocument/2006/relationships/hyperlink" Target="https://vanillabonds.com/dossier-data/pdf/katjes/katjes-h1-2026-interim-report.pdf#page=23" TargetMode="External" Id="rId1240"/><Relationship Type="http://schemas.openxmlformats.org/officeDocument/2006/relationships/hyperlink" Target="https://vanillabonds.com/dossier-data/pdf/katjes/katjes-h1-2026-interim-report.pdf#page=23" TargetMode="External" Id="rId1241"/><Relationship Type="http://schemas.openxmlformats.org/officeDocument/2006/relationships/hyperlink" Target="https://vanillabonds.com/dossier-data/pdf/katjes/katjes-h1-2026-interim-report.pdf#page=15" TargetMode="External" Id="rId1242"/><Relationship Type="http://schemas.openxmlformats.org/officeDocument/2006/relationships/hyperlink" Target="https://vanillabonds.com/dossier-data/pdf/katjes/katjes-h1-2026-interim-report.pdf#page=48" TargetMode="External" Id="rId1243"/><Relationship Type="http://schemas.openxmlformats.org/officeDocument/2006/relationships/hyperlink" Target="https://vanillabonds.com/dossier-data/pdf/katjes/katjes-h1-2026-interim-report.pdf#page=5" TargetMode="External" Id="rId1244"/><Relationship Type="http://schemas.openxmlformats.org/officeDocument/2006/relationships/hyperlink" Target="https://vanillabonds.com/dossier-data/pdf/katjes/katjes-h1-2026-interim-report.pdf#page=27" TargetMode="External" Id="rId1245"/><Relationship Type="http://schemas.openxmlformats.org/officeDocument/2006/relationships/hyperlink" Target="https://vanillabonds.com/dossier-data/pdf/katjes/katjes-h1-2026-interim-report.pdf#page=9" TargetMode="External" Id="rId1246"/><Relationship Type="http://schemas.openxmlformats.org/officeDocument/2006/relationships/hyperlink" Target="https://vanillabonds.com/dossier-data/pdf/katjes/katjes-h1-2026-interim-report.pdf#page=40" TargetMode="External" Id="rId1247"/><Relationship Type="http://schemas.openxmlformats.org/officeDocument/2006/relationships/hyperlink" Target="https://vanillabonds.com/dossier-data/pdf/katjes/katjes-h1-2026-interim-report.pdf#page=40" TargetMode="External" Id="rId1248"/><Relationship Type="http://schemas.openxmlformats.org/officeDocument/2006/relationships/hyperlink" Target="https://vanillabonds.com/dossier-data/pdf/katjes/katjes-h1-2026-interim-report.pdf#page=23" TargetMode="External" Id="rId1249"/><Relationship Type="http://schemas.openxmlformats.org/officeDocument/2006/relationships/hyperlink" Target="https://vanillabonds.com/dossier-data/pdf/katjes/katjes-h1-2026-interim-report.pdf#page=34" TargetMode="External" Id="rId1250"/><Relationship Type="http://schemas.openxmlformats.org/officeDocument/2006/relationships/hyperlink" Target="https://vanillabonds.com/dossier-data/pdf/katjes/katjes-h1-2026-interim-report.pdf#page=42" TargetMode="External" Id="rId1251"/><Relationship Type="http://schemas.openxmlformats.org/officeDocument/2006/relationships/hyperlink" Target="https://vanillabonds.com/dossier-data/pdf/katjes/katjes-2025-annual-report.pdf#page=68" TargetMode="External" Id="rId1252"/><Relationship Type="http://schemas.openxmlformats.org/officeDocument/2006/relationships/hyperlink" Target="https://vanillabonds.com/dossier-data/pdf/katjes/katjes-2025-annual-report.pdf#page=77" TargetMode="External" Id="rId1253"/><Relationship Type="http://schemas.openxmlformats.org/officeDocument/2006/relationships/hyperlink" Target="https://vanillabonds.com/dossier-data/pdf/katjes/katjes-2024-annual-report.pdf#page=38" TargetMode="External" Id="rId1254"/><Relationship Type="http://schemas.openxmlformats.org/officeDocument/2006/relationships/hyperlink" Target="https://vanillabonds.com/dossier-data/pdf/katjes/katjes-2025-annual-report.pdf#page=35" TargetMode="External" Id="rId1255"/><Relationship Type="http://schemas.openxmlformats.org/officeDocument/2006/relationships/hyperlink" Target="https://api.gleif.org/api/v1/lei-records?filter[entity.legalName]=Katjes International" TargetMode="External" Id="rId1256"/><Relationship Type="http://schemas.openxmlformats.org/officeDocument/2006/relationships/hyperlink" Target="https://api.gleif.org/api/v1/lei-records?filter[entity.legalName]=Katjes International" TargetMode="External" Id="rId1257"/><Relationship Type="http://schemas.openxmlformats.org/officeDocument/2006/relationships/hyperlink" Target="https://www.onvista.de/anleihen/KATJES-INT-IHS-23-28-Anleihe-NO0012888769" TargetMode="External" Id="rId1258"/><Relationship Type="http://schemas.openxmlformats.org/officeDocument/2006/relationships/hyperlink" Target="https://www.onvista.de/anleihen/KATJES-INT-IHS-23-28-Anleihe-NO0012888769" TargetMode="External" Id="rId1259"/><Relationship Type="http://schemas.openxmlformats.org/officeDocument/2006/relationships/hyperlink" Target="https://www.placera.se/pressmeddelanden/katjes-international-successfully-taps-its-corporate-bond-by-eur-70-million-20250805" TargetMode="External" Id="rId1260"/><Relationship Type="http://schemas.openxmlformats.org/officeDocument/2006/relationships/hyperlink" Target="https://www.placera.se/pressmeddelanden/katjes-international-successfully-taps-its-corporate-bond-by-eur-70-million-20250805" TargetMode="External" Id="rId1261"/><Relationship Type="http://schemas.openxmlformats.org/officeDocument/2006/relationships/hyperlink" Target="https://www.hlc.com/de/news/hogan-lovells-beraet-katjes-bei-aufstockung-ihrer-nordic-bonds" TargetMode="External" Id="rId1262"/><Relationship Type="http://schemas.openxmlformats.org/officeDocument/2006/relationships/hyperlink" Target="https://www.yumda.com/de/news/1188448/katjes-mit-rekord-bei-umsatz-und-ergebnis.html" TargetMode="External" Id="rId1263"/><Relationship Type="http://schemas.openxmlformats.org/officeDocument/2006/relationships/hyperlink" Target="https://www.yumda.com/de/news/1147058/katjes-und-zuckerproduzenten-streiten-vor-gericht-um-schadensersatz.html" TargetMode="External" Id="rId1264"/><Relationship Type="http://schemas.openxmlformats.org/officeDocument/2006/relationships/hyperlink" Target="https://en.wikipedia.org/wiki/Katjes_International" TargetMode="External" Id="rId1265"/></Relationships>
</file>

<file path=xl/worksheets/_rels/sheet10.xml.rels><Relationships xmlns="http://schemas.openxmlformats.org/package/2006/relationships"><Relationship Type="http://schemas.openxmlformats.org/officeDocument/2006/relationships/hyperlink" Target="https://vanillabonds.com/dossier-data/pdf/katjes/katjes-2023-annual-report.pdf" TargetMode="External" Id="rId1"/><Relationship Type="http://schemas.openxmlformats.org/officeDocument/2006/relationships/hyperlink" Target="https://vanillabonds.com/dossier-data/pdf/katjes/katjes-2024-annual-report.pdf" TargetMode="External" Id="rId2"/><Relationship Type="http://schemas.openxmlformats.org/officeDocument/2006/relationships/hyperlink" Target="https://vanillabonds.com/dossier-data/pdf/katjes/katjes-2025-annual-report.pdf" TargetMode="External" Id="rId3"/><Relationship Type="http://schemas.openxmlformats.org/officeDocument/2006/relationships/hyperlink" Target="https://vanillabonds.com/dossier-data/pdf/katjes/katjes-bond-2023-2028-terms.pdf" TargetMode="External" Id="rId4"/><Relationship Type="http://schemas.openxmlformats.org/officeDocument/2006/relationships/hyperlink" Target="https://vanillabonds.com/dossier-data/pdf/katjes/katjes-h1-2026-interim-report.pdf" TargetMode="External" Id="rId5"/><Relationship Type="http://schemas.openxmlformats.org/officeDocument/2006/relationships/hyperlink" Target="https://api.gleif.org/api/v1/lei-records?filter[entity.legalName]=Katjes International" TargetMode="External" Id="rId6"/><Relationship Type="http://schemas.openxmlformats.org/officeDocument/2006/relationships/hyperlink" Target="https://www.onvista.de/anleihen/KATJES-INT-IHS-23-28-Anleihe-NO0012888769" TargetMode="External" Id="rId7"/><Relationship Type="http://schemas.openxmlformats.org/officeDocument/2006/relationships/hyperlink" Target="https://www.placera.se/pressmeddelanden/katjes-international-successfully-taps-its-corporate-bond-by-eur-70-million-20250805" TargetMode="External" Id="rId8"/><Relationship Type="http://schemas.openxmlformats.org/officeDocument/2006/relationships/hyperlink" Target="https://www.hlc.com/de/news/hogan-lovells-beraet-katjes-bei-aufstockung-ihrer-nordic-bonds" TargetMode="External" Id="rId9"/><Relationship Type="http://schemas.openxmlformats.org/officeDocument/2006/relationships/hyperlink" Target="https://www.yumda.com/de/news/1188448/katjes-mit-rekord-bei-umsatz-und-ergebnis.html" TargetMode="External" Id="rId10"/><Relationship Type="http://schemas.openxmlformats.org/officeDocument/2006/relationships/hyperlink" Target="https://www.yumda.com/de/news/1147058/katjes-und-zuckerproduzenten-streiten-vor-gericht-um-schadensersatz.html" TargetMode="External" Id="rId11"/><Relationship Type="http://schemas.openxmlformats.org/officeDocument/2006/relationships/hyperlink" Target="https://en.wikipedia.org/wiki/Katjes_International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Issuer</t>
        </is>
      </c>
      <c r="B2" s="2" t="inlineStr">
        <is>
          <t>Katjes International GmbH &amp; Co. KG</t>
        </is>
      </c>
    </row>
    <row r="3">
      <c r="A3" s="2" t="inlineStr">
        <is>
          <t>Data as of</t>
        </is>
      </c>
      <c r="B3" s="2" t="inlineStr">
        <is>
          <t>H1-2026</t>
        </is>
      </c>
    </row>
    <row r="4">
      <c r="A4" s="2" t="inlineStr">
        <is>
          <t>Written</t>
        </is>
      </c>
      <c r="B4" s="2" t="inlineStr">
        <is>
          <t>2026-10-22</t>
        </is>
      </c>
    </row>
    <row r="5">
      <c r="A5" s="2" t="inlineStr">
        <is>
          <t>Units</t>
        </is>
      </c>
      <c r="B5" s="3" t="inlineStr">
        <is>
          <t>EUR m unless stated; days and headcount as counts; ratios as decimals</t>
        </is>
      </c>
    </row>
    <row r="6">
      <c r="A6" s="2" t="inlineStr">
        <is>
          <t>Signs</t>
        </is>
      </c>
      <c r="B6" s="3" t="inlineStr">
        <is>
          <t>profits positive, losses negative; net interest = net finance cost, positive; capex and D&amp;A positive</t>
        </is>
      </c>
    </row>
    <row r="7">
      <c r="A7" s="2" t="inlineStr">
        <is>
          <t>Periods</t>
        </is>
      </c>
      <c r="B7" s="3" t="inlineStr">
        <is>
          <t>FY2025 = fiscal year ending in 2025; H1-2026 = half-year to 30 June 2026; FY2027E = a plan year or an amount falling due then (company figures)</t>
        </is>
      </c>
    </row>
    <row r="8">
      <c r="A8" s="2" t="inlineStr">
        <is>
          <t>Record</t>
        </is>
      </c>
      <c r="B8" s="3" t="inlineStr">
        <is>
          <t>one value per field and period: approved before pending, audited before unaudited, the later report wins where restated (mvp/screen.py)</t>
        </is>
      </c>
    </row>
    <row r="9">
      <c r="A9" s="2" t="inlineStr">
        <is>
          <t>Status</t>
        </is>
      </c>
      <c r="B9" s="3" t="inlineStr">
        <is>
          <t>ok = approved by a named reviewer; rep = management representation, attested by a named officer; pend = extracted, pending review; rej = rejected; grey cell = pending, gold cell = management representation</t>
        </is>
      </c>
    </row>
    <row r="10">
      <c r="A10" s="2" t="inlineStr">
        <is>
          <t>Sources</t>
        </is>
      </c>
      <c r="B10" s="3" t="inlineStr">
        <is>
          <t>every number links to its row in Facts; the row links to the page of the published PDF or to the web source</t>
        </is>
      </c>
    </row>
    <row r="11">
      <c r="A11" s="2" t="inlineStr">
        <is>
          <t>Formulas</t>
        </is>
      </c>
      <c r="B11" s="3" t="inlineStr">
        <is>
          <t>Ratios are live Excel formulas on the Financials cells, the same formulas as the platform; one-off income = the items in Bridge</t>
        </is>
      </c>
    </row>
    <row r="12">
      <c r="A12" s="2" t="inlineStr">
        <is>
          <t>Scope</t>
        </is>
      </c>
      <c r="B12" s="3" t="inlineStr">
        <is>
          <t>facts and arithmetic on printed formulas only: no rating, no score, no recommendation. Demo built from the company's public reports.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EUR m unless stated</t>
        </is>
      </c>
      <c r="B1" s="1" t="inlineStr">
        <is>
          <t>FY2019</t>
        </is>
      </c>
      <c r="C1" s="1" t="inlineStr">
        <is>
          <t>FY2020</t>
        </is>
      </c>
      <c r="D1" s="1" t="inlineStr">
        <is>
          <t>FY2021</t>
        </is>
      </c>
      <c r="E1" s="1" t="inlineStr">
        <is>
          <t>FY2022</t>
        </is>
      </c>
      <c r="F1" s="1" t="inlineStr">
        <is>
          <t>FY2023</t>
        </is>
      </c>
      <c r="G1" s="1" t="inlineStr">
        <is>
          <t>FY2024</t>
        </is>
      </c>
      <c r="H1" s="1" t="inlineStr">
        <is>
          <t>FY2025</t>
        </is>
      </c>
      <c r="I1" s="1" t="inlineStr">
        <is>
          <t>FY2026</t>
        </is>
      </c>
      <c r="J1" s="1" t="inlineStr">
        <is>
          <t>H1-2025</t>
        </is>
      </c>
      <c r="K1" s="1" t="inlineStr">
        <is>
          <t>H1-2026</t>
        </is>
      </c>
      <c r="L1" s="1" t="inlineStr">
        <is>
          <t>FY2024E</t>
        </is>
      </c>
      <c r="M1" s="1" t="inlineStr">
        <is>
          <t>FY2025E</t>
        </is>
      </c>
      <c r="N1" s="1" t="inlineStr">
        <is>
          <t>FY2026E</t>
        </is>
      </c>
      <c r="O1" s="1" t="inlineStr">
        <is>
          <t>FY2027E</t>
        </is>
      </c>
      <c r="P1" s="1" t="inlineStr">
        <is>
          <t>FY2027E-FY2029E</t>
        </is>
      </c>
      <c r="Q1" s="1" t="inlineStr">
        <is>
          <t>FY2028E</t>
        </is>
      </c>
    </row>
    <row r="2">
      <c r="A2" s="4" t="inlineStr">
        <is>
          <t>Identity</t>
        </is>
      </c>
    </row>
    <row r="3">
      <c r="A3" t="inlineStr">
        <is>
          <t>Employees (FTE, period end)</t>
        </is>
      </c>
      <c r="E3" s="5" t="n">
        <v>980</v>
      </c>
      <c r="F3" s="5" t="n">
        <v>998</v>
      </c>
      <c r="G3" s="5" t="n">
        <v>1097</v>
      </c>
      <c r="H3" s="5" t="n">
        <v>1648</v>
      </c>
      <c r="J3" s="5" t="n">
        <v>1118</v>
      </c>
      <c r="K3" s="5" t="n">
        <v>1787</v>
      </c>
    </row>
    <row r="4">
      <c r="A4" s="4" t="inlineStr">
        <is>
          <t>Historical financials and quality of earnings</t>
        </is>
      </c>
    </row>
    <row r="5">
      <c r="A5" t="inlineStr">
        <is>
          <t>Revenue</t>
        </is>
      </c>
      <c r="B5" s="5" t="n">
        <v>210</v>
      </c>
      <c r="C5" s="5" t="n">
        <v>218</v>
      </c>
      <c r="D5" s="5" t="n">
        <v>255</v>
      </c>
      <c r="E5" s="5" t="n">
        <v>295</v>
      </c>
      <c r="F5" s="5" t="n">
        <v>377</v>
      </c>
      <c r="G5" s="5" t="n">
        <v>392.6</v>
      </c>
      <c r="H5" s="5" t="n">
        <v>503</v>
      </c>
      <c r="J5" s="5" t="n">
        <v>164.8</v>
      </c>
      <c r="K5" s="5" t="n">
        <v>256</v>
      </c>
      <c r="M5" s="5" t="n">
        <v>400</v>
      </c>
    </row>
    <row r="6">
      <c r="A6" t="inlineStr">
        <is>
          <t>EBITDA (as reported)</t>
        </is>
      </c>
      <c r="B6" s="5" t="n">
        <v>23</v>
      </c>
      <c r="C6" s="5" t="n">
        <v>25</v>
      </c>
      <c r="D6" s="6" t="n">
        <v>41</v>
      </c>
      <c r="E6" s="5" t="n">
        <v>37</v>
      </c>
      <c r="F6" s="6" t="n">
        <v>40.8</v>
      </c>
      <c r="G6" s="5" t="n">
        <v>44.8</v>
      </c>
      <c r="H6" s="5" t="n">
        <v>98.8</v>
      </c>
      <c r="J6" s="5" t="n">
        <v>13.9</v>
      </c>
      <c r="K6" s="5" t="n">
        <v>15.8</v>
      </c>
    </row>
    <row r="7">
      <c r="A7" t="inlineStr">
        <is>
          <t>EBIT / operating result</t>
        </is>
      </c>
      <c r="E7" s="5" t="n">
        <v>22.2</v>
      </c>
      <c r="F7" s="5" t="n">
        <v>22.5</v>
      </c>
      <c r="G7" s="5" t="n">
        <v>25</v>
      </c>
      <c r="H7" s="5" t="n">
        <v>71.09999999999999</v>
      </c>
      <c r="J7" s="5" t="n">
        <v>3.7</v>
      </c>
      <c r="K7" s="5" t="n">
        <v>-6.8</v>
      </c>
    </row>
    <row r="8">
      <c r="A8" t="inlineStr">
        <is>
          <t>Net result</t>
        </is>
      </c>
      <c r="E8" s="5" t="n">
        <v>14.8</v>
      </c>
      <c r="F8" s="5" t="n">
        <v>10.2</v>
      </c>
      <c r="G8" s="5" t="n">
        <v>3.2</v>
      </c>
      <c r="H8" s="5" t="n">
        <v>53.2</v>
      </c>
      <c r="J8" s="5" t="n">
        <v>-1</v>
      </c>
      <c r="K8" s="5" t="n">
        <v>-15.9</v>
      </c>
    </row>
    <row r="9">
      <c r="A9" t="inlineStr">
        <is>
          <t>Depreciation &amp; amortisation</t>
        </is>
      </c>
      <c r="E9" s="5" t="n">
        <v>15.1</v>
      </c>
      <c r="F9" s="5" t="n">
        <v>18.1</v>
      </c>
      <c r="G9" s="6" t="n">
        <v>19.8</v>
      </c>
      <c r="H9" s="5" t="n">
        <v>27.2</v>
      </c>
    </row>
    <row r="10">
      <c r="A10" t="inlineStr">
        <is>
          <t>Net finance cost</t>
        </is>
      </c>
      <c r="E10" s="5" t="n">
        <v>6.4</v>
      </c>
      <c r="F10" s="5" t="n">
        <v>11.4</v>
      </c>
      <c r="G10" s="5" t="n">
        <v>11.6</v>
      </c>
      <c r="H10" s="5" t="n">
        <v>19.2</v>
      </c>
      <c r="J10" s="5" t="n">
        <v>4.1</v>
      </c>
      <c r="K10" s="5" t="n">
        <v>11.2</v>
      </c>
    </row>
    <row r="11">
      <c r="A11" t="inlineStr">
        <is>
          <t>Cash flow from operating activities</t>
        </is>
      </c>
      <c r="E11" s="5" t="n">
        <v>10.4</v>
      </c>
      <c r="F11" s="5" t="n">
        <v>31.8</v>
      </c>
      <c r="G11" s="5" t="n">
        <v>45.6</v>
      </c>
      <c r="H11" s="5" t="n">
        <v>19.1</v>
      </c>
      <c r="J11" s="5" t="n">
        <v>-9.800000000000001</v>
      </c>
      <c r="K11" s="5" t="n">
        <v>1.1</v>
      </c>
    </row>
    <row r="12">
      <c r="A12" t="inlineStr">
        <is>
          <t>Capex (PP&amp;E + intangibles)</t>
        </is>
      </c>
      <c r="E12" s="5" t="n">
        <v>8</v>
      </c>
      <c r="F12" s="6" t="n">
        <v>14.6</v>
      </c>
      <c r="G12" s="6" t="n">
        <v>18.8</v>
      </c>
      <c r="H12" s="5" t="n">
        <v>19.6</v>
      </c>
      <c r="J12" s="5" t="n">
        <v>7</v>
      </c>
      <c r="K12" s="5" t="n">
        <v>8.300000000000001</v>
      </c>
    </row>
    <row r="13">
      <c r="A13" t="inlineStr">
        <is>
          <t>Cash &amp; equivalents</t>
        </is>
      </c>
      <c r="E13" s="5" t="n">
        <v>35.5</v>
      </c>
      <c r="F13" s="5" t="n">
        <v>58.4</v>
      </c>
      <c r="G13" s="5" t="n">
        <v>54</v>
      </c>
      <c r="H13" s="5" t="n">
        <v>146.8</v>
      </c>
      <c r="J13" s="5" t="n">
        <v>38.4</v>
      </c>
      <c r="K13" s="5" t="n">
        <v>74.09999999999999</v>
      </c>
    </row>
    <row r="14">
      <c r="A14" t="inlineStr">
        <is>
          <t>Gross financial debt (bonds + loans, excl. leases)</t>
        </is>
      </c>
      <c r="E14" s="5" t="n">
        <v>173.5</v>
      </c>
      <c r="F14" s="6" t="n">
        <v>185.1</v>
      </c>
      <c r="G14" s="5" t="n">
        <v>176.2</v>
      </c>
    </row>
    <row r="15">
      <c r="A15" t="inlineStr">
        <is>
          <t>Lease liabilities</t>
        </is>
      </c>
      <c r="E15" s="5" t="n">
        <v>6.4</v>
      </c>
      <c r="F15" s="5" t="n">
        <v>6.8</v>
      </c>
      <c r="G15" s="5" t="n">
        <v>13.2</v>
      </c>
      <c r="H15" s="5" t="n">
        <v>74.7</v>
      </c>
      <c r="K15" s="5" t="n">
        <v>85.8</v>
      </c>
    </row>
    <row r="16">
      <c r="A16" t="inlineStr">
        <is>
          <t>Net debt (as reported)</t>
        </is>
      </c>
      <c r="E16" s="5" t="n">
        <v>138</v>
      </c>
      <c r="F16" s="5" t="n">
        <v>133.5</v>
      </c>
      <c r="G16" s="5" t="n">
        <v>135.4</v>
      </c>
      <c r="H16" s="5" t="n">
        <v>206</v>
      </c>
    </row>
    <row r="17">
      <c r="A17" t="inlineStr">
        <is>
          <t>Total equity</t>
        </is>
      </c>
      <c r="B17" s="5" t="n">
        <v>137.9</v>
      </c>
      <c r="C17" s="5" t="n">
        <v>139.5</v>
      </c>
      <c r="D17" s="5" t="n">
        <v>141.4</v>
      </c>
      <c r="E17" s="5" t="n">
        <v>167</v>
      </c>
      <c r="F17" s="5" t="n">
        <v>176</v>
      </c>
      <c r="G17" s="5" t="n">
        <v>176.2</v>
      </c>
      <c r="H17" s="5" t="n">
        <v>266.9</v>
      </c>
      <c r="J17" s="5" t="n">
        <v>175.3</v>
      </c>
      <c r="K17" s="5" t="n">
        <v>255.1</v>
      </c>
    </row>
    <row r="18">
      <c r="A18" t="inlineStr">
        <is>
          <t>Total assets</t>
        </is>
      </c>
      <c r="E18" s="5" t="n">
        <v>441.4</v>
      </c>
      <c r="F18" s="5" t="n">
        <v>477.6</v>
      </c>
      <c r="G18" s="5" t="n">
        <v>491.7</v>
      </c>
      <c r="H18" s="5" t="n">
        <v>812.3</v>
      </c>
      <c r="K18" s="5" t="n">
        <v>850.9</v>
      </c>
    </row>
    <row r="19">
      <c r="A19" t="inlineStr">
        <is>
          <t>Days from year end to filing of the accounts</t>
        </is>
      </c>
      <c r="F19" s="5" t="n">
        <v>87</v>
      </c>
      <c r="G19" s="5" t="n">
        <v>99</v>
      </c>
      <c r="H19" s="5" t="n">
        <v>92</v>
      </c>
      <c r="K19" s="5" t="n">
        <v>70</v>
      </c>
    </row>
    <row r="20">
      <c r="A20" t="inlineStr">
        <is>
          <t>Income taxes paid (cash flow statement)</t>
        </is>
      </c>
      <c r="E20" s="5" t="n">
        <v>2.6</v>
      </c>
      <c r="F20" s="5" t="n">
        <v>2.5</v>
      </c>
      <c r="G20" s="5" t="n">
        <v>2.5</v>
      </c>
      <c r="H20" s="5" t="n">
        <v>0.6</v>
      </c>
      <c r="J20" s="5" t="n">
        <v>0.3</v>
      </c>
      <c r="K20" s="5" t="n">
        <v>0.9</v>
      </c>
    </row>
    <row r="21">
      <c r="A21" s="4" t="inlineStr">
        <is>
          <t>Management</t>
        </is>
      </c>
    </row>
    <row r="22">
      <c r="A22" t="inlineStr">
        <is>
          <t>Revenue as budgeted for that year (management plan at the time)</t>
        </is>
      </c>
      <c r="H22" s="5" t="n">
        <v>400</v>
      </c>
      <c r="I22" s="5" t="n">
        <v>650</v>
      </c>
      <c r="N22" s="5" t="n">
        <v>650</v>
      </c>
    </row>
    <row r="23">
      <c r="A23" s="4" t="inlineStr">
        <is>
          <t>Transaction, plan, projections and downside</t>
        </is>
      </c>
    </row>
    <row r="24">
      <c r="A24" t="inlineStr">
        <is>
          <t>Debt principal falling due in the period</t>
        </is>
      </c>
      <c r="G24" s="5" t="n">
        <v>35.2</v>
      </c>
      <c r="L24" s="5" t="n">
        <v>35.2</v>
      </c>
      <c r="M24" s="6" t="n">
        <v>37.4</v>
      </c>
      <c r="N24" s="6" t="n">
        <v>74.3</v>
      </c>
      <c r="O24" s="5" t="n">
        <v>30.7</v>
      </c>
      <c r="P24" s="5" t="n">
        <v>136</v>
      </c>
      <c r="Q24" s="5" t="n">
        <v>185</v>
      </c>
    </row>
  </sheetData>
  <hyperlinks>
    <hyperlink ref="E3" location="Facts!A10"/>
    <hyperlink ref="F3" location="Facts!A333"/>
    <hyperlink ref="G3" location="Facts!A627"/>
    <hyperlink ref="H3" location="Facts!A628"/>
    <hyperlink ref="J3" location="Facts!A1011"/>
    <hyperlink ref="K3" location="Facts!A1012"/>
    <hyperlink ref="B5" location="Facts!A41"/>
    <hyperlink ref="C5" location="Facts!A42"/>
    <hyperlink ref="D5" location="Facts!A653"/>
    <hyperlink ref="E5" location="Facts!A654"/>
    <hyperlink ref="F5" location="Facts!A655"/>
    <hyperlink ref="G5" location="Facts!A656"/>
    <hyperlink ref="H5" location="Facts!A657"/>
    <hyperlink ref="J5" location="Facts!A1065"/>
    <hyperlink ref="K5" location="Facts!A1066"/>
    <hyperlink ref="M5" location="Facts!A368"/>
    <hyperlink ref="B6" location="Facts!A47"/>
    <hyperlink ref="C6" location="Facts!A48"/>
    <hyperlink ref="D6" location="Facts!A658"/>
    <hyperlink ref="E6" location="Facts!A659"/>
    <hyperlink ref="F6" location="Facts!A369"/>
    <hyperlink ref="G6" location="Facts!A661"/>
    <hyperlink ref="H6" location="Facts!A662"/>
    <hyperlink ref="J6" location="Facts!A1067"/>
    <hyperlink ref="K6" location="Facts!A1068"/>
    <hyperlink ref="E7" location="Facts!A53"/>
    <hyperlink ref="F7" location="Facts!A371"/>
    <hyperlink ref="G7" location="Facts!A663"/>
    <hyperlink ref="H7" location="Facts!A664"/>
    <hyperlink ref="J7" location="Facts!A1069"/>
    <hyperlink ref="K7" location="Facts!A1070"/>
    <hyperlink ref="E8" location="Facts!A55"/>
    <hyperlink ref="F8" location="Facts!A373"/>
    <hyperlink ref="G8" location="Facts!A665"/>
    <hyperlink ref="H8" location="Facts!A666"/>
    <hyperlink ref="J8" location="Facts!A1071"/>
    <hyperlink ref="K8" location="Facts!A1072"/>
    <hyperlink ref="E9" location="Facts!A57"/>
    <hyperlink ref="F9" location="Facts!A375"/>
    <hyperlink ref="G9" location="Facts!A376"/>
    <hyperlink ref="H9" location="Facts!A668"/>
    <hyperlink ref="E10" location="Facts!A59"/>
    <hyperlink ref="F10" location="Facts!A377"/>
    <hyperlink ref="G10" location="Facts!A669"/>
    <hyperlink ref="H10" location="Facts!A670"/>
    <hyperlink ref="J10" location="Facts!A1075"/>
    <hyperlink ref="K10" location="Facts!A1076"/>
    <hyperlink ref="E11" location="Facts!A61"/>
    <hyperlink ref="F11" location="Facts!A379"/>
    <hyperlink ref="G11" location="Facts!A671"/>
    <hyperlink ref="H11" location="Facts!A672"/>
    <hyperlink ref="J11" location="Facts!A1077"/>
    <hyperlink ref="K11" location="Facts!A1078"/>
    <hyperlink ref="E12" location="Facts!A63"/>
    <hyperlink ref="F12" location="Facts!A381"/>
    <hyperlink ref="G12" location="Facts!A673"/>
    <hyperlink ref="H12" location="Facts!A674"/>
    <hyperlink ref="J12" location="Facts!A1079"/>
    <hyperlink ref="K12" location="Facts!A1080"/>
    <hyperlink ref="E13" location="Facts!A65"/>
    <hyperlink ref="F13" location="Facts!A675"/>
    <hyperlink ref="G13" location="Facts!A676"/>
    <hyperlink ref="H13" location="Facts!A677"/>
    <hyperlink ref="J13" location="Facts!A1082"/>
    <hyperlink ref="K13" location="Facts!A1083"/>
    <hyperlink ref="E14" location="Facts!A67"/>
    <hyperlink ref="F14" location="Facts!A385"/>
    <hyperlink ref="G14" location="Facts!A386"/>
    <hyperlink ref="E15" location="Facts!A69"/>
    <hyperlink ref="F15" location="Facts!A387"/>
    <hyperlink ref="G15" location="Facts!A678"/>
    <hyperlink ref="H15" location="Facts!A679"/>
    <hyperlink ref="K15" location="Facts!A1086"/>
    <hyperlink ref="E16" location="Facts!A71"/>
    <hyperlink ref="F16" location="Facts!A389"/>
    <hyperlink ref="G16" location="Facts!A680"/>
    <hyperlink ref="H16" location="Facts!A681"/>
    <hyperlink ref="B17" location="Facts!A73"/>
    <hyperlink ref="C17" location="Facts!A74"/>
    <hyperlink ref="D17" location="Facts!A75"/>
    <hyperlink ref="E17" location="Facts!A76"/>
    <hyperlink ref="F17" location="Facts!A682"/>
    <hyperlink ref="G17" location="Facts!A683"/>
    <hyperlink ref="H17" location="Facts!A684"/>
    <hyperlink ref="J17" location="Facts!A1088"/>
    <hyperlink ref="K17" location="Facts!A1089"/>
    <hyperlink ref="E18" location="Facts!A78"/>
    <hyperlink ref="F18" location="Facts!A393"/>
    <hyperlink ref="G18" location="Facts!A685"/>
    <hyperlink ref="H18" location="Facts!A686"/>
    <hyperlink ref="K18" location="Facts!A1091"/>
    <hyperlink ref="F19" location="Facts!A242"/>
    <hyperlink ref="G19" location="Facts!A543"/>
    <hyperlink ref="H19" location="Facts!A849"/>
    <hyperlink ref="K19" location="Facts!A1191"/>
    <hyperlink ref="E20" location="Facts!A278"/>
    <hyperlink ref="F20" location="Facts!A580"/>
    <hyperlink ref="G20" location="Facts!A899"/>
    <hyperlink ref="H20" location="Facts!A900"/>
    <hyperlink ref="J20" location="Facts!A1233"/>
    <hyperlink ref="K20" location="Facts!A1234"/>
    <hyperlink ref="H22" location="Facts!A717"/>
    <hyperlink ref="I22" location="Facts!A1105"/>
    <hyperlink ref="N22" location="Facts!A718"/>
    <hyperlink ref="G24" location="Facts!A471"/>
    <hyperlink ref="L24" location="Facts!A156"/>
    <hyperlink ref="M24" location="Facts!A472"/>
    <hyperlink ref="N24" location="Facts!A755"/>
    <hyperlink ref="O24" location="Facts!A756"/>
    <hyperlink ref="P24" location="Facts!A474"/>
    <hyperlink ref="Q24" location="Facts!A75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0" customWidth="1" min="2" max="2"/>
    <col width="12" customWidth="1" min="3" max="3"/>
    <col width="8" customWidth="1" min="4" max="4"/>
    <col width="50" customWidth="1" min="5" max="5"/>
  </cols>
  <sheetData>
    <row r="1">
      <c r="A1" s="1" t="inlineStr">
        <is>
          <t>Period</t>
        </is>
      </c>
      <c r="B1" s="1" t="inlineStr">
        <is>
          <t>One-off income inside EBITDA, as itemised in the reports</t>
        </is>
      </c>
      <c r="C1" s="1" t="inlineStr">
        <is>
          <t>EUR m counted</t>
        </is>
      </c>
      <c r="D1" s="1" t="inlineStr">
        <is>
          <t>Fact</t>
        </is>
      </c>
      <c r="E1" s="1" t="inlineStr">
        <is>
          <t>Rule</t>
        </is>
      </c>
    </row>
    <row r="2">
      <c r="A2" s="2" t="inlineStr">
        <is>
          <t>FY2022</t>
        </is>
      </c>
      <c r="B2" s="3" t="inlineStr">
        <is>
          <t>item: purchase price allocation effect (negative goodwill) oral care business recognised in other operating income at initial consolidation 7 Dec 2022; amount: 10.3; recurrence: 2022</t>
        </is>
      </c>
      <c r="C2" s="2" t="n"/>
      <c r="D2" s="2" t="inlineStr">
        <is>
          <t>F227</t>
        </is>
      </c>
      <c r="E2" s="3" t="inlineStr">
        <is>
          <t>listed, not counted (10.3): may be part of the larger item counted</t>
        </is>
      </c>
    </row>
    <row r="3">
      <c r="A3" s="2" t="inlineStr">
        <is>
          <t>FY2022</t>
        </is>
      </c>
      <c r="B3" s="3" t="inlineStr">
        <is>
          <t>item: recognition of negative goodwill in profit or loss (other operating income); amount: 24.4; recurrence: 2022 only (2023: 0.0)</t>
        </is>
      </c>
      <c r="C3" s="2" t="n">
        <v>24.4</v>
      </c>
      <c r="D3" s="2" t="inlineStr">
        <is>
          <t>F228</t>
        </is>
      </c>
      <c r="E3" s="2" t="inlineStr">
        <is>
          <t>counted</t>
        </is>
      </c>
    </row>
    <row r="4">
      <c r="A4" s="2" t="inlineStr">
        <is>
          <t>FY2025</t>
        </is>
      </c>
      <c r="B4" s="3" t="inlineStr">
        <is>
          <t>item: badwill from initial consolidation of Bogner (other operating income); amount: 35.1; recurrence: none</t>
        </is>
      </c>
      <c r="C4" s="2" t="n">
        <v>35.1</v>
      </c>
      <c r="D4" s="2" t="inlineStr">
        <is>
          <t>F837</t>
        </is>
      </c>
      <c r="E4" s="2" t="inlineStr">
        <is>
          <t>counted</t>
        </is>
      </c>
    </row>
    <row r="5">
      <c r="A5" s="2" t="inlineStr">
        <is>
          <t>FY2025</t>
        </is>
      </c>
      <c r="B5" s="3" t="inlineStr">
        <is>
          <t>item: gain on disposal of the 23% CPK minority interest (other operating income); amount: 20.1; recurrence: none</t>
        </is>
      </c>
      <c r="C5" s="2" t="n">
        <v>20.1</v>
      </c>
      <c r="D5" s="2" t="inlineStr">
        <is>
          <t>F838</t>
        </is>
      </c>
      <c r="E5" s="2" t="inlineStr">
        <is>
          <t>counted</t>
        </is>
      </c>
    </row>
    <row r="6">
      <c r="A6" s="2" t="inlineStr">
        <is>
          <t>H1-2026</t>
        </is>
      </c>
      <c r="B6" s="3" t="inlineStr">
        <is>
          <t>item: positive results from purchase price allocations in other operating result; amount: 13.8; recurrence: none in H1-2025</t>
        </is>
      </c>
      <c r="C6" s="2" t="n"/>
      <c r="D6" s="2" t="inlineStr">
        <is>
          <t>F1180</t>
        </is>
      </c>
      <c r="E6" s="3" t="inlineStr">
        <is>
          <t>listed, not counted (13.8): total of the items counted</t>
        </is>
      </c>
    </row>
    <row r="7">
      <c r="A7" s="2" t="inlineStr">
        <is>
          <t>H1-2026</t>
        </is>
      </c>
      <c r="B7" s="3" t="inlineStr">
        <is>
          <t>item: badwill on the Graze acquisition, recognised in other operating income (preliminary PPA); amount: 11.2; recurrence: none stated</t>
        </is>
      </c>
      <c r="C7" s="2" t="n">
        <v>11.2</v>
      </c>
      <c r="D7" s="2" t="inlineStr">
        <is>
          <t>F1183</t>
        </is>
      </c>
      <c r="E7" s="2" t="inlineStr">
        <is>
          <t>counted</t>
        </is>
      </c>
    </row>
    <row r="8">
      <c r="A8" s="2" t="inlineStr">
        <is>
          <t>H1-2026</t>
        </is>
      </c>
      <c r="B8" s="3" t="inlineStr">
        <is>
          <t>item: badwill on the Pastificio Plin acquisition, recognised in other operating income; amount: 2.6; recurrence: none stated</t>
        </is>
      </c>
      <c r="C8" s="2" t="n">
        <v>2.6</v>
      </c>
      <c r="D8" s="2" t="inlineStr">
        <is>
          <t>F1184</t>
        </is>
      </c>
      <c r="E8" s="2" t="inlineStr">
        <is>
          <t>counted</t>
        </is>
      </c>
    </row>
  </sheetData>
  <hyperlinks>
    <hyperlink ref="D2" location="Facts!A228"/>
    <hyperlink ref="D3" location="Facts!A229"/>
    <hyperlink ref="D4" location="Facts!A838"/>
    <hyperlink ref="D5" location="Facts!A839"/>
    <hyperlink ref="D6" location="Facts!A1181"/>
    <hyperlink ref="D7" location="Facts!A1184"/>
    <hyperlink ref="D8" location="Facts!A118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70" customWidth="1" min="11" max="11"/>
  </cols>
  <sheetData>
    <row r="1">
      <c r="A1" s="1" t="inlineStr">
        <is>
          <t>Live formulas on Financials</t>
        </is>
      </c>
      <c r="B1" s="1" t="inlineStr">
        <is>
          <t>FY2019</t>
        </is>
      </c>
      <c r="C1" s="1" t="inlineStr">
        <is>
          <t>FY2020</t>
        </is>
      </c>
      <c r="D1" s="1" t="inlineStr">
        <is>
          <t>FY2021</t>
        </is>
      </c>
      <c r="E1" s="1" t="inlineStr">
        <is>
          <t>FY2022</t>
        </is>
      </c>
      <c r="F1" s="1" t="inlineStr">
        <is>
          <t>FY2023</t>
        </is>
      </c>
      <c r="G1" s="1" t="inlineStr">
        <is>
          <t>FY2024</t>
        </is>
      </c>
      <c r="H1" s="1" t="inlineStr">
        <is>
          <t>FY2025</t>
        </is>
      </c>
      <c r="I1" s="1" t="inlineStr">
        <is>
          <t>H1-2025</t>
        </is>
      </c>
      <c r="J1" s="1" t="inlineStr">
        <is>
          <t>H1-2026</t>
        </is>
      </c>
      <c r="K1" s="1" t="inlineStr">
        <is>
          <t>Formula</t>
        </is>
      </c>
    </row>
    <row r="2">
      <c r="A2" t="inlineStr">
        <is>
          <t>One-off income inside EBITDA</t>
        </is>
      </c>
      <c r="B2" s="5">
        <f>SUMIF(Bridge!$A:$A,"FY2019",Bridge!$C:$C)</f>
        <v/>
      </c>
      <c r="C2" s="5">
        <f>SUMIF(Bridge!$A:$A,"FY2020",Bridge!$C:$C)</f>
        <v/>
      </c>
      <c r="D2" s="5">
        <f>SUMIF(Bridge!$A:$A,"FY2021",Bridge!$C:$C)</f>
        <v/>
      </c>
      <c r="E2" s="5">
        <f>SUMIF(Bridge!$A:$A,"FY2022",Bridge!$C:$C)</f>
        <v/>
      </c>
      <c r="F2" s="5">
        <f>SUMIF(Bridge!$A:$A,"FY2023",Bridge!$C:$C)</f>
        <v/>
      </c>
      <c r="G2" s="5">
        <f>SUMIF(Bridge!$A:$A,"FY2024",Bridge!$C:$C)</f>
        <v/>
      </c>
      <c r="H2" s="5">
        <f>SUMIF(Bridge!$A:$A,"FY2025",Bridge!$C:$C)</f>
        <v/>
      </c>
      <c r="I2" s="5">
        <f>SUMIF(Bridge!$A:$A,"H1-2025",Bridge!$C:$C)</f>
        <v/>
      </c>
      <c r="J2" s="5">
        <f>SUMIF(Bridge!$A:$A,"H1-2026",Bridge!$C:$C)</f>
        <v/>
      </c>
      <c r="K2" t="inlineStr">
        <is>
          <t>SUM of Bridge for the period</t>
        </is>
      </c>
    </row>
    <row r="3">
      <c r="A3" t="inlineStr">
        <is>
          <t>EBITDA excluding one-off income</t>
        </is>
      </c>
      <c r="B3" s="5">
        <f>(Financials!B6-SUMIF(Bridge!$A:$A,"FY2019",Bridge!$C:$C))</f>
        <v/>
      </c>
      <c r="C3" s="5">
        <f>(Financials!C6-SUMIF(Bridge!$A:$A,"FY2020",Bridge!$C:$C))</f>
        <v/>
      </c>
      <c r="D3" s="5">
        <f>(Financials!D6-SUMIF(Bridge!$A:$A,"FY2021",Bridge!$C:$C))</f>
        <v/>
      </c>
      <c r="E3" s="5">
        <f>(Financials!E6-SUMIF(Bridge!$A:$A,"FY2022",Bridge!$C:$C))</f>
        <v/>
      </c>
      <c r="F3" s="5">
        <f>(Financials!F6-SUMIF(Bridge!$A:$A,"FY2023",Bridge!$C:$C))</f>
        <v/>
      </c>
      <c r="G3" s="5">
        <f>(Financials!G6-SUMIF(Bridge!$A:$A,"FY2024",Bridge!$C:$C))</f>
        <v/>
      </c>
      <c r="H3" s="5">
        <f>(Financials!H6-SUMIF(Bridge!$A:$A,"FY2025",Bridge!$C:$C))</f>
        <v/>
      </c>
      <c r="I3" s="5">
        <f>(Financials!J6-SUMIF(Bridge!$A:$A,"H1-2025",Bridge!$C:$C))</f>
        <v/>
      </c>
      <c r="J3" s="5">
        <f>(Financials!K6-SUMIF(Bridge!$A:$A,"H1-2026",Bridge!$C:$C))</f>
        <v/>
      </c>
      <c r="K3" t="inlineStr">
        <is>
          <t>EBITDA as reported − one-off income</t>
        </is>
      </c>
    </row>
    <row r="4">
      <c r="A4" t="inlineStr">
        <is>
          <t>EBITDA margin excluding one-off income</t>
        </is>
      </c>
      <c r="B4" s="7">
        <f>IFERROR((Financials!B6-SUMIF(Bridge!$A:$A,"FY2019",Bridge!$C:$C))/Financials!B5,"")</f>
        <v/>
      </c>
      <c r="C4" s="7">
        <f>IFERROR((Financials!C6-SUMIF(Bridge!$A:$A,"FY2020",Bridge!$C:$C))/Financials!C5,"")</f>
        <v/>
      </c>
      <c r="D4" s="7">
        <f>IFERROR((Financials!D6-SUMIF(Bridge!$A:$A,"FY2021",Bridge!$C:$C))/Financials!D5,"")</f>
        <v/>
      </c>
      <c r="E4" s="7">
        <f>IFERROR((Financials!E6-SUMIF(Bridge!$A:$A,"FY2022",Bridge!$C:$C))/Financials!E5,"")</f>
        <v/>
      </c>
      <c r="F4" s="7">
        <f>IFERROR((Financials!F6-SUMIF(Bridge!$A:$A,"FY2023",Bridge!$C:$C))/Financials!F5,"")</f>
        <v/>
      </c>
      <c r="G4" s="7">
        <f>IFERROR((Financials!G6-SUMIF(Bridge!$A:$A,"FY2024",Bridge!$C:$C))/Financials!G5,"")</f>
        <v/>
      </c>
      <c r="H4" s="7">
        <f>IFERROR((Financials!H6-SUMIF(Bridge!$A:$A,"FY2025",Bridge!$C:$C))/Financials!H5,"")</f>
        <v/>
      </c>
      <c r="I4" s="7">
        <f>IFERROR((Financials!J6-SUMIF(Bridge!$A:$A,"H1-2025",Bridge!$C:$C))/Financials!J5,"")</f>
        <v/>
      </c>
      <c r="J4" s="7">
        <f>IFERROR((Financials!K6-SUMIF(Bridge!$A:$A,"H1-2026",Bridge!$C:$C))/Financials!K5,"")</f>
        <v/>
      </c>
      <c r="K4" t="inlineStr">
        <is>
          <t>EBITDA excluding one-off income / revenue</t>
        </is>
      </c>
    </row>
    <row r="5">
      <c r="A5" t="inlineStr">
        <is>
          <t>Free cash flow</t>
        </is>
      </c>
      <c r="E5" s="5">
        <f>IFERROR(Financials!E11-Financials!E12,"")</f>
        <v/>
      </c>
      <c r="F5" s="5">
        <f>IFERROR(Financials!F11-Financials!F12,"")</f>
        <v/>
      </c>
      <c r="G5" s="5">
        <f>IFERROR(Financials!G11-Financials!G12,"")</f>
        <v/>
      </c>
      <c r="H5" s="5">
        <f>IFERROR(Financials!H11-Financials!H12,"")</f>
        <v/>
      </c>
      <c r="I5" s="5">
        <f>IFERROR(Financials!J11-Financials!J12,"")</f>
        <v/>
      </c>
      <c r="J5" s="5">
        <f>IFERROR(Financials!K11-Financials!K12,"")</f>
        <v/>
      </c>
      <c r="K5" t="inlineStr">
        <is>
          <t>operating cash flow − capex</t>
        </is>
      </c>
    </row>
    <row r="6">
      <c r="A6" t="inlineStr">
        <is>
          <t>Net debt excluding leases</t>
        </is>
      </c>
      <c r="E6" s="5">
        <f>(Financials!E14-Financials!E13)</f>
        <v/>
      </c>
      <c r="F6" s="5">
        <f>(Financials!F14-Financials!F13)</f>
        <v/>
      </c>
      <c r="G6" s="5">
        <f>(Financials!G14-Financials!G13)</f>
        <v/>
      </c>
      <c r="K6" t="inlineStr">
        <is>
          <t>gross debt excluding leases − cash</t>
        </is>
      </c>
    </row>
    <row r="7">
      <c r="A7" t="inlineStr">
        <is>
          <t>Net debt / EBITDA excluding one-off income</t>
        </is>
      </c>
      <c r="E7" s="8">
        <f>IFERROR((Financials!E14-Financials!E13)/(Financials!E6-SUMIF(Bridge!$A:$A,"FY2022",Bridge!$C:$C)),"")</f>
        <v/>
      </c>
      <c r="F7" s="8">
        <f>IFERROR((Financials!F14-Financials!F13)/(Financials!F6-SUMIF(Bridge!$A:$A,"FY2023",Bridge!$C:$C)),"")</f>
        <v/>
      </c>
      <c r="G7" s="8">
        <f>IFERROR((Financials!G14-Financials!G13)/(Financials!G6-SUMIF(Bridge!$A:$A,"FY2024",Bridge!$C:$C)),"")</f>
        <v/>
      </c>
      <c r="K7" t="inlineStr">
        <is>
          <t>net debt excluding leases / EBITDA excluding one-off income; fiscal years</t>
        </is>
      </c>
    </row>
    <row r="8">
      <c r="A8" t="inlineStr">
        <is>
          <t>EBITDA excluding one-off income / net interest</t>
        </is>
      </c>
      <c r="E8" s="8">
        <f>IFERROR((Financials!E6-SUMIF(Bridge!$A:$A,"FY2022",Bridge!$C:$C))/Financials!E10,"")</f>
        <v/>
      </c>
      <c r="F8" s="8">
        <f>IFERROR((Financials!F6-SUMIF(Bridge!$A:$A,"FY2023",Bridge!$C:$C))/Financials!F10,"")</f>
        <v/>
      </c>
      <c r="G8" s="8">
        <f>IFERROR((Financials!G6-SUMIF(Bridge!$A:$A,"FY2024",Bridge!$C:$C))/Financials!G10,"")</f>
        <v/>
      </c>
      <c r="H8" s="8">
        <f>IFERROR((Financials!H6-SUMIF(Bridge!$A:$A,"FY2025",Bridge!$C:$C))/Financials!H10,"")</f>
        <v/>
      </c>
      <c r="K8" t="inlineStr">
        <is>
          <t>EBITDA excluding one-off income / net finance cost; fiscal years</t>
        </is>
      </c>
    </row>
    <row r="9">
      <c r="A9" t="inlineStr">
        <is>
          <t>Equity ratio</t>
        </is>
      </c>
      <c r="E9" s="7">
        <f>IFERROR(Financials!E17/Financials!E18,"")</f>
        <v/>
      </c>
      <c r="F9" s="7">
        <f>IFERROR(Financials!F17/Financials!F18,"")</f>
        <v/>
      </c>
      <c r="G9" s="7">
        <f>IFERROR(Financials!G17/Financials!G18,"")</f>
        <v/>
      </c>
      <c r="H9" s="7">
        <f>IFERROR(Financials!H17/Financials!H18,"")</f>
        <v/>
      </c>
      <c r="J9" s="7">
        <f>IFERROR(Financials!K17/Financials!K18,"")</f>
        <v/>
      </c>
      <c r="K9" t="inlineStr">
        <is>
          <t>equity / total assets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0" customWidth="1" min="2" max="2"/>
    <col width="8" customWidth="1" min="3" max="3"/>
    <col width="6" customWidth="1" min="4" max="4"/>
    <col width="8" customWidth="1" min="5" max="5"/>
  </cols>
  <sheetData>
    <row r="1">
      <c r="A1" s="1" t="inlineStr">
        <is>
          <t>Period</t>
        </is>
      </c>
      <c r="B1" s="1" t="inlineStr">
        <is>
          <t>Item</t>
        </is>
      </c>
      <c r="C1" s="1" t="inlineStr">
        <is>
          <t>Source</t>
        </is>
      </c>
      <c r="D1" s="1" t="inlineStr">
        <is>
          <t>Page</t>
        </is>
      </c>
      <c r="E1" s="1" t="inlineStr">
        <is>
          <t>Fact</t>
        </is>
      </c>
    </row>
    <row r="2">
      <c r="A2" s="2" t="inlineStr">
        <is>
          <t>FY2026E</t>
        </is>
      </c>
      <c r="B2" s="2" t="inlineStr">
        <is>
          <t>principal falling due: 74.3</t>
        </is>
      </c>
      <c r="C2" s="2" t="inlineStr">
        <is>
          <t>S3</t>
        </is>
      </c>
      <c r="D2" s="2" t="n">
        <v>57</v>
      </c>
      <c r="E2" s="2" t="inlineStr">
        <is>
          <t>F754</t>
        </is>
      </c>
    </row>
    <row r="3">
      <c r="A3" s="2" t="inlineStr">
        <is>
          <t>FY2027E</t>
        </is>
      </c>
      <c r="B3" s="2" t="inlineStr">
        <is>
          <t>principal falling due: 30.7</t>
        </is>
      </c>
      <c r="C3" s="2" t="inlineStr">
        <is>
          <t>S3</t>
        </is>
      </c>
      <c r="D3" s="2" t="n">
        <v>57</v>
      </c>
      <c r="E3" s="2" t="inlineStr">
        <is>
          <t>F755</t>
        </is>
      </c>
    </row>
    <row r="4">
      <c r="A4" s="2" t="inlineStr">
        <is>
          <t>FY2028E</t>
        </is>
      </c>
      <c r="B4" s="2" t="inlineStr">
        <is>
          <t>principal falling due: 185.0</t>
        </is>
      </c>
      <c r="C4" s="2" t="inlineStr">
        <is>
          <t>S3</t>
        </is>
      </c>
      <c r="D4" s="2" t="n">
        <v>57</v>
      </c>
      <c r="E4" s="2" t="inlineStr">
        <is>
          <t>F756</t>
        </is>
      </c>
    </row>
    <row r="5">
      <c r="A5" s="2" t="n"/>
      <c r="B5" s="2" t="inlineStr">
        <is>
          <t>INSTRUMENTS</t>
        </is>
      </c>
      <c r="C5" s="2" t="n"/>
      <c r="D5" s="2" t="n"/>
      <c r="E5" s="2" t="n"/>
    </row>
    <row r="6">
      <c r="A6" s="2" t="n"/>
      <c r="B6" s="3" t="inlineStr">
        <is>
          <t>Corporate bond 2023/2028, EUR 200.0m nominal after the EUR 15m increase in May 2026 (Missoni); carrying amount 200.0, fair value 191.3 at 30 June 2026; coupon not stated in this report.</t>
        </is>
      </c>
      <c r="C6" s="2" t="inlineStr">
        <is>
          <t>S5</t>
        </is>
      </c>
      <c r="D6" s="2" t="n">
        <v>21</v>
      </c>
      <c r="E6" s="2" t="inlineStr">
        <is>
          <t>F1091</t>
        </is>
      </c>
    </row>
    <row r="7">
      <c r="A7" s="2" t="n"/>
      <c r="B7" s="3" t="inlineStr">
        <is>
          <t>Acquisition financing (long-term bank loans) for part of the Graze purchase price, amount not stated separately.</t>
        </is>
      </c>
      <c r="C7" s="2" t="inlineStr">
        <is>
          <t>S5</t>
        </is>
      </c>
      <c r="D7" s="2" t="n">
        <v>25</v>
      </c>
      <c r="E7" s="2" t="inlineStr">
        <is>
          <t>F1092</t>
        </is>
      </c>
    </row>
    <row r="8">
      <c r="A8" s="2" t="n"/>
      <c r="B8" s="3" t="inlineStr">
        <is>
          <t>Non-current interest-bearing loans EUR 51.0m at 30 June 2026 (amortised cost, fair value 51.0); includes acquisition financing for part of the Graze purchase price.</t>
        </is>
      </c>
      <c r="C8" s="2" t="inlineStr">
        <is>
          <t>S5</t>
        </is>
      </c>
      <c r="D8" s="2" t="n">
        <v>42</v>
      </c>
      <c r="E8" s="2" t="inlineStr">
        <is>
          <t>F1093</t>
        </is>
      </c>
    </row>
    <row r="9">
      <c r="A9" s="2" t="n"/>
      <c r="B9" s="3" t="inlineStr">
        <is>
          <t>Current interest-bearing loans EUR 68.1m at 30 June 2026, increased by new short-term credit lines drawn during the period.</t>
        </is>
      </c>
      <c r="C9" s="2" t="inlineStr">
        <is>
          <t>S5</t>
        </is>
      </c>
      <c r="D9" s="2" t="n">
        <v>42</v>
      </c>
      <c r="E9" s="2" t="inlineStr">
        <is>
          <t>F1094</t>
        </is>
      </c>
    </row>
    <row r="10">
      <c r="A10" s="2" t="n"/>
      <c r="B10" s="3" t="inlineStr">
        <is>
          <t>Bond 2023/2028: senior unsecured bearer bond, target EUR 110m (minimum EUR 80m), fixed coupon marketed at 6.25-7.50% p.a. paid semi-annually, issued 21 September 2023, due 21 September 2028, ISIN NO0012888769, denomination EUR 1,000.</t>
        </is>
      </c>
      <c r="C10" s="2" t="inlineStr">
        <is>
          <t>S4</t>
        </is>
      </c>
      <c r="D10" s="2" t="n">
        <v>1</v>
      </c>
      <c r="E10" s="2" t="inlineStr">
        <is>
          <t>F950</t>
        </is>
      </c>
    </row>
    <row r="11">
      <c r="A11" s="2" t="n"/>
      <c r="B11" s="3" t="inlineStr">
        <is>
          <t>Bond 2019/2024 (ISIN DE000A2TST99): outstanding at the time of the term sheet and to be refinanced from the proceeds of the 2023/2028 bond; amount and coupon not stated here.</t>
        </is>
      </c>
      <c r="C11" s="2" t="inlineStr">
        <is>
          <t>S4</t>
        </is>
      </c>
      <c r="D11" s="2" t="n">
        <v>1</v>
      </c>
      <c r="E11" s="2" t="inlineStr">
        <is>
          <t>F951</t>
        </is>
      </c>
    </row>
    <row r="12">
      <c r="A12" s="2" t="n"/>
      <c r="B12" s="3" t="inlineStr">
        <is>
          <t>Liabilities to banks total EUR 72.0m at 31 Dec 2025 (2024: 50.4) within financial liabilities of 352.8.</t>
        </is>
      </c>
      <c r="C12" s="2" t="inlineStr">
        <is>
          <t>S3</t>
        </is>
      </c>
      <c r="D12" s="2" t="n">
        <v>58</v>
      </c>
      <c r="E12" s="2" t="inlineStr">
        <is>
          <t>F686</t>
        </is>
      </c>
    </row>
    <row r="13">
      <c r="A13" s="2" t="n"/>
      <c r="B13" s="3" t="inlineStr">
        <is>
          <t>Accrued interest liabilities relating to the bond EUR 3.5m at 31 Dec 2025 (2024: 2.1).</t>
        </is>
      </c>
      <c r="C13" s="2" t="inlineStr">
        <is>
          <t>S3</t>
        </is>
      </c>
      <c r="D13" s="2" t="n">
        <v>58</v>
      </c>
      <c r="E13" s="2" t="inlineStr">
        <is>
          <t>F687</t>
        </is>
      </c>
    </row>
    <row r="14">
      <c r="A14" s="2" t="n"/>
      <c r="B14" s="3" t="inlineStr">
        <is>
          <t>Hire purchase liabilities EUR 8.2m at 31 Dec 2025, of which current 2.4 (2024: 6.7, current 5.5); interest expense hire purchases 0.3.</t>
        </is>
      </c>
      <c r="C14" s="2" t="inlineStr">
        <is>
          <t>S3</t>
        </is>
      </c>
      <c r="D14" s="2" t="n">
        <v>58</v>
      </c>
      <c r="E14" s="2" t="inlineStr">
        <is>
          <t>F688</t>
        </is>
      </c>
    </row>
    <row r="15">
      <c r="A15" s="2" t="n"/>
      <c r="B15" s="3" t="inlineStr">
        <is>
          <t>Liability from the purchase option on the remaining 25% of Dulcioliva EUR 1.6m, fully recognised as exercise probability unchanged.</t>
        </is>
      </c>
      <c r="C15" s="2" t="inlineStr">
        <is>
          <t>S3</t>
        </is>
      </c>
      <c r="D15" s="2" t="n">
        <v>58</v>
      </c>
      <c r="E15" s="2" t="inlineStr">
        <is>
          <t>F689</t>
        </is>
      </c>
    </row>
    <row r="16">
      <c r="A16" s="2" t="n"/>
      <c r="B16" s="3" t="inlineStr">
        <is>
          <t>Put option granted to Bogner non-controlling shareholders recognised as financial liability of EUR 5.5m since initial consolidation.</t>
        </is>
      </c>
      <c r="C16" s="2" t="inlineStr">
        <is>
          <t>S3</t>
        </is>
      </c>
      <c r="D16" s="2" t="n">
        <v>58</v>
      </c>
      <c r="E16" s="2" t="inlineStr">
        <is>
          <t>F690</t>
        </is>
      </c>
    </row>
    <row r="17">
      <c r="A17" s="2" t="n"/>
      <c r="B17" s="3" t="inlineStr">
        <is>
          <t>2023/2028 corporate bond, 6.75% fixed, issued September 2023 at EUR 115m, increased by EUR 70m in August 2025 to EUR 185.0m outstanding at 31 Dec 2025 (2024: 115.0); interest expense 2025 EUR 9.5m; no ISIN or security stated.</t>
        </is>
      </c>
      <c r="C17" s="2" t="inlineStr">
        <is>
          <t>S3</t>
        </is>
      </c>
      <c r="D17" s="2" t="n">
        <v>63</v>
      </c>
      <c r="E17" s="2" t="inlineStr">
        <is>
          <t>F691</t>
        </is>
      </c>
    </row>
    <row r="18">
      <c r="A18" s="2" t="n"/>
      <c r="B18" s="3" t="inlineStr">
        <is>
          <t>Bank loan of kEUR 24,000 at 5.6%, EUR 16.8m outstanding at 31 Dec 2025 (2024: 20.9).</t>
        </is>
      </c>
      <c r="C18" s="2" t="inlineStr">
        <is>
          <t>S3</t>
        </is>
      </c>
      <c r="D18" s="2" t="n">
        <v>63</v>
      </c>
      <c r="E18" s="2" t="inlineStr">
        <is>
          <t>F692</t>
        </is>
      </c>
    </row>
    <row r="19">
      <c r="A19" s="2" t="n"/>
      <c r="B19" s="3" t="inlineStr">
        <is>
          <t>Bank loan of kEUR 11,700 at 2.9%, EUR 0.0m outstanding at 31 Dec 2025 (2024: 3.7), i.e. repaid in 2025.</t>
        </is>
      </c>
      <c r="C19" s="2" t="inlineStr">
        <is>
          <t>S3</t>
        </is>
      </c>
      <c r="D19" s="2" t="n">
        <v>63</v>
      </c>
      <c r="E19" s="2" t="inlineStr">
        <is>
          <t>F693</t>
        </is>
      </c>
    </row>
    <row r="20">
      <c r="A20" s="2" t="n"/>
      <c r="B20" s="3" t="inlineStr">
        <is>
          <t>Revolving line of up to kEUR 40,000 at 6.65%, EUR 16.3m drawn at 31 Dec 2025 (2024: 0.0).</t>
        </is>
      </c>
      <c r="C20" s="2" t="inlineStr">
        <is>
          <t>S3</t>
        </is>
      </c>
      <c r="D20" s="2" t="n">
        <v>63</v>
      </c>
      <c r="E20" s="2" t="inlineStr">
        <is>
          <t>F694</t>
        </is>
      </c>
    </row>
    <row r="21">
      <c r="A21" s="2" t="n"/>
      <c r="B21" s="3" t="inlineStr">
        <is>
          <t>Bank loan of kEUR 5,000 at 4.98%, EUR 3.6m outstanding at 31 Dec 2025 (2024: 5.0).</t>
        </is>
      </c>
      <c r="C21" s="2" t="inlineStr">
        <is>
          <t>S3</t>
        </is>
      </c>
      <c r="D21" s="2" t="n">
        <v>63</v>
      </c>
      <c r="E21" s="2" t="inlineStr">
        <is>
          <t>F695</t>
        </is>
      </c>
    </row>
    <row r="22">
      <c r="A22" s="2" t="n"/>
      <c r="B22" s="3" t="inlineStr">
        <is>
          <t>Bank loan of kEUR 5,000 at 8.5%, EUR 1.9m outstanding at 31 Dec 2025 (2024: 3.1).</t>
        </is>
      </c>
      <c r="C22" s="2" t="inlineStr">
        <is>
          <t>S3</t>
        </is>
      </c>
      <c r="D22" s="2" t="n">
        <v>63</v>
      </c>
      <c r="E22" s="2" t="inlineStr">
        <is>
          <t>F696</t>
        </is>
      </c>
    </row>
    <row r="23">
      <c r="A23" s="2" t="n"/>
      <c r="B23" s="3" t="inlineStr">
        <is>
          <t>Bank loan of kEUR 3,000 at 2.0%, EUR 0.0m outstanding at 31 Dec 2025 (2024: 0.4).</t>
        </is>
      </c>
      <c r="C23" s="2" t="inlineStr">
        <is>
          <t>S3</t>
        </is>
      </c>
      <c r="D23" s="2" t="n">
        <v>63</v>
      </c>
      <c r="E23" s="2" t="inlineStr">
        <is>
          <t>F697</t>
        </is>
      </c>
    </row>
    <row r="24">
      <c r="A24" s="2" t="n"/>
      <c r="B24" s="3" t="inlineStr">
        <is>
          <t>Other loans, variable and fixed rate, EUR 42.8m at 31 Dec 2025 (2024: 24.0).</t>
        </is>
      </c>
      <c r="C24" s="2" t="inlineStr">
        <is>
          <t>S3</t>
        </is>
      </c>
      <c r="D24" s="2" t="n">
        <v>63</v>
      </c>
      <c r="E24" s="2" t="inlineStr">
        <is>
          <t>F698</t>
        </is>
      </c>
    </row>
    <row r="25">
      <c r="A25" s="2" t="n"/>
      <c r="B25" s="3" t="inlineStr">
        <is>
          <t>Other financial interest-bearing liabilities, variable and fixed, EUR 82.4m at 31 Dec 2025 (2024: 14.7); per note 6.2 mainly lease liabilities and the option liabilities for Dulcioliva and Bogner minorities.</t>
        </is>
      </c>
      <c r="C25" s="2" t="inlineStr">
        <is>
          <t>S3</t>
        </is>
      </c>
      <c r="D25" s="2" t="n">
        <v>63</v>
      </c>
      <c r="E25" s="2" t="inlineStr">
        <is>
          <t>F699</t>
        </is>
      </c>
    </row>
    <row r="26">
      <c r="A26" s="2" t="n"/>
      <c r="B26" s="3" t="inlineStr">
        <is>
          <t>Hire purchase liabilities EUR 6.7m at 31 Dec 2024, of which 5.5 current (2023: 3.0, of which 1.8 current).</t>
        </is>
      </c>
      <c r="C26" s="2" t="inlineStr">
        <is>
          <t>S2</t>
        </is>
      </c>
      <c r="D26" s="2" t="n">
        <v>60</v>
      </c>
      <c r="E26" s="2" t="inlineStr">
        <is>
          <t>F394</t>
        </is>
      </c>
    </row>
    <row r="27">
      <c r="A27" s="2" t="n"/>
      <c r="B27" s="3" t="inlineStr">
        <is>
          <t>Liabilities to financial institutions EUR 50.4m at 31 Dec 2024 (2023: 56.3); accrued bond interest 2.1 (2023: 2.1).</t>
        </is>
      </c>
      <c r="C27" s="2" t="inlineStr">
        <is>
          <t>S2</t>
        </is>
      </c>
      <c r="D27" s="2" t="n">
        <v>60</v>
      </c>
      <c r="E27" s="2" t="inlineStr">
        <is>
          <t>F395</t>
        </is>
      </c>
    </row>
    <row r="28">
      <c r="A28" s="2" t="n"/>
      <c r="B28" s="3" t="inlineStr">
        <is>
          <t>Corporate bond 2023/2028, EUR 115.0m outstanding at 31 Dec 2024 and 2023, fixed coupon 6.75%, issued September 2023, no security or ranking stated.</t>
        </is>
      </c>
      <c r="C28" s="2" t="inlineStr">
        <is>
          <t>S2</t>
        </is>
      </c>
      <c r="D28" s="2" t="n">
        <v>65</v>
      </c>
      <c r="E28" s="2" t="inlineStr">
        <is>
          <t>F396</t>
        </is>
      </c>
    </row>
    <row r="29">
      <c r="A29" s="2" t="n"/>
      <c r="B29" s="3" t="inlineStr">
        <is>
          <t>Bank loan with original amount kEUR 24,000, interest 5.6%, EUR 20.9m outstanding at 31 Dec 2024 (2023: 24.0); lender and maturity not named.</t>
        </is>
      </c>
      <c r="C29" s="2" t="inlineStr">
        <is>
          <t>S2</t>
        </is>
      </c>
      <c r="D29" s="2" t="n">
        <v>65</v>
      </c>
      <c r="E29" s="2" t="inlineStr">
        <is>
          <t>F397</t>
        </is>
      </c>
    </row>
    <row r="30">
      <c r="A30" s="2" t="n"/>
      <c r="B30" s="3" t="inlineStr">
        <is>
          <t>Bank loan with original amount kEUR 11,700, interest 2.9%, EUR 3.7m outstanding at 31 Dec 2024 (2023: 6.0).</t>
        </is>
      </c>
      <c r="C30" s="2" t="inlineStr">
        <is>
          <t>S2</t>
        </is>
      </c>
      <c r="D30" s="2" t="n">
        <v>65</v>
      </c>
      <c r="E30" s="2" t="inlineStr">
        <is>
          <t>F398</t>
        </is>
      </c>
    </row>
    <row r="31">
      <c r="A31" s="2" t="n"/>
      <c r="B31" s="3" t="inlineStr">
        <is>
          <t>Bank loan with original amount kEUR 5,000, interest 4.98%, EUR 5.0m outstanding at 31 Dec 2024 (2023: 5.0).</t>
        </is>
      </c>
      <c r="C31" s="2" t="inlineStr">
        <is>
          <t>S2</t>
        </is>
      </c>
      <c r="D31" s="2" t="n">
        <v>65</v>
      </c>
      <c r="E31" s="2" t="inlineStr">
        <is>
          <t>F399</t>
        </is>
      </c>
    </row>
    <row r="32">
      <c r="A32" s="2" t="n"/>
      <c r="B32" s="3" t="inlineStr">
        <is>
          <t>Bank loan with original amount kEUR 5,000, interest 8.5%, EUR 3.1m outstanding at 31 Dec 2024 (2023: 4.4).</t>
        </is>
      </c>
      <c r="C32" s="2" t="inlineStr">
        <is>
          <t>S2</t>
        </is>
      </c>
      <c r="D32" s="2" t="n">
        <v>65</v>
      </c>
      <c r="E32" s="2" t="inlineStr">
        <is>
          <t>F400</t>
        </is>
      </c>
    </row>
    <row r="33">
      <c r="A33" s="2" t="n"/>
      <c r="B33" s="3" t="inlineStr">
        <is>
          <t>Bank loan with original amount kEUR 5,000, interest 0.7%, fully repaid: EUR 0.0m at 31 Dec 2024 (2023: 1.7).</t>
        </is>
      </c>
      <c r="C33" s="2" t="inlineStr">
        <is>
          <t>S2</t>
        </is>
      </c>
      <c r="D33" s="2" t="n">
        <v>65</v>
      </c>
      <c r="E33" s="2" t="inlineStr">
        <is>
          <t>F401</t>
        </is>
      </c>
    </row>
    <row r="34">
      <c r="A34" s="2" t="n"/>
      <c r="B34" s="3" t="inlineStr">
        <is>
          <t>Bank loan with original amount kEUR 3,000, interest 2.0%, EUR 0.4m outstanding at 31 Dec 2024 (2023: 1.1).</t>
        </is>
      </c>
      <c r="C34" s="2" t="inlineStr">
        <is>
          <t>S2</t>
        </is>
      </c>
      <c r="D34" s="2" t="n">
        <v>65</v>
      </c>
      <c r="E34" s="2" t="inlineStr">
        <is>
          <t>F402</t>
        </is>
      </c>
    </row>
    <row r="35">
      <c r="A35" s="2" t="n"/>
      <c r="B35" s="3" t="inlineStr">
        <is>
          <t>Bank loan with original amount kEUR 3,000, interest 1.8%, fully repaid: EUR 0.0m at 31 Dec 2024 (2023: 0.3).</t>
        </is>
      </c>
      <c r="C35" s="2" t="inlineStr">
        <is>
          <t>S2</t>
        </is>
      </c>
      <c r="D35" s="2" t="n">
        <v>65</v>
      </c>
      <c r="E35" s="2" t="inlineStr">
        <is>
          <t>F403</t>
        </is>
      </c>
    </row>
    <row r="36">
      <c r="A36" s="2" t="n"/>
      <c r="B36" s="3" t="inlineStr">
        <is>
          <t>Other loans, variable and fixed rates, EUR 24.0m at 31 Dec 2024 (2023: 16.9).</t>
        </is>
      </c>
      <c r="C36" s="2" t="inlineStr">
        <is>
          <t>S2</t>
        </is>
      </c>
      <c r="D36" s="2" t="n">
        <v>65</v>
      </c>
      <c r="E36" s="2" t="inlineStr">
        <is>
          <t>F404</t>
        </is>
      </c>
    </row>
    <row r="37">
      <c r="A37" s="2" t="n"/>
      <c r="B37" s="3" t="inlineStr">
        <is>
          <t>Other financial interest-bearing liabilities, variable and fixed rates, EUR 14.7m at 31 Dec 2024 (2023: 15.3).</t>
        </is>
      </c>
      <c r="C37" s="2" t="inlineStr">
        <is>
          <t>S2</t>
        </is>
      </c>
      <c r="D37" s="2" t="n">
        <v>65</v>
      </c>
      <c r="E37" s="2" t="inlineStr">
        <is>
          <t>F405</t>
        </is>
      </c>
    </row>
    <row r="38">
      <c r="A38" s="2" t="n"/>
      <c r="B38" s="3" t="inlineStr">
        <is>
          <t>Supplier financing arrangement with a bank: EUR 3.0m recognised as liability to banks at 31 Dec 2024, of which 2.7 already paid out to suppliers; average payment term about 60 to 75 days.</t>
        </is>
      </c>
      <c r="C38" s="2" t="inlineStr">
        <is>
          <t>S2</t>
        </is>
      </c>
      <c r="D38" s="2" t="n">
        <v>69</v>
      </c>
      <c r="E38" s="2" t="inlineStr">
        <is>
          <t>F406</t>
        </is>
      </c>
    </row>
    <row r="39">
      <c r="A39" s="2" t="n"/>
      <c r="B39" s="3" t="inlineStr">
        <is>
          <t>Liabilities to banks total EUR 56.3m at 31 Dec 2023 (2022: EUR 42.5m); fair value equals carrying amount.</t>
        </is>
      </c>
      <c r="C39" s="2" t="inlineStr">
        <is>
          <t>S1</t>
        </is>
      </c>
      <c r="D39" s="2" t="n">
        <v>64</v>
      </c>
      <c r="E39" s="2" t="inlineStr">
        <is>
          <t>F079</t>
        </is>
      </c>
    </row>
    <row r="40">
      <c r="A40" s="2" t="n"/>
      <c r="B40" s="3" t="inlineStr">
        <is>
          <t>Liability from the takeover of the Viersen production site (oral care division) EUR 6.4m, remaining purchase price due 2 January 2024.</t>
        </is>
      </c>
      <c r="C40" s="2" t="inlineStr">
        <is>
          <t>S1</t>
        </is>
      </c>
      <c r="D40" s="2" t="n">
        <v>64</v>
      </c>
      <c r="E40" s="2" t="inlineStr">
        <is>
          <t>F080</t>
        </is>
      </c>
    </row>
    <row r="41">
      <c r="A41" s="2" t="n"/>
      <c r="B41" s="3" t="inlineStr">
        <is>
          <t>Hire-purchase contract liabilities EUR 3.0m (2022: 2.7).</t>
        </is>
      </c>
      <c r="C41" s="2" t="inlineStr">
        <is>
          <t>S1</t>
        </is>
      </c>
      <c r="D41" s="2" t="n">
        <v>64</v>
      </c>
      <c r="E41" s="2" t="inlineStr">
        <is>
          <t>F081</t>
        </is>
      </c>
    </row>
    <row r="42">
      <c r="A42" s="2" t="n"/>
      <c r="B42" s="3" t="inlineStr">
        <is>
          <t>Corporate bond 2023/2028, EUR 115.0m, fixed 6.75% (previous bond 4.25%), issued September 2023, maturity 2028, Nordic bond format, unsecured per reported terms not stated; carrying 115.0, fair value 123.1; accrued interest 2.1; bond interest expense 6.5 in 2023.</t>
        </is>
      </c>
      <c r="C42" s="2" t="inlineStr">
        <is>
          <t>S1</t>
        </is>
      </c>
      <c r="D42" s="2" t="n">
        <v>69</v>
      </c>
      <c r="E42" s="2" t="inlineStr">
        <is>
          <t>F082</t>
        </is>
      </c>
    </row>
    <row r="43">
      <c r="A43" s="2" t="n"/>
      <c r="B43" s="3" t="inlineStr">
        <is>
          <t>Bank loan facility kEUR 24,000 at 5.6%, EUR 24.0m outstanding at 31 Dec 2023 (2022: 15.0); management report attributes the increase to the acquisition loan for the oral care business (Viersen production facility).</t>
        </is>
      </c>
      <c r="C43" s="2" t="inlineStr">
        <is>
          <t>S1</t>
        </is>
      </c>
      <c r="D43" s="2" t="n">
        <v>69</v>
      </c>
      <c r="E43" s="2" t="inlineStr">
        <is>
          <t>F083</t>
        </is>
      </c>
    </row>
    <row r="44">
      <c r="A44" s="2" t="n"/>
      <c r="B44" s="3" t="inlineStr">
        <is>
          <t>Bank loan kEUR 11,700 at 2.9%, EUR 6.0m outstanding (2022: 8.2).</t>
        </is>
      </c>
      <c r="C44" s="2" t="inlineStr">
        <is>
          <t>S1</t>
        </is>
      </c>
      <c r="D44" s="2" t="n">
        <v>69</v>
      </c>
      <c r="E44" s="2" t="inlineStr">
        <is>
          <t>F084</t>
        </is>
      </c>
    </row>
    <row r="45">
      <c r="A45" s="2" t="n"/>
      <c r="B45" s="3" t="inlineStr">
        <is>
          <t>Bank loan kEUR 5,000 at 4.98%, EUR 5.0m outstanding (2022: 0.0), new in 2023.</t>
        </is>
      </c>
      <c r="C45" s="2" t="inlineStr">
        <is>
          <t>S1</t>
        </is>
      </c>
      <c r="D45" s="2" t="n">
        <v>69</v>
      </c>
      <c r="E45" s="2" t="inlineStr">
        <is>
          <t>F085</t>
        </is>
      </c>
    </row>
    <row r="46">
      <c r="A46" s="2" t="n"/>
      <c r="B46" s="3" t="inlineStr">
        <is>
          <t>Bank loan kEUR 5,000 at 8.5%, EUR 4.4m outstanding (2022: 0.0), new in 2023.</t>
        </is>
      </c>
      <c r="C46" s="2" t="inlineStr">
        <is>
          <t>S1</t>
        </is>
      </c>
      <c r="D46" s="2" t="n">
        <v>69</v>
      </c>
      <c r="E46" s="2" t="inlineStr">
        <is>
          <t>F086</t>
        </is>
      </c>
    </row>
    <row r="47">
      <c r="A47" s="2" t="n"/>
      <c r="B47" s="3" t="inlineStr">
        <is>
          <t>Bank loan kEUR 5,000 at 0.7%, EUR 1.7m outstanding (2022: 3.3); p72 reports a 2020 liquidity-support loan of EUR 5.0m with EUR 1.7m outstanding, secured by a state guarantee for the majority of the amount.</t>
        </is>
      </c>
      <c r="C47" s="2" t="inlineStr">
        <is>
          <t>S1</t>
        </is>
      </c>
      <c r="D47" s="2" t="n">
        <v>69</v>
      </c>
      <c r="E47" s="2" t="inlineStr">
        <is>
          <t>F087</t>
        </is>
      </c>
    </row>
    <row r="48">
      <c r="A48" s="2" t="n"/>
      <c r="B48" s="3" t="inlineStr">
        <is>
          <t>Bank loan kEUR 3,000 at 2.0%, EUR 1.1m outstanding (2022: 1.9).</t>
        </is>
      </c>
      <c r="C48" s="2" t="inlineStr">
        <is>
          <t>S1</t>
        </is>
      </c>
      <c r="D48" s="2" t="n">
        <v>69</v>
      </c>
      <c r="E48" s="2" t="inlineStr">
        <is>
          <t>F088</t>
        </is>
      </c>
    </row>
    <row r="49">
      <c r="A49" s="2" t="n"/>
      <c r="B49" s="3" t="inlineStr">
        <is>
          <t>Bank loan kEUR 3,000 at 1.8%, EUR 0.3m outstanding (2022: 0.9).</t>
        </is>
      </c>
      <c r="C49" s="2" t="inlineStr">
        <is>
          <t>S1</t>
        </is>
      </c>
      <c r="D49" s="2" t="n">
        <v>69</v>
      </c>
      <c r="E49" s="2" t="inlineStr">
        <is>
          <t>F089</t>
        </is>
      </c>
    </row>
    <row r="50">
      <c r="A50" s="2" t="n"/>
      <c r="B50" s="3" t="inlineStr">
        <is>
          <t>Bank loan kEUR 1,500 at 5.6%, EUR 0.0m outstanding at 31 Dec 2023 (2022: 1.5), repaid during 2023.</t>
        </is>
      </c>
      <c r="C50" s="2" t="inlineStr">
        <is>
          <t>S1</t>
        </is>
      </c>
      <c r="D50" s="2" t="n">
        <v>69</v>
      </c>
      <c r="E50" s="2" t="inlineStr">
        <is>
          <t>F090</t>
        </is>
      </c>
    </row>
    <row r="51">
      <c r="A51" s="2" t="n"/>
      <c r="B51" s="3" t="inlineStr">
        <is>
          <t>Other loans, variable and fixed rates, EUR 12.5m (2022: 11.7).</t>
        </is>
      </c>
      <c r="C51" s="2" t="inlineStr">
        <is>
          <t>S1</t>
        </is>
      </c>
      <c r="D51" s="2" t="n">
        <v>69</v>
      </c>
      <c r="E51" s="2" t="inlineStr">
        <is>
          <t>F091</t>
        </is>
      </c>
    </row>
    <row r="52">
      <c r="A52" s="2" t="n"/>
      <c r="B52" s="3" t="inlineStr">
        <is>
          <t>Other financial interest-bearing liabilities, variable and fixed, EUR 8.9m (2022: 10.7, adjusted).</t>
        </is>
      </c>
      <c r="C52" s="2" t="inlineStr">
        <is>
          <t>S1</t>
        </is>
      </c>
      <c r="D52" s="2" t="n">
        <v>69</v>
      </c>
      <c r="E52" s="2" t="inlineStr">
        <is>
          <t>F092</t>
        </is>
      </c>
    </row>
    <row r="53">
      <c r="A53" s="2" t="n"/>
      <c r="B53" s="3" t="inlineStr">
        <is>
          <t>2020 liquidity-support bank loan: total EUR 5.0m, EUR 1.7m outstanding at 31 Dec 2023, not from a development bank, majority secured by a state guarantee.</t>
        </is>
      </c>
      <c r="C53" s="2" t="inlineStr">
        <is>
          <t>S1</t>
        </is>
      </c>
      <c r="D53" s="2" t="n">
        <v>72</v>
      </c>
      <c r="E53" s="2" t="inlineStr">
        <is>
          <t>F093</t>
        </is>
      </c>
    </row>
    <row r="54">
      <c r="A54" s="2" t="n"/>
      <c r="B54" s="2" t="inlineStr">
        <is>
          <t>COVENANTS AND TERMS</t>
        </is>
      </c>
      <c r="C54" s="2" t="n"/>
      <c r="D54" s="2" t="n"/>
      <c r="E54" s="2" t="n"/>
    </row>
    <row r="55">
      <c r="A55" s="2" t="n"/>
      <c r="B55" s="3" t="inlineStr">
        <is>
          <t>covenant: debt incurrence test; formula: Nettoverschuldung (Net Debt) / EBITDA; threshold: 3.75x; direction: max; test frequency: on each incurrence of additional debt</t>
        </is>
      </c>
      <c r="C55" s="2" t="inlineStr">
        <is>
          <t>S4</t>
        </is>
      </c>
      <c r="D55" s="2" t="n">
        <v>2</v>
      </c>
      <c r="E55" s="2" t="inlineStr">
        <is>
          <t>F970</t>
        </is>
      </c>
    </row>
    <row r="56">
      <c r="A56" s="2" t="n"/>
      <c r="B56" s="3" t="inlineStr">
        <is>
          <t>covenant: distribution test; formula: Nettoverschuldung (Net Debt) / EBITDA after the distribution; threshold: 3.75x; direction: max; test frequency: on each distribution to shareholders</t>
        </is>
      </c>
      <c r="C56" s="2" t="inlineStr">
        <is>
          <t>S4</t>
        </is>
      </c>
      <c r="D56" s="2" t="n">
        <v>2</v>
      </c>
      <c r="E56" s="2" t="inlineStr">
        <is>
          <t>F971</t>
        </is>
      </c>
    </row>
    <row r="57">
      <c r="A57" s="2" t="n"/>
      <c r="B57" s="3" t="inlineStr">
        <is>
          <t>covenant: negative pledge basket; formula: liabilities secured on the assets of the issuer or group; threshold: EUR 1.0m or, if greater, 5% of EBITDA; direction: max</t>
        </is>
      </c>
      <c r="C57" s="2" t="inlineStr">
        <is>
          <t>S4</t>
        </is>
      </c>
      <c r="D57" s="2" t="n">
        <v>2</v>
      </c>
      <c r="E57" s="2" t="inlineStr">
        <is>
          <t>F972</t>
        </is>
      </c>
    </row>
    <row r="58">
      <c r="A58" s="2" t="n"/>
      <c r="B58" s="3" t="inlineStr">
        <is>
          <t>Breach of the issuer's undertakings, or events such as non-compliance with certain financial ratios, gives bondholders termination rights, subject to cure periods and the further conditions of the bond terms.</t>
        </is>
      </c>
      <c r="C58" s="2" t="inlineStr">
        <is>
          <t>S4</t>
        </is>
      </c>
      <c r="D58" s="2" t="n">
        <v>1</v>
      </c>
      <c r="E58" s="2" t="inlineStr">
        <is>
          <t>F952</t>
        </is>
      </c>
    </row>
    <row r="59">
      <c r="A59" s="2" t="n"/>
      <c r="B59" s="3" t="inlineStr">
        <is>
          <t>Undertakings restrict mergers or similar business combinations.</t>
        </is>
      </c>
      <c r="C59" s="2" t="inlineStr">
        <is>
          <t>S4</t>
        </is>
      </c>
      <c r="D59" s="2" t="n">
        <v>1</v>
      </c>
      <c r="E59" s="2" t="inlineStr">
        <is>
          <t>F953</t>
        </is>
      </c>
    </row>
    <row r="60">
      <c r="A60" s="2" t="n"/>
      <c r="B60" s="3" t="inlineStr">
        <is>
          <t>Undertakings restrict disposals of assets.</t>
        </is>
      </c>
      <c r="C60" s="2" t="inlineStr">
        <is>
          <t>S4</t>
        </is>
      </c>
      <c r="D60" s="2" t="n">
        <v>1</v>
      </c>
      <c r="E60" s="2" t="inlineStr">
        <is>
          <t>F954</t>
        </is>
      </c>
    </row>
    <row r="61">
      <c r="A61" s="2" t="n"/>
      <c r="B61" s="3" t="inlineStr">
        <is>
          <t>Undertakings restrict financial indebtedness (Financial Indebtedness).</t>
        </is>
      </c>
      <c r="C61" s="2" t="inlineStr">
        <is>
          <t>S4</t>
        </is>
      </c>
      <c r="D61" s="2" t="n">
        <v>1</v>
      </c>
      <c r="E61" s="2" t="inlineStr">
        <is>
          <t>F955</t>
        </is>
      </c>
    </row>
    <row r="62">
      <c r="A62" s="2" t="n"/>
      <c r="B62" s="3" t="inlineStr">
        <is>
          <t>Debt incurrence test: additional financial indebtedness of the issuer is permitted only if Net Debt / EBITDA is below 3.75x.</t>
        </is>
      </c>
      <c r="C62" s="2" t="inlineStr">
        <is>
          <t>S4</t>
        </is>
      </c>
      <c r="D62" s="2" t="n">
        <v>2</v>
      </c>
      <c r="E62" s="2" t="inlineStr">
        <is>
          <t>F956</t>
        </is>
      </c>
    </row>
    <row r="63">
      <c r="A63" s="2" t="n"/>
      <c r="B63" s="3" t="inlineStr">
        <is>
          <t>Distributions to shareholders, including repayments of and interest on shareholder loans, are permitted only if Net Debt / EBITDA remains below 3.75x after the distribution.</t>
        </is>
      </c>
      <c r="C63" s="2" t="inlineStr">
        <is>
          <t>S4</t>
        </is>
      </c>
      <c r="D63" s="2" t="n">
        <v>2</v>
      </c>
      <c r="E63" s="2" t="inlineStr">
        <is>
          <t>F957</t>
        </is>
      </c>
    </row>
    <row r="64">
      <c r="A64" s="2" t="n"/>
      <c r="B64" s="3" t="inlineStr">
        <is>
          <t>Distributions remain permitted to the extent the shareholder bears a tax charge from its participation in the issuer.</t>
        </is>
      </c>
      <c r="C64" s="2" t="inlineStr">
        <is>
          <t>S4</t>
        </is>
      </c>
      <c r="D64" s="2" t="n">
        <v>2</v>
      </c>
      <c r="E64" s="2" t="inlineStr">
        <is>
          <t>F958</t>
        </is>
      </c>
    </row>
    <row r="65">
      <c r="A65" s="2" t="n"/>
      <c r="B65" s="3" t="inlineStr">
        <is>
          <t>Negative pledge: the issuer and group may not grant security over their assets, with exceptions including secured liabilities of up to EUR 1m or, if greater, 5% of EBITDA.</t>
        </is>
      </c>
      <c r="C65" s="2" t="inlineStr">
        <is>
          <t>S4</t>
        </is>
      </c>
      <c r="D65" s="2" t="n">
        <v>2</v>
      </c>
      <c r="E65" s="2" t="inlineStr">
        <is>
          <t>F959</t>
        </is>
      </c>
    </row>
    <row r="66">
      <c r="A66" s="2" t="n"/>
      <c r="B66" s="3" t="inlineStr">
        <is>
          <t>Cross default: the bonds become callable if financial liabilities of EUR 7.5m in aggregate are not paid by the issuer or group or become callable because of insolvency.</t>
        </is>
      </c>
      <c r="C66" s="2" t="inlineStr">
        <is>
          <t>S4</t>
        </is>
      </c>
      <c r="D66" s="2" t="n">
        <v>2</v>
      </c>
      <c r="E66" s="2" t="inlineStr">
        <is>
          <t>F960</t>
        </is>
      </c>
    </row>
    <row r="67">
      <c r="A67" s="2" t="n"/>
      <c r="B67" s="3" t="inlineStr">
        <is>
          <t>Change of control put: bondholders may sell their bonds to the issuer at 101% of nominal plus accrued interest.</t>
        </is>
      </c>
      <c r="C67" s="2" t="inlineStr">
        <is>
          <t>S4</t>
        </is>
      </c>
      <c r="D67" s="2" t="n">
        <v>2</v>
      </c>
      <c r="E67" s="2" t="inlineStr">
        <is>
          <t>F961</t>
        </is>
      </c>
    </row>
    <row r="68">
      <c r="A68" s="2" t="n"/>
      <c r="B68" s="3" t="inlineStr">
        <is>
          <t>Before an IPO, a change of control occurs if Bastian Fassin and Tobias Bachmüller together no longer own and control, directly or indirectly, more than 50.0% of the shares and votes, or lose the power to appoint or remove the majority of the management.</t>
        </is>
      </c>
      <c r="C68" s="2" t="inlineStr">
        <is>
          <t>S4</t>
        </is>
      </c>
      <c r="D68" s="2" t="n">
        <v>2</v>
      </c>
      <c r="E68" s="2" t="inlineStr">
        <is>
          <t>F962</t>
        </is>
      </c>
    </row>
    <row r="69">
      <c r="A69" s="2" t="n"/>
      <c r="B69" s="3" t="inlineStr">
        <is>
          <t>After an IPO, a change of control occurs if a person or a group acting together, other than Bastian Fassin and Tobias Bachmüller, owns or controls 50.0% or more of the shares or votes.</t>
        </is>
      </c>
      <c r="C69" s="2" t="inlineStr">
        <is>
          <t>S4</t>
        </is>
      </c>
      <c r="D69" s="2" t="n">
        <v>2</v>
      </c>
      <c r="E69" s="2" t="inlineStr">
        <is>
          <t>F963</t>
        </is>
      </c>
    </row>
    <row r="70">
      <c r="A70" s="2" t="n"/>
      <c r="B70" s="3" t="inlineStr">
        <is>
          <t>A change of control also occurs at any time on a disposal of the material assets of the issuer or its subsidiaries.</t>
        </is>
      </c>
      <c r="C70" s="2" t="inlineStr">
        <is>
          <t>S4</t>
        </is>
      </c>
      <c r="D70" s="2" t="n">
        <v>2</v>
      </c>
      <c r="E70" s="2" t="inlineStr">
        <is>
          <t>F964</t>
        </is>
      </c>
    </row>
    <row r="71">
      <c r="A71" s="2" t="n"/>
      <c r="B71" s="3" t="inlineStr">
        <is>
          <t>Certain subsidiaries must comply with financial covenants under existing financing agreements; a breach could lead to higher financing costs or early repayment obligations; no covenant definitions or thresholds disclosed.</t>
        </is>
      </c>
      <c r="C71" s="2" t="inlineStr">
        <is>
          <t>S3</t>
        </is>
      </c>
      <c r="D71" s="2" t="n">
        <v>32</v>
      </c>
      <c r="E71" s="2" t="inlineStr">
        <is>
          <t>F700</t>
        </is>
      </c>
    </row>
    <row r="72">
      <c r="A72" s="2" t="n"/>
      <c r="B72" s="3" t="inlineStr">
        <is>
          <t>term: maturity; value: 2028 (bond named '2023/2028 bond')</t>
        </is>
      </c>
      <c r="C72" s="2" t="inlineStr">
        <is>
          <t>S5</t>
        </is>
      </c>
      <c r="D72" s="2" t="n">
        <v>23</v>
      </c>
      <c r="E72" s="2" t="inlineStr">
        <is>
          <t>F1249</t>
        </is>
      </c>
    </row>
    <row r="73">
      <c r="A73" s="2" t="n"/>
      <c r="B73" s="3" t="inlineStr">
        <is>
          <t>term: tap; value: increase of the 2023/2028 bond, EUR 14.8m net of transaction costs received in H1-2026</t>
        </is>
      </c>
      <c r="C73" s="2" t="inlineStr">
        <is>
          <t>S5</t>
        </is>
      </c>
      <c r="D73" s="2" t="n">
        <v>34</v>
      </c>
      <c r="E73" s="2" t="inlineStr">
        <is>
          <t>F1250</t>
        </is>
      </c>
    </row>
    <row r="74">
      <c r="A74" s="2" t="n"/>
      <c r="B74" s="3" t="inlineStr">
        <is>
          <t>term: fair value; value: EUR 191.3m fair value (level II) vs 200.0 carrying amount at 30 June 2026, amortised cost</t>
        </is>
      </c>
      <c r="C74" s="2" t="inlineStr">
        <is>
          <t>S5</t>
        </is>
      </c>
      <c r="D74" s="2" t="n">
        <v>42</v>
      </c>
      <c r="E74" s="2" t="inlineStr">
        <is>
          <t>F1251</t>
        </is>
      </c>
    </row>
    <row r="75">
      <c r="A75" s="2" t="n"/>
      <c r="B75" s="2" t="inlineStr">
        <is>
          <t>term: ISIN; value: NO0012888769</t>
        </is>
      </c>
      <c r="C75" s="2" t="inlineStr">
        <is>
          <t>S4</t>
        </is>
      </c>
      <c r="D75" s="2" t="n">
        <v>1</v>
      </c>
      <c r="E75" s="2" t="inlineStr">
        <is>
          <t>F973</t>
        </is>
      </c>
    </row>
    <row r="76">
      <c r="A76" s="2" t="n"/>
      <c r="B76" s="2" t="inlineStr">
        <is>
          <t>term: WKN; value: A30V78</t>
        </is>
      </c>
      <c r="C76" s="2" t="inlineStr">
        <is>
          <t>S4</t>
        </is>
      </c>
      <c r="D76" s="2" t="n">
        <v>1</v>
      </c>
      <c r="E76" s="2" t="inlineStr">
        <is>
          <t>F974</t>
        </is>
      </c>
    </row>
    <row r="77">
      <c r="A77" s="2" t="n"/>
      <c r="B77" s="3" t="inlineStr">
        <is>
          <t>term: instrument type; value: Inhaberschuldverschreibung (bearer bond)</t>
        </is>
      </c>
      <c r="C77" s="2" t="inlineStr">
        <is>
          <t>S4</t>
        </is>
      </c>
      <c r="D77" s="2" t="n">
        <v>1</v>
      </c>
      <c r="E77" s="2" t="inlineStr">
        <is>
          <t>F975</t>
        </is>
      </c>
    </row>
    <row r="78">
      <c r="A78" s="2" t="n"/>
      <c r="B78" s="3" t="inlineStr">
        <is>
          <t>term: ranking and security; value: senior unsecured (nicht nachrangig, unbesichert)</t>
        </is>
      </c>
      <c r="C78" s="2" t="inlineStr">
        <is>
          <t>S4</t>
        </is>
      </c>
      <c r="D78" s="2" t="n">
        <v>1</v>
      </c>
      <c r="E78" s="2" t="inlineStr">
        <is>
          <t>F976</t>
        </is>
      </c>
    </row>
    <row r="79">
      <c r="A79" s="2" t="n"/>
      <c r="B79" s="2" t="inlineStr">
        <is>
          <t>term: target volume; value: EUR 110.0m</t>
        </is>
      </c>
      <c r="C79" s="2" t="inlineStr">
        <is>
          <t>S4</t>
        </is>
      </c>
      <c r="D79" s="2" t="n">
        <v>1</v>
      </c>
      <c r="E79" s="2" t="inlineStr">
        <is>
          <t>F977</t>
        </is>
      </c>
    </row>
    <row r="80">
      <c r="A80" s="2" t="n"/>
      <c r="B80" s="2" t="inlineStr">
        <is>
          <t>term: minimum volume; value: EUR 80.0m</t>
        </is>
      </c>
      <c r="C80" s="2" t="inlineStr">
        <is>
          <t>S4</t>
        </is>
      </c>
      <c r="D80" s="2" t="n">
        <v>1</v>
      </c>
      <c r="E80" s="2" t="inlineStr">
        <is>
          <t>F978</t>
        </is>
      </c>
    </row>
    <row r="81">
      <c r="A81" s="2" t="n"/>
      <c r="B81" s="3" t="inlineStr">
        <is>
          <t>term: denomination; value: EUR 1,000 per bond</t>
        </is>
      </c>
      <c r="C81" s="2" t="inlineStr">
        <is>
          <t>S4</t>
        </is>
      </c>
      <c r="D81" s="2" t="n">
        <v>1</v>
      </c>
      <c r="E81" s="2" t="inlineStr">
        <is>
          <t>F979</t>
        </is>
      </c>
    </row>
    <row r="82">
      <c r="A82" s="2" t="n"/>
      <c r="B82" s="3" t="inlineStr">
        <is>
          <t>term: coupon marketing range; value: 6.25-7.50% p.a.</t>
        </is>
      </c>
      <c r="C82" s="2" t="inlineStr">
        <is>
          <t>S4</t>
        </is>
      </c>
      <c r="D82" s="2" t="n">
        <v>1</v>
      </c>
      <c r="E82" s="2" t="inlineStr">
        <is>
          <t>F980</t>
        </is>
      </c>
    </row>
    <row r="83">
      <c r="A83" s="2" t="n"/>
      <c r="B83" s="3" t="inlineStr">
        <is>
          <t>term: rate type; value: fixed rate, payable semi-annually in arrears on 21 March and 21 September</t>
        </is>
      </c>
      <c r="C83" s="2" t="inlineStr">
        <is>
          <t>S4</t>
        </is>
      </c>
      <c r="D83" s="2" t="n">
        <v>1</v>
      </c>
      <c r="E83" s="2" t="inlineStr">
        <is>
          <t>F981</t>
        </is>
      </c>
    </row>
    <row r="84">
      <c r="A84" s="2" t="n"/>
      <c r="B84" s="3" t="inlineStr">
        <is>
          <t>term: interest dates; value: first coupon 21 March 2024, last coupon 21 September 2028</t>
        </is>
      </c>
      <c r="C84" s="2" t="inlineStr">
        <is>
          <t>S4</t>
        </is>
      </c>
      <c r="D84" s="2" t="n">
        <v>1</v>
      </c>
      <c r="E84" s="2" t="inlineStr">
        <is>
          <t>F982</t>
        </is>
      </c>
    </row>
    <row r="85">
      <c r="A85" s="2" t="n"/>
      <c r="B85" s="2" t="inlineStr">
        <is>
          <t>term: currency; value: EUR</t>
        </is>
      </c>
      <c r="C85" s="2" t="inlineStr">
        <is>
          <t>S4</t>
        </is>
      </c>
      <c r="D85" s="2" t="n">
        <v>1</v>
      </c>
      <c r="E85" s="2" t="inlineStr">
        <is>
          <t>F983</t>
        </is>
      </c>
    </row>
    <row r="86">
      <c r="A86" s="2" t="n"/>
      <c r="B86" s="3" t="inlineStr">
        <is>
          <t>term: issue price; value: 100% of nominal</t>
        </is>
      </c>
      <c r="C86" s="2" t="inlineStr">
        <is>
          <t>S4</t>
        </is>
      </c>
      <c r="D86" s="2" t="n">
        <v>1</v>
      </c>
      <c r="E86" s="2" t="inlineStr">
        <is>
          <t>F984</t>
        </is>
      </c>
    </row>
    <row r="87">
      <c r="A87" s="2" t="n"/>
      <c r="B87" s="3" t="inlineStr">
        <is>
          <t>term: settlement (issue date); value: 2023-09-21</t>
        </is>
      </c>
      <c r="C87" s="2" t="inlineStr">
        <is>
          <t>S4</t>
        </is>
      </c>
      <c r="D87" s="2" t="n">
        <v>1</v>
      </c>
      <c r="E87" s="2" t="inlineStr">
        <is>
          <t>F985</t>
        </is>
      </c>
    </row>
    <row r="88">
      <c r="A88" s="2" t="n"/>
      <c r="B88" s="3" t="inlineStr">
        <is>
          <t>term: maturity; value: 2028-09-21, 5-year term</t>
        </is>
      </c>
      <c r="C88" s="2" t="inlineStr">
        <is>
          <t>S4</t>
        </is>
      </c>
      <c r="D88" s="2" t="n">
        <v>1</v>
      </c>
      <c r="E88" s="2" t="inlineStr">
        <is>
          <t>F986</t>
        </is>
      </c>
    </row>
    <row r="89">
      <c r="A89" s="2" t="n"/>
      <c r="B89" s="3" t="inlineStr">
        <is>
          <t>term: listing; value: Open Market (Freiverkehr) of the Frankfurt Stock Exchange, Quotation Board, planned</t>
        </is>
      </c>
      <c r="C89" s="2" t="inlineStr">
        <is>
          <t>S4</t>
        </is>
      </c>
      <c r="D89" s="2" t="n">
        <v>1</v>
      </c>
      <c r="E89" s="2" t="inlineStr">
        <is>
          <t>F987</t>
        </is>
      </c>
    </row>
    <row r="90">
      <c r="A90" s="2" t="n"/>
      <c r="B90" s="3" t="inlineStr">
        <is>
          <t>term: listing; value: Nordic ABM, Oslo Børs, within 6 months of issue; non-listing may lead to additional interest</t>
        </is>
      </c>
      <c r="C90" s="2" t="inlineStr">
        <is>
          <t>S4</t>
        </is>
      </c>
      <c r="D90" s="2" t="n">
        <v>1</v>
      </c>
      <c r="E90" s="2" t="inlineStr">
        <is>
          <t>F988</t>
        </is>
      </c>
    </row>
    <row r="91">
      <c r="A91" s="2" t="n"/>
      <c r="B91" s="3" t="inlineStr">
        <is>
          <t>term: call; value: issuer call in whole or in part from the issue date until 30 months at the Make Whole Amount as defined in the securities prospectus</t>
        </is>
      </c>
      <c r="C91" s="2" t="inlineStr">
        <is>
          <t>S4</t>
        </is>
      </c>
      <c r="D91" s="2" t="n">
        <v>1</v>
      </c>
      <c r="E91" s="2" t="inlineStr">
        <is>
          <t>F989</t>
        </is>
      </c>
    </row>
    <row r="92">
      <c r="A92" s="2" t="n"/>
      <c r="B92" s="3" t="inlineStr">
        <is>
          <t>term: call; value: after 30 months at 100.00% of nominal plus 50% of the annual coupon</t>
        </is>
      </c>
      <c r="C92" s="2" t="inlineStr">
        <is>
          <t>S4</t>
        </is>
      </c>
      <c r="D92" s="2" t="n">
        <v>1</v>
      </c>
      <c r="E92" s="2" t="inlineStr">
        <is>
          <t>F990</t>
        </is>
      </c>
    </row>
    <row r="93">
      <c r="A93" s="2" t="n"/>
      <c r="B93" s="3" t="inlineStr">
        <is>
          <t>term: call; value: after 36 months at 100.00% of nominal plus 30% of the annual coupon</t>
        </is>
      </c>
      <c r="C93" s="2" t="inlineStr">
        <is>
          <t>S4</t>
        </is>
      </c>
      <c r="D93" s="2" t="n">
        <v>1</v>
      </c>
      <c r="E93" s="2" t="inlineStr">
        <is>
          <t>F991</t>
        </is>
      </c>
    </row>
    <row r="94">
      <c r="A94" s="2" t="n"/>
      <c r="B94" s="3" t="inlineStr">
        <is>
          <t>term: call; value: after 42 months at 100.00% of nominal plus 20% of the annual coupon</t>
        </is>
      </c>
      <c r="C94" s="2" t="inlineStr">
        <is>
          <t>S4</t>
        </is>
      </c>
      <c r="D94" s="2" t="n">
        <v>1</v>
      </c>
      <c r="E94" s="2" t="inlineStr">
        <is>
          <t>F992</t>
        </is>
      </c>
    </row>
    <row r="95">
      <c r="A95" s="2" t="n"/>
      <c r="B95" s="3" t="inlineStr">
        <is>
          <t>term: call; value: after 48 months at 100.00% of nominal plus 10% of the annual coupon</t>
        </is>
      </c>
      <c r="C95" s="2" t="inlineStr">
        <is>
          <t>S4</t>
        </is>
      </c>
      <c r="D95" s="2" t="n">
        <v>1</v>
      </c>
      <c r="E95" s="2" t="inlineStr">
        <is>
          <t>F993</t>
        </is>
      </c>
    </row>
    <row r="96">
      <c r="A96" s="2" t="n"/>
      <c r="B96" s="3" t="inlineStr">
        <is>
          <t>term: call; value: after 54 months at 100.00% of nominal plus 5% of the annual coupon</t>
        </is>
      </c>
      <c r="C96" s="2" t="inlineStr">
        <is>
          <t>S4</t>
        </is>
      </c>
      <c r="D96" s="2" t="n">
        <v>1</v>
      </c>
      <c r="E96" s="2" t="inlineStr">
        <is>
          <t>F994</t>
        </is>
      </c>
    </row>
    <row r="97">
      <c r="A97" s="2" t="n"/>
      <c r="B97" s="3" t="inlineStr">
        <is>
          <t>term: mandatory redemption; value: if the outstanding nominal including taps falls below 40.00% of the initial issue amount excluding taps, the issuer must redeem all remaining bonds</t>
        </is>
      </c>
      <c r="C97" s="2" t="inlineStr">
        <is>
          <t>S4</t>
        </is>
      </c>
      <c r="D97" s="2" t="n">
        <v>1</v>
      </c>
      <c r="E97" s="2" t="inlineStr">
        <is>
          <t>F995</t>
        </is>
      </c>
    </row>
    <row r="98">
      <c r="A98" s="2" t="n"/>
      <c r="B98" s="3" t="inlineStr">
        <is>
          <t>term: clean-up call; value: if more than 90.0% of the outstanding bonds were repurchased under the change-of-control put, the issuer may redeem the remainder at 101.0% of nominal plus accrued unpaid interest</t>
        </is>
      </c>
      <c r="C98" s="2" t="inlineStr">
        <is>
          <t>S4</t>
        </is>
      </c>
      <c r="D98" s="2" t="n">
        <v>1</v>
      </c>
      <c r="E98" s="2" t="inlineStr">
        <is>
          <t>F996</t>
        </is>
      </c>
    </row>
    <row r="99">
      <c r="A99" s="2" t="n"/>
      <c r="B99" s="3" t="inlineStr">
        <is>
          <t>term: prospectus; value: a securities prospectus (Wertpapierprospekt) defines the Make Whole Amount and the detailed use of proceeds</t>
        </is>
      </c>
      <c r="C99" s="2" t="inlineStr">
        <is>
          <t>S4</t>
        </is>
      </c>
      <c r="D99" s="2" t="n">
        <v>1</v>
      </c>
      <c r="E99" s="2" t="inlineStr">
        <is>
          <t>F997</t>
        </is>
      </c>
    </row>
    <row r="100">
      <c r="A100" s="2" t="n"/>
      <c r="B100" s="3" t="inlineStr">
        <is>
          <t>term: trustee; value: Nordic Trustee AS, acting as representative of all bondholders; its actions bind all bondholders</t>
        </is>
      </c>
      <c r="C100" s="2" t="inlineStr">
        <is>
          <t>S4</t>
        </is>
      </c>
      <c r="D100" s="2" t="n">
        <v>2</v>
      </c>
      <c r="E100" s="2" t="inlineStr">
        <is>
          <t>F998</t>
        </is>
      </c>
    </row>
    <row r="101">
      <c r="A101" s="2" t="n"/>
      <c r="B101" s="3" t="inlineStr">
        <is>
          <t>term: governing law and jurisdiction; value: Norwegian law, venue Norway</t>
        </is>
      </c>
      <c r="C101" s="2" t="inlineStr">
        <is>
          <t>S4</t>
        </is>
      </c>
      <c r="D101" s="2" t="n">
        <v>2</v>
      </c>
      <c r="E101" s="2" t="inlineStr">
        <is>
          <t>F999</t>
        </is>
      </c>
    </row>
    <row r="102">
      <c r="A102" s="2" t="n"/>
      <c r="B102" s="3" t="inlineStr">
        <is>
          <t>term: amendments; value: bondholder meeting resolutions bind all holders; quorum 50% of voting bonds; 2/3 majority of votes cast for certain material measures</t>
        </is>
      </c>
      <c r="C102" s="2" t="inlineStr">
        <is>
          <t>S4</t>
        </is>
      </c>
      <c r="D102" s="2" t="n">
        <v>2</v>
      </c>
      <c r="E102" s="2" t="inlineStr">
        <is>
          <t>F1000</t>
        </is>
      </c>
    </row>
    <row r="103">
      <c r="A103" s="2" t="n"/>
      <c r="B103" s="3" t="inlineStr">
        <is>
          <t>term: amendments (second meeting); value: if the quorum is missed a second meeting votes without quorum; voting may also be by written procedure</t>
        </is>
      </c>
      <c r="C103" s="2" t="inlineStr">
        <is>
          <t>S4</t>
        </is>
      </c>
      <c r="D103" s="2" t="n">
        <v>2</v>
      </c>
      <c r="E103" s="2" t="inlineStr">
        <is>
          <t>F1001</t>
        </is>
      </c>
    </row>
    <row r="104">
      <c r="A104" s="2" t="n"/>
      <c r="B104" s="3" t="inlineStr">
        <is>
          <t>term: tap; value: increased by EUR 70m at the beginning of August 2025, placement multiple times oversubscribed; net of transaction costs 68.4 per cash flow statement</t>
        </is>
      </c>
      <c r="C104" s="2" t="inlineStr">
        <is>
          <t>S3</t>
        </is>
      </c>
      <c r="D104" s="2" t="n">
        <v>4</v>
      </c>
      <c r="E104" s="2" t="inlineStr">
        <is>
          <t>F937</t>
        </is>
      </c>
    </row>
    <row r="105">
      <c r="A105" s="2" t="n"/>
      <c r="B105" s="3" t="inlineStr">
        <is>
          <t>term: maturity; value: 2028 (five-year term from issue in September 2023)</t>
        </is>
      </c>
      <c r="C105" s="2" t="inlineStr">
        <is>
          <t>S3</t>
        </is>
      </c>
      <c r="D105" s="2" t="n">
        <v>26</v>
      </c>
      <c r="E105" s="2" t="inlineStr">
        <is>
          <t>F938</t>
        </is>
      </c>
    </row>
    <row r="106">
      <c r="A106" s="2" t="n"/>
      <c r="B106" s="3" t="inlineStr">
        <is>
          <t>term: fair value; value: 193.3 vs carrying amount 185.0 at 31 Dec 2025 (level II, amortised cost)</t>
        </is>
      </c>
      <c r="C106" s="2" t="inlineStr">
        <is>
          <t>S3</t>
        </is>
      </c>
      <c r="D106" s="2" t="n">
        <v>62</v>
      </c>
      <c r="E106" s="2" t="inlineStr">
        <is>
          <t>F939</t>
        </is>
      </c>
    </row>
    <row r="107">
      <c r="A107" s="2" t="n"/>
      <c r="B107" s="3" t="inlineStr">
        <is>
          <t>term: rate type; value: fixed 6.75% coupon, 2023/2028 bond</t>
        </is>
      </c>
      <c r="C107" s="2" t="inlineStr">
        <is>
          <t>S3</t>
        </is>
      </c>
      <c r="D107" s="2" t="n">
        <v>68</v>
      </c>
      <c r="E107" s="2" t="inlineStr">
        <is>
          <t>F940</t>
        </is>
      </c>
    </row>
    <row r="108">
      <c r="A108" s="2" t="n"/>
      <c r="B108" s="3" t="inlineStr">
        <is>
          <t>term: tap; value: increased by EUR 15m to EUR 200m in March 2026 alongside the Missoni signing (event after the balance sheet date)</t>
        </is>
      </c>
      <c r="C108" s="2" t="inlineStr">
        <is>
          <t>S3</t>
        </is>
      </c>
      <c r="D108" s="2" t="n">
        <v>81</v>
      </c>
      <c r="E108" s="2" t="inlineStr">
        <is>
          <t>F941</t>
        </is>
      </c>
    </row>
    <row r="109">
      <c r="A109" s="2" t="n"/>
      <c r="B109" s="3" t="inlineStr">
        <is>
          <t>term: maturity; value: 2028 (bond 2023/2028, issued September 2023)</t>
        </is>
      </c>
      <c r="C109" s="2" t="inlineStr">
        <is>
          <t>S2</t>
        </is>
      </c>
      <c r="D109" s="2" t="n">
        <v>45</v>
      </c>
      <c r="E109" s="2" t="inlineStr">
        <is>
          <t>F615</t>
        </is>
      </c>
    </row>
    <row r="110">
      <c r="A110" s="2" t="n"/>
      <c r="B110" s="3" t="inlineStr">
        <is>
          <t>term: fair value at 31 Dec 2024 (level II); value: EUR 123.7m against carrying amount 115.0</t>
        </is>
      </c>
      <c r="C110" s="2" t="inlineStr">
        <is>
          <t>S2</t>
        </is>
      </c>
      <c r="D110" s="2" t="n">
        <v>64</v>
      </c>
      <c r="E110" s="2" t="inlineStr">
        <is>
          <t>F616</t>
        </is>
      </c>
    </row>
    <row r="111">
      <c r="A111" s="2" t="n"/>
      <c r="B111" s="3" t="inlineStr">
        <is>
          <t>term: coupon / rate type; value: 6.75% fixed (2023/2028 corporate bond, EUR 115m)</t>
        </is>
      </c>
      <c r="C111" s="2" t="inlineStr">
        <is>
          <t>S2</t>
        </is>
      </c>
      <c r="D111" s="2" t="n">
        <v>68</v>
      </c>
      <c r="E111" s="2" t="inlineStr">
        <is>
          <t>F617</t>
        </is>
      </c>
    </row>
    <row r="112">
      <c r="A112" s="2" t="n"/>
      <c r="B112" s="3" t="inlineStr">
        <is>
          <t>term: format; value: issued for the first time as a 'Nordic Bond'</t>
        </is>
      </c>
      <c r="C112" s="2" t="inlineStr">
        <is>
          <t>S1</t>
        </is>
      </c>
      <c r="D112" s="2" t="n">
        <v>4</v>
      </c>
      <c r="E112" s="2" t="inlineStr">
        <is>
          <t>F317</t>
        </is>
      </c>
    </row>
    <row r="113">
      <c r="A113" s="2" t="n"/>
      <c r="B113" s="3" t="inlineStr">
        <is>
          <t>term: holders; value: exchange offer to existing 2019 bondholders, first-time subscription via company website, international private placement to institutional investors</t>
        </is>
      </c>
      <c r="C113" s="2" t="inlineStr">
        <is>
          <t>S1</t>
        </is>
      </c>
      <c r="D113" s="2" t="n">
        <v>4</v>
      </c>
      <c r="E113" s="2" t="inlineStr">
        <is>
          <t>F318</t>
        </is>
      </c>
    </row>
    <row r="114">
      <c r="A114" s="2" t="n"/>
      <c r="B114" s="3" t="inlineStr">
        <is>
          <t>term: maturity; value: 2028 (bond labelled 2023/2028); undiscounted financial liabilities due in two to five years EUR 137.4m</t>
        </is>
      </c>
      <c r="C114" s="2" t="inlineStr">
        <is>
          <t>S1</t>
        </is>
      </c>
      <c r="D114" s="2" t="n">
        <v>48</v>
      </c>
      <c r="E114" s="2" t="inlineStr">
        <is>
          <t>F319</t>
        </is>
      </c>
    </row>
    <row r="115">
      <c r="A115" s="2" t="n"/>
      <c r="B115" s="3" t="inlineStr">
        <is>
          <t>term: fair value 31 Dec 2023; value: 123.1 (level II) vs carrying amount 115.0</t>
        </is>
      </c>
      <c r="C115" s="2" t="inlineStr">
        <is>
          <t>S1</t>
        </is>
      </c>
      <c r="D115" s="2" t="n">
        <v>68</v>
      </c>
      <c r="E115" s="2" t="inlineStr">
        <is>
          <t>F320</t>
        </is>
      </c>
    </row>
    <row r="116">
      <c r="A116" s="2" t="n"/>
      <c r="B116" s="3" t="inlineStr">
        <is>
          <t>term: rate type; value: fixed 6.75% coupon, EUR 115m, issued September 2023 to redeem the 2019/2024 bond</t>
        </is>
      </c>
      <c r="C116" s="2" t="inlineStr">
        <is>
          <t>S1</t>
        </is>
      </c>
      <c r="D116" s="2" t="n">
        <v>72</v>
      </c>
      <c r="E116" s="2" t="inlineStr">
        <is>
          <t>F321</t>
        </is>
      </c>
    </row>
    <row r="117">
      <c r="A117" s="2" t="n"/>
      <c r="B117" s="3" t="inlineStr">
        <is>
          <t>term: listing; value: Nordic ABM of the Oslo Stock Exchange, included end of January 2024 (within six months of issue)</t>
        </is>
      </c>
      <c r="C117" s="2" t="inlineStr">
        <is>
          <t>S1</t>
        </is>
      </c>
      <c r="D117" s="2" t="n">
        <v>85</v>
      </c>
      <c r="E117" s="2" t="inlineStr">
        <is>
          <t>F322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90" customWidth="1" min="3" max="3"/>
    <col width="40" customWidth="1" min="4" max="4"/>
    <col width="16" customWidth="1" min="5" max="5"/>
  </cols>
  <sheetData>
    <row r="1">
      <c r="A1" s="1" t="inlineStr">
        <is>
          <t>Year</t>
        </is>
      </c>
      <c r="B1" s="1" t="inlineStr">
        <is>
          <t>Metric</t>
        </is>
      </c>
      <c r="C1" s="1" t="inlineStr">
        <is>
          <t>Guidance as stated</t>
        </is>
      </c>
      <c r="D1" s="1" t="inlineStr">
        <is>
          <t>Reported</t>
        </is>
      </c>
      <c r="E1" s="1" t="inlineStr">
        <is>
          <t>Facts</t>
        </is>
      </c>
    </row>
    <row r="2">
      <c r="A2" s="2" t="inlineStr">
        <is>
          <t>FY2023</t>
        </is>
      </c>
      <c r="B2" s="2" t="inlineStr">
        <is>
          <t>EBITDA</t>
        </is>
      </c>
      <c r="C2" s="3" t="inlineStr">
        <is>
          <t>Guidance for 2023 as stated: EBITDA margin 9–10%; actual 10.8%</t>
        </is>
      </c>
      <c r="D2" s="2" t="inlineStr">
        <is>
          <t>40.8 · margin 10.8%</t>
        </is>
      </c>
      <c r="E2" s="2" t="inlineStr">
        <is>
          <t>F115, F368</t>
        </is>
      </c>
    </row>
    <row r="3">
      <c r="A3" s="2" t="inlineStr">
        <is>
          <t>FY2023</t>
        </is>
      </c>
      <c r="B3" s="2" t="inlineStr">
        <is>
          <t>Revenue</t>
        </is>
      </c>
      <c r="C3" s="3" t="inlineStr">
        <is>
          <t>Guidance for 2023 as stated: consolidated net sales EUR 350m–375m (raised during the year); actual 377.4 exceeded it</t>
        </is>
      </c>
      <c r="D3" s="2" t="inlineStr">
        <is>
          <t>377.0</t>
        </is>
      </c>
      <c r="E3" s="2" t="inlineStr">
        <is>
          <t>F114, F654</t>
        </is>
      </c>
    </row>
    <row r="4">
      <c r="A4" s="2" t="inlineStr">
        <is>
          <t>FY2024</t>
        </is>
      </c>
      <c r="B4" s="2" t="inlineStr">
        <is>
          <t>EBITDA</t>
        </is>
      </c>
      <c r="C4" s="3" t="inlineStr">
        <is>
          <t>Guidance for 2024: EBITDA margin forecast at 10% (upper end of the range, half-year 2024 report); actual margin 11.4%.</t>
        </is>
      </c>
      <c r="D4" s="2" t="inlineStr">
        <is>
          <t>44.8 · margin 11.4%</t>
        </is>
      </c>
      <c r="E4" s="2" t="inlineStr">
        <is>
          <t>F426, F660</t>
        </is>
      </c>
    </row>
    <row r="5">
      <c r="A5" s="2" t="inlineStr">
        <is>
          <t>FY2024</t>
        </is>
      </c>
      <c r="B5" s="2" t="inlineStr">
        <is>
          <t>Revenue</t>
        </is>
      </c>
      <c r="C5" s="3" t="inlineStr">
        <is>
          <t>Guidance issued for 2024: consolidated revenues between EUR 390m and EUR 420m; actual 392.6.</t>
        </is>
      </c>
      <c r="D5" s="2" t="inlineStr">
        <is>
          <t>392.6</t>
        </is>
      </c>
      <c r="E5" s="2" t="inlineStr">
        <is>
          <t>F425, F655</t>
        </is>
      </c>
    </row>
    <row r="6">
      <c r="A6" s="2" t="inlineStr">
        <is>
          <t>FY2025</t>
        </is>
      </c>
      <c r="B6" s="2" t="inlineStr">
        <is>
          <t>EBITDA</t>
        </is>
      </c>
      <c r="C6" s="3" t="inlineStr">
        <is>
          <t>Guidance for 2025 as stated in the FY2024 report: EBITDA margin between 9% and 10% (no absolute figure).</t>
        </is>
      </c>
      <c r="D6" s="3" t="inlineStr">
        <is>
          <t>98.8 · margin 19.6%; excluding one-off income 43.6, margin 8.7%</t>
        </is>
      </c>
      <c r="E6" s="2" t="inlineStr">
        <is>
          <t>F1254, F661</t>
        </is>
      </c>
    </row>
    <row r="7">
      <c r="A7" s="2" t="inlineStr">
        <is>
          <t>FY2025</t>
        </is>
      </c>
      <c r="B7" s="2" t="inlineStr">
        <is>
          <t>Revenue</t>
        </is>
      </c>
      <c r="C7" s="3" t="inlineStr">
        <is>
          <t>Guidance for 2025 was Group revenue of at least EUR 400m; actual 503.0</t>
        </is>
      </c>
      <c r="D7" s="2" t="inlineStr">
        <is>
          <t>503.0</t>
        </is>
      </c>
      <c r="E7" s="2" t="inlineStr">
        <is>
          <t>F716, F656</t>
        </is>
      </c>
    </row>
    <row r="8">
      <c r="A8" s="2" t="inlineStr">
        <is>
          <t>FY2026</t>
        </is>
      </c>
      <c r="B8" s="2" t="inlineStr">
        <is>
          <t>EBITDA</t>
        </is>
      </c>
      <c r="C8" s="3" t="inlineStr">
        <is>
          <t>Guidance for 2026 as stated in the FY2025 report: EBITDA margin between 10% and 12% (no absolute figure).</t>
        </is>
      </c>
      <c r="D8" s="2" t="inlineStr">
        <is>
          <t>not yet reported</t>
        </is>
      </c>
      <c r="E8" s="2" t="inlineStr">
        <is>
          <t>F1255</t>
        </is>
      </c>
    </row>
    <row r="9">
      <c r="A9" s="2" t="inlineStr">
        <is>
          <t>FY2026</t>
        </is>
      </c>
      <c r="B9" s="2" t="inlineStr">
        <is>
          <t>Revenue</t>
        </is>
      </c>
      <c r="C9" s="3" t="inlineStr">
        <is>
          <t>Company guidance for FY2026: Group revenue of 'at least EUR 650 million', which management expects 'to meet or exceed'.</t>
        </is>
      </c>
      <c r="D9" s="2" t="inlineStr">
        <is>
          <t>not yet reported</t>
        </is>
      </c>
      <c r="E9" s="2" t="inlineStr">
        <is>
          <t>F1104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Fact</t>
        </is>
      </c>
      <c r="C1" s="1" t="inlineStr">
        <is>
          <t>Fact id</t>
        </is>
      </c>
    </row>
    <row r="2">
      <c r="A2" s="2" t="inlineStr">
        <is>
          <t>person: Stephan Milde</t>
        </is>
      </c>
      <c r="B2" s="3" t="inlineStr">
        <is>
          <t>Managing Director (CFO) since 2012; before: several years in investment banking at Deutsche Bank and Citigroup in London.</t>
        </is>
      </c>
      <c r="C2" s="2" t="inlineStr">
        <is>
          <t>F1101</t>
        </is>
      </c>
    </row>
    <row r="3">
      <c r="A3" s="2" t="inlineStr">
        <is>
          <t>person: Bastian Fassin</t>
        </is>
      </c>
      <c r="B3" s="3" t="inlineStr">
        <is>
          <t>Managing Partner since 2004; until 2003 Marketing and Sales at Kraft Foods; until 2000 Roland Berger Strategy Consultants.</t>
        </is>
      </c>
      <c r="C3" s="2" t="inlineStr">
        <is>
          <t>F1102</t>
        </is>
      </c>
    </row>
    <row r="4">
      <c r="A4" s="2" t="inlineStr">
        <is>
          <t>person: Tobias Bachmüller</t>
        </is>
      </c>
      <c r="B4" s="3" t="inlineStr">
        <is>
          <t>Managing Partner since 1996; until 1995 General Manager Kraft Foods (Milka); until 1992 Principal, The Boston Consulting Group.</t>
        </is>
      </c>
      <c r="C4" s="2" t="inlineStr">
        <is>
          <t>F1103</t>
        </is>
      </c>
    </row>
    <row r="5">
      <c r="A5" s="2" t="inlineStr">
        <is>
          <t>owners</t>
        </is>
      </c>
      <c r="B5" s="3" t="inlineStr">
        <is>
          <t>Limited partnership capital EUR 1.0m: fixed capital shares Bastian Fassin 0.9 (2023: 0.5) and Tobias Bachmüller 0.1 (0.1); no personal guarantee, share pledge or family charter is mentioned.</t>
        </is>
      </c>
      <c r="C5" s="2" t="inlineStr">
        <is>
          <t>F503</t>
        </is>
      </c>
    </row>
    <row r="6">
      <c r="A6" s="2" t="inlineStr">
        <is>
          <t>owners</t>
        </is>
      </c>
      <c r="B6" s="3" t="inlineStr">
        <is>
          <t>Limited partners' fixed capital shares: Bastian Fassin EUR 0.5m, Tobias Bachmüller EUR 0.1m (registered liability EUR 540k / EUR 60k); interest-bearing clearing accounts of the limited partners EUR 0.5m at 5.0%.</t>
        </is>
      </c>
      <c r="C6" s="2" t="inlineStr">
        <is>
          <t>F198</t>
        </is>
      </c>
    </row>
    <row r="7">
      <c r="A7" s="2" t="inlineStr">
        <is>
          <t>lenders</t>
        </is>
      </c>
      <c r="B7" s="3" t="inlineStr">
        <is>
          <t>No covenant test result disclosed; management states covenant compliance is ensured through continuous monitoring of KPIs and forward-looking financial planning.</t>
        </is>
      </c>
      <c r="C7" s="2" t="inlineStr">
        <is>
          <t>F718</t>
        </is>
      </c>
    </row>
    <row r="8">
      <c r="A8" s="2" t="inlineStr">
        <is>
          <t>lenders</t>
        </is>
      </c>
      <c r="B8" s="3" t="inlineStr">
        <is>
          <t>instrument: Anleihe 2019/2024 (ISIN DE000A2TST99); due: 2024; outcome: refinanced by the 2023/2028 bond as stated in its use of proceeds</t>
        </is>
      </c>
      <c r="C8" s="2" t="inlineStr">
        <is>
          <t>F969</t>
        </is>
      </c>
    </row>
    <row r="9">
      <c r="A9" s="2" t="inlineStr">
        <is>
          <t>lenders</t>
        </is>
      </c>
      <c r="B9" s="3" t="inlineStr">
        <is>
          <t>instrument: 2019/2024 bond; due: 2024; outcome: refinanced early in 2023 at 100.5% by the 2023/2028 bond of EUR 115m at 6.75%</t>
        </is>
      </c>
      <c r="C9" s="2" t="inlineStr">
        <is>
          <t>F904</t>
        </is>
      </c>
    </row>
    <row r="10">
      <c r="A10" s="2" t="inlineStr">
        <is>
          <t>lenders</t>
        </is>
      </c>
      <c r="B10" s="3" t="inlineStr">
        <is>
          <t>instrument: purchase-price liability for the Oral Care production site in Viersen, recognised as financial liability at 31 Dec 2023; amount: 6.4; due: 2024; outcome: repaid in 2024</t>
        </is>
      </c>
      <c r="C10" s="2" t="inlineStr">
        <is>
          <t>F583</t>
        </is>
      </c>
    </row>
    <row r="11">
      <c r="A11" s="2" t="inlineStr">
        <is>
          <t>lenders</t>
        </is>
      </c>
      <c r="B11" s="3" t="inlineStr">
        <is>
          <t>instrument: 2019/2024 corporate bond; amount: 110.0; due: 2024; outcome: refinanced early in September 2023 at 100.5% by the new 2023/2028 bond of EUR 115m at 6.75%</t>
        </is>
      </c>
      <c r="C11" s="2" t="inlineStr">
        <is>
          <t>F584</t>
        </is>
      </c>
    </row>
    <row r="12">
      <c r="A12" s="2" t="inlineStr">
        <is>
          <t>changes</t>
        </is>
      </c>
      <c r="B12" s="3" t="inlineStr">
        <is>
          <t>role: CEO Bogner (subsidiary); person: Arne Freundt; joined: 2026-06-01; reason as stated: former PUMA CEO assumed leadership to develop the brand and its international expansion</t>
        </is>
      </c>
      <c r="C12" s="2" t="inlineStr">
        <is>
          <t>F1242</t>
        </is>
      </c>
    </row>
    <row r="13">
      <c r="A13" s="2" t="inlineStr">
        <is>
          <t>changes</t>
        </is>
      </c>
      <c r="B13" s="3" t="inlineStr">
        <is>
          <t>Last changes: CFO Stephan Milde since 2012, Managing Partners Bachmüller since 1996 and Fassin since 2004; no succession plan stated in this report.</t>
        </is>
      </c>
      <c r="C13" s="2" t="inlineStr">
        <is>
          <t>F1115</t>
        </is>
      </c>
    </row>
    <row r="14">
      <c r="A14" s="2" t="inlineStr">
        <is>
          <t>pay</t>
        </is>
      </c>
      <c r="B14" s="3" t="inlineStr">
        <is>
          <t>person or body: general partner Xaver Fassin International GmbH (total remuneration of management); amount: 0.3 (H1-2025: 0.1); year: H1-2026</t>
        </is>
      </c>
      <c r="C14" s="2" t="inlineStr">
        <is>
          <t>F1243</t>
        </is>
      </c>
    </row>
    <row r="15">
      <c r="A15" s="2" t="inlineStr">
        <is>
          <t>pay</t>
        </is>
      </c>
      <c r="B15" s="3" t="inlineStr">
        <is>
          <t>person or body: executive bodies beyond the general partner; amount: not disclosed (protective clause Sec. 286 (4) HGB); year: 2023</t>
        </is>
      </c>
      <c r="C15" s="2" t="inlineStr">
        <is>
          <t>F299</t>
        </is>
      </c>
    </row>
    <row r="16">
      <c r="A16" s="2" t="inlineStr">
        <is>
          <t>board</t>
        </is>
      </c>
      <c r="B16" s="3" t="inlineStr">
        <is>
          <t>name: Stephan Milde; body: management; role: Managing Director (CFO); since: 2012</t>
        </is>
      </c>
      <c r="C16" s="2" t="inlineStr">
        <is>
          <t>F1154</t>
        </is>
      </c>
    </row>
    <row r="17">
      <c r="A17" s="2" t="inlineStr">
        <is>
          <t>board</t>
        </is>
      </c>
      <c r="B17" s="3" t="inlineStr">
        <is>
          <t>name: Bastian Fassin; body: management; role: Managing Partner; since: 2004</t>
        </is>
      </c>
      <c r="C17" s="2" t="inlineStr">
        <is>
          <t>F1155</t>
        </is>
      </c>
    </row>
    <row r="18">
      <c r="A18" s="2" t="inlineStr">
        <is>
          <t>board</t>
        </is>
      </c>
      <c r="B18" s="3" t="inlineStr">
        <is>
          <t>name: Tobias Bachmüller; body: management; role: Managing Partner; since: 1996</t>
        </is>
      </c>
      <c r="C18" s="2" t="inlineStr">
        <is>
          <t>F1156</t>
        </is>
      </c>
    </row>
    <row r="19">
      <c r="A19" s="2" t="inlineStr">
        <is>
          <t>board</t>
        </is>
      </c>
      <c r="B19" s="3" t="inlineStr">
        <is>
          <t>name: Tobias Bachmüller; body: management; role: Managing Shareholder, shareholder of the general partner and limited partner; since: 1996; independent: no</t>
        </is>
      </c>
      <c r="C19" s="2" t="inlineStr">
        <is>
          <t>F781</t>
        </is>
      </c>
    </row>
    <row r="20">
      <c r="A20" s="2" t="inlineStr">
        <is>
          <t>board</t>
        </is>
      </c>
      <c r="B20" s="3" t="inlineStr">
        <is>
          <t>name: Stephan Milde; body: management; role: CFO, managing director of the general partner; since: 2012; independent: no</t>
        </is>
      </c>
      <c r="C20" s="2" t="inlineStr">
        <is>
          <t>F782</t>
        </is>
      </c>
    </row>
    <row r="21">
      <c r="A21" s="2" t="inlineStr">
        <is>
          <t>board</t>
        </is>
      </c>
      <c r="B21" s="3" t="inlineStr">
        <is>
          <t>name: Bastian Fassin; body: management; role: Managing Shareholder, shareholder of the general partner Xaver Fassin International GmbH and limited partner; since: 2004; independent: no</t>
        </is>
      </c>
      <c r="C21" s="2" t="inlineStr">
        <is>
          <t>F783</t>
        </is>
      </c>
    </row>
    <row r="22">
      <c r="A22" s="2" t="inlineStr">
        <is>
          <t>board</t>
        </is>
      </c>
      <c r="B22" s="3" t="inlineStr">
        <is>
          <t>name: Bastian Fassin; body: management; role: Managing Shareholder; since: 2004; independent: no</t>
        </is>
      </c>
      <c r="C22" s="2" t="inlineStr">
        <is>
          <t>F494</t>
        </is>
      </c>
    </row>
    <row r="23">
      <c r="A23" s="2" t="inlineStr">
        <is>
          <t>board</t>
        </is>
      </c>
      <c r="B23" s="3" t="inlineStr">
        <is>
          <t>name: Tobias Bachmüller; body: management; role: Managing Shareholder; since: 1996; independent: no</t>
        </is>
      </c>
      <c r="C23" s="2" t="inlineStr">
        <is>
          <t>F495</t>
        </is>
      </c>
    </row>
    <row r="24">
      <c r="A24" s="2" t="inlineStr">
        <is>
          <t>board</t>
        </is>
      </c>
      <c r="B24" s="3" t="inlineStr">
        <is>
          <t>name: Stephan Milde; body: management; role: Managing Director (CFO); since: 2012</t>
        </is>
      </c>
      <c r="C24" s="2" t="inlineStr">
        <is>
          <t>F496</t>
        </is>
      </c>
    </row>
    <row r="25">
      <c r="A25" s="2" t="inlineStr">
        <is>
          <t>board</t>
        </is>
      </c>
      <c r="B25" s="3" t="inlineStr">
        <is>
          <t>name: Stephan Milde; body: management; role: Managing Director (CFO), appointed managing director of the general partner; since: 2012; independent: no</t>
        </is>
      </c>
      <c r="C25" s="2" t="inlineStr">
        <is>
          <t>F187</t>
        </is>
      </c>
    </row>
    <row r="26">
      <c r="A26" s="2" t="inlineStr">
        <is>
          <t>board</t>
        </is>
      </c>
      <c r="B26" s="3" t="inlineStr">
        <is>
          <t>name: Bastian Fassin; body: management; role: Managing Shareholder, shareholder of general partner Xaver Fassin International GmbH and limited partner; since: 2004; independent: no</t>
        </is>
      </c>
      <c r="C26" s="2" t="inlineStr">
        <is>
          <t>F188</t>
        </is>
      </c>
    </row>
    <row r="27">
      <c r="A27" s="2" t="inlineStr">
        <is>
          <t>board</t>
        </is>
      </c>
      <c r="B27" s="3" t="inlineStr">
        <is>
          <t>name: Tobias Bachmüller; body: management; role: Managing Shareholder, shareholder of general partner Xaver Fassin International GmbH and limited partner; since: 1996; independent: no</t>
        </is>
      </c>
      <c r="C27" s="2" t="inlineStr">
        <is>
          <t>F189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0" customWidth="1" min="2" max="2"/>
    <col width="8" customWidth="1" min="3" max="3"/>
    <col width="6" customWidth="1" min="4" max="4"/>
    <col width="8" customWidth="1" min="5" max="5"/>
  </cols>
  <sheetData>
    <row r="1">
      <c r="A1" s="1" t="inlineStr">
        <is>
          <t>Period</t>
        </is>
      </c>
      <c r="B1" s="1" t="inlineStr">
        <is>
          <t>Risk as the company states it</t>
        </is>
      </c>
      <c r="C1" s="1" t="inlineStr">
        <is>
          <t>Source</t>
        </is>
      </c>
      <c r="D1" s="1" t="inlineStr">
        <is>
          <t>Page</t>
        </is>
      </c>
      <c r="E1" s="1" t="inlineStr">
        <is>
          <t>Fact</t>
        </is>
      </c>
    </row>
    <row r="2">
      <c r="A2" s="2" t="n"/>
      <c r="B2" s="3" t="inlineStr">
        <is>
          <t>Seasonality: the second half carries significantly higher revenue and is decisive for the full year; the Bogner companies reinforce this pattern.</t>
        </is>
      </c>
      <c r="C2" s="2" t="inlineStr">
        <is>
          <t>S5</t>
        </is>
      </c>
      <c r="D2" s="2" t="n">
        <v>22</v>
      </c>
      <c r="E2" s="2" t="inlineStr">
        <is>
          <t>F1095</t>
        </is>
      </c>
    </row>
    <row r="3">
      <c r="A3" s="2" t="n"/>
      <c r="B3" s="3" t="inlineStr">
        <is>
          <t>Two instances of damage caused by third parties reduced H1-2026 operating result; the company states insurance coverage or a right of recourse 'generally exists' and expects resolution in H2-2026.</t>
        </is>
      </c>
      <c r="C3" s="2" t="inlineStr">
        <is>
          <t>S5</t>
        </is>
      </c>
      <c r="D3" s="2" t="n">
        <v>23</v>
      </c>
      <c r="E3" s="2" t="inlineStr">
        <is>
          <t>F1096</t>
        </is>
      </c>
    </row>
    <row r="4">
      <c r="A4" s="2" t="n"/>
      <c r="B4" s="3" t="inlineStr">
        <is>
          <t>Financial result worsened to -11.2 from -4.1, attributed to the bond increase and acquisition financing for Bogner, Missoni and Graze.</t>
        </is>
      </c>
      <c r="C4" s="2" t="inlineStr">
        <is>
          <t>S5</t>
        </is>
      </c>
      <c r="D4" s="2" t="n">
        <v>23</v>
      </c>
      <c r="E4" s="2" t="inlineStr">
        <is>
          <t>F1097</t>
        </is>
      </c>
    </row>
    <row r="5">
      <c r="A5" s="2" t="n"/>
      <c r="B5" s="3" t="inlineStr">
        <is>
          <t>Going concern: management states 'no risks threatening the Company's continued existence are identifiable at present or in the foreseeable future'.</t>
        </is>
      </c>
      <c r="C5" s="2" t="inlineStr">
        <is>
          <t>S5</t>
        </is>
      </c>
      <c r="D5" s="2" t="n">
        <v>26</v>
      </c>
      <c r="E5" s="2" t="inlineStr">
        <is>
          <t>F1098</t>
        </is>
      </c>
    </row>
    <row r="6">
      <c r="A6" s="2" t="n"/>
      <c r="B6" s="3" t="inlineStr">
        <is>
          <t>No significant changes in opportunities and risks versus the 2025 consolidated financial statements (pages 30 to 34 of that report).</t>
        </is>
      </c>
      <c r="C6" s="2" t="inlineStr">
        <is>
          <t>S5</t>
        </is>
      </c>
      <c r="D6" s="2" t="n">
        <v>26</v>
      </c>
      <c r="E6" s="2" t="inlineStr">
        <is>
          <t>F1099</t>
        </is>
      </c>
    </row>
    <row r="7">
      <c r="A7" s="2" t="n"/>
      <c r="B7" s="3" t="inlineStr">
        <is>
          <t>FX: cash held in GBP EUR 2.8m (0.5m) and in other currencies, mainly RUB, CHF and USD, EUR 8.6m (10.6m) at 30 June 2026; group includes Bogner Eastern Europe LLC, Moscow.</t>
        </is>
      </c>
      <c r="C7" s="2" t="inlineStr">
        <is>
          <t>S5</t>
        </is>
      </c>
      <c r="D7" s="2" t="n">
        <v>41</v>
      </c>
      <c r="E7" s="2" t="inlineStr">
        <is>
          <t>F1100</t>
        </is>
      </c>
    </row>
    <row r="8">
      <c r="A8" s="2" t="n"/>
      <c r="B8" s="3" t="inlineStr">
        <is>
          <t>Operating cash flow fell to 19.1 (2024: 45.6), attributed among other factors to the Bogner Group's strongly seasonal working capital; inventories rose to 97.1 (51.3) and receivables to 100.6 (59.2).</t>
        </is>
      </c>
      <c r="C8" s="2" t="inlineStr">
        <is>
          <t>S3</t>
        </is>
      </c>
      <c r="D8" s="2" t="n">
        <v>26</v>
      </c>
      <c r="E8" s="2" t="inlineStr">
        <is>
          <t>F701</t>
        </is>
      </c>
    </row>
    <row r="9">
      <c r="A9" s="2" t="n"/>
      <c r="B9" s="3" t="inlineStr">
        <is>
          <t>Management expects 'largely stable sales development' citing the low cyclicality of confectionery and body care; luxury goods (Bogner) are described as subject to 'significant risks'.</t>
        </is>
      </c>
      <c r="C9" s="2" t="inlineStr">
        <is>
          <t>S3</t>
        </is>
      </c>
      <c r="D9" s="2" t="n">
        <v>30</v>
      </c>
      <c r="E9" s="2" t="inlineStr">
        <is>
          <t>F702</t>
        </is>
      </c>
    </row>
    <row r="10">
      <c r="A10" s="2" t="n"/>
      <c r="B10" s="3" t="inlineStr">
        <is>
          <t>FX: international raw material sourcing exposes the Group to foreign exchange risk, especially against the US dollar; USD purchases hedged with forwards (notional 92.0); RUB, GBP, USD, CAD, CHF rates applied.</t>
        </is>
      </c>
      <c r="C10" s="2" t="inlineStr">
        <is>
          <t>S3</t>
        </is>
      </c>
      <c r="D10" s="2" t="n">
        <v>32</v>
      </c>
      <c r="E10" s="2" t="inlineStr">
        <is>
          <t>F703</t>
        </is>
      </c>
    </row>
    <row r="11">
      <c r="A11" s="2" t="n"/>
      <c r="B11" s="3" t="inlineStr">
        <is>
          <t>Group companies may be required to repay subsidies or other government grants (stated risk, no amount).</t>
        </is>
      </c>
      <c r="C11" s="2" t="inlineStr">
        <is>
          <t>S3</t>
        </is>
      </c>
      <c r="D11" s="2" t="n">
        <v>32</v>
      </c>
      <c r="E11" s="2" t="inlineStr">
        <is>
          <t>F704</t>
        </is>
      </c>
    </row>
    <row r="12">
      <c r="A12" s="2" t="n"/>
      <c r="B12" s="3" t="inlineStr">
        <is>
          <t>Key-person risk: success depends on the expertise and experience of key management personnel and qualified employees (stated risk).</t>
        </is>
      </c>
      <c r="C12" s="2" t="inlineStr">
        <is>
          <t>S3</t>
        </is>
      </c>
      <c r="D12" s="2" t="n">
        <v>32</v>
      </c>
      <c r="E12" s="2" t="inlineStr">
        <is>
          <t>F705</t>
        </is>
      </c>
    </row>
    <row r="13">
      <c r="A13" s="2" t="n"/>
      <c r="B13" s="3" t="inlineStr">
        <is>
          <t>Holding structure: Katjes International's earnings are primarily dependent on the results of its subsidiaries and portfolio companies, which it services for consideration.</t>
        </is>
      </c>
      <c r="C13" s="2" t="inlineStr">
        <is>
          <t>S3</t>
        </is>
      </c>
      <c r="D13" s="2" t="n">
        <v>32</v>
      </c>
      <c r="E13" s="2" t="inlineStr">
        <is>
          <t>F706</t>
        </is>
      </c>
    </row>
    <row r="14">
      <c r="A14" s="2" t="n"/>
      <c r="B14" s="3" t="inlineStr">
        <is>
          <t>Cyber risk named: a single incident may cause business interruption or data loss (stated risk, no incident disclosed).</t>
        </is>
      </c>
      <c r="C14" s="2" t="inlineStr">
        <is>
          <t>S3</t>
        </is>
      </c>
      <c r="D14" s="2" t="n">
        <v>32</v>
      </c>
      <c r="E14" s="2" t="inlineStr">
        <is>
          <t>F707</t>
        </is>
      </c>
    </row>
    <row r="15">
      <c r="A15" s="2" t="n"/>
      <c r="B15" s="3" t="inlineStr">
        <is>
          <t>Management rates the overall market-related and regulatory risk as 'rather low' and company-specific risks as 'manageable and appropriate' given mitigation measures.</t>
        </is>
      </c>
      <c r="C15" s="2" t="inlineStr">
        <is>
          <t>S3</t>
        </is>
      </c>
      <c r="D15" s="2" t="n">
        <v>32</v>
      </c>
      <c r="E15" s="2" t="inlineStr">
        <is>
          <t>F708</t>
        </is>
      </c>
    </row>
    <row r="16">
      <c r="A16" s="2" t="n"/>
      <c r="B16" s="3" t="inlineStr">
        <is>
          <t>Geopolitics: the Russia-Ukraine war and the Middle East security situation are named as risks on both the sales and procurement sides.</t>
        </is>
      </c>
      <c r="C16" s="2" t="inlineStr">
        <is>
          <t>S3</t>
        </is>
      </c>
      <c r="D16" s="2" t="n">
        <v>33</v>
      </c>
      <c r="E16" s="2" t="inlineStr">
        <is>
          <t>F709</t>
        </is>
      </c>
    </row>
    <row r="17">
      <c r="A17" s="2" t="n"/>
      <c r="B17" s="3" t="inlineStr">
        <is>
          <t>Trade receivables of EUR 2.1m more than six months past due at 31 Dec 2025, impaired by 0.7; total impairment allowance 1.5 (2024: 0.7); no collateral received.</t>
        </is>
      </c>
      <c r="C17" s="2" t="inlineStr">
        <is>
          <t>S3</t>
        </is>
      </c>
      <c r="D17" s="2" t="n">
        <v>66</v>
      </c>
      <c r="E17" s="2" t="inlineStr">
        <is>
          <t>F710</t>
        </is>
      </c>
    </row>
    <row r="18">
      <c r="A18" s="2" t="n"/>
      <c r="B18" s="3" t="inlineStr">
        <is>
          <t>Event after the balance sheet date: the US-Israel military conflict with Iran initiated on February 28, 2026; financial effects on the Company 'cannot be reliably determined'.</t>
        </is>
      </c>
      <c r="C18" s="2" t="inlineStr">
        <is>
          <t>S3</t>
        </is>
      </c>
      <c r="D18" s="2" t="n">
        <v>81</v>
      </c>
      <c r="E18" s="2" t="inlineStr">
        <is>
          <t>F711</t>
        </is>
      </c>
    </row>
    <row r="19">
      <c r="A19" s="2" t="n"/>
      <c r="B19" s="3" t="inlineStr">
        <is>
          <t>The Group fully consolidates Bogner Eastern Europe LLC, Moscow, Russia (60%); a RUB closing rate of 92.91 was applied at 31 Dec 2025.</t>
        </is>
      </c>
      <c r="C19" s="2" t="inlineStr">
        <is>
          <t>S3</t>
        </is>
      </c>
      <c r="D19" s="2" t="n">
        <v>84</v>
      </c>
      <c r="E19" s="2" t="inlineStr">
        <is>
          <t>F712</t>
        </is>
      </c>
    </row>
    <row r="20">
      <c r="A20" s="2" t="n"/>
      <c r="B20" s="3" t="inlineStr">
        <is>
          <t>Seasonality: the confectionery business is subject to seasonal fluctuations (seasonal products 13.9% of 2024 revenue).</t>
        </is>
      </c>
      <c r="C20" s="2" t="inlineStr">
        <is>
          <t>S2</t>
        </is>
      </c>
      <c r="D20" s="2" t="n">
        <v>35</v>
      </c>
      <c r="E20" s="2" t="inlineStr">
        <is>
          <t>F407</t>
        </is>
      </c>
    </row>
    <row r="21">
      <c r="A21" s="2" t="n"/>
      <c r="B21" s="3" t="inlineStr">
        <is>
          <t>Input costs: sugar, cocoa, nuts, glucose, panthenol and packaging materials are subject to significant price fluctuations that may not be fully passed on to customers.</t>
        </is>
      </c>
      <c r="C21" s="2" t="inlineStr">
        <is>
          <t>S2</t>
        </is>
      </c>
      <c r="D21" s="2" t="n">
        <v>35</v>
      </c>
      <c r="E21" s="2" t="inlineStr">
        <is>
          <t>F408</t>
        </is>
      </c>
    </row>
    <row r="22">
      <c r="A22" s="2" t="n"/>
      <c r="B22" s="3" t="inlineStr">
        <is>
          <t>Concentration: structural change and consolidation in retail and wholesale; concentration risks from large key accounts, especially in food retail.</t>
        </is>
      </c>
      <c r="C22" s="2" t="inlineStr">
        <is>
          <t>S2</t>
        </is>
      </c>
      <c r="D22" s="2" t="n">
        <v>35</v>
      </c>
      <c r="E22" s="2" t="inlineStr">
        <is>
          <t>F409</t>
        </is>
      </c>
    </row>
    <row r="23">
      <c r="A23" s="2" t="n"/>
      <c r="B23" s="3" t="inlineStr">
        <is>
          <t>Supply: reliance on certain suppliers; supply failures or delays may interrupt production.</t>
        </is>
      </c>
      <c r="C23" s="2" t="inlineStr">
        <is>
          <t>S2</t>
        </is>
      </c>
      <c r="D23" s="2" t="n">
        <v>35</v>
      </c>
      <c r="E23" s="2" t="inlineStr">
        <is>
          <t>F410</t>
        </is>
      </c>
    </row>
    <row r="24">
      <c r="A24" s="2" t="n"/>
      <c r="B24" s="3" t="inlineStr">
        <is>
          <t>Geopolitics: the war in Ukraine continues to cause volatility in procurement markets; the Middle East conflict is named as a relevant development.</t>
        </is>
      </c>
      <c r="C24" s="2" t="inlineStr">
        <is>
          <t>S2</t>
        </is>
      </c>
      <c r="D24" s="2" t="n">
        <v>35</v>
      </c>
      <c r="E24" s="2" t="inlineStr">
        <is>
          <t>F411</t>
        </is>
      </c>
    </row>
    <row r="25">
      <c r="A25" s="2" t="n"/>
      <c r="B25" s="3" t="inlineStr">
        <is>
          <t>Subsidies: group companies may be required to repay subsidies or other government grants.</t>
        </is>
      </c>
      <c r="C25" s="2" t="inlineStr">
        <is>
          <t>S2</t>
        </is>
      </c>
      <c r="D25" s="2" t="n">
        <v>35</v>
      </c>
      <c r="E25" s="2" t="inlineStr">
        <is>
          <t>F412</t>
        </is>
      </c>
    </row>
    <row r="26">
      <c r="A26" s="2" t="n"/>
      <c r="B26" s="3" t="inlineStr">
        <is>
          <t>Management assesses the overall market and regulatory risk as 'relatively low' and company-specific risks as 'relatively low' due to the risk management system; the profile is described as unchanged versus the prior year.</t>
        </is>
      </c>
      <c r="C26" s="2" t="inlineStr">
        <is>
          <t>S2</t>
        </is>
      </c>
      <c r="D26" s="2" t="n">
        <v>35</v>
      </c>
      <c r="E26" s="2" t="inlineStr">
        <is>
          <t>F413</t>
        </is>
      </c>
    </row>
    <row r="27">
      <c r="A27" s="2" t="n"/>
      <c r="B27" s="3" t="inlineStr">
        <is>
          <t>Structural: as a strategic holding company Katjes International earns service income and its earnings largely depend on the performance of subsidiaries and investments (bond issued at holding level).</t>
        </is>
      </c>
      <c r="C27" s="2" t="inlineStr">
        <is>
          <t>S2</t>
        </is>
      </c>
      <c r="D27" s="2" t="n">
        <v>36</v>
      </c>
      <c r="E27" s="2" t="inlineStr">
        <is>
          <t>F414</t>
        </is>
      </c>
    </row>
    <row r="28">
      <c r="A28" s="2" t="n"/>
      <c r="B28" s="3" t="inlineStr">
        <is>
          <t>Cyber: the threat of cyberattacks (hacking, phishing) is growing; a single attack could cause operational disruption or data loss.</t>
        </is>
      </c>
      <c r="C28" s="2" t="inlineStr">
        <is>
          <t>S2</t>
        </is>
      </c>
      <c r="D28" s="2" t="n">
        <v>36</v>
      </c>
      <c r="E28" s="2" t="inlineStr">
        <is>
          <t>F415</t>
        </is>
      </c>
    </row>
    <row r="29">
      <c r="A29" s="2" t="n"/>
      <c r="B29" s="3" t="inlineStr">
        <is>
          <t>A 1% move in the 2- and 3-month EURIBOR would change post-tax profit 2024 by EUR 0.4m (2023: EUR 0.8m), per the factoring interest sensitivity.</t>
        </is>
      </c>
      <c r="C29" s="2" t="inlineStr">
        <is>
          <t>S2</t>
        </is>
      </c>
      <c r="D29" s="2" t="n">
        <v>57</v>
      </c>
      <c r="E29" s="2" t="inlineStr">
        <is>
          <t>F416</t>
        </is>
      </c>
    </row>
    <row r="30">
      <c r="A30" s="2" t="n"/>
      <c r="B30" s="3" t="inlineStr">
        <is>
          <t>FX: the Group operates mainly in the EU with the vast majority of transactions in euro; no hedging instruments for FX risk at 31 Dec 2024; Candy Kittens and Longaim report in GBP (closing rate 1.21, average 1.18).</t>
        </is>
      </c>
      <c r="C30" s="2" t="inlineStr">
        <is>
          <t>S2</t>
        </is>
      </c>
      <c r="D30" s="2" t="n">
        <v>57</v>
      </c>
      <c r="E30" s="2" t="inlineStr">
        <is>
          <t>F417</t>
        </is>
      </c>
    </row>
    <row r="31">
      <c r="A31" s="2" t="n"/>
      <c r="B31" s="3" t="inlineStr">
        <is>
          <t>Credit: maximum credit exposure equals the carrying amount of trade and other receivables EUR 59.2m (2023: 57.3); no material concentrations of credit risk identified; no collateral received.</t>
        </is>
      </c>
      <c r="C31" s="2" t="inlineStr">
        <is>
          <t>S2</t>
        </is>
      </c>
      <c r="D31" s="2" t="n">
        <v>57</v>
      </c>
      <c r="E31" s="2" t="inlineStr">
        <is>
          <t>F418</t>
        </is>
      </c>
    </row>
    <row r="32">
      <c r="A32" s="2" t="n"/>
      <c r="B32" s="3" t="inlineStr">
        <is>
          <t>Refinancing: EUR 136.0m of financial liabilities (incl. the EUR 115m bond 2023/2028) fall due in two to five years from 31 Dec 2024; cash 54.0 at year end.</t>
        </is>
      </c>
      <c r="C32" s="2" t="inlineStr">
        <is>
          <t>S2</t>
        </is>
      </c>
      <c r="D32" s="2" t="n">
        <v>59</v>
      </c>
      <c r="E32" s="2" t="inlineStr">
        <is>
          <t>F419</t>
        </is>
      </c>
    </row>
    <row r="33">
      <c r="A33" s="2" t="n"/>
      <c r="B33" s="3" t="inlineStr">
        <is>
          <t>Receivables: EUR 0.5m of trade receivables more than six months overdue at 31 Dec 2024, fully impaired; impairment allowance 0.7 (2023: 0.4); gross trade receivables 39.0 (2023: 42.4).</t>
        </is>
      </c>
      <c r="C33" s="2" t="inlineStr">
        <is>
          <t>S2</t>
        </is>
      </c>
      <c r="D33" s="2" t="n">
        <v>66</v>
      </c>
      <c r="E33" s="2" t="inlineStr">
        <is>
          <t>F420</t>
        </is>
      </c>
    </row>
    <row r="34">
      <c r="A34" s="2" t="n"/>
      <c r="B34" s="3" t="inlineStr">
        <is>
          <t>Inventories EUR 51.3m at 31 Dec 2024 (2023: 46.4); inventory write-downs of EUR 1.5m in 2024 (2023: 0.9).</t>
        </is>
      </c>
      <c r="C34" s="2" t="inlineStr">
        <is>
          <t>S2</t>
        </is>
      </c>
      <c r="D34" s="2" t="n">
        <v>66</v>
      </c>
      <c r="E34" s="2" t="inlineStr">
        <is>
          <t>F421</t>
        </is>
      </c>
    </row>
    <row r="35">
      <c r="A35" s="2" t="n"/>
      <c r="B35" s="3" t="inlineStr">
        <is>
          <t>Concentration risk from major customers, especially in food retail, named by management; retail and wholesale consolidation could change volumes and conditions.</t>
        </is>
      </c>
      <c r="C35" s="2" t="inlineStr">
        <is>
          <t>S1</t>
        </is>
      </c>
      <c r="D35" s="2" t="n">
        <v>38</v>
      </c>
      <c r="E35" s="2" t="inlineStr">
        <is>
          <t>F094</t>
        </is>
      </c>
    </row>
    <row r="36">
      <c r="A36" s="2" t="n"/>
      <c r="B36" s="3" t="inlineStr">
        <is>
          <t>Purchasing terms for sugar, cocoa, nuts, glucose and panthenol could become 'less favourable' and may not be passed on in prices.</t>
        </is>
      </c>
      <c r="C36" s="2" t="inlineStr">
        <is>
          <t>S1</t>
        </is>
      </c>
      <c r="D36" s="2" t="n">
        <v>38</v>
      </c>
      <c r="E36" s="2" t="inlineStr">
        <is>
          <t>F095</t>
        </is>
      </c>
    </row>
    <row r="37">
      <c r="A37" s="2" t="n"/>
      <c r="B37" s="3" t="inlineStr">
        <is>
          <t>Dependence on certain suppliers; delivery delays or non-delivery could cause production downtime.</t>
        </is>
      </c>
      <c r="C37" s="2" t="inlineStr">
        <is>
          <t>S1</t>
        </is>
      </c>
      <c r="D37" s="2" t="n">
        <v>38</v>
      </c>
      <c r="E37" s="2" t="inlineStr">
        <is>
          <t>F096</t>
        </is>
      </c>
    </row>
    <row r="38">
      <c r="A38" s="2" t="n"/>
      <c r="B38" s="3" t="inlineStr">
        <is>
          <t>Management rates the overall market-related and regulatory risk as 'negligible' and company-related risks as 'manageable'; the opportunity and risk situation 'has not changed much' from the previous year.</t>
        </is>
      </c>
      <c r="C38" s="2" t="inlineStr">
        <is>
          <t>S1</t>
        </is>
      </c>
      <c r="D38" s="2" t="n">
        <v>38</v>
      </c>
      <c r="E38" s="2" t="inlineStr">
        <is>
          <t>F097</t>
        </is>
      </c>
    </row>
    <row r="39">
      <c r="A39" s="2" t="n"/>
      <c r="B39" s="3" t="inlineStr">
        <is>
          <t>Geopolitical: the wars in Ukraine and the Middle East could cause further unrest in procurement markets and affect energy and raw material prices.</t>
        </is>
      </c>
      <c r="C39" s="2" t="inlineStr">
        <is>
          <t>S1</t>
        </is>
      </c>
      <c r="D39" s="2" t="n">
        <v>38</v>
      </c>
      <c r="E39" s="2" t="inlineStr">
        <is>
          <t>F098</t>
        </is>
      </c>
    </row>
    <row r="40">
      <c r="A40" s="2" t="n"/>
      <c r="B40" s="3" t="inlineStr">
        <is>
          <t>Group companies may have to repay subsidies or other government funding (government grants of about EUR 2.4m received in 2023).</t>
        </is>
      </c>
      <c r="C40" s="2" t="inlineStr">
        <is>
          <t>S1</t>
        </is>
      </c>
      <c r="D40" s="2" t="n">
        <v>38</v>
      </c>
      <c r="E40" s="2" t="inlineStr">
        <is>
          <t>F099</t>
        </is>
      </c>
    </row>
    <row r="41">
      <c r="A41" s="2" t="n"/>
      <c r="B41" s="3" t="inlineStr">
        <is>
          <t>Seasonality: the confectionery business is subject to seasonal fluctuations (Christmas and Easter specialities at Sperlari/Paluani).</t>
        </is>
      </c>
      <c r="C41" s="2" t="inlineStr">
        <is>
          <t>S1</t>
        </is>
      </c>
      <c r="D41" s="2" t="n">
        <v>38</v>
      </c>
      <c r="E41" s="2" t="inlineStr">
        <is>
          <t>F100</t>
        </is>
      </c>
    </row>
    <row r="42">
      <c r="A42" s="2" t="n"/>
      <c r="B42" s="3" t="inlineStr">
        <is>
          <t>Key-person dependence on individual managers and skilled personnel stated by management.</t>
        </is>
      </c>
      <c r="C42" s="2" t="inlineStr">
        <is>
          <t>S1</t>
        </is>
      </c>
      <c r="D42" s="2" t="n">
        <v>39</v>
      </c>
      <c r="E42" s="2" t="inlineStr">
        <is>
          <t>F101</t>
        </is>
      </c>
    </row>
    <row r="43">
      <c r="A43" s="2" t="n"/>
      <c r="B43" s="3" t="inlineStr">
        <is>
          <t>Structural: the holding provides services to subsidiaries for payment but its earnings depend largely on the results of the subsidiaries and holdings.</t>
        </is>
      </c>
      <c r="C43" s="2" t="inlineStr">
        <is>
          <t>S1</t>
        </is>
      </c>
      <c r="D43" s="2" t="n">
        <v>39</v>
      </c>
      <c r="E43" s="2" t="inlineStr">
        <is>
          <t>F102</t>
        </is>
      </c>
    </row>
    <row r="44">
      <c r="A44" s="2" t="n"/>
      <c r="B44" s="3" t="inlineStr">
        <is>
          <t>Cyberattack risk (hacking, phishing) named as increasing; a single attack could cause business interruption or data loss.</t>
        </is>
      </c>
      <c r="C44" s="2" t="inlineStr">
        <is>
          <t>S1</t>
        </is>
      </c>
      <c r="D44" s="2" t="n">
        <v>39</v>
      </c>
      <c r="E44" s="2" t="inlineStr">
        <is>
          <t>F103</t>
        </is>
      </c>
    </row>
    <row r="45">
      <c r="A45" s="2" t="n"/>
      <c r="B45" s="3" t="inlineStr">
        <is>
          <t>Cash and cash equivalents of EUR 2.0m (SEK 24.0m) held in foreign currency at 31 Dec 2023; currency conversion effect EUR 0.0m.</t>
        </is>
      </c>
      <c r="C45" s="2" t="inlineStr">
        <is>
          <t>S1</t>
        </is>
      </c>
      <c r="D45" s="2" t="n">
        <v>48</v>
      </c>
      <c r="E45" s="2" t="inlineStr">
        <is>
          <t>F104</t>
        </is>
      </c>
    </row>
    <row r="46">
      <c r="A46" s="2" t="n"/>
      <c r="B46" s="3" t="inlineStr">
        <is>
          <t>Functional currency of Candy Kittens and Longaim is GBP; closing rate GBP 1.15, average 1.15, SEK closing 11.10.</t>
        </is>
      </c>
      <c r="C46" s="2" t="inlineStr">
        <is>
          <t>S1</t>
        </is>
      </c>
      <c r="D46" s="2" t="n">
        <v>53</v>
      </c>
      <c r="E46" s="2" t="inlineStr">
        <is>
          <t>F105</t>
        </is>
      </c>
    </row>
    <row r="47">
      <c r="A47" s="2" t="n"/>
      <c r="B47" s="3" t="inlineStr">
        <is>
          <t>Interest-rate sensitivity on factoring (three- and two-month Euribor): a 1% change moves profit after tax by EUR 0.8m in 2023 (2022: EUR 0.2m).</t>
        </is>
      </c>
      <c r="C47" s="2" t="inlineStr">
        <is>
          <t>S1</t>
        </is>
      </c>
      <c r="D47" s="2" t="n">
        <v>61</v>
      </c>
      <c r="E47" s="2" t="inlineStr">
        <is>
          <t>F106</t>
        </is>
      </c>
    </row>
    <row r="48">
      <c r="A48" s="2" t="n"/>
      <c r="B48" s="3" t="inlineStr">
        <is>
          <t>No hedging instruments for currency risk at 31 December 2023; Candy Kittens and Longaim report in GBP; cash of EUR 2.0m held in SEK (SEK 24.0m).</t>
        </is>
      </c>
      <c r="C48" s="2" t="inlineStr">
        <is>
          <t>S1</t>
        </is>
      </c>
      <c r="D48" s="2" t="n">
        <v>61</v>
      </c>
      <c r="E48" s="2" t="inlineStr">
        <is>
          <t>F107</t>
        </is>
      </c>
    </row>
    <row r="49">
      <c r="A49" s="2" t="n"/>
      <c r="B49" s="3" t="inlineStr">
        <is>
          <t>Credit risk: maximum default risk limited to receivables carrying amount EUR 57.3m (2022: 47.5); individual risk limits set on internal or external ratings.</t>
        </is>
      </c>
      <c r="C49" s="2" t="inlineStr">
        <is>
          <t>S1</t>
        </is>
      </c>
      <c r="D49" s="2" t="n">
        <v>61</v>
      </c>
      <c r="E49" s="2" t="inlineStr">
        <is>
          <t>F108</t>
        </is>
      </c>
    </row>
    <row r="50">
      <c r="A50" s="2" t="n"/>
      <c r="B50" s="3" t="inlineStr">
        <is>
          <t>Refinancing profile at 31 Dec 2023: EUR 137.4m due in two to five years (incl. the EUR 115m bond 2028) and EUR 4.2m after five years; at 31 Dec 2022 EUR 125.4m fell due in one to two years.</t>
        </is>
      </c>
      <c r="C50" s="2" t="inlineStr">
        <is>
          <t>S1</t>
        </is>
      </c>
      <c r="D50" s="2" t="n">
        <v>63</v>
      </c>
      <c r="E50" s="2" t="inlineStr">
        <is>
          <t>F109</t>
        </is>
      </c>
    </row>
    <row r="51">
      <c r="A51" s="2" t="n"/>
      <c r="B51" s="3" t="inlineStr">
        <is>
          <t>Trade receivables of EUR 0.9m more than six months overdue were written off in full at 31 Dec 2023; impairment allowance 0.4 (2022: 1.2).</t>
        </is>
      </c>
      <c r="C51" s="2" t="inlineStr">
        <is>
          <t>S1</t>
        </is>
      </c>
      <c r="D51" s="2" t="n">
        <v>70</v>
      </c>
      <c r="E51" s="2" t="inlineStr">
        <is>
          <t>F110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0" customWidth="1" min="4" max="4"/>
    <col width="10" customWidth="1" min="5" max="5"/>
    <col width="10" customWidth="1" min="6" max="6"/>
    <col width="7" customWidth="1" min="7" max="7"/>
    <col width="60" customWidth="1" min="8" max="8"/>
    <col width="7" customWidth="1" min="9" max="9"/>
    <col width="6" customWidth="1" min="10" max="10"/>
    <col width="60" customWidth="1" min="11" max="11"/>
    <col width="8" customWidth="1" min="12" max="12"/>
    <col width="14" customWidth="1" min="13" max="13"/>
    <col width="30" customWidth="1" min="14" max="14"/>
    <col width="40" customWidth="1" min="15" max="15"/>
  </cols>
  <sheetData>
    <row r="1">
      <c r="A1" s="1" t="inlineStr">
        <is>
          <t>fact_id</t>
        </is>
      </c>
      <c r="B1" s="1" t="inlineStr">
        <is>
          <t>block</t>
        </is>
      </c>
      <c r="C1" s="1" t="inlineStr">
        <is>
          <t>field</t>
        </is>
      </c>
      <c r="D1" s="1" t="inlineStr">
        <is>
          <t>label</t>
        </is>
      </c>
      <c r="E1" s="1" t="inlineStr">
        <is>
          <t>period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text</t>
        </is>
      </c>
      <c r="I1" s="1" t="inlineStr">
        <is>
          <t>source</t>
        </is>
      </c>
      <c r="J1" s="1" t="inlineStr">
        <is>
          <t>page</t>
        </is>
      </c>
      <c r="K1" s="1" t="inlineStr">
        <is>
          <t>quote</t>
        </is>
      </c>
      <c r="L1" s="1" t="inlineStr">
        <is>
          <t>status</t>
        </is>
      </c>
      <c r="M1" s="1" t="inlineStr">
        <is>
          <t>reviewer</t>
        </is>
      </c>
      <c r="N1" s="1" t="inlineStr">
        <is>
          <t>note</t>
        </is>
      </c>
      <c r="O1" s="1" t="inlineStr">
        <is>
          <t>link</t>
        </is>
      </c>
    </row>
    <row r="2">
      <c r="A2" s="2" t="inlineStr">
        <is>
          <t>F001</t>
        </is>
      </c>
      <c r="B2" s="2" t="inlineStr">
        <is>
          <t>identity</t>
        </is>
      </c>
      <c r="C2" s="2" t="inlineStr">
        <is>
          <t>legal_name</t>
        </is>
      </c>
      <c r="D2" s="2" t="inlineStr">
        <is>
          <t>Legal name</t>
        </is>
      </c>
      <c r="E2" s="2" t="n"/>
      <c r="F2" s="2" t="n"/>
      <c r="G2" s="2" t="n"/>
      <c r="H2" s="2" t="inlineStr">
        <is>
          <t>Katjes International GmbH &amp; Co. KG</t>
        </is>
      </c>
      <c r="I2" s="2" t="inlineStr">
        <is>
          <t>S1</t>
        </is>
      </c>
      <c r="J2" s="2" t="n">
        <v>50</v>
      </c>
      <c r="K2" s="3" t="inlineStr">
        <is>
          <t>Katjes International GmbH &amp; Co. KG (‘Katjes</t>
        </is>
      </c>
      <c r="L2" s="2" t="inlineStr">
        <is>
          <t>ok</t>
        </is>
      </c>
      <c r="M2" s="2" t="inlineStr">
        <is>
          <t>demo reviewer</t>
        </is>
      </c>
      <c r="N2" s="2" t="n"/>
      <c r="O2" s="3" t="inlineStr">
        <is>
          <t>https://vanillabonds.com/dossier-data/pdf/katjes/katjes-2023-annual-report.pdf#page=50</t>
        </is>
      </c>
    </row>
    <row r="3">
      <c r="A3" s="2" t="inlineStr">
        <is>
          <t>F002</t>
        </is>
      </c>
      <c r="B3" s="2" t="inlineStr">
        <is>
          <t>identity</t>
        </is>
      </c>
      <c r="C3" s="2" t="inlineStr">
        <is>
          <t>legal_form</t>
        </is>
      </c>
      <c r="D3" s="2" t="inlineStr">
        <is>
          <t>Legal form</t>
        </is>
      </c>
      <c r="E3" s="2" t="n"/>
      <c r="F3" s="2" t="n"/>
      <c r="G3" s="2" t="n"/>
      <c r="H3" s="3" t="inlineStr">
        <is>
          <t>German GmbH &amp; Co. KG (limited partnership)</t>
        </is>
      </c>
      <c r="I3" s="2" t="inlineStr">
        <is>
          <t>S1</t>
        </is>
      </c>
      <c r="J3" s="2" t="n">
        <v>50</v>
      </c>
      <c r="K3" s="3" t="inlineStr">
        <is>
          <t>is a limited partnership (Kommanditgesellschaft)</t>
        </is>
      </c>
      <c r="L3" s="2" t="inlineStr">
        <is>
          <t>ok</t>
        </is>
      </c>
      <c r="M3" s="2" t="inlineStr">
        <is>
          <t>demo reviewer</t>
        </is>
      </c>
      <c r="N3" s="2" t="n"/>
      <c r="O3" s="3" t="inlineStr">
        <is>
          <t>https://vanillabonds.com/dossier-data/pdf/katjes/katjes-2023-annual-report.pdf#page=50</t>
        </is>
      </c>
    </row>
    <row r="4">
      <c r="A4" s="2" t="inlineStr">
        <is>
          <t>F003</t>
        </is>
      </c>
      <c r="B4" s="2" t="inlineStr">
        <is>
          <t>identity</t>
        </is>
      </c>
      <c r="C4" s="2" t="inlineStr">
        <is>
          <t>registry</t>
        </is>
      </c>
      <c r="D4" s="2" t="inlineStr">
        <is>
          <t>Commercial register / registration no.</t>
        </is>
      </c>
      <c r="E4" s="2" t="n"/>
      <c r="F4" s="2" t="n"/>
      <c r="G4" s="2" t="n"/>
      <c r="H4" s="2" t="inlineStr">
        <is>
          <t>Amtsgericht Kleve HRA 1076</t>
        </is>
      </c>
      <c r="I4" s="2" t="inlineStr">
        <is>
          <t>S1</t>
        </is>
      </c>
      <c r="J4" s="2" t="n">
        <v>50</v>
      </c>
      <c r="K4" s="3" t="inlineStr">
        <is>
          <t>Court (Amtsgericht) under commercial register number HRA 1076</t>
        </is>
      </c>
      <c r="L4" s="2" t="inlineStr">
        <is>
          <t>ok</t>
        </is>
      </c>
      <c r="M4" s="2" t="inlineStr">
        <is>
          <t>demo reviewer</t>
        </is>
      </c>
      <c r="N4" s="2" t="n"/>
      <c r="O4" s="3" t="inlineStr">
        <is>
          <t>https://vanillabonds.com/dossier-data/pdf/katjes/katjes-2023-annual-report.pdf#page=50</t>
        </is>
      </c>
    </row>
    <row r="5">
      <c r="A5" s="2" t="inlineStr">
        <is>
          <t>F004</t>
        </is>
      </c>
      <c r="B5" s="2" t="inlineStr">
        <is>
          <t>identity</t>
        </is>
      </c>
      <c r="C5" s="2" t="inlineStr">
        <is>
          <t>founded</t>
        </is>
      </c>
      <c r="D5" s="2" t="inlineStr">
        <is>
          <t>Founded</t>
        </is>
      </c>
      <c r="E5" s="2" t="n"/>
      <c r="F5" s="2" t="n"/>
      <c r="G5" s="2" t="n"/>
      <c r="H5" s="3" t="inlineStr">
        <is>
          <t>Established 2011 from predecessor companies</t>
        </is>
      </c>
      <c r="I5" s="2" t="inlineStr">
        <is>
          <t>S1</t>
        </is>
      </c>
      <c r="J5" s="2" t="n">
        <v>9</v>
      </c>
      <c r="K5" s="3" t="inlineStr">
        <is>
          <t>Established in 2011 from predecessor companies, the Katjes Group consists of Katjes International GmbH &amp; Co.</t>
        </is>
      </c>
      <c r="L5" s="2" t="inlineStr">
        <is>
          <t>ok</t>
        </is>
      </c>
      <c r="M5" s="2" t="inlineStr">
        <is>
          <t>demo reviewer</t>
        </is>
      </c>
      <c r="N5" s="2" t="n"/>
      <c r="O5" s="3" t="inlineStr">
        <is>
          <t>https://vanillabonds.com/dossier-data/pdf/katjes/katjes-2023-annual-report.pdf#page=9</t>
        </is>
      </c>
    </row>
    <row r="6">
      <c r="A6" s="2" t="inlineStr">
        <is>
          <t>F005</t>
        </is>
      </c>
      <c r="B6" s="2" t="inlineStr">
        <is>
          <t>identity</t>
        </is>
      </c>
      <c r="C6" s="2" t="inlineStr">
        <is>
          <t>registered_office</t>
        </is>
      </c>
      <c r="D6" s="2" t="inlineStr">
        <is>
          <t>Registered office</t>
        </is>
      </c>
      <c r="E6" s="2" t="n"/>
      <c r="F6" s="2" t="n"/>
      <c r="G6" s="2" t="n"/>
      <c r="H6" s="3" t="inlineStr">
        <is>
          <t>Dechant-Sprünken-Str. 53–57, 46446 Emmerich am Rhein</t>
        </is>
      </c>
      <c r="I6" s="2" t="inlineStr">
        <is>
          <t>S1</t>
        </is>
      </c>
      <c r="J6" s="2" t="n">
        <v>50</v>
      </c>
      <c r="K6" s="3" t="inlineStr">
        <is>
          <t>Dechant-Sprünken-Str. 53–57 46446 Emmerich am Rhein Germany</t>
        </is>
      </c>
      <c r="L6" s="2" t="inlineStr">
        <is>
          <t>ok</t>
        </is>
      </c>
      <c r="M6" s="2" t="inlineStr">
        <is>
          <t>demo reviewer</t>
        </is>
      </c>
      <c r="N6" s="2" t="n"/>
      <c r="O6" s="3" t="inlineStr">
        <is>
          <t>https://vanillabonds.com/dossier-data/pdf/katjes/katjes-2023-annual-report.pdf#page=50</t>
        </is>
      </c>
    </row>
    <row r="7">
      <c r="A7" s="2" t="inlineStr">
        <is>
          <t>F006</t>
        </is>
      </c>
      <c r="B7" s="2" t="inlineStr">
        <is>
          <t>identity</t>
        </is>
      </c>
      <c r="C7" s="2" t="inlineStr">
        <is>
          <t>country</t>
        </is>
      </c>
      <c r="D7" s="2" t="inlineStr">
        <is>
          <t>Country of incorporation (ISO-2)</t>
        </is>
      </c>
      <c r="E7" s="2" t="n"/>
      <c r="F7" s="2" t="n"/>
      <c r="G7" s="2" t="n"/>
      <c r="H7" s="2" t="inlineStr">
        <is>
          <t>DE</t>
        </is>
      </c>
      <c r="I7" s="2" t="inlineStr">
        <is>
          <t>S1</t>
        </is>
      </c>
      <c r="J7" s="2" t="n">
        <v>50</v>
      </c>
      <c r="K7" s="2" t="inlineStr">
        <is>
          <t>46446 Emmerich am Rhein Germany</t>
        </is>
      </c>
      <c r="L7" s="2" t="inlineStr">
        <is>
          <t>ok</t>
        </is>
      </c>
      <c r="M7" s="2" t="inlineStr">
        <is>
          <t>demo reviewer</t>
        </is>
      </c>
      <c r="N7" s="2" t="n"/>
      <c r="O7" s="3" t="inlineStr">
        <is>
          <t>https://vanillabonds.com/dossier-data/pdf/katjes/katjes-2023-annual-report.pdf#page=50</t>
        </is>
      </c>
    </row>
    <row r="8">
      <c r="A8" s="2" t="inlineStr">
        <is>
          <t>F007</t>
        </is>
      </c>
      <c r="B8" s="2" t="inlineStr">
        <is>
          <t>identity</t>
        </is>
      </c>
      <c r="C8" s="2" t="inlineStr">
        <is>
          <t>sector</t>
        </is>
      </c>
      <c r="D8" s="2" t="inlineStr">
        <is>
          <t>Sector</t>
        </is>
      </c>
      <c r="E8" s="2" t="n"/>
      <c r="F8" s="2" t="n"/>
      <c r="G8" s="2" t="n"/>
      <c r="H8" s="3" t="inlineStr">
        <is>
          <t>FMCG: confectionery and personal care products</t>
        </is>
      </c>
      <c r="I8" s="2" t="inlineStr">
        <is>
          <t>S1</t>
        </is>
      </c>
      <c r="J8" s="2" t="n">
        <v>81</v>
      </c>
      <c r="K8" s="3" t="inlineStr">
        <is>
          <t>The Katjes International Group, through its subsidiaries, is a manufacturer and supplier of FMCG</t>
        </is>
      </c>
      <c r="L8" s="2" t="inlineStr">
        <is>
          <t>ok</t>
        </is>
      </c>
      <c r="M8" s="2" t="inlineStr">
        <is>
          <t>demo reviewer</t>
        </is>
      </c>
      <c r="N8" s="2" t="n"/>
      <c r="O8" s="3" t="inlineStr">
        <is>
          <t>https://vanillabonds.com/dossier-data/pdf/katjes/katjes-2023-annual-report.pdf#page=81</t>
        </is>
      </c>
    </row>
    <row r="9">
      <c r="A9" s="2" t="inlineStr">
        <is>
          <t>F008</t>
        </is>
      </c>
      <c r="B9" s="2" t="inlineStr">
        <is>
          <t>identity</t>
        </is>
      </c>
      <c r="C9" s="2" t="inlineStr">
        <is>
          <t>sites</t>
        </is>
      </c>
      <c r="D9" s="2" t="inlineStr">
        <is>
          <t>Sites / countries of operation</t>
        </is>
      </c>
      <c r="E9" s="2" t="n"/>
      <c r="F9" s="2" t="n"/>
      <c r="G9" s="2" t="n"/>
      <c r="H9" s="3" t="inlineStr">
        <is>
          <t>Production and sales in Italy, Germany, UK, Netherlands</t>
        </is>
      </c>
      <c r="I9" s="2" t="inlineStr">
        <is>
          <t>S1</t>
        </is>
      </c>
      <c r="J9" s="2" t="n">
        <v>50</v>
      </c>
      <c r="K9" s="3" t="inlineStr">
        <is>
          <t>were performed in the Group companies in Italy, Germany, the United Kingdom (UK) and the Netherlands.</t>
        </is>
      </c>
      <c r="L9" s="2" t="inlineStr">
        <is>
          <t>ok</t>
        </is>
      </c>
      <c r="M9" s="2" t="inlineStr">
        <is>
          <t>demo reviewer</t>
        </is>
      </c>
      <c r="N9" s="2" t="n"/>
      <c r="O9" s="3" t="inlineStr">
        <is>
          <t>https://vanillabonds.com/dossier-data/pdf/katjes/katjes-2023-annual-report.pdf#page=50</t>
        </is>
      </c>
    </row>
    <row r="10">
      <c r="A10" s="2" t="inlineStr">
        <is>
          <t>F009</t>
        </is>
      </c>
      <c r="B10" s="2" t="inlineStr">
        <is>
          <t>identity</t>
        </is>
      </c>
      <c r="C10" s="2" t="inlineStr">
        <is>
          <t>employees</t>
        </is>
      </c>
      <c r="D10" s="2" t="inlineStr">
        <is>
          <t>Employees (FTE, period end)</t>
        </is>
      </c>
      <c r="E10" s="2" t="inlineStr">
        <is>
          <t>FY2022</t>
        </is>
      </c>
      <c r="F10" s="2" t="n">
        <v>980</v>
      </c>
      <c r="G10" s="2" t="n"/>
      <c r="H10" s="3" t="inlineStr">
        <is>
          <t>Average employees for the year (not period end): 980</t>
        </is>
      </c>
      <c r="I10" s="2" t="inlineStr">
        <is>
          <t>S1</t>
        </is>
      </c>
      <c r="J10" s="2" t="n">
        <v>50</v>
      </c>
      <c r="K10" s="3" t="inlineStr">
        <is>
          <t>The Company employed an average of 998 employees in the financial year 2023 (2022: 980)</t>
        </is>
      </c>
      <c r="L10" s="2" t="inlineStr">
        <is>
          <t>ok</t>
        </is>
      </c>
      <c r="M10" s="2" t="inlineStr">
        <is>
          <t>demo reviewer</t>
        </is>
      </c>
      <c r="N10" s="2" t="n"/>
      <c r="O10" s="3" t="inlineStr">
        <is>
          <t>https://vanillabonds.com/dossier-data/pdf/katjes/katjes-2023-annual-report.pdf#page=50</t>
        </is>
      </c>
    </row>
    <row r="11">
      <c r="A11" s="2" t="inlineStr">
        <is>
          <t>F010</t>
        </is>
      </c>
      <c r="B11" s="2" t="inlineStr">
        <is>
          <t>identity</t>
        </is>
      </c>
      <c r="C11" s="2" t="inlineStr">
        <is>
          <t>employees</t>
        </is>
      </c>
      <c r="D11" s="2" t="inlineStr">
        <is>
          <t>Employees (FTE, period end)</t>
        </is>
      </c>
      <c r="E11" s="2" t="inlineStr">
        <is>
          <t>FY2023</t>
        </is>
      </c>
      <c r="F11" s="2" t="n">
        <v>998</v>
      </c>
      <c r="G11" s="2" t="n"/>
      <c r="H11" s="3" t="inlineStr">
        <is>
          <t>Average employees for the year (not period end): 998, of which 596 Germany, 373 Italy, 14 Netherlands, 15 UK</t>
        </is>
      </c>
      <c r="I11" s="2" t="inlineStr">
        <is>
          <t>S1</t>
        </is>
      </c>
      <c r="J11" s="2" t="n">
        <v>50</v>
      </c>
      <c r="K11" s="3" t="inlineStr">
        <is>
          <t>The Company employed an average of 998 employees in the financial year 2023 (2022: 980)</t>
        </is>
      </c>
      <c r="L11" s="2" t="inlineStr">
        <is>
          <t>ok</t>
        </is>
      </c>
      <c r="M11" s="2" t="inlineStr">
        <is>
          <t>demo reviewer</t>
        </is>
      </c>
      <c r="N11" s="2" t="n"/>
      <c r="O11" s="3" t="inlineStr">
        <is>
          <t>https://vanillabonds.com/dossier-data/pdf/katjes/katjes-2023-annual-report.pdf#page=50</t>
        </is>
      </c>
    </row>
    <row r="12">
      <c r="A12" s="2" t="inlineStr">
        <is>
          <t>F011</t>
        </is>
      </c>
      <c r="B12" s="2" t="inlineStr">
        <is>
          <t>identity</t>
        </is>
      </c>
      <c r="C12" s="2" t="inlineStr">
        <is>
          <t>ownership</t>
        </is>
      </c>
      <c r="D12" s="2" t="inlineStr">
        <is>
          <t>Ownership / UBO</t>
        </is>
      </c>
      <c r="E12" s="2" t="n"/>
      <c r="F12" s="2" t="n"/>
      <c r="G12" s="2" t="n"/>
      <c r="H12" s="3" t="inlineStr">
        <is>
          <t>Bastian Fassin (EUR 540k) and Tobias Bachmüller (EUR 60k)</t>
        </is>
      </c>
      <c r="I12" s="2" t="inlineStr">
        <is>
          <t>S1</t>
        </is>
      </c>
      <c r="J12" s="2" t="n">
        <v>50</v>
      </c>
      <c r="K12" s="3" t="inlineStr">
        <is>
          <t>partners are Bastian Fassin, with registered liability of EUR 540 thousand and Tobias Bachmüller</t>
        </is>
      </c>
      <c r="L12" s="2" t="inlineStr">
        <is>
          <t>ok</t>
        </is>
      </c>
      <c r="M12" s="2" t="inlineStr">
        <is>
          <t>demo reviewer</t>
        </is>
      </c>
      <c r="N12" s="2" t="n"/>
      <c r="O12" s="3" t="inlineStr">
        <is>
          <t>https://vanillabonds.com/dossier-data/pdf/katjes/katjes-2023-annual-report.pdf#page=50</t>
        </is>
      </c>
    </row>
    <row r="13">
      <c r="A13" s="2" t="inlineStr">
        <is>
          <t>F012</t>
        </is>
      </c>
      <c r="B13" s="2" t="inlineStr">
        <is>
          <t>identity</t>
        </is>
      </c>
      <c r="C13" s="2" t="inlineStr">
        <is>
          <t>listing</t>
        </is>
      </c>
      <c r="D13" s="2" t="inlineStr">
        <is>
          <t>Listings (equity, bonds)</t>
        </is>
      </c>
      <c r="E13" s="2" t="n"/>
      <c r="F13" s="2" t="n"/>
      <c r="G13" s="2" t="n"/>
      <c r="H13" s="3" t="inlineStr">
        <is>
          <t>Bond 2023/2028 on Nordic ABM, Oslo Stock Exchange (Jan 2024)</t>
        </is>
      </c>
      <c r="I13" s="2" t="inlineStr">
        <is>
          <t>S1</t>
        </is>
      </c>
      <c r="J13" s="2" t="n">
        <v>85</v>
      </c>
      <c r="K13" s="3" t="inlineStr">
        <is>
          <t>the Nordic ABM of the Oslo Stock Exchange at the end of January 2024 as planned within six months of the issue</t>
        </is>
      </c>
      <c r="L13" s="2" t="inlineStr">
        <is>
          <t>ok</t>
        </is>
      </c>
      <c r="M13" s="2" t="inlineStr">
        <is>
          <t>demo reviewer</t>
        </is>
      </c>
      <c r="N13" s="2" t="n"/>
      <c r="O13" s="3" t="inlineStr">
        <is>
          <t>https://vanillabonds.com/dossier-data/pdf/katjes/katjes-2023-annual-report.pdf#page=85</t>
        </is>
      </c>
    </row>
    <row r="14">
      <c r="A14" s="2" t="inlineStr">
        <is>
          <t>F013</t>
        </is>
      </c>
      <c r="B14" s="2" t="inlineStr">
        <is>
          <t>identity</t>
        </is>
      </c>
      <c r="C14" s="2" t="inlineStr">
        <is>
          <t>auditor</t>
        </is>
      </c>
      <c r="D14" s="2" t="inlineStr">
        <is>
          <t>Auditor</t>
        </is>
      </c>
      <c r="E14" s="2" t="n"/>
      <c r="F14" s="2" t="n"/>
      <c r="G14" s="2" t="n"/>
      <c r="H14" s="3" t="inlineStr">
        <is>
          <t>EY GmbH &amp; Co. KG Wirtschaftsprüfungsgesellschaft, Düsseldorf</t>
        </is>
      </c>
      <c r="I14" s="2" t="inlineStr">
        <is>
          <t>S1</t>
        </is>
      </c>
      <c r="J14" s="2" t="n">
        <v>94</v>
      </c>
      <c r="K14" s="3" t="inlineStr">
        <is>
          <t>Düsseldorf, 27th March 2024 EY GmbH &amp; Co. KG Wirtschaftsprüfungsgesellschaft</t>
        </is>
      </c>
      <c r="L14" s="2" t="inlineStr">
        <is>
          <t>ok</t>
        </is>
      </c>
      <c r="M14" s="2" t="inlineStr">
        <is>
          <t>demo reviewer</t>
        </is>
      </c>
      <c r="N14" s="2" t="n"/>
      <c r="O14" s="3" t="inlineStr">
        <is>
          <t>https://vanillabonds.com/dossier-data/pdf/katjes/katjes-2023-annual-report.pdf#page=94</t>
        </is>
      </c>
    </row>
    <row r="15">
      <c r="A15" s="2" t="inlineStr">
        <is>
          <t>F014</t>
        </is>
      </c>
      <c r="B15" s="2" t="inlineStr">
        <is>
          <t>identity</t>
        </is>
      </c>
      <c r="C15" s="2" t="inlineStr">
        <is>
          <t>audit_opinion</t>
        </is>
      </c>
      <c r="D15" s="2" t="inlineStr">
        <is>
          <t>Audit opinion</t>
        </is>
      </c>
      <c r="E15" s="2" t="inlineStr">
        <is>
          <t>FY2023</t>
        </is>
      </c>
      <c r="F15" s="2" t="n"/>
      <c r="G15" s="2" t="n"/>
      <c r="H15" s="3" t="inlineStr">
        <is>
          <t>unqualified; no reservations (Sec. 322 (3) HGB); no EoM</t>
        </is>
      </c>
      <c r="I15" s="2" t="inlineStr">
        <is>
          <t>S1</t>
        </is>
      </c>
      <c r="J15" s="2" t="n">
        <v>91</v>
      </c>
      <c r="K15" s="3" t="inlineStr">
        <is>
          <t>Pursuant to Sec. 322 (3) Sentence 1 HGB, we declare that our audit has not led to any reservations</t>
        </is>
      </c>
      <c r="L15" s="2" t="inlineStr">
        <is>
          <t>ok</t>
        </is>
      </c>
      <c r="M15" s="2" t="inlineStr">
        <is>
          <t>demo reviewer</t>
        </is>
      </c>
      <c r="N15" s="2" t="n"/>
      <c r="O15" s="3" t="inlineStr">
        <is>
          <t>https://vanillabonds.com/dossier-data/pdf/katjes/katjes-2023-annual-report.pdf#page=91</t>
        </is>
      </c>
    </row>
    <row r="16">
      <c r="A16" s="2" t="inlineStr">
        <is>
          <t>F015</t>
        </is>
      </c>
      <c r="B16" s="2" t="inlineStr">
        <is>
          <t>identity</t>
        </is>
      </c>
      <c r="C16" s="2" t="inlineStr">
        <is>
          <t>accounting_standard</t>
        </is>
      </c>
      <c r="D16" s="2" t="inlineStr">
        <is>
          <t>Accounting standard</t>
        </is>
      </c>
      <c r="E16" s="2" t="n"/>
      <c r="F16" s="2" t="n"/>
      <c r="G16" s="2" t="n"/>
      <c r="H16" s="3" t="inlineStr">
        <is>
          <t>IFRS as adopted by the EU plus Sec. 315e (1) HGB</t>
        </is>
      </c>
      <c r="I16" s="2" t="inlineStr">
        <is>
          <t>S1</t>
        </is>
      </c>
      <c r="J16" s="2" t="n">
        <v>51</v>
      </c>
      <c r="K16" s="3" t="inlineStr">
        <is>
          <t>(IFRS) as adopted by the EU and the supplementary provisions set out in section 315e (1) of the German Commercial Code (HGB).</t>
        </is>
      </c>
      <c r="L16" s="2" t="inlineStr">
        <is>
          <t>ok</t>
        </is>
      </c>
      <c r="M16" s="2" t="inlineStr">
        <is>
          <t>demo reviewer</t>
        </is>
      </c>
      <c r="N16" s="2" t="n"/>
      <c r="O16" s="3" t="inlineStr">
        <is>
          <t>https://vanillabonds.com/dossier-data/pdf/katjes/katjes-2023-annual-report.pdf#page=51</t>
        </is>
      </c>
    </row>
    <row r="17">
      <c r="A17" s="2" t="inlineStr">
        <is>
          <t>F016</t>
        </is>
      </c>
      <c r="B17" s="2" t="inlineStr">
        <is>
          <t>identity</t>
        </is>
      </c>
      <c r="C17" s="2" t="inlineStr">
        <is>
          <t>fiscal_year_end</t>
        </is>
      </c>
      <c r="D17" s="2" t="inlineStr">
        <is>
          <t>Fiscal year end</t>
        </is>
      </c>
      <c r="E17" s="2" t="n"/>
      <c r="F17" s="2" t="n"/>
      <c r="G17" s="2" t="n"/>
      <c r="H17" s="2" t="inlineStr">
        <is>
          <t>31 December (calendar year)</t>
        </is>
      </c>
      <c r="I17" s="2" t="inlineStr">
        <is>
          <t>S1</t>
        </is>
      </c>
      <c r="J17" s="2" t="n">
        <v>50</v>
      </c>
      <c r="K17" s="2" t="inlineStr">
        <is>
          <t>The financial year is the calendar year.</t>
        </is>
      </c>
      <c r="L17" s="2" t="inlineStr">
        <is>
          <t>ok</t>
        </is>
      </c>
      <c r="M17" s="2" t="inlineStr">
        <is>
          <t>demo reviewer</t>
        </is>
      </c>
      <c r="N17" s="2" t="n"/>
      <c r="O17" s="3" t="inlineStr">
        <is>
          <t>https://vanillabonds.com/dossier-data/pdf/katjes/katjes-2023-annual-report.pdf#page=50</t>
        </is>
      </c>
    </row>
    <row r="18">
      <c r="A18" s="2" t="inlineStr">
        <is>
          <t>F017</t>
        </is>
      </c>
      <c r="B18" s="2" t="inlineStr">
        <is>
          <t>business</t>
        </is>
      </c>
      <c r="C18" s="2" t="inlineStr">
        <is>
          <t>business_fact</t>
        </is>
      </c>
      <c r="D18" s="2" t="inlineStr">
        <is>
          <t>Business fact</t>
        </is>
      </c>
      <c r="E18" s="2" t="n"/>
      <c r="F18" s="2" t="n"/>
      <c r="G18" s="2" t="n"/>
      <c r="H18" s="3" t="inlineStr">
        <is>
          <t>Activities are focused on Italy, Germany, the Netherlands, the UK, Spain and France through investments in local brands.</t>
        </is>
      </c>
      <c r="I18" s="2" t="inlineStr">
        <is>
          <t>S1</t>
        </is>
      </c>
      <c r="J18" s="2" t="n">
        <v>9</v>
      </c>
      <c r="K18" s="3" t="inlineStr">
        <is>
          <t>activities are currently focused on Italy, Germany, the Netherlands, the UK, Spain and France.</t>
        </is>
      </c>
      <c r="L18" s="2" t="inlineStr">
        <is>
          <t>ok</t>
        </is>
      </c>
      <c r="M18" s="2" t="inlineStr">
        <is>
          <t>demo reviewer</t>
        </is>
      </c>
      <c r="N18" s="2" t="n"/>
      <c r="O18" s="3" t="inlineStr">
        <is>
          <t>https://vanillabonds.com/dossier-data/pdf/katjes/katjes-2023-annual-report.pdf#page=9</t>
        </is>
      </c>
    </row>
    <row r="19">
      <c r="A19" s="2" t="inlineStr">
        <is>
          <t>F018</t>
        </is>
      </c>
      <c r="B19" s="2" t="inlineStr">
        <is>
          <t>business</t>
        </is>
      </c>
      <c r="C19" s="2" t="inlineStr">
        <is>
          <t>business_fact</t>
        </is>
      </c>
      <c r="D19" s="2" t="inlineStr">
        <is>
          <t>Business fact</t>
        </is>
      </c>
      <c r="E19" s="2" t="n"/>
      <c r="F19" s="2" t="n"/>
      <c r="G19" s="2" t="n"/>
      <c r="H19" s="3" t="inlineStr">
        <is>
          <t>Dallmann's Pharma Candy produces Dallmann's sage throat lozenges and distributes WICK cough drops in Germany.</t>
        </is>
      </c>
      <c r="I19" s="2" t="inlineStr">
        <is>
          <t>S1</t>
        </is>
      </c>
      <c r="J19" s="2" t="n">
        <v>17</v>
      </c>
      <c r="K19" s="3" t="inlineStr">
        <is>
          <t>Throat and cough drops / distribution of ‘WICK’ cough drops</t>
        </is>
      </c>
      <c r="L19" s="2" t="inlineStr">
        <is>
          <t>ok</t>
        </is>
      </c>
      <c r="M19" s="2" t="inlineStr">
        <is>
          <t>demo reviewer</t>
        </is>
      </c>
      <c r="N19" s="2" t="n"/>
      <c r="O19" s="3" t="inlineStr">
        <is>
          <t>https://vanillabonds.com/dossier-data/pdf/katjes/katjes-2023-annual-report.pdf#page=17</t>
        </is>
      </c>
    </row>
    <row r="20">
      <c r="A20" s="2" t="inlineStr">
        <is>
          <t>F019</t>
        </is>
      </c>
      <c r="B20" s="2" t="inlineStr">
        <is>
          <t>business</t>
        </is>
      </c>
      <c r="C20" s="2" t="inlineStr">
        <is>
          <t>business_fact</t>
        </is>
      </c>
      <c r="D20" s="2" t="inlineStr">
        <is>
          <t>Business fact</t>
        </is>
      </c>
      <c r="E20" s="2" t="n"/>
      <c r="F20" s="2" t="n"/>
      <c r="G20" s="2" t="n"/>
      <c r="H20" s="3" t="inlineStr">
        <is>
          <t>Katjes International is a strategic investor for more than a decade; sister companies Katjes Fassin GmbH + Co. KG (Katjes Germany) and Katjesgreenfood GmbH &amp; Co. KG are legally independent and outside the consolidation.</t>
        </is>
      </c>
      <c r="I20" s="2" t="inlineStr">
        <is>
          <t>S1</t>
        </is>
      </c>
      <c r="J20" s="2" t="n">
        <v>26</v>
      </c>
      <c r="K20" s="3" t="inlineStr">
        <is>
          <t>has been operating as a strategic investor for more than a decade. Together with its sister companies Katjes Fassin GmbH + Co. KG (‘Katjes Germany’)</t>
        </is>
      </c>
      <c r="L20" s="2" t="inlineStr">
        <is>
          <t>ok</t>
        </is>
      </c>
      <c r="M20" s="2" t="inlineStr">
        <is>
          <t>demo reviewer</t>
        </is>
      </c>
      <c r="N20" s="2" t="n"/>
      <c r="O20" s="3" t="inlineStr">
        <is>
          <t>https://vanillabonds.com/dossier-data/pdf/katjes/katjes-2023-annual-report.pdf#page=26</t>
        </is>
      </c>
    </row>
    <row r="21">
      <c r="A21" s="2" t="inlineStr">
        <is>
          <t>F020</t>
        </is>
      </c>
      <c r="B21" s="2" t="inlineStr">
        <is>
          <t>business</t>
        </is>
      </c>
      <c r="C21" s="2" t="inlineStr">
        <is>
          <t>business_fact</t>
        </is>
      </c>
      <c r="D21" s="2" t="inlineStr">
        <is>
          <t>Business fact</t>
        </is>
      </c>
      <c r="E21" s="2" t="n"/>
      <c r="F21" s="2" t="n"/>
      <c r="G21" s="2" t="n"/>
      <c r="H21" s="3" t="inlineStr">
        <is>
          <t>After an acquisition the associated companies remain legally and organisationally independent and local management is kept in place.</t>
        </is>
      </c>
      <c r="I21" s="2" t="inlineStr">
        <is>
          <t>S1</t>
        </is>
      </c>
      <c r="J21" s="2" t="n">
        <v>26</v>
      </c>
      <c r="K21" s="3" t="inlineStr">
        <is>
          <t>associated companies remain independent in legal and organisational terms, and the local management is kept in place.</t>
        </is>
      </c>
      <c r="L21" s="2" t="inlineStr">
        <is>
          <t>ok</t>
        </is>
      </c>
      <c r="M21" s="2" t="inlineStr">
        <is>
          <t>demo reviewer</t>
        </is>
      </c>
      <c r="N21" s="2" t="n"/>
      <c r="O21" s="3" t="inlineStr">
        <is>
          <t>https://vanillabonds.com/dossier-data/pdf/katjes/katjes-2023-annual-report.pdf#page=26</t>
        </is>
      </c>
    </row>
    <row r="22">
      <c r="A22" s="2" t="inlineStr">
        <is>
          <t>F021</t>
        </is>
      </c>
      <c r="B22" s="2" t="inlineStr">
        <is>
          <t>business</t>
        </is>
      </c>
      <c r="C22" s="2" t="inlineStr">
        <is>
          <t>business_fact</t>
        </is>
      </c>
      <c r="D22" s="2" t="inlineStr">
        <is>
          <t>Business fact</t>
        </is>
      </c>
      <c r="E22" s="2" t="n"/>
      <c r="F22" s="2" t="n"/>
      <c r="G22" s="2" t="n"/>
      <c r="H22" s="3" t="inlineStr">
        <is>
          <t>Research and development expenses of the subsidiaries were EUR 1.0m in 2023 (2022: EUR 1.0m).</t>
        </is>
      </c>
      <c r="I22" s="2" t="inlineStr">
        <is>
          <t>S1</t>
        </is>
      </c>
      <c r="J22" s="2" t="n">
        <v>28</v>
      </c>
      <c r="K22" s="3" t="inlineStr">
        <is>
          <t>reporting year, the corresponding expenses amounted to EUR 1.0 million (previous year: EUR 1.0 million)</t>
        </is>
      </c>
      <c r="L22" s="2" t="inlineStr">
        <is>
          <t>ok</t>
        </is>
      </c>
      <c r="M22" s="2" t="inlineStr">
        <is>
          <t>demo reviewer</t>
        </is>
      </c>
      <c r="N22" s="2" t="n"/>
      <c r="O22" s="3" t="inlineStr">
        <is>
          <t>https://vanillabonds.com/dossier-data/pdf/katjes/katjes-2023-annual-report.pdf#page=28</t>
        </is>
      </c>
    </row>
    <row r="23">
      <c r="A23" s="2" t="inlineStr">
        <is>
          <t>F022</t>
        </is>
      </c>
      <c r="B23" s="2" t="inlineStr">
        <is>
          <t>business</t>
        </is>
      </c>
      <c r="C23" s="2" t="inlineStr">
        <is>
          <t>business_fact</t>
        </is>
      </c>
      <c r="D23" s="2" t="inlineStr">
        <is>
          <t>Business fact</t>
        </is>
      </c>
      <c r="E23" s="2" t="n"/>
      <c r="F23" s="2" t="n"/>
      <c r="G23" s="2" t="n"/>
      <c r="H23" s="3" t="inlineStr">
        <is>
          <t>Product mix 2023: sugar confectionery 41.4% of sales (2022: 43.1%), body care 23.1% (18.8%), chocolate 15.7% (18.7%), seasonal 12.4% (12.6%).</t>
        </is>
      </c>
      <c r="I23" s="2" t="inlineStr">
        <is>
          <t>S1</t>
        </is>
      </c>
      <c r="J23" s="2" t="n">
        <v>32</v>
      </c>
      <c r="K23" s="3" t="inlineStr">
        <is>
          <t>Chocolate products accounted for 15.7% (previous year: 18.7%) and seasonal products amounted to 12.4% (previous year: 12.6%).</t>
        </is>
      </c>
      <c r="L23" s="2" t="inlineStr">
        <is>
          <t>ok</t>
        </is>
      </c>
      <c r="M23" s="2" t="inlineStr">
        <is>
          <t>demo reviewer</t>
        </is>
      </c>
      <c r="N23" s="2" t="n"/>
      <c r="O23" s="3" t="inlineStr">
        <is>
          <t>https://vanillabonds.com/dossier-data/pdf/katjes/katjes-2023-annual-report.pdf#page=32</t>
        </is>
      </c>
    </row>
    <row r="24">
      <c r="A24" s="2" t="inlineStr">
        <is>
          <t>F023</t>
        </is>
      </c>
      <c r="B24" s="2" t="inlineStr">
        <is>
          <t>business</t>
        </is>
      </c>
      <c r="C24" s="2" t="inlineStr">
        <is>
          <t>business_fact</t>
        </is>
      </c>
      <c r="D24" s="2" t="inlineStr">
        <is>
          <t>Business fact</t>
        </is>
      </c>
      <c r="E24" s="2" t="n"/>
      <c r="F24" s="2" t="n"/>
      <c r="G24" s="2" t="n"/>
      <c r="H24" s="3" t="inlineStr">
        <is>
          <t>Cost of sales EUR 295.5m = 78.3% of revenue (2022: 82.6%); gross profit EUR 81.9m, gross margin 21.7% (2022: 17.4%).</t>
        </is>
      </c>
      <c r="I24" s="2" t="inlineStr">
        <is>
          <t>S1</t>
        </is>
      </c>
      <c r="J24" s="2" t="n">
        <v>32</v>
      </c>
      <c r="K24" s="3" t="inlineStr">
        <is>
          <t>At 78.3%, cost of sales as a percentage of revenue was below the previous year’s level (2022: 82.6%).</t>
        </is>
      </c>
      <c r="L24" s="2" t="inlineStr">
        <is>
          <t>ok</t>
        </is>
      </c>
      <c r="M24" s="2" t="inlineStr">
        <is>
          <t>demo reviewer</t>
        </is>
      </c>
      <c r="N24" s="2" t="n"/>
      <c r="O24" s="3" t="inlineStr">
        <is>
          <t>https://vanillabonds.com/dossier-data/pdf/katjes/katjes-2023-annual-report.pdf#page=32</t>
        </is>
      </c>
    </row>
    <row r="25">
      <c r="A25" s="2" t="inlineStr">
        <is>
          <t>F024</t>
        </is>
      </c>
      <c r="B25" s="2" t="inlineStr">
        <is>
          <t>business</t>
        </is>
      </c>
      <c r="C25" s="2" t="inlineStr">
        <is>
          <t>business_fact</t>
        </is>
      </c>
      <c r="D25" s="2" t="inlineStr">
        <is>
          <t>Business fact</t>
        </is>
      </c>
      <c r="E25" s="2" t="n"/>
      <c r="F25" s="2" t="n"/>
      <c r="G25" s="2" t="n"/>
      <c r="H25" s="3" t="inlineStr">
        <is>
          <t>Equity ratio 36.9% at 31 Dec 2023 (2022: 37.8%), described by management as 'stable'.</t>
        </is>
      </c>
      <c r="I25" s="2" t="inlineStr">
        <is>
          <t>S1</t>
        </is>
      </c>
      <c r="J25" s="2" t="n">
        <v>34</v>
      </c>
      <c r="K25" s="3" t="inlineStr">
        <is>
          <t>equity ratio remained stable at 36.9% as at the reporting date (31 December 2022: 37.8%).</t>
        </is>
      </c>
      <c r="L25" s="2" t="inlineStr">
        <is>
          <t>ok</t>
        </is>
      </c>
      <c r="M25" s="2" t="inlineStr">
        <is>
          <t>demo reviewer</t>
        </is>
      </c>
      <c r="N25" s="2" t="n"/>
      <c r="O25" s="3" t="inlineStr">
        <is>
          <t>https://vanillabonds.com/dossier-data/pdf/katjes/katjes-2023-annual-report.pdf#page=34</t>
        </is>
      </c>
    </row>
    <row r="26">
      <c r="A26" s="2" t="inlineStr">
        <is>
          <t>F025</t>
        </is>
      </c>
      <c r="B26" s="2" t="inlineStr">
        <is>
          <t>business</t>
        </is>
      </c>
      <c r="C26" s="2" t="inlineStr">
        <is>
          <t>business_fact</t>
        </is>
      </c>
      <c r="D26" s="2" t="inlineStr">
        <is>
          <t>Business fact</t>
        </is>
      </c>
      <c r="E26" s="2" t="n"/>
      <c r="F26" s="2" t="n"/>
      <c r="G26" s="2" t="n"/>
      <c r="H26" s="3" t="inlineStr">
        <is>
          <t>Raw material price risks are monitored through joint purchasing with Katjes Germany and the subsidiaries; short-term price risk managed by longer-term fixed-price supplier contracts.</t>
        </is>
      </c>
      <c r="I26" s="2" t="inlineStr">
        <is>
          <t>S1</t>
        </is>
      </c>
      <c r="J26" s="2" t="n">
        <v>40</v>
      </c>
      <c r="K26" s="3" t="inlineStr">
        <is>
          <t>Risks relating to raw material prices are monitored as part of the joint purchasing activities with Katjes Germany</t>
        </is>
      </c>
      <c r="L26" s="2" t="inlineStr">
        <is>
          <t>ok</t>
        </is>
      </c>
      <c r="M26" s="2" t="inlineStr">
        <is>
          <t>demo reviewer</t>
        </is>
      </c>
      <c r="N26" s="2" t="n"/>
      <c r="O26" s="3" t="inlineStr">
        <is>
          <t>https://vanillabonds.com/dossier-data/pdf/katjes/katjes-2023-annual-report.pdf#page=40</t>
        </is>
      </c>
    </row>
    <row r="27">
      <c r="A27" s="2" t="inlineStr">
        <is>
          <t>F026</t>
        </is>
      </c>
      <c r="B27" s="2" t="inlineStr">
        <is>
          <t>business</t>
        </is>
      </c>
      <c r="C27" s="2" t="inlineStr">
        <is>
          <t>business_fact</t>
        </is>
      </c>
      <c r="D27" s="2" t="inlineStr">
        <is>
          <t>Business fact</t>
        </is>
      </c>
      <c r="E27" s="2" t="n"/>
      <c r="F27" s="2" t="n"/>
      <c r="G27" s="2" t="n"/>
      <c r="H27" s="3" t="inlineStr">
        <is>
          <t>Cash flow from investing activities EUR -14.6m in 2023 (2022: EUR -28.8m), including the cash outflow for the N.A.E. brand; 2022 included EUR 20.9m acquisition of subsidiaries.</t>
        </is>
      </c>
      <c r="I27" s="2" t="inlineStr">
        <is>
          <t>S1</t>
        </is>
      </c>
      <c r="J27" s="2" t="n">
        <v>48</v>
      </c>
      <c r="K27" s="3" t="inlineStr">
        <is>
          <t>Cash flow from investing activities -14.6 -28.8</t>
        </is>
      </c>
      <c r="L27" s="2" t="inlineStr">
        <is>
          <t>ok</t>
        </is>
      </c>
      <c r="M27" s="2" t="inlineStr">
        <is>
          <t>demo reviewer</t>
        </is>
      </c>
      <c r="N27" s="2" t="n"/>
      <c r="O27" s="3" t="inlineStr">
        <is>
          <t>https://vanillabonds.com/dossier-data/pdf/katjes/katjes-2023-annual-report.pdf#page=48</t>
        </is>
      </c>
    </row>
    <row r="28">
      <c r="A28" s="2" t="inlineStr">
        <is>
          <t>F027</t>
        </is>
      </c>
      <c r="B28" s="2" t="inlineStr">
        <is>
          <t>business</t>
        </is>
      </c>
      <c r="C28" s="2" t="inlineStr">
        <is>
          <t>business_fact</t>
        </is>
      </c>
      <c r="D28" s="2" t="inlineStr">
        <is>
          <t>Business fact</t>
        </is>
      </c>
      <c r="E28" s="2" t="n"/>
      <c r="F28" s="2" t="n"/>
      <c r="G28" s="2" t="n"/>
      <c r="H28" s="3" t="inlineStr">
        <is>
          <t>Average employees 2023 by country: 596 Germany (2022: 571), 373 Italy (380), 14 Netherlands (13), 15 UK (16).</t>
        </is>
      </c>
      <c r="I28" s="2" t="inlineStr">
        <is>
          <t>S1</t>
        </is>
      </c>
      <c r="J28" s="2" t="n">
        <v>50</v>
      </c>
      <c r="K28" s="3" t="inlineStr">
        <is>
          <t>ployed in Germany (2022: 571),373 in Italy (2022: 380) and 14 in the Netherlands (2022: 13).</t>
        </is>
      </c>
      <c r="L28" s="2" t="inlineStr">
        <is>
          <t>ok</t>
        </is>
      </c>
      <c r="M28" s="2" t="inlineStr">
        <is>
          <t>demo reviewer</t>
        </is>
      </c>
      <c r="N28" s="2" t="n"/>
      <c r="O28" s="3" t="inlineStr">
        <is>
          <t>https://vanillabonds.com/dossier-data/pdf/katjes/katjes-2023-annual-report.pdf#page=50</t>
        </is>
      </c>
    </row>
    <row r="29">
      <c r="A29" s="2" t="inlineStr">
        <is>
          <t>F028</t>
        </is>
      </c>
      <c r="B29" s="2" t="inlineStr">
        <is>
          <t>business</t>
        </is>
      </c>
      <c r="C29" s="2" t="inlineStr">
        <is>
          <t>business_fact</t>
        </is>
      </c>
      <c r="D29" s="2" t="inlineStr">
        <is>
          <t>Business fact</t>
        </is>
      </c>
      <c r="E29" s="2" t="n"/>
      <c r="F29" s="2" t="n"/>
      <c r="G29" s="2" t="n"/>
      <c r="H29" s="3" t="inlineStr">
        <is>
          <t>The consolidation scope comprises 31 fully consolidated companies (22 Germany, 9 other countries) in 2023 (2022: 26).</t>
        </is>
      </c>
      <c r="I29" s="2" t="inlineStr">
        <is>
          <t>S1</t>
        </is>
      </c>
      <c r="J29" s="2" t="n">
        <v>52</v>
      </c>
      <c r="K29" s="3" t="inlineStr">
        <is>
          <t>Germany 22 17 Other countries 9 9 Total 31 26</t>
        </is>
      </c>
      <c r="L29" s="2" t="inlineStr">
        <is>
          <t>ok</t>
        </is>
      </c>
      <c r="M29" s="2" t="inlineStr">
        <is>
          <t>demo reviewer</t>
        </is>
      </c>
      <c r="N29" s="2" t="n"/>
      <c r="O29" s="3" t="inlineStr">
        <is>
          <t>https://vanillabonds.com/dossier-data/pdf/katjes/katjes-2023-annual-report.pdf#page=52</t>
        </is>
      </c>
    </row>
    <row r="30">
      <c r="A30" s="2" t="inlineStr">
        <is>
          <t>F029</t>
        </is>
      </c>
      <c r="B30" s="2" t="inlineStr">
        <is>
          <t>business</t>
        </is>
      </c>
      <c r="C30" s="2" t="inlineStr">
        <is>
          <t>business_fact</t>
        </is>
      </c>
      <c r="D30" s="2" t="inlineStr">
        <is>
          <t>Business fact</t>
        </is>
      </c>
      <c r="E30" s="2" t="n"/>
      <c r="F30" s="2" t="n"/>
      <c r="G30" s="2" t="n"/>
      <c r="H30" s="3" t="inlineStr">
        <is>
          <t>Inventories EUR 46.4m at 31 Dec 2023 (2022: EUR 36.2m): raw materials 20.8, unfinished goods 2.8, finished products 22.8; inventory impairment EUR 0.9m (2022: 0.6).</t>
        </is>
      </c>
      <c r="I30" s="2" t="inlineStr">
        <is>
          <t>S1</t>
        </is>
      </c>
      <c r="J30" s="2" t="n">
        <v>70</v>
      </c>
      <c r="K30" s="3" t="inlineStr">
        <is>
          <t>Raw materials 20.8 17.7 Unfinished goods 2.8 3.1</t>
        </is>
      </c>
      <c r="L30" s="2" t="inlineStr">
        <is>
          <t>ok</t>
        </is>
      </c>
      <c r="M30" s="2" t="inlineStr">
        <is>
          <t>demo reviewer</t>
        </is>
      </c>
      <c r="N30" s="2" t="n"/>
      <c r="O30" s="3" t="inlineStr">
        <is>
          <t>https://vanillabonds.com/dossier-data/pdf/katjes/katjes-2023-annual-report.pdf#page=70</t>
        </is>
      </c>
    </row>
    <row r="31">
      <c r="A31" s="2" t="inlineStr">
        <is>
          <t>F030</t>
        </is>
      </c>
      <c r="B31" s="2" t="inlineStr">
        <is>
          <t>business</t>
        </is>
      </c>
      <c r="C31" s="2" t="inlineStr">
        <is>
          <t>business_fact</t>
        </is>
      </c>
      <c r="D31" s="2" t="inlineStr">
        <is>
          <t>Business fact</t>
        </is>
      </c>
      <c r="E31" s="2" t="n"/>
      <c r="F31" s="2" t="n"/>
      <c r="G31" s="2" t="n"/>
      <c r="H31" s="3" t="inlineStr">
        <is>
          <t>Other non-current financial assets EUR 4.2m (2022: 7.7) mainly future payments from the 2018 CPK transaction.</t>
        </is>
      </c>
      <c r="I31" s="2" t="inlineStr">
        <is>
          <t>S1</t>
        </is>
      </c>
      <c r="J31" s="2" t="n">
        <v>70</v>
      </c>
      <c r="K31" s="3" t="inlineStr">
        <is>
          <t>As at 31 December 2023 this item mainly includes future payments from the transaction with CPK completed in 2018</t>
        </is>
      </c>
      <c r="L31" s="2" t="inlineStr">
        <is>
          <t>ok</t>
        </is>
      </c>
      <c r="M31" s="2" t="inlineStr">
        <is>
          <t>demo reviewer</t>
        </is>
      </c>
      <c r="N31" s="2" t="n"/>
      <c r="O31" s="3" t="inlineStr">
        <is>
          <t>https://vanillabonds.com/dossier-data/pdf/katjes/katjes-2023-annual-report.pdf#page=70</t>
        </is>
      </c>
    </row>
    <row r="32">
      <c r="A32" s="2" t="inlineStr">
        <is>
          <t>F031</t>
        </is>
      </c>
      <c r="B32" s="2" t="inlineStr">
        <is>
          <t>business</t>
        </is>
      </c>
      <c r="C32" s="2" t="inlineStr">
        <is>
          <t>business_fact</t>
        </is>
      </c>
      <c r="D32" s="2" t="inlineStr">
        <is>
          <t>Business fact</t>
        </is>
      </c>
      <c r="E32" s="2" t="n"/>
      <c r="F32" s="2" t="n"/>
      <c r="G32" s="2" t="n"/>
      <c r="H32" s="3" t="inlineStr">
        <is>
          <t>Trade payables EUR 43.5m at 31 Dec 2023 (2022: EUR 38.7m); trade and other payables EUR 56.7m (49.7); net trade receivables EUR 42.0m (37.5).</t>
        </is>
      </c>
      <c r="I32" s="2" t="inlineStr">
        <is>
          <t>S1</t>
        </is>
      </c>
      <c r="J32" s="2" t="n">
        <v>73</v>
      </c>
      <c r="K32" s="2" t="inlineStr">
        <is>
          <t>Trade payables 43.5 38.7</t>
        </is>
      </c>
      <c r="L32" s="2" t="inlineStr">
        <is>
          <t>ok</t>
        </is>
      </c>
      <c r="M32" s="2" t="inlineStr">
        <is>
          <t>demo reviewer</t>
        </is>
      </c>
      <c r="N32" s="2" t="n"/>
      <c r="O32" s="3" t="inlineStr">
        <is>
          <t>https://vanillabonds.com/dossier-data/pdf/katjes/katjes-2023-annual-report.pdf#page=73</t>
        </is>
      </c>
    </row>
    <row r="33">
      <c r="A33" s="2" t="inlineStr">
        <is>
          <t>F032</t>
        </is>
      </c>
      <c r="B33" s="2" t="inlineStr">
        <is>
          <t>business</t>
        </is>
      </c>
      <c r="C33" s="2" t="inlineStr">
        <is>
          <t>business_fact</t>
        </is>
      </c>
      <c r="D33" s="2" t="inlineStr">
        <is>
          <t>Business fact</t>
        </is>
      </c>
      <c r="E33" s="2" t="n"/>
      <c r="F33" s="2" t="n"/>
      <c r="G33" s="2" t="n"/>
      <c r="H33" s="3" t="inlineStr">
        <is>
          <t>Personnel expenses EUR 65.1m in 2023 (2022: EUR 57.9m); contributions to statutory pension insurance around EUR 6.5m.</t>
        </is>
      </c>
      <c r="I33" s="2" t="inlineStr">
        <is>
          <t>S1</t>
        </is>
      </c>
      <c r="J33" s="2" t="n">
        <v>78</v>
      </c>
      <c r="K33" s="2" t="inlineStr">
        <is>
          <t>Personnel expenses 65.1 57.9</t>
        </is>
      </c>
      <c r="L33" s="2" t="inlineStr">
        <is>
          <t>ok</t>
        </is>
      </c>
      <c r="M33" s="2" t="inlineStr">
        <is>
          <t>demo reviewer</t>
        </is>
      </c>
      <c r="N33" s="2" t="n"/>
      <c r="O33" s="3" t="inlineStr">
        <is>
          <t>https://vanillabonds.com/dossier-data/pdf/katjes/katjes-2023-annual-report.pdf#page=78</t>
        </is>
      </c>
    </row>
    <row r="34">
      <c r="A34" s="2" t="inlineStr">
        <is>
          <t>F033</t>
        </is>
      </c>
      <c r="B34" s="2" t="inlineStr">
        <is>
          <t>business</t>
        </is>
      </c>
      <c r="C34" s="2" t="inlineStr">
        <is>
          <t>business_fact</t>
        </is>
      </c>
      <c r="D34" s="2" t="inlineStr">
        <is>
          <t>Business fact</t>
        </is>
      </c>
      <c r="E34" s="2" t="n"/>
      <c r="F34" s="2" t="n"/>
      <c r="G34" s="2" t="n"/>
      <c r="H34" s="3" t="inlineStr">
        <is>
          <t>Cost of raw materials, consumables, supplies and purchased merchandise EUR 204.4m in 2023 (2022: EUR 158.4m).</t>
        </is>
      </c>
      <c r="I34" s="2" t="inlineStr">
        <is>
          <t>S1</t>
        </is>
      </c>
      <c r="J34" s="2" t="n">
        <v>78</v>
      </c>
      <c r="K34" s="3" t="inlineStr">
        <is>
          <t>Cost of raw materials, consuma‐ bles and supplies, and purchased merchandise 204.4 158.4</t>
        </is>
      </c>
      <c r="L34" s="2" t="inlineStr">
        <is>
          <t>ok</t>
        </is>
      </c>
      <c r="M34" s="2" t="inlineStr">
        <is>
          <t>demo reviewer</t>
        </is>
      </c>
      <c r="N34" s="2" t="n"/>
      <c r="O34" s="3" t="inlineStr">
        <is>
          <t>https://vanillabonds.com/dossier-data/pdf/katjes/katjes-2023-annual-report.pdf#page=78</t>
        </is>
      </c>
    </row>
    <row r="35">
      <c r="A35" s="2" t="inlineStr">
        <is>
          <t>F034</t>
        </is>
      </c>
      <c r="B35" s="2" t="inlineStr">
        <is>
          <t>business</t>
        </is>
      </c>
      <c r="C35" s="2" t="inlineStr">
        <is>
          <t>business_fact</t>
        </is>
      </c>
      <c r="D35" s="2" t="inlineStr">
        <is>
          <t>Business fact</t>
        </is>
      </c>
      <c r="E35" s="2" t="n"/>
      <c r="F35" s="2" t="n"/>
      <c r="G35" s="2" t="n"/>
      <c r="H35" s="3" t="inlineStr">
        <is>
          <t>Energy costs EUR 12.6m in 2023 (2022: EUR 12.5m); transportation EUR 16.8m (13.8); advertising EUR 12.2m (11.7); legal and advisory EUR 5.5m (6.5).</t>
        </is>
      </c>
      <c r="I35" s="2" t="inlineStr">
        <is>
          <t>S1</t>
        </is>
      </c>
      <c r="J35" s="2" t="n">
        <v>78</v>
      </c>
      <c r="K35" s="2" t="inlineStr">
        <is>
          <t>Energy 12.6 12.5</t>
        </is>
      </c>
      <c r="L35" s="2" t="inlineStr">
        <is>
          <t>ok</t>
        </is>
      </c>
      <c r="M35" s="2" t="inlineStr">
        <is>
          <t>demo reviewer</t>
        </is>
      </c>
      <c r="N35" s="2" t="n"/>
      <c r="O35" s="3" t="inlineStr">
        <is>
          <t>https://vanillabonds.com/dossier-data/pdf/katjes/katjes-2023-annual-report.pdf#page=78</t>
        </is>
      </c>
    </row>
    <row r="36">
      <c r="A36" s="2" t="inlineStr">
        <is>
          <t>F035</t>
        </is>
      </c>
      <c r="B36" s="2" t="inlineStr">
        <is>
          <t>business</t>
        </is>
      </c>
      <c r="C36" s="2" t="inlineStr">
        <is>
          <t>key_event</t>
        </is>
      </c>
      <c r="D36" s="2" t="inlineStr">
        <is>
          <t>Key event (M&amp;A, financing, strategy)</t>
        </is>
      </c>
      <c r="E36" s="2" t="n"/>
      <c r="F36" s="2" t="n"/>
      <c r="G36" s="2" t="n"/>
      <c r="H36" s="3" t="inlineStr">
        <is>
          <t>The new bond volume was increased by EUR 5m to EUR 115m due to demand; first exchange offer to existing investors and first subscription via the company website.</t>
        </is>
      </c>
      <c r="I36" s="2" t="inlineStr">
        <is>
          <t>S1</t>
        </is>
      </c>
      <c r="J36" s="2" t="n">
        <v>4</v>
      </c>
      <c r="K36" s="3" t="inlineStr">
        <is>
          <t>increased the volume of the newly issued bond by EUR 5 million due to high demand</t>
        </is>
      </c>
      <c r="L36" s="2" t="inlineStr">
        <is>
          <t>ok</t>
        </is>
      </c>
      <c r="M36" s="2" t="inlineStr">
        <is>
          <t>demo reviewer</t>
        </is>
      </c>
      <c r="N36" s="2" t="n"/>
      <c r="O36" s="3" t="inlineStr">
        <is>
          <t>https://vanillabonds.com/dossier-data/pdf/katjes/katjes-2023-annual-report.pdf#page=4</t>
        </is>
      </c>
    </row>
    <row r="37">
      <c r="A37" s="2" t="inlineStr">
        <is>
          <t>F036</t>
        </is>
      </c>
      <c r="B37" s="2" t="inlineStr">
        <is>
          <t>business</t>
        </is>
      </c>
      <c r="C37" s="2" t="inlineStr">
        <is>
          <t>key_event</t>
        </is>
      </c>
      <c r="D37" s="2" t="inlineStr">
        <is>
          <t>Key event (M&amp;A, financing, strategy)</t>
        </is>
      </c>
      <c r="E37" s="2" t="n"/>
      <c r="F37" s="2" t="n"/>
      <c r="G37" s="2" t="n"/>
      <c r="H37" s="3" t="inlineStr">
        <is>
          <t>November 2023: natural cosmetics brand Naturale Antica Erboristeria (N.A.E.) acquired from Henkel via Bübchen Bodycare; brand recognised at cost.</t>
        </is>
      </c>
      <c r="I37" s="2" t="inlineStr">
        <is>
          <t>S1</t>
        </is>
      </c>
      <c r="J37" s="2" t="n">
        <v>31</v>
      </c>
      <c r="K37" s="3" t="inlineStr">
        <is>
          <t>In November of the reporting year, the natural cosmetics brand (N.A.E.) was acquired from Henkel to support and expand the brand portfolio in the personal care segment.</t>
        </is>
      </c>
      <c r="L37" s="2" t="inlineStr">
        <is>
          <t>ok</t>
        </is>
      </c>
      <c r="M37" s="2" t="inlineStr">
        <is>
          <t>demo reviewer</t>
        </is>
      </c>
      <c r="N37" s="2" t="n"/>
      <c r="O37" s="3" t="inlineStr">
        <is>
          <t>https://vanillabonds.com/dossier-data/pdf/katjes/katjes-2023-annual-report.pdf#page=31</t>
        </is>
      </c>
    </row>
    <row r="38">
      <c r="A38" s="2" t="inlineStr">
        <is>
          <t>F037</t>
        </is>
      </c>
      <c r="B38" s="2" t="inlineStr">
        <is>
          <t>business</t>
        </is>
      </c>
      <c r="C38" s="2" t="inlineStr">
        <is>
          <t>key_event</t>
        </is>
      </c>
      <c r="D38" s="2" t="inlineStr">
        <is>
          <t>Key event (M&amp;A, financing, strategy)</t>
        </is>
      </c>
      <c r="E38" s="2" t="n"/>
      <c r="F38" s="2" t="n"/>
      <c r="G38" s="2" t="n"/>
      <c r="H38" s="3" t="inlineStr">
        <is>
          <t>21 September 2023: EUR 115m 6.75% corporate bond 2023/2028 placed; 2019 EUR 110m bond exchanged and the remaining EUR 65.6m redeemed early on 12 November 2023.</t>
        </is>
      </c>
      <c r="I38" s="2" t="inlineStr">
        <is>
          <t>S1</t>
        </is>
      </c>
      <c r="J38" s="2" t="n">
        <v>33</v>
      </c>
      <c r="K38" s="3" t="inlineStr">
        <is>
          <t>porate bond with a volume of EUR 115 million and an inte‐ rest rate of 6.75%. In the run-up to the issue of the new</t>
        </is>
      </c>
      <c r="L38" s="2" t="inlineStr">
        <is>
          <t>ok</t>
        </is>
      </c>
      <c r="M38" s="2" t="inlineStr">
        <is>
          <t>demo reviewer</t>
        </is>
      </c>
      <c r="N38" s="2" t="n"/>
      <c r="O38" s="3" t="inlineStr">
        <is>
          <t>https://vanillabonds.com/dossier-data/pdf/katjes/katjes-2023-annual-report.pdf#page=33</t>
        </is>
      </c>
    </row>
    <row r="39">
      <c r="A39" s="2" t="inlineStr">
        <is>
          <t>F038</t>
        </is>
      </c>
      <c r="B39" s="2" t="inlineStr">
        <is>
          <t>business</t>
        </is>
      </c>
      <c r="C39" s="2" t="inlineStr">
        <is>
          <t>key_event</t>
        </is>
      </c>
      <c r="D39" s="2" t="inlineStr">
        <is>
          <t>Key event (M&amp;A, financing, strategy)</t>
        </is>
      </c>
      <c r="E39" s="2" t="n"/>
      <c r="F39" s="2" t="n"/>
      <c r="G39" s="2" t="n"/>
      <c r="H39" s="3" t="inlineStr">
        <is>
          <t>2 January 2024: takeover of the Viersen production site for Henkel's Oral Care division completed as planned, including around 50 employees.</t>
        </is>
      </c>
      <c r="I39" s="2" t="inlineStr">
        <is>
          <t>S1</t>
        </is>
      </c>
      <c r="J39" s="2" t="n">
        <v>85</v>
      </c>
      <c r="K39" s="3" t="inlineStr">
        <is>
          <t>The takeover of the production site in Viersen for Henkel's Oral Care division took place as planned on 2 January 2024.</t>
        </is>
      </c>
      <c r="L39" s="2" t="inlineStr">
        <is>
          <t>ok</t>
        </is>
      </c>
      <c r="M39" s="2" t="inlineStr">
        <is>
          <t>demo reviewer</t>
        </is>
      </c>
      <c r="N39" s="2" t="n"/>
      <c r="O39" s="3" t="inlineStr">
        <is>
          <t>https://vanillabonds.com/dossier-data/pdf/katjes/katjes-2023-annual-report.pdf#page=85</t>
        </is>
      </c>
    </row>
    <row r="40">
      <c r="A40" s="2" t="inlineStr">
        <is>
          <t>F039</t>
        </is>
      </c>
      <c r="B40" s="2" t="inlineStr">
        <is>
          <t>business</t>
        </is>
      </c>
      <c r="C40" s="2" t="inlineStr">
        <is>
          <t>key_event</t>
        </is>
      </c>
      <c r="D40" s="2" t="inlineStr">
        <is>
          <t>Key event (M&amp;A, financing, strategy)</t>
        </is>
      </c>
      <c r="E40" s="2" t="n"/>
      <c r="F40" s="2" t="n"/>
      <c r="G40" s="2" t="n"/>
      <c r="H40" s="3" t="inlineStr">
        <is>
          <t>End of January 2024: the 2023/2028 bond, structured as a Nordic bond for the first time, was included in the Nordic ABM of the Oslo Stock Exchange within six months of issue.</t>
        </is>
      </c>
      <c r="I40" s="2" t="inlineStr">
        <is>
          <t>S1</t>
        </is>
      </c>
      <c r="J40" s="2" t="n">
        <v>85</v>
      </c>
      <c r="K40" s="3" t="inlineStr">
        <is>
          <t>The Katjes International 2023/2028 bond, which was for the first time structured as a Nordic bond, was included in</t>
        </is>
      </c>
      <c r="L40" s="2" t="inlineStr">
        <is>
          <t>ok</t>
        </is>
      </c>
      <c r="M40" s="2" t="inlineStr">
        <is>
          <t>demo reviewer</t>
        </is>
      </c>
      <c r="N40" s="2" t="n"/>
      <c r="O40" s="3" t="inlineStr">
        <is>
          <t>https://vanillabonds.com/dossier-data/pdf/katjes/katjes-2023-annual-report.pdf#page=85</t>
        </is>
      </c>
    </row>
    <row r="41">
      <c r="A41" s="2" t="inlineStr">
        <is>
          <t>F040</t>
        </is>
      </c>
      <c r="B41" s="2" t="inlineStr">
        <is>
          <t>financials</t>
        </is>
      </c>
      <c r="C41" s="2" t="inlineStr">
        <is>
          <t>revenue</t>
        </is>
      </c>
      <c r="D41" s="2" t="inlineStr">
        <is>
          <t>Revenue</t>
        </is>
      </c>
      <c r="E41" s="2" t="inlineStr">
        <is>
          <t>FY2019</t>
        </is>
      </c>
      <c r="F41" s="2" t="n">
        <v>210</v>
      </c>
      <c r="G41" s="2" t="inlineStr">
        <is>
          <t>EUR m</t>
        </is>
      </c>
      <c r="H41" s="3" t="inlineStr">
        <is>
          <t>From the five-year sales chart (rounded to EUR m)</t>
        </is>
      </c>
      <c r="I41" s="2" t="inlineStr">
        <is>
          <t>S1</t>
        </is>
      </c>
      <c r="J41" s="2" t="n">
        <v>7</v>
      </c>
      <c r="K41" s="3" t="inlineStr">
        <is>
          <t>210 218 255 295 2019 2020 2021 2022 2023 377</t>
        </is>
      </c>
      <c r="L41" s="2" t="inlineStr">
        <is>
          <t>ok</t>
        </is>
      </c>
      <c r="M41" s="2" t="inlineStr">
        <is>
          <t>demo reviewer</t>
        </is>
      </c>
      <c r="N41" s="2" t="n"/>
      <c r="O41" s="3" t="inlineStr">
        <is>
          <t>https://vanillabonds.com/dossier-data/pdf/katjes/katjes-2023-annual-report.pdf#page=7</t>
        </is>
      </c>
    </row>
    <row r="42">
      <c r="A42" s="2" t="inlineStr">
        <is>
          <t>F041</t>
        </is>
      </c>
      <c r="B42" s="2" t="inlineStr">
        <is>
          <t>financials</t>
        </is>
      </c>
      <c r="C42" s="2" t="inlineStr">
        <is>
          <t>revenue</t>
        </is>
      </c>
      <c r="D42" s="2" t="inlineStr">
        <is>
          <t>Revenue</t>
        </is>
      </c>
      <c r="E42" s="2" t="inlineStr">
        <is>
          <t>FY2020</t>
        </is>
      </c>
      <c r="F42" s="2" t="n">
        <v>218</v>
      </c>
      <c r="G42" s="2" t="inlineStr">
        <is>
          <t>EUR m</t>
        </is>
      </c>
      <c r="H42" s="3" t="inlineStr">
        <is>
          <t>From the five-year sales chart (rounded to EUR m)</t>
        </is>
      </c>
      <c r="I42" s="2" t="inlineStr">
        <is>
          <t>S1</t>
        </is>
      </c>
      <c r="J42" s="2" t="n">
        <v>7</v>
      </c>
      <c r="K42" s="3" t="inlineStr">
        <is>
          <t>210 218 255 295 2019 2020 2021 2022 2023 377</t>
        </is>
      </c>
      <c r="L42" s="2" t="inlineStr">
        <is>
          <t>ok</t>
        </is>
      </c>
      <c r="M42" s="2" t="inlineStr">
        <is>
          <t>demo reviewer</t>
        </is>
      </c>
      <c r="N42" s="2" t="n"/>
      <c r="O42" s="3" t="inlineStr">
        <is>
          <t>https://vanillabonds.com/dossier-data/pdf/katjes/katjes-2023-annual-report.pdf#page=7</t>
        </is>
      </c>
    </row>
    <row r="43">
      <c r="A43" s="2" t="inlineStr">
        <is>
          <t>F042</t>
        </is>
      </c>
      <c r="B43" s="2" t="inlineStr">
        <is>
          <t>financials</t>
        </is>
      </c>
      <c r="C43" s="2" t="inlineStr">
        <is>
          <t>revenue</t>
        </is>
      </c>
      <c r="D43" s="2" t="inlineStr">
        <is>
          <t>Revenue</t>
        </is>
      </c>
      <c r="E43" s="2" t="inlineStr">
        <is>
          <t>FY2021</t>
        </is>
      </c>
      <c r="F43" s="2" t="n">
        <v>255</v>
      </c>
      <c r="G43" s="2" t="inlineStr">
        <is>
          <t>EUR m</t>
        </is>
      </c>
      <c r="H43" s="3" t="inlineStr">
        <is>
          <t>From the five-year sales chart (rounded to EUR m)</t>
        </is>
      </c>
      <c r="I43" s="2" t="inlineStr">
        <is>
          <t>S1</t>
        </is>
      </c>
      <c r="J43" s="2" t="n">
        <v>7</v>
      </c>
      <c r="K43" s="3" t="inlineStr">
        <is>
          <t>210 218 255 295 2019 2020 2021 2022 2023 377</t>
        </is>
      </c>
      <c r="L43" s="2" t="inlineStr">
        <is>
          <t>ok</t>
        </is>
      </c>
      <c r="M43" s="2" t="inlineStr">
        <is>
          <t>demo reviewer</t>
        </is>
      </c>
      <c r="N43" s="2" t="n"/>
      <c r="O43" s="3" t="inlineStr">
        <is>
          <t>https://vanillabonds.com/dossier-data/pdf/katjes/katjes-2023-annual-report.pdf#page=7</t>
        </is>
      </c>
    </row>
    <row r="44">
      <c r="A44" s="2" t="inlineStr">
        <is>
          <t>F043</t>
        </is>
      </c>
      <c r="B44" s="2" t="inlineStr">
        <is>
          <t>financials</t>
        </is>
      </c>
      <c r="C44" s="2" t="inlineStr">
        <is>
          <t>revenue</t>
        </is>
      </c>
      <c r="D44" s="2" t="inlineStr">
        <is>
          <t>Revenue</t>
        </is>
      </c>
      <c r="E44" s="2" t="inlineStr">
        <is>
          <t>FY2022</t>
        </is>
      </c>
      <c r="F44" s="2" t="n">
        <v>294.5</v>
      </c>
      <c r="G44" s="2" t="inlineStr">
        <is>
          <t>EUR m</t>
        </is>
      </c>
      <c r="H44" s="2" t="inlineStr">
        <is>
          <t>Consolidated revenue</t>
        </is>
      </c>
      <c r="I44" s="2" t="inlineStr">
        <is>
          <t>S1</t>
        </is>
      </c>
      <c r="J44" s="2" t="n">
        <v>43</v>
      </c>
      <c r="K44" s="2" t="inlineStr">
        <is>
          <t>Revenue 377.4 294.5</t>
        </is>
      </c>
      <c r="L44" s="2" t="inlineStr">
        <is>
          <t>ok</t>
        </is>
      </c>
      <c r="M44" s="2" t="inlineStr">
        <is>
          <t>demo reviewer</t>
        </is>
      </c>
      <c r="N44" s="2" t="n"/>
      <c r="O44" s="3" t="inlineStr">
        <is>
          <t>https://vanillabonds.com/dossier-data/pdf/katjes/katjes-2023-annual-report.pdf#page=43</t>
        </is>
      </c>
    </row>
    <row r="45">
      <c r="A45" s="2" t="inlineStr">
        <is>
          <t>F044</t>
        </is>
      </c>
      <c r="B45" s="2" t="inlineStr">
        <is>
          <t>financials</t>
        </is>
      </c>
      <c r="C45" s="2" t="inlineStr">
        <is>
          <t>revenue</t>
        </is>
      </c>
      <c r="D45" s="2" t="inlineStr">
        <is>
          <t>Revenue</t>
        </is>
      </c>
      <c r="E45" s="2" t="inlineStr">
        <is>
          <t>FY2023</t>
        </is>
      </c>
      <c r="F45" s="2" t="n">
        <v>377.4</v>
      </c>
      <c r="G45" s="2" t="inlineStr">
        <is>
          <t>EUR m</t>
        </is>
      </c>
      <c r="H45" s="2" t="inlineStr">
        <is>
          <t>Consolidated revenue</t>
        </is>
      </c>
      <c r="I45" s="2" t="inlineStr">
        <is>
          <t>S1</t>
        </is>
      </c>
      <c r="J45" s="2" t="n">
        <v>43</v>
      </c>
      <c r="K45" s="2" t="inlineStr">
        <is>
          <t>Revenue 377.4 294.5</t>
        </is>
      </c>
      <c r="L45" s="2" t="inlineStr">
        <is>
          <t>ok</t>
        </is>
      </c>
      <c r="M45" s="2" t="inlineStr">
        <is>
          <t>demo reviewer</t>
        </is>
      </c>
      <c r="N45" s="2" t="n"/>
      <c r="O45" s="3" t="inlineStr">
        <is>
          <t>https://vanillabonds.com/dossier-data/pdf/katjes/katjes-2023-annual-report.pdf#page=43</t>
        </is>
      </c>
    </row>
    <row r="46">
      <c r="A46" s="2" t="inlineStr">
        <is>
          <t>F045</t>
        </is>
      </c>
      <c r="B46" s="2" t="inlineStr">
        <is>
          <t>financials</t>
        </is>
      </c>
      <c r="C46" s="2" t="inlineStr">
        <is>
          <t>revenue</t>
        </is>
      </c>
      <c r="D46" s="2" t="inlineStr">
        <is>
          <t>Revenue</t>
        </is>
      </c>
      <c r="E46" s="2" t="inlineStr">
        <is>
          <t>FY2024E</t>
        </is>
      </c>
      <c r="F46" s="2" t="n"/>
      <c r="G46" s="2" t="inlineStr">
        <is>
          <t>EUR m</t>
        </is>
      </c>
      <c r="H46" s="3" t="inlineStr">
        <is>
          <t>Management guidance for 2024: consolidated sales between EUR 390m and EUR 420m (range, no point figure)</t>
        </is>
      </c>
      <c r="I46" s="2" t="inlineStr">
        <is>
          <t>S1</t>
        </is>
      </c>
      <c r="J46" s="2" t="n">
        <v>41</v>
      </c>
      <c r="K46" s="3" t="inlineStr">
        <is>
          <t>company is expecting sales of between EUR 390 million and EUR 420 million for the financial year 2024.</t>
        </is>
      </c>
      <c r="L46" s="2" t="inlineStr">
        <is>
          <t>ok</t>
        </is>
      </c>
      <c r="M46" s="2" t="inlineStr">
        <is>
          <t>demo reviewer</t>
        </is>
      </c>
      <c r="N46" s="2" t="n"/>
      <c r="O46" s="3" t="inlineStr">
        <is>
          <t>https://vanillabonds.com/dossier-data/pdf/katjes/katjes-2023-annual-report.pdf#page=41</t>
        </is>
      </c>
    </row>
    <row r="47">
      <c r="A47" s="2" t="inlineStr">
        <is>
          <t>F046</t>
        </is>
      </c>
      <c r="B47" s="2" t="inlineStr">
        <is>
          <t>financials</t>
        </is>
      </c>
      <c r="C47" s="2" t="inlineStr">
        <is>
          <t>ebitda</t>
        </is>
      </c>
      <c r="D47" s="2" t="inlineStr">
        <is>
          <t>EBITDA (as reported)</t>
        </is>
      </c>
      <c r="E47" s="2" t="inlineStr">
        <is>
          <t>FY2019</t>
        </is>
      </c>
      <c r="F47" s="2" t="n">
        <v>23</v>
      </c>
      <c r="G47" s="2" t="inlineStr">
        <is>
          <t>EUR m</t>
        </is>
      </c>
      <c r="H47" s="3" t="inlineStr">
        <is>
          <t>From the five-year EBITDA chart (rounded to EUR m); year order read left to right</t>
        </is>
      </c>
      <c r="I47" s="2" t="inlineStr">
        <is>
          <t>S1</t>
        </is>
      </c>
      <c r="J47" s="2" t="n">
        <v>7</v>
      </c>
      <c r="K47" s="2" t="inlineStr">
        <is>
          <t>23 25 17 2019 2020 2021 2022 2023 37 41</t>
        </is>
      </c>
      <c r="L47" s="2" t="inlineStr">
        <is>
          <t>ok</t>
        </is>
      </c>
      <c r="M47" s="2" t="inlineStr">
        <is>
          <t>demo reviewer</t>
        </is>
      </c>
      <c r="N47" s="2" t="n"/>
      <c r="O47" s="3" t="inlineStr">
        <is>
          <t>https://vanillabonds.com/dossier-data/pdf/katjes/katjes-2023-annual-report.pdf#page=7</t>
        </is>
      </c>
    </row>
    <row r="48">
      <c r="A48" s="2" t="inlineStr">
        <is>
          <t>F047</t>
        </is>
      </c>
      <c r="B48" s="2" t="inlineStr">
        <is>
          <t>financials</t>
        </is>
      </c>
      <c r="C48" s="2" t="inlineStr">
        <is>
          <t>ebitda</t>
        </is>
      </c>
      <c r="D48" s="2" t="inlineStr">
        <is>
          <t>EBITDA (as reported)</t>
        </is>
      </c>
      <c r="E48" s="2" t="inlineStr">
        <is>
          <t>FY2020</t>
        </is>
      </c>
      <c r="F48" s="2" t="n">
        <v>25</v>
      </c>
      <c r="G48" s="2" t="inlineStr">
        <is>
          <t>EUR m</t>
        </is>
      </c>
      <c r="H48" s="3" t="inlineStr">
        <is>
          <t>From the five-year EBITDA chart (rounded to EUR m); year order read left to right</t>
        </is>
      </c>
      <c r="I48" s="2" t="inlineStr">
        <is>
          <t>S1</t>
        </is>
      </c>
      <c r="J48" s="2" t="n">
        <v>7</v>
      </c>
      <c r="K48" s="2" t="inlineStr">
        <is>
          <t>23 25 17 2019 2020 2021 2022 2023 37 41</t>
        </is>
      </c>
      <c r="L48" s="2" t="inlineStr">
        <is>
          <t>ok</t>
        </is>
      </c>
      <c r="M48" s="2" t="inlineStr">
        <is>
          <t>demo reviewer</t>
        </is>
      </c>
      <c r="N48" s="2" t="n"/>
      <c r="O48" s="3" t="inlineStr">
        <is>
          <t>https://vanillabonds.com/dossier-data/pdf/katjes/katjes-2023-annual-report.pdf#page=7</t>
        </is>
      </c>
    </row>
    <row r="49">
      <c r="A49" s="2" t="inlineStr">
        <is>
          <t>F048</t>
        </is>
      </c>
      <c r="B49" s="2" t="inlineStr">
        <is>
          <t>financials</t>
        </is>
      </c>
      <c r="C49" s="2" t="inlineStr">
        <is>
          <t>ebitda</t>
        </is>
      </c>
      <c r="D49" s="2" t="inlineStr">
        <is>
          <t>EBITDA (as reported)</t>
        </is>
      </c>
      <c r="E49" s="2" t="inlineStr">
        <is>
          <t>FY2021</t>
        </is>
      </c>
      <c r="F49" s="2" t="n">
        <v>17</v>
      </c>
      <c r="G49" s="2" t="inlineStr">
        <is>
          <t>EUR m</t>
        </is>
      </c>
      <c r="H49" s="3" t="inlineStr">
        <is>
          <t>From the five-year EBITDA chart (rounded to EUR m); year order read left to right</t>
        </is>
      </c>
      <c r="I49" s="2" t="inlineStr">
        <is>
          <t>S1</t>
        </is>
      </c>
      <c r="J49" s="2" t="n">
        <v>7</v>
      </c>
      <c r="K49" s="2" t="inlineStr">
        <is>
          <t>23 25 17 2019 2020 2021 2022 2023 37 41</t>
        </is>
      </c>
      <c r="L49" s="2" t="inlineStr">
        <is>
          <t>pend</t>
        </is>
      </c>
      <c r="M49" s="2" t="n"/>
      <c r="N49" s="3" t="inlineStr">
        <is>
          <t>conflict: S1·p7 17.0 vs S3·p7 41.0; primary per fact agent: open - no audited statement on file carries FY2021 EBITDA, and the chart text layers in S1 p7, S2 p7 and S3 p7 list bar values without a year for each bar; once FY2022 = 37.3 and FY2023 = 40.8 are taken out, S1 leaves 23, 25 or 17, S2 leaves 23 or 25 and S3 leaves 23 for FY2021, so a reviewer reads the chart images; the S1 FY2019 fact (23.0) depends on the same reading.</t>
        </is>
      </c>
      <c r="O49" s="3" t="inlineStr">
        <is>
          <t>https://vanillabonds.com/dossier-data/pdf/katjes/katjes-2023-annual-report.pdf#page=7</t>
        </is>
      </c>
    </row>
    <row r="50">
      <c r="A50" s="2" t="inlineStr">
        <is>
          <t>F049</t>
        </is>
      </c>
      <c r="B50" s="2" t="inlineStr">
        <is>
          <t>financials</t>
        </is>
      </c>
      <c r="C50" s="2" t="inlineStr">
        <is>
          <t>ebitda</t>
        </is>
      </c>
      <c r="D50" s="2" t="inlineStr">
        <is>
          <t>EBITDA (as reported)</t>
        </is>
      </c>
      <c r="E50" s="2" t="inlineStr">
        <is>
          <t>FY2022</t>
        </is>
      </c>
      <c r="F50" s="2" t="n">
        <v>37.3</v>
      </c>
      <c r="G50" s="2" t="inlineStr">
        <is>
          <t>EUR m</t>
        </is>
      </c>
      <c r="H50" s="3" t="inlineStr">
        <is>
          <t>EBITDA as labelled in the management report</t>
        </is>
      </c>
      <c r="I50" s="2" t="inlineStr">
        <is>
          <t>S1</t>
        </is>
      </c>
      <c r="J50" s="2" t="n">
        <v>32</v>
      </c>
      <c r="K50" s="3" t="inlineStr">
        <is>
          <t>amortisation) amounted to EUR 40.8 million in the financial year 2023 (2022: EUR 37.3 million)</t>
        </is>
      </c>
      <c r="L50" s="2" t="inlineStr">
        <is>
          <t>ok</t>
        </is>
      </c>
      <c r="M50" s="2" t="inlineStr">
        <is>
          <t>demo reviewer</t>
        </is>
      </c>
      <c r="N50" s="2" t="n"/>
      <c r="O50" s="3" t="inlineStr">
        <is>
          <t>https://vanillabonds.com/dossier-data/pdf/katjes/katjes-2023-annual-report.pdf#page=32</t>
        </is>
      </c>
    </row>
    <row r="51">
      <c r="A51" s="2" t="inlineStr">
        <is>
          <t>F050</t>
        </is>
      </c>
      <c r="B51" s="2" t="inlineStr">
        <is>
          <t>financials</t>
        </is>
      </c>
      <c r="C51" s="2" t="inlineStr">
        <is>
          <t>ebitda</t>
        </is>
      </c>
      <c r="D51" s="2" t="inlineStr">
        <is>
          <t>EBITDA (as reported)</t>
        </is>
      </c>
      <c r="E51" s="2" t="inlineStr">
        <is>
          <t>FY2023</t>
        </is>
      </c>
      <c r="F51" s="2" t="n">
        <v>40.8</v>
      </c>
      <c r="G51" s="2" t="inlineStr">
        <is>
          <t>EUR m</t>
        </is>
      </c>
      <c r="H51" s="3" t="inlineStr">
        <is>
          <t>EBITDA as labelled in the management report; EBITDA margin 10.8% (2022: 12.7%)</t>
        </is>
      </c>
      <c r="I51" s="2" t="inlineStr">
        <is>
          <t>S1</t>
        </is>
      </c>
      <c r="J51" s="2" t="n">
        <v>32</v>
      </c>
      <c r="K51" s="3" t="inlineStr">
        <is>
          <t>amortisation) amounted to EUR 40.8 million in the financial year 2023 (2022: EUR 37.3 million)</t>
        </is>
      </c>
      <c r="L51" s="2" t="inlineStr">
        <is>
          <t>pend</t>
        </is>
      </c>
      <c r="M51" s="2" t="n"/>
      <c r="N51" s="3" t="inlineStr">
        <is>
          <t>conflict: S1·p32 40.8 vs S2·p29 40.8 vs S3·p7 23.0; primary per fact agent: S2 p29 - S2 is the later audited report carrying FY2023 and its comparative equals S1 p32; S3 carries no FY2023 statement, and its 23.0 is a chart bar from p7 assigned to FY2023.</t>
        </is>
      </c>
      <c r="O51" s="3" t="inlineStr">
        <is>
          <t>https://vanillabonds.com/dossier-data/pdf/katjes/katjes-2023-annual-report.pdf#page=32</t>
        </is>
      </c>
    </row>
    <row r="52">
      <c r="A52" s="2" t="inlineStr">
        <is>
          <t>F051</t>
        </is>
      </c>
      <c r="B52" s="2" t="inlineStr">
        <is>
          <t>financials</t>
        </is>
      </c>
      <c r="C52" s="2" t="inlineStr">
        <is>
          <t>ebitda</t>
        </is>
      </c>
      <c r="D52" s="2" t="inlineStr">
        <is>
          <t>EBITDA (as reported)</t>
        </is>
      </c>
      <c r="E52" s="2" t="inlineStr">
        <is>
          <t>FY2024E</t>
        </is>
      </c>
      <c r="F52" s="2" t="n"/>
      <c r="G52" s="2" t="inlineStr">
        <is>
          <t>EUR m</t>
        </is>
      </c>
      <c r="H52" s="3" t="inlineStr">
        <is>
          <t>Management guidance for 2024: EBITDA margin between 9% and 10% (no absolute figure)</t>
        </is>
      </c>
      <c r="I52" s="2" t="inlineStr">
        <is>
          <t>S1</t>
        </is>
      </c>
      <c r="J52" s="2" t="n">
        <v>41</v>
      </c>
      <c r="K52" s="3" t="inlineStr">
        <is>
          <t>earnings, Katjes International is aiming for an EBITDA margin of between 9% and 10% in the financial year 2024.</t>
        </is>
      </c>
      <c r="L52" s="2" t="inlineStr">
        <is>
          <t>ok</t>
        </is>
      </c>
      <c r="M52" s="2" t="inlineStr">
        <is>
          <t>demo reviewer</t>
        </is>
      </c>
      <c r="N52" s="2" t="n"/>
      <c r="O52" s="3" t="inlineStr">
        <is>
          <t>https://vanillabonds.com/dossier-data/pdf/katjes/katjes-2023-annual-report.pdf#page=41</t>
        </is>
      </c>
    </row>
    <row r="53">
      <c r="A53" s="2" t="inlineStr">
        <is>
          <t>F052</t>
        </is>
      </c>
      <c r="B53" s="2" t="inlineStr">
        <is>
          <t>financials</t>
        </is>
      </c>
      <c r="C53" s="2" t="inlineStr">
        <is>
          <t>ebit</t>
        </is>
      </c>
      <c r="D53" s="2" t="inlineStr">
        <is>
          <t>EBIT / operating result</t>
        </is>
      </c>
      <c r="E53" s="2" t="inlineStr">
        <is>
          <t>FY2022</t>
        </is>
      </c>
      <c r="F53" s="2" t="n">
        <v>22.2</v>
      </c>
      <c r="G53" s="2" t="inlineStr">
        <is>
          <t>EUR m</t>
        </is>
      </c>
      <c r="H53" s="3" t="inlineStr">
        <is>
          <t>Operating result; 2022 includes EUR 24.4m negative goodwill in other operating income</t>
        </is>
      </c>
      <c r="I53" s="2" t="inlineStr">
        <is>
          <t>S1</t>
        </is>
      </c>
      <c r="J53" s="2" t="n">
        <v>43</v>
      </c>
      <c r="K53" s="2" t="inlineStr">
        <is>
          <t>Operating result 22.5 22.2</t>
        </is>
      </c>
      <c r="L53" s="2" t="inlineStr">
        <is>
          <t>ok</t>
        </is>
      </c>
      <c r="M53" s="2" t="inlineStr">
        <is>
          <t>demo reviewer</t>
        </is>
      </c>
      <c r="N53" s="2" t="n"/>
      <c r="O53" s="3" t="inlineStr">
        <is>
          <t>https://vanillabonds.com/dossier-data/pdf/katjes/katjes-2023-annual-report.pdf#page=43</t>
        </is>
      </c>
    </row>
    <row r="54">
      <c r="A54" s="2" t="inlineStr">
        <is>
          <t>F053</t>
        </is>
      </c>
      <c r="B54" s="2" t="inlineStr">
        <is>
          <t>financials</t>
        </is>
      </c>
      <c r="C54" s="2" t="inlineStr">
        <is>
          <t>ebit</t>
        </is>
      </c>
      <c r="D54" s="2" t="inlineStr">
        <is>
          <t>EBIT / operating result</t>
        </is>
      </c>
      <c r="E54" s="2" t="inlineStr">
        <is>
          <t>FY2023</t>
        </is>
      </c>
      <c r="F54" s="2" t="n">
        <v>22.5</v>
      </c>
      <c r="G54" s="2" t="inlineStr">
        <is>
          <t>EUR m</t>
        </is>
      </c>
      <c r="H54" s="2" t="inlineStr">
        <is>
          <t>Operating result</t>
        </is>
      </c>
      <c r="I54" s="2" t="inlineStr">
        <is>
          <t>S1</t>
        </is>
      </c>
      <c r="J54" s="2" t="n">
        <v>43</v>
      </c>
      <c r="K54" s="2" t="inlineStr">
        <is>
          <t>Operating result 22.5 22.2</t>
        </is>
      </c>
      <c r="L54" s="2" t="inlineStr">
        <is>
          <t>ok</t>
        </is>
      </c>
      <c r="M54" s="2" t="inlineStr">
        <is>
          <t>demo reviewer</t>
        </is>
      </c>
      <c r="N54" s="2" t="n"/>
      <c r="O54" s="3" t="inlineStr">
        <is>
          <t>https://vanillabonds.com/dossier-data/pdf/katjes/katjes-2023-annual-report.pdf#page=43</t>
        </is>
      </c>
    </row>
    <row r="55">
      <c r="A55" s="2" t="inlineStr">
        <is>
          <t>F054</t>
        </is>
      </c>
      <c r="B55" s="2" t="inlineStr">
        <is>
          <t>financials</t>
        </is>
      </c>
      <c r="C55" s="2" t="inlineStr">
        <is>
          <t>net_income</t>
        </is>
      </c>
      <c r="D55" s="2" t="inlineStr">
        <is>
          <t>Net result</t>
        </is>
      </c>
      <c r="E55" s="2" t="inlineStr">
        <is>
          <t>FY2022</t>
        </is>
      </c>
      <c r="F55" s="2" t="n">
        <v>14.8</v>
      </c>
      <c r="G55" s="2" t="inlineStr">
        <is>
          <t>EUR m</t>
        </is>
      </c>
      <c r="H55" s="3" t="inlineStr">
        <is>
          <t>Earnings after tax; attributable to Katjes International 15.2, non-controlling interests -0.4</t>
        </is>
      </c>
      <c r="I55" s="2" t="inlineStr">
        <is>
          <t>S1</t>
        </is>
      </c>
      <c r="J55" s="2" t="n">
        <v>43</v>
      </c>
      <c r="K55" s="2" t="inlineStr">
        <is>
          <t>Earnings after tax 10.2 14.8</t>
        </is>
      </c>
      <c r="L55" s="2" t="inlineStr">
        <is>
          <t>ok</t>
        </is>
      </c>
      <c r="M55" s="2" t="inlineStr">
        <is>
          <t>demo reviewer</t>
        </is>
      </c>
      <c r="N55" s="2" t="n"/>
      <c r="O55" s="3" t="inlineStr">
        <is>
          <t>https://vanillabonds.com/dossier-data/pdf/katjes/katjes-2023-annual-report.pdf#page=43</t>
        </is>
      </c>
    </row>
    <row r="56">
      <c r="A56" s="2" t="inlineStr">
        <is>
          <t>F055</t>
        </is>
      </c>
      <c r="B56" s="2" t="inlineStr">
        <is>
          <t>financials</t>
        </is>
      </c>
      <c r="C56" s="2" t="inlineStr">
        <is>
          <t>net_income</t>
        </is>
      </c>
      <c r="D56" s="2" t="inlineStr">
        <is>
          <t>Net result</t>
        </is>
      </c>
      <c r="E56" s="2" t="inlineStr">
        <is>
          <t>FY2023</t>
        </is>
      </c>
      <c r="F56" s="2" t="n">
        <v>10.2</v>
      </c>
      <c r="G56" s="2" t="inlineStr">
        <is>
          <t>EUR m</t>
        </is>
      </c>
      <c r="H56" s="3" t="inlineStr">
        <is>
          <t>Earnings after tax; attributable to Katjes International 10.1, non-controlling interests 0.1</t>
        </is>
      </c>
      <c r="I56" s="2" t="inlineStr">
        <is>
          <t>S1</t>
        </is>
      </c>
      <c r="J56" s="2" t="n">
        <v>43</v>
      </c>
      <c r="K56" s="2" t="inlineStr">
        <is>
          <t>Earnings after tax 10.2 14.8</t>
        </is>
      </c>
      <c r="L56" s="2" t="inlineStr">
        <is>
          <t>ok</t>
        </is>
      </c>
      <c r="M56" s="2" t="inlineStr">
        <is>
          <t>demo reviewer</t>
        </is>
      </c>
      <c r="N56" s="2" t="n"/>
      <c r="O56" s="3" t="inlineStr">
        <is>
          <t>https://vanillabonds.com/dossier-data/pdf/katjes/katjes-2023-annual-report.pdf#page=43</t>
        </is>
      </c>
    </row>
    <row r="57">
      <c r="A57" s="2" t="inlineStr">
        <is>
          <t>F056</t>
        </is>
      </c>
      <c r="B57" s="2" t="inlineStr">
        <is>
          <t>financials</t>
        </is>
      </c>
      <c r="C57" s="2" t="inlineStr">
        <is>
          <t>da</t>
        </is>
      </c>
      <c r="D57" s="2" t="inlineStr">
        <is>
          <t>Depreciation &amp; amortisation</t>
        </is>
      </c>
      <c r="E57" s="2" t="inlineStr">
        <is>
          <t>FY2022</t>
        </is>
      </c>
      <c r="F57" s="2" t="n">
        <v>15.1</v>
      </c>
      <c r="G57" s="2" t="inlineStr">
        <is>
          <t>EUR m</t>
        </is>
      </c>
      <c r="H57" s="3" t="inlineStr">
        <is>
          <t>Depreciation and amortisation per expense breakdown</t>
        </is>
      </c>
      <c r="I57" s="2" t="inlineStr">
        <is>
          <t>S1</t>
        </is>
      </c>
      <c r="J57" s="2" t="n">
        <v>78</v>
      </c>
      <c r="K57" s="2" t="inlineStr">
        <is>
          <t>Depreciation and amortisation 18.1 15.1</t>
        </is>
      </c>
      <c r="L57" s="2" t="inlineStr">
        <is>
          <t>ok</t>
        </is>
      </c>
      <c r="M57" s="2" t="inlineStr">
        <is>
          <t>demo reviewer</t>
        </is>
      </c>
      <c r="N57" s="2" t="n"/>
      <c r="O57" s="3" t="inlineStr">
        <is>
          <t>https://vanillabonds.com/dossier-data/pdf/katjes/katjes-2023-annual-report.pdf#page=78</t>
        </is>
      </c>
    </row>
    <row r="58">
      <c r="A58" s="2" t="inlineStr">
        <is>
          <t>F057</t>
        </is>
      </c>
      <c r="B58" s="2" t="inlineStr">
        <is>
          <t>financials</t>
        </is>
      </c>
      <c r="C58" s="2" t="inlineStr">
        <is>
          <t>da</t>
        </is>
      </c>
      <c r="D58" s="2" t="inlineStr">
        <is>
          <t>Depreciation &amp; amortisation</t>
        </is>
      </c>
      <c r="E58" s="2" t="inlineStr">
        <is>
          <t>FY2023</t>
        </is>
      </c>
      <c r="F58" s="2" t="n">
        <v>18.1</v>
      </c>
      <c r="G58" s="2" t="inlineStr">
        <is>
          <t>EUR m</t>
        </is>
      </c>
      <c r="H58" s="3" t="inlineStr">
        <is>
          <t>Depreciation and amortisation per expense breakdown (cash flow statement: 11.0 PP&amp;E + 3.1 right-of-use + 4.2 intangibles)</t>
        </is>
      </c>
      <c r="I58" s="2" t="inlineStr">
        <is>
          <t>S1</t>
        </is>
      </c>
      <c r="J58" s="2" t="n">
        <v>78</v>
      </c>
      <c r="K58" s="2" t="inlineStr">
        <is>
          <t>Depreciation and amortisation 18.1 15.1</t>
        </is>
      </c>
      <c r="L58" s="2" t="inlineStr">
        <is>
          <t>ok</t>
        </is>
      </c>
      <c r="M58" s="2" t="inlineStr">
        <is>
          <t>demo reviewer</t>
        </is>
      </c>
      <c r="N58" s="2" t="n"/>
      <c r="O58" s="3" t="inlineStr">
        <is>
          <t>https://vanillabonds.com/dossier-data/pdf/katjes/katjes-2023-annual-report.pdf#page=78</t>
        </is>
      </c>
    </row>
    <row r="59">
      <c r="A59" s="2" t="inlineStr">
        <is>
          <t>F058</t>
        </is>
      </c>
      <c r="B59" s="2" t="inlineStr">
        <is>
          <t>financials</t>
        </is>
      </c>
      <c r="C59" s="2" t="inlineStr">
        <is>
          <t>net_interest</t>
        </is>
      </c>
      <c r="D59" s="2" t="inlineStr">
        <is>
          <t>Net finance cost</t>
        </is>
      </c>
      <c r="E59" s="2" t="inlineStr">
        <is>
          <t>FY2022</t>
        </is>
      </c>
      <c r="F59" s="2" t="n">
        <v>6.4</v>
      </c>
      <c r="G59" s="2" t="inlineStr">
        <is>
          <t>EUR m</t>
        </is>
      </c>
      <c r="H59" s="3" t="inlineStr">
        <is>
          <t>Financial result EUR -6.4m incl. at-equity loss share CPK -0.1; financial expenses 6.8 (bond interest 4.7, bank interest 1.2); interest paid 5.7</t>
        </is>
      </c>
      <c r="I59" s="2" t="inlineStr">
        <is>
          <t>S1</t>
        </is>
      </c>
      <c r="J59" s="2" t="n">
        <v>43</v>
      </c>
      <c r="K59" s="2" t="inlineStr">
        <is>
          <t>Financial result -11.4 -6.4</t>
        </is>
      </c>
      <c r="L59" s="2" t="inlineStr">
        <is>
          <t>ok</t>
        </is>
      </c>
      <c r="M59" s="2" t="inlineStr">
        <is>
          <t>demo reviewer</t>
        </is>
      </c>
      <c r="N59" s="2" t="n"/>
      <c r="O59" s="3" t="inlineStr">
        <is>
          <t>https://vanillabonds.com/dossier-data/pdf/katjes/katjes-2023-annual-report.pdf#page=43</t>
        </is>
      </c>
    </row>
    <row r="60">
      <c r="A60" s="2" t="inlineStr">
        <is>
          <t>F059</t>
        </is>
      </c>
      <c r="B60" s="2" t="inlineStr">
        <is>
          <t>financials</t>
        </is>
      </c>
      <c r="C60" s="2" t="inlineStr">
        <is>
          <t>net_interest</t>
        </is>
      </c>
      <c r="D60" s="2" t="inlineStr">
        <is>
          <t>Net finance cost</t>
        </is>
      </c>
      <c r="E60" s="2" t="inlineStr">
        <is>
          <t>FY2023</t>
        </is>
      </c>
      <c r="F60" s="2" t="n">
        <v>11.4</v>
      </c>
      <c r="G60" s="2" t="inlineStr">
        <is>
          <t>EUR m</t>
        </is>
      </c>
      <c r="H60" s="3" t="inlineStr">
        <is>
          <t>Financial result EUR -11.4m incl. at-equity loss share CPK -0.7; financial expenses 12.0 (bond interest 6.5, bank interest 3.6, leasing 0.2, other 0.8), financial income 0.6; interest paid 8.1</t>
        </is>
      </c>
      <c r="I60" s="2" t="inlineStr">
        <is>
          <t>S1</t>
        </is>
      </c>
      <c r="J60" s="2" t="n">
        <v>43</v>
      </c>
      <c r="K60" s="2" t="inlineStr">
        <is>
          <t>Financial result -11.4 -6.4</t>
        </is>
      </c>
      <c r="L60" s="2" t="inlineStr">
        <is>
          <t>ok</t>
        </is>
      </c>
      <c r="M60" s="2" t="inlineStr">
        <is>
          <t>demo reviewer</t>
        </is>
      </c>
      <c r="N60" s="2" t="n"/>
      <c r="O60" s="3" t="inlineStr">
        <is>
          <t>https://vanillabonds.com/dossier-data/pdf/katjes/katjes-2023-annual-report.pdf#page=43</t>
        </is>
      </c>
    </row>
    <row r="61">
      <c r="A61" s="2" t="inlineStr">
        <is>
          <t>F060</t>
        </is>
      </c>
      <c r="B61" s="2" t="inlineStr">
        <is>
          <t>financials</t>
        </is>
      </c>
      <c r="C61" s="2" t="inlineStr">
        <is>
          <t>cfo</t>
        </is>
      </c>
      <c r="D61" s="2" t="inlineStr">
        <is>
          <t>Cash flow from operating activities</t>
        </is>
      </c>
      <c r="E61" s="2" t="inlineStr">
        <is>
          <t>FY2022</t>
        </is>
      </c>
      <c r="F61" s="2" t="n">
        <v>10.4</v>
      </c>
      <c r="G61" s="2" t="inlineStr">
        <is>
          <t>EUR m</t>
        </is>
      </c>
      <c r="H61" s="2" t="inlineStr">
        <is>
          <t>Cash flow from operating activities</t>
        </is>
      </c>
      <c r="I61" s="2" t="inlineStr">
        <is>
          <t>S1</t>
        </is>
      </c>
      <c r="J61" s="2" t="n">
        <v>48</v>
      </c>
      <c r="K61" s="3" t="inlineStr">
        <is>
          <t>Cash flow from operating activities 31.8 10.4</t>
        </is>
      </c>
      <c r="L61" s="2" t="inlineStr">
        <is>
          <t>ok</t>
        </is>
      </c>
      <c r="M61" s="2" t="inlineStr">
        <is>
          <t>demo reviewer</t>
        </is>
      </c>
      <c r="N61" s="2" t="n"/>
      <c r="O61" s="3" t="inlineStr">
        <is>
          <t>https://vanillabonds.com/dossier-data/pdf/katjes/katjes-2023-annual-report.pdf#page=48</t>
        </is>
      </c>
    </row>
    <row r="62">
      <c r="A62" s="2" t="inlineStr">
        <is>
          <t>F061</t>
        </is>
      </c>
      <c r="B62" s="2" t="inlineStr">
        <is>
          <t>financials</t>
        </is>
      </c>
      <c r="C62" s="2" t="inlineStr">
        <is>
          <t>cfo</t>
        </is>
      </c>
      <c r="D62" s="2" t="inlineStr">
        <is>
          <t>Cash flow from operating activities</t>
        </is>
      </c>
      <c r="E62" s="2" t="inlineStr">
        <is>
          <t>FY2023</t>
        </is>
      </c>
      <c r="F62" s="2" t="n">
        <v>31.8</v>
      </c>
      <c r="G62" s="2" t="inlineStr">
        <is>
          <t>EUR m</t>
        </is>
      </c>
      <c r="H62" s="2" t="inlineStr">
        <is>
          <t>Cash flow from operating activities</t>
        </is>
      </c>
      <c r="I62" s="2" t="inlineStr">
        <is>
          <t>S1</t>
        </is>
      </c>
      <c r="J62" s="2" t="n">
        <v>48</v>
      </c>
      <c r="K62" s="3" t="inlineStr">
        <is>
          <t>Cash flow from operating activities 31.8 10.4</t>
        </is>
      </c>
      <c r="L62" s="2" t="inlineStr">
        <is>
          <t>ok</t>
        </is>
      </c>
      <c r="M62" s="2" t="inlineStr">
        <is>
          <t>demo reviewer</t>
        </is>
      </c>
      <c r="N62" s="2" t="n"/>
      <c r="O62" s="3" t="inlineStr">
        <is>
          <t>https://vanillabonds.com/dossier-data/pdf/katjes/katjes-2023-annual-report.pdf#page=48</t>
        </is>
      </c>
    </row>
    <row r="63">
      <c r="A63" s="2" t="inlineStr">
        <is>
          <t>F062</t>
        </is>
      </c>
      <c r="B63" s="2" t="inlineStr">
        <is>
          <t>financials</t>
        </is>
      </c>
      <c r="C63" s="2" t="inlineStr">
        <is>
          <t>capex</t>
        </is>
      </c>
      <c r="D63" s="2" t="inlineStr">
        <is>
          <t>Capex (PP&amp;E + intangibles)</t>
        </is>
      </c>
      <c r="E63" s="2" t="inlineStr">
        <is>
          <t>FY2022</t>
        </is>
      </c>
      <c r="F63" s="2" t="n">
        <v>8</v>
      </c>
      <c r="G63" s="2" t="inlineStr">
        <is>
          <t>EUR m</t>
        </is>
      </c>
      <c r="H63" s="3" t="inlineStr">
        <is>
          <t>Additions to intangible assets (1.3) and PP&amp;E (6.7) per fixed-asset schedule, excl. initial consolidation 77.5; cash flow shows PP&amp;E -6.1 and intangibles -1.2</t>
        </is>
      </c>
      <c r="I63" s="2" t="inlineStr">
        <is>
          <t>S1</t>
        </is>
      </c>
      <c r="J63" s="2" t="n">
        <v>89</v>
      </c>
      <c r="K63" s="2" t="inlineStr">
        <is>
          <t>232.4 8.0 77.5 0.0 -0.8 317.0</t>
        </is>
      </c>
      <c r="L63" s="2" t="inlineStr">
        <is>
          <t>ok</t>
        </is>
      </c>
      <c r="M63" s="2" t="inlineStr">
        <is>
          <t>demo reviewer</t>
        </is>
      </c>
      <c r="N63" s="2" t="n"/>
      <c r="O63" s="3" t="inlineStr">
        <is>
          <t>https://vanillabonds.com/dossier-data/pdf/katjes/katjes-2023-annual-report.pdf#page=89</t>
        </is>
      </c>
    </row>
    <row r="64">
      <c r="A64" s="2" t="inlineStr">
        <is>
          <t>F063</t>
        </is>
      </c>
      <c r="B64" s="2" t="inlineStr">
        <is>
          <t>financials</t>
        </is>
      </c>
      <c r="C64" s="2" t="inlineStr">
        <is>
          <t>capex</t>
        </is>
      </c>
      <c r="D64" s="2" t="inlineStr">
        <is>
          <t>Capex (PP&amp;E + intangibles)</t>
        </is>
      </c>
      <c r="E64" s="2" t="inlineStr">
        <is>
          <t>FY2023</t>
        </is>
      </c>
      <c r="F64" s="2" t="n">
        <v>14.3</v>
      </c>
      <c r="G64" s="2" t="inlineStr">
        <is>
          <t>EUR m</t>
        </is>
      </c>
      <c r="H64" s="3" t="inlineStr">
        <is>
          <t>Additions to intangible assets (6.4) and PP&amp;E (7.9) per fixed-asset schedule, excl. right-of-use additions 3.5; cash flow shows PP&amp;E -7.4 and intangibles -7.2</t>
        </is>
      </c>
      <c r="I64" s="2" t="inlineStr">
        <is>
          <t>S1</t>
        </is>
      </c>
      <c r="J64" s="2" t="n">
        <v>88</v>
      </c>
      <c r="K64" s="2" t="inlineStr">
        <is>
          <t>317.0 14.3 0.0 0.0 -1.3 330.1</t>
        </is>
      </c>
      <c r="L64" s="2" t="inlineStr">
        <is>
          <t>pend</t>
        </is>
      </c>
      <c r="M64" s="2" t="n"/>
      <c r="N64" s="3" t="inlineStr">
        <is>
          <t>conflict: S1·p88 14.3 vs S2·p45 14.6; primary per fact agent: S2 p45 - S2 is the later audited report; its 2023 cash flow lines (-7.4 and -7.2) are the same lines S1's own cash flow statement shows, and S1's 14.3 is the fixed-asset schedule additions, a different line, not a restatement.</t>
        </is>
      </c>
      <c r="O64" s="3" t="inlineStr">
        <is>
          <t>https://vanillabonds.com/dossier-data/pdf/katjes/katjes-2023-annual-report.pdf#page=88</t>
        </is>
      </c>
    </row>
    <row r="65">
      <c r="A65" s="2" t="inlineStr">
        <is>
          <t>F064</t>
        </is>
      </c>
      <c r="B65" s="2" t="inlineStr">
        <is>
          <t>financials</t>
        </is>
      </c>
      <c r="C65" s="2" t="inlineStr">
        <is>
          <t>cash</t>
        </is>
      </c>
      <c r="D65" s="2" t="inlineStr">
        <is>
          <t>Cash &amp; equivalents</t>
        </is>
      </c>
      <c r="E65" s="2" t="inlineStr">
        <is>
          <t>FY2022</t>
        </is>
      </c>
      <c r="F65" s="2" t="n">
        <v>35.5</v>
      </c>
      <c r="G65" s="2" t="inlineStr">
        <is>
          <t>EUR m</t>
        </is>
      </c>
      <c r="H65" s="2" t="inlineStr">
        <is>
          <t>Cash and cash equivalents</t>
        </is>
      </c>
      <c r="I65" s="2" t="inlineStr">
        <is>
          <t>S1</t>
        </is>
      </c>
      <c r="J65" s="2" t="n">
        <v>45</v>
      </c>
      <c r="K65" s="2" t="inlineStr">
        <is>
          <t>Cash and cash equivalents 6.7 58.4 35.5</t>
        </is>
      </c>
      <c r="L65" s="2" t="inlineStr">
        <is>
          <t>ok</t>
        </is>
      </c>
      <c r="M65" s="2" t="inlineStr">
        <is>
          <t>demo reviewer</t>
        </is>
      </c>
      <c r="N65" s="2" t="n"/>
      <c r="O65" s="3" t="inlineStr">
        <is>
          <t>https://vanillabonds.com/dossier-data/pdf/katjes/katjes-2023-annual-report.pdf#page=45</t>
        </is>
      </c>
    </row>
    <row r="66">
      <c r="A66" s="2" t="inlineStr">
        <is>
          <t>F065</t>
        </is>
      </c>
      <c r="B66" s="2" t="inlineStr">
        <is>
          <t>financials</t>
        </is>
      </c>
      <c r="C66" s="2" t="inlineStr">
        <is>
          <t>cash</t>
        </is>
      </c>
      <c r="D66" s="2" t="inlineStr">
        <is>
          <t>Cash &amp; equivalents</t>
        </is>
      </c>
      <c r="E66" s="2" t="inlineStr">
        <is>
          <t>FY2023</t>
        </is>
      </c>
      <c r="F66" s="2" t="n">
        <v>58.4</v>
      </c>
      <c r="G66" s="2" t="inlineStr">
        <is>
          <t>EUR m</t>
        </is>
      </c>
      <c r="H66" s="3" t="inlineStr">
        <is>
          <t>Cash and cash equivalents; includes EUR 2.0m in SEK (SEK 24.0m)</t>
        </is>
      </c>
      <c r="I66" s="2" t="inlineStr">
        <is>
          <t>S1</t>
        </is>
      </c>
      <c r="J66" s="2" t="n">
        <v>45</v>
      </c>
      <c r="K66" s="2" t="inlineStr">
        <is>
          <t>Cash and cash equivalents 6.7 58.4 35.5</t>
        </is>
      </c>
      <c r="L66" s="2" t="inlineStr">
        <is>
          <t>ok</t>
        </is>
      </c>
      <c r="M66" s="2" t="inlineStr">
        <is>
          <t>demo reviewer</t>
        </is>
      </c>
      <c r="N66" s="2" t="n"/>
      <c r="O66" s="3" t="inlineStr">
        <is>
          <t>https://vanillabonds.com/dossier-data/pdf/katjes/katjes-2023-annual-report.pdf#page=45</t>
        </is>
      </c>
    </row>
    <row r="67">
      <c r="A67" s="2" t="inlineStr">
        <is>
          <t>F066</t>
        </is>
      </c>
      <c r="B67" s="2" t="inlineStr">
        <is>
          <t>financials</t>
        </is>
      </c>
      <c r="C67" s="2" t="inlineStr">
        <is>
          <t>gross_debt</t>
        </is>
      </c>
      <c r="D67" s="3" t="inlineStr">
        <is>
          <t>Gross financial debt (bonds + loans, excl. leases)</t>
        </is>
      </c>
      <c r="E67" s="2" t="inlineStr">
        <is>
          <t>FY2022</t>
        </is>
      </c>
      <c r="F67" s="2" t="n">
        <v>173.5</v>
      </c>
      <c r="G67" s="2" t="inlineStr">
        <is>
          <t>EUR m</t>
        </is>
      </c>
      <c r="H67" s="3" t="inlineStr">
        <is>
          <t>Total financial liabilities as reported (prior-year figure adjusted for PPA finalisation), INCLUDING lease liabilities 6.4; bond 110.0, accrued interest 3.4, banks 42.5, hire-purchase 2.7</t>
        </is>
      </c>
      <c r="I67" s="2" t="inlineStr">
        <is>
          <t>S1</t>
        </is>
      </c>
      <c r="J67" s="2" t="n">
        <v>72</v>
      </c>
      <c r="K67" s="2" t="inlineStr">
        <is>
          <t>Total 191.9 173.5</t>
        </is>
      </c>
      <c r="L67" s="2" t="inlineStr">
        <is>
          <t>ok</t>
        </is>
      </c>
      <c r="M67" s="2" t="inlineStr">
        <is>
          <t>demo reviewer</t>
        </is>
      </c>
      <c r="N67" s="2" t="n"/>
      <c r="O67" s="3" t="inlineStr">
        <is>
          <t>https://vanillabonds.com/dossier-data/pdf/katjes/katjes-2023-annual-report.pdf#page=72</t>
        </is>
      </c>
    </row>
    <row r="68">
      <c r="A68" s="2" t="inlineStr">
        <is>
          <t>F067</t>
        </is>
      </c>
      <c r="B68" s="2" t="inlineStr">
        <is>
          <t>financials</t>
        </is>
      </c>
      <c r="C68" s="2" t="inlineStr">
        <is>
          <t>gross_debt</t>
        </is>
      </c>
      <c r="D68" s="3" t="inlineStr">
        <is>
          <t>Gross financial debt (bonds + loans, excl. leases)</t>
        </is>
      </c>
      <c r="E68" s="2" t="inlineStr">
        <is>
          <t>FY2023</t>
        </is>
      </c>
      <c r="F68" s="2" t="n">
        <v>191.9</v>
      </c>
      <c r="G68" s="2" t="inlineStr">
        <is>
          <t>EUR m</t>
        </is>
      </c>
      <c r="H68" s="3" t="inlineStr">
        <is>
          <t>Total financial liabilities as reported (capital management table), INCLUDING lease liabilities 6.8; components: bond 115.0, accrued bond interest 2.1, liabilities to banks 56.3, Viersen site liability 6.4, hire-purchase 3.0, Dulcioliva option 1.2</t>
        </is>
      </c>
      <c r="I68" s="2" t="inlineStr">
        <is>
          <t>S1</t>
        </is>
      </c>
      <c r="J68" s="2" t="n">
        <v>72</v>
      </c>
      <c r="K68" s="2" t="inlineStr">
        <is>
          <t>Total 191.9 173.5</t>
        </is>
      </c>
      <c r="L68" s="2" t="inlineStr">
        <is>
          <t>pend</t>
        </is>
      </c>
      <c r="M68" s="2" t="n"/>
      <c r="N68" s="3" t="inlineStr">
        <is>
          <t>conflict: S1·p72 191.9 vs S2·p68 185.1; primary per fact agent: S2 p68 - No restatement: S2 shows the same FY2023 total of 191.9 as S1 p72; the S1 fact keeps the 6.8 lease liabilities inside, which the field excludes, so the S2 fact of 185.1 applies, a subtraction the reviewer confirms (it includes the 6.4 Viersen site liability).</t>
        </is>
      </c>
      <c r="O68" s="3" t="inlineStr">
        <is>
          <t>https://vanillabonds.com/dossier-data/pdf/katjes/katjes-2023-annual-report.pdf#page=72</t>
        </is>
      </c>
    </row>
    <row r="69">
      <c r="A69" s="2" t="inlineStr">
        <is>
          <t>F068</t>
        </is>
      </c>
      <c r="B69" s="2" t="inlineStr">
        <is>
          <t>financials</t>
        </is>
      </c>
      <c r="C69" s="2" t="inlineStr">
        <is>
          <t>lease_liabilities</t>
        </is>
      </c>
      <c r="D69" s="2" t="inlineStr">
        <is>
          <t>Lease liabilities</t>
        </is>
      </c>
      <c r="E69" s="2" t="inlineStr">
        <is>
          <t>FY2022</t>
        </is>
      </c>
      <c r="F69" s="2" t="n">
        <v>6.4</v>
      </c>
      <c r="G69" s="2" t="inlineStr">
        <is>
          <t>EUR m</t>
        </is>
      </c>
      <c r="H69" s="2" t="inlineStr">
        <is>
          <t>IFRS 16 lease liabilities</t>
        </is>
      </c>
      <c r="I69" s="2" t="inlineStr">
        <is>
          <t>S1</t>
        </is>
      </c>
      <c r="J69" s="2" t="n">
        <v>83</v>
      </c>
      <c r="K69" s="3" t="inlineStr">
        <is>
          <t>Due after five or more years 0.1 0.2 Total 6.8 6.4</t>
        </is>
      </c>
      <c r="L69" s="2" t="inlineStr">
        <is>
          <t>ok</t>
        </is>
      </c>
      <c r="M69" s="2" t="inlineStr">
        <is>
          <t>demo reviewer</t>
        </is>
      </c>
      <c r="N69" s="2" t="n"/>
      <c r="O69" s="3" t="inlineStr">
        <is>
          <t>https://vanillabonds.com/dossier-data/pdf/katjes/katjes-2023-annual-report.pdf#page=83</t>
        </is>
      </c>
    </row>
    <row r="70">
      <c r="A70" s="2" t="inlineStr">
        <is>
          <t>F069</t>
        </is>
      </c>
      <c r="B70" s="2" t="inlineStr">
        <is>
          <t>financials</t>
        </is>
      </c>
      <c r="C70" s="2" t="inlineStr">
        <is>
          <t>lease_liabilities</t>
        </is>
      </c>
      <c r="D70" s="2" t="inlineStr">
        <is>
          <t>Lease liabilities</t>
        </is>
      </c>
      <c r="E70" s="2" t="inlineStr">
        <is>
          <t>FY2023</t>
        </is>
      </c>
      <c r="F70" s="2" t="n">
        <v>6.8</v>
      </c>
      <c r="G70" s="2" t="inlineStr">
        <is>
          <t>EUR m</t>
        </is>
      </c>
      <c r="H70" s="3" t="inlineStr">
        <is>
          <t>IFRS 16 lease liabilities: 2.9 due within one year, 3.8 one to five years, 0.1 after five years</t>
        </is>
      </c>
      <c r="I70" s="2" t="inlineStr">
        <is>
          <t>S1</t>
        </is>
      </c>
      <c r="J70" s="2" t="n">
        <v>83</v>
      </c>
      <c r="K70" s="3" t="inlineStr">
        <is>
          <t>Due after five or more years 0.1 0.2 Total 6.8 6.4</t>
        </is>
      </c>
      <c r="L70" s="2" t="inlineStr">
        <is>
          <t>ok</t>
        </is>
      </c>
      <c r="M70" s="2" t="inlineStr">
        <is>
          <t>demo reviewer</t>
        </is>
      </c>
      <c r="N70" s="2" t="n"/>
      <c r="O70" s="3" t="inlineStr">
        <is>
          <t>https://vanillabonds.com/dossier-data/pdf/katjes/katjes-2023-annual-report.pdf#page=83</t>
        </is>
      </c>
    </row>
    <row r="71">
      <c r="A71" s="2" t="inlineStr">
        <is>
          <t>F070</t>
        </is>
      </c>
      <c r="B71" s="2" t="inlineStr">
        <is>
          <t>financials</t>
        </is>
      </c>
      <c r="C71" s="2" t="inlineStr">
        <is>
          <t>net_debt</t>
        </is>
      </c>
      <c r="D71" s="2" t="inlineStr">
        <is>
          <t>Net debt (as reported)</t>
        </is>
      </c>
      <c r="E71" s="2" t="inlineStr">
        <is>
          <t>FY2022</t>
        </is>
      </c>
      <c r="F71" s="2" t="n">
        <v>138</v>
      </c>
      <c r="G71" s="2" t="inlineStr">
        <is>
          <t>EUR m</t>
        </is>
      </c>
      <c r="H71" s="3" t="inlineStr">
        <is>
          <t>Net debt as reported (adjusted) = financial liabilities 173.5 less cash 35.5; leverage ratio 45%</t>
        </is>
      </c>
      <c r="I71" s="2" t="inlineStr">
        <is>
          <t>S1</t>
        </is>
      </c>
      <c r="J71" s="2" t="n">
        <v>64</v>
      </c>
      <c r="K71" s="2" t="inlineStr">
        <is>
          <t>Net debt 133.5 138.0</t>
        </is>
      </c>
      <c r="L71" s="2" t="inlineStr">
        <is>
          <t>ok</t>
        </is>
      </c>
      <c r="M71" s="2" t="inlineStr">
        <is>
          <t>demo reviewer</t>
        </is>
      </c>
      <c r="N71" s="2" t="n"/>
      <c r="O71" s="3" t="inlineStr">
        <is>
          <t>https://vanillabonds.com/dossier-data/pdf/katjes/katjes-2023-annual-report.pdf#page=64</t>
        </is>
      </c>
    </row>
    <row r="72">
      <c r="A72" s="2" t="inlineStr">
        <is>
          <t>F071</t>
        </is>
      </c>
      <c r="B72" s="2" t="inlineStr">
        <is>
          <t>financials</t>
        </is>
      </c>
      <c r="C72" s="2" t="inlineStr">
        <is>
          <t>net_debt</t>
        </is>
      </c>
      <c r="D72" s="2" t="inlineStr">
        <is>
          <t>Net debt (as reported)</t>
        </is>
      </c>
      <c r="E72" s="2" t="inlineStr">
        <is>
          <t>FY2023</t>
        </is>
      </c>
      <c r="F72" s="2" t="n">
        <v>133.5</v>
      </c>
      <c r="G72" s="2" t="inlineStr">
        <is>
          <t>EUR m</t>
        </is>
      </c>
      <c r="H72" s="3" t="inlineStr">
        <is>
          <t>Net debt as reported = financial liabilities 191.9 (incl. leases) less cash 58.4; leverage ratio (net debt / total capital) 43%</t>
        </is>
      </c>
      <c r="I72" s="2" t="inlineStr">
        <is>
          <t>S1</t>
        </is>
      </c>
      <c r="J72" s="2" t="n">
        <v>64</v>
      </c>
      <c r="K72" s="2" t="inlineStr">
        <is>
          <t>Net debt 133.5 138.0</t>
        </is>
      </c>
      <c r="L72" s="2" t="inlineStr">
        <is>
          <t>ok</t>
        </is>
      </c>
      <c r="M72" s="2" t="inlineStr">
        <is>
          <t>demo reviewer</t>
        </is>
      </c>
      <c r="N72" s="2" t="n"/>
      <c r="O72" s="3" t="inlineStr">
        <is>
          <t>https://vanillabonds.com/dossier-data/pdf/katjes/katjes-2023-annual-report.pdf#page=64</t>
        </is>
      </c>
    </row>
    <row r="73">
      <c r="A73" s="2" t="inlineStr">
        <is>
          <t>F072</t>
        </is>
      </c>
      <c r="B73" s="2" t="inlineStr">
        <is>
          <t>financials</t>
        </is>
      </c>
      <c r="C73" s="2" t="inlineStr">
        <is>
          <t>equity</t>
        </is>
      </c>
      <c r="D73" s="2" t="inlineStr">
        <is>
          <t>Total equity</t>
        </is>
      </c>
      <c r="E73" s="2" t="inlineStr">
        <is>
          <t>FY2019</t>
        </is>
      </c>
      <c r="F73" s="2" t="n">
        <v>137.9</v>
      </c>
      <c r="G73" s="2" t="inlineStr">
        <is>
          <t>EUR m</t>
        </is>
      </c>
      <c r="H73" s="2" t="inlineStr">
        <is>
          <t>From the five-year equity chart</t>
        </is>
      </c>
      <c r="I73" s="2" t="inlineStr">
        <is>
          <t>S1</t>
        </is>
      </c>
      <c r="J73" s="2" t="n">
        <v>8</v>
      </c>
      <c r="K73" s="2" t="inlineStr">
        <is>
          <t>2019 2020 137.9 139.5</t>
        </is>
      </c>
      <c r="L73" s="2" t="inlineStr">
        <is>
          <t>ok</t>
        </is>
      </c>
      <c r="M73" s="2" t="inlineStr">
        <is>
          <t>demo reviewer</t>
        </is>
      </c>
      <c r="N73" s="2" t="n"/>
      <c r="O73" s="3" t="inlineStr">
        <is>
          <t>https://vanillabonds.com/dossier-data/pdf/katjes/katjes-2023-annual-report.pdf#page=8</t>
        </is>
      </c>
    </row>
    <row r="74">
      <c r="A74" s="2" t="inlineStr">
        <is>
          <t>F073</t>
        </is>
      </c>
      <c r="B74" s="2" t="inlineStr">
        <is>
          <t>financials</t>
        </is>
      </c>
      <c r="C74" s="2" t="inlineStr">
        <is>
          <t>equity</t>
        </is>
      </c>
      <c r="D74" s="2" t="inlineStr">
        <is>
          <t>Total equity</t>
        </is>
      </c>
      <c r="E74" s="2" t="inlineStr">
        <is>
          <t>FY2020</t>
        </is>
      </c>
      <c r="F74" s="2" t="n">
        <v>139.5</v>
      </c>
      <c r="G74" s="2" t="inlineStr">
        <is>
          <t>EUR m</t>
        </is>
      </c>
      <c r="H74" s="2" t="inlineStr">
        <is>
          <t>From the five-year equity chart</t>
        </is>
      </c>
      <c r="I74" s="2" t="inlineStr">
        <is>
          <t>S1</t>
        </is>
      </c>
      <c r="J74" s="2" t="n">
        <v>8</v>
      </c>
      <c r="K74" s="2" t="inlineStr">
        <is>
          <t>2019 2020 137.9 139.5</t>
        </is>
      </c>
      <c r="L74" s="2" t="inlineStr">
        <is>
          <t>ok</t>
        </is>
      </c>
      <c r="M74" s="2" t="inlineStr">
        <is>
          <t>demo reviewer</t>
        </is>
      </c>
      <c r="N74" s="2" t="n"/>
      <c r="O74" s="3" t="inlineStr">
        <is>
          <t>https://vanillabonds.com/dossier-data/pdf/katjes/katjes-2023-annual-report.pdf#page=8</t>
        </is>
      </c>
    </row>
    <row r="75">
      <c r="A75" s="2" t="inlineStr">
        <is>
          <t>F074</t>
        </is>
      </c>
      <c r="B75" s="2" t="inlineStr">
        <is>
          <t>financials</t>
        </is>
      </c>
      <c r="C75" s="2" t="inlineStr">
        <is>
          <t>equity</t>
        </is>
      </c>
      <c r="D75" s="2" t="inlineStr">
        <is>
          <t>Total equity</t>
        </is>
      </c>
      <c r="E75" s="2" t="inlineStr">
        <is>
          <t>FY2021</t>
        </is>
      </c>
      <c r="F75" s="2" t="n">
        <v>141.4</v>
      </c>
      <c r="G75" s="2" t="inlineStr">
        <is>
          <t>EUR m</t>
        </is>
      </c>
      <c r="H75" s="3" t="inlineStr">
        <is>
          <t>Total equity at 31 Dec 2021 per statement of changes in equity</t>
        </is>
      </c>
      <c r="I75" s="2" t="inlineStr">
        <is>
          <t>S1</t>
        </is>
      </c>
      <c r="J75" s="2" t="n">
        <v>47</v>
      </c>
      <c r="K75" s="3" t="inlineStr">
        <is>
          <t>As at 31 Dec 2021 / 01 Jan 2022 0.6 2.0 2.0 129.5 0.9 2.1 0.2 2.3 137.3 4.1 141.4</t>
        </is>
      </c>
      <c r="L75" s="2" t="inlineStr">
        <is>
          <t>ok</t>
        </is>
      </c>
      <c r="M75" s="2" t="inlineStr">
        <is>
          <t>demo reviewer</t>
        </is>
      </c>
      <c r="N75" s="2" t="n"/>
      <c r="O75" s="3" t="inlineStr">
        <is>
          <t>https://vanillabonds.com/dossier-data/pdf/katjes/katjes-2023-annual-report.pdf#page=47</t>
        </is>
      </c>
    </row>
    <row r="76">
      <c r="A76" s="2" t="inlineStr">
        <is>
          <t>F075</t>
        </is>
      </c>
      <c r="B76" s="2" t="inlineStr">
        <is>
          <t>financials</t>
        </is>
      </c>
      <c r="C76" s="2" t="inlineStr">
        <is>
          <t>equity</t>
        </is>
      </c>
      <c r="D76" s="2" t="inlineStr">
        <is>
          <t>Total equity</t>
        </is>
      </c>
      <c r="E76" s="2" t="inlineStr">
        <is>
          <t>FY2022</t>
        </is>
      </c>
      <c r="F76" s="2" t="n">
        <v>167</v>
      </c>
      <c r="G76" s="2" t="inlineStr">
        <is>
          <t>EUR m</t>
        </is>
      </c>
      <c r="H76" s="3" t="inlineStr">
        <is>
          <t>Total equity, prior-year figure adjusted for PPA finalisation (+7.7); shareholders' equity 164.1, NCI 2.9</t>
        </is>
      </c>
      <c r="I76" s="2" t="inlineStr">
        <is>
          <t>S1</t>
        </is>
      </c>
      <c r="J76" s="2" t="n">
        <v>46</v>
      </c>
      <c r="K76" s="2" t="inlineStr">
        <is>
          <t>Total equity 6.8 176.0 167.0</t>
        </is>
      </c>
      <c r="L76" s="2" t="inlineStr">
        <is>
          <t>ok</t>
        </is>
      </c>
      <c r="M76" s="2" t="inlineStr">
        <is>
          <t>demo reviewer</t>
        </is>
      </c>
      <c r="N76" s="2" t="n"/>
      <c r="O76" s="3" t="inlineStr">
        <is>
          <t>https://vanillabonds.com/dossier-data/pdf/katjes/katjes-2023-annual-report.pdf#page=46</t>
        </is>
      </c>
    </row>
    <row r="77">
      <c r="A77" s="2" t="inlineStr">
        <is>
          <t>F076</t>
        </is>
      </c>
      <c r="B77" s="2" t="inlineStr">
        <is>
          <t>financials</t>
        </is>
      </c>
      <c r="C77" s="2" t="inlineStr">
        <is>
          <t>equity</t>
        </is>
      </c>
      <c r="D77" s="2" t="inlineStr">
        <is>
          <t>Total equity</t>
        </is>
      </c>
      <c r="E77" s="2" t="inlineStr">
        <is>
          <t>FY2023</t>
        </is>
      </c>
      <c r="F77" s="2" t="n">
        <v>176</v>
      </c>
      <c r="G77" s="2" t="inlineStr">
        <is>
          <t>EUR m</t>
        </is>
      </c>
      <c r="H77" s="3" t="inlineStr">
        <is>
          <t>Total equity; shareholders' equity 173.0, non-controlling interests 3.0</t>
        </is>
      </c>
      <c r="I77" s="2" t="inlineStr">
        <is>
          <t>S1</t>
        </is>
      </c>
      <c r="J77" s="2" t="n">
        <v>46</v>
      </c>
      <c r="K77" s="2" t="inlineStr">
        <is>
          <t>Total equity 6.8 176.0 167.0</t>
        </is>
      </c>
      <c r="L77" s="2" t="inlineStr">
        <is>
          <t>ok</t>
        </is>
      </c>
      <c r="M77" s="2" t="inlineStr">
        <is>
          <t>demo reviewer</t>
        </is>
      </c>
      <c r="N77" s="2" t="n"/>
      <c r="O77" s="3" t="inlineStr">
        <is>
          <t>https://vanillabonds.com/dossier-data/pdf/katjes/katjes-2023-annual-report.pdf#page=46</t>
        </is>
      </c>
    </row>
    <row r="78">
      <c r="A78" s="2" t="inlineStr">
        <is>
          <t>F077</t>
        </is>
      </c>
      <c r="B78" s="2" t="inlineStr">
        <is>
          <t>financials</t>
        </is>
      </c>
      <c r="C78" s="2" t="inlineStr">
        <is>
          <t>total_assets</t>
        </is>
      </c>
      <c r="D78" s="2" t="inlineStr">
        <is>
          <t>Total assets</t>
        </is>
      </c>
      <c r="E78" s="2" t="inlineStr">
        <is>
          <t>FY2022</t>
        </is>
      </c>
      <c r="F78" s="2" t="n">
        <v>441.4</v>
      </c>
      <c r="G78" s="2" t="inlineStr">
        <is>
          <t>EUR m</t>
        </is>
      </c>
      <c r="H78" s="3" t="inlineStr">
        <is>
          <t>Total assets, prior-year figure adjusted for PPA finalisation; non-current 317.6, current 123.8</t>
        </is>
      </c>
      <c r="I78" s="2" t="inlineStr">
        <is>
          <t>S1</t>
        </is>
      </c>
      <c r="J78" s="2" t="n">
        <v>45</v>
      </c>
      <c r="K78" s="2" t="inlineStr">
        <is>
          <t>Total assets 477.6 441.4</t>
        </is>
      </c>
      <c r="L78" s="2" t="inlineStr">
        <is>
          <t>ok</t>
        </is>
      </c>
      <c r="M78" s="2" t="inlineStr">
        <is>
          <t>demo reviewer</t>
        </is>
      </c>
      <c r="N78" s="2" t="n"/>
      <c r="O78" s="3" t="inlineStr">
        <is>
          <t>https://vanillabonds.com/dossier-data/pdf/katjes/katjes-2023-annual-report.pdf#page=45</t>
        </is>
      </c>
    </row>
    <row r="79">
      <c r="A79" s="2" t="inlineStr">
        <is>
          <t>F078</t>
        </is>
      </c>
      <c r="B79" s="2" t="inlineStr">
        <is>
          <t>financials</t>
        </is>
      </c>
      <c r="C79" s="2" t="inlineStr">
        <is>
          <t>total_assets</t>
        </is>
      </c>
      <c r="D79" s="2" t="inlineStr">
        <is>
          <t>Total assets</t>
        </is>
      </c>
      <c r="E79" s="2" t="inlineStr">
        <is>
          <t>FY2023</t>
        </is>
      </c>
      <c r="F79" s="2" t="n">
        <v>477.6</v>
      </c>
      <c r="G79" s="2" t="inlineStr">
        <is>
          <t>EUR m</t>
        </is>
      </c>
      <c r="H79" s="3" t="inlineStr">
        <is>
          <t>Total assets; non-current 313.0, current 164.6</t>
        </is>
      </c>
      <c r="I79" s="2" t="inlineStr">
        <is>
          <t>S1</t>
        </is>
      </c>
      <c r="J79" s="2" t="n">
        <v>45</v>
      </c>
      <c r="K79" s="2" t="inlineStr">
        <is>
          <t>Total assets 477.6 441.4</t>
        </is>
      </c>
      <c r="L79" s="2" t="inlineStr">
        <is>
          <t>ok</t>
        </is>
      </c>
      <c r="M79" s="2" t="inlineStr">
        <is>
          <t>demo reviewer</t>
        </is>
      </c>
      <c r="N79" s="2" t="n"/>
      <c r="O79" s="3" t="inlineStr">
        <is>
          <t>https://vanillabonds.com/dossier-data/pdf/katjes/katjes-2023-annual-report.pdf#page=45</t>
        </is>
      </c>
    </row>
    <row r="80">
      <c r="A80" s="2" t="inlineStr">
        <is>
          <t>F079</t>
        </is>
      </c>
      <c r="B80" s="2" t="inlineStr">
        <is>
          <t>debt</t>
        </is>
      </c>
      <c r="C80" s="2" t="inlineStr">
        <is>
          <t>debt_instrument</t>
        </is>
      </c>
      <c r="D80" s="2" t="inlineStr">
        <is>
          <t>Debt instrument</t>
        </is>
      </c>
      <c r="E80" s="2" t="n"/>
      <c r="F80" s="2" t="n"/>
      <c r="G80" s="2" t="n"/>
      <c r="H80" s="3" t="inlineStr">
        <is>
          <t>Liabilities to banks total EUR 56.3m at 31 Dec 2023 (2022: EUR 42.5m); fair value equals carrying amount.</t>
        </is>
      </c>
      <c r="I80" s="2" t="inlineStr">
        <is>
          <t>S1</t>
        </is>
      </c>
      <c r="J80" s="2" t="n">
        <v>64</v>
      </c>
      <c r="K80" s="3" t="inlineStr">
        <is>
          <t>liabilities to banks in the amount of EUR 56.3 million (2022: EUR 42.5 million)</t>
        </is>
      </c>
      <c r="L80" s="2" t="inlineStr">
        <is>
          <t>ok</t>
        </is>
      </c>
      <c r="M80" s="2" t="inlineStr">
        <is>
          <t>demo reviewer</t>
        </is>
      </c>
      <c r="N80" s="2" t="n"/>
      <c r="O80" s="3" t="inlineStr">
        <is>
          <t>https://vanillabonds.com/dossier-data/pdf/katjes/katjes-2023-annual-report.pdf#page=64</t>
        </is>
      </c>
    </row>
    <row r="81">
      <c r="A81" s="2" t="inlineStr">
        <is>
          <t>F080</t>
        </is>
      </c>
      <c r="B81" s="2" t="inlineStr">
        <is>
          <t>debt</t>
        </is>
      </c>
      <c r="C81" s="2" t="inlineStr">
        <is>
          <t>debt_instrument</t>
        </is>
      </c>
      <c r="D81" s="2" t="inlineStr">
        <is>
          <t>Debt instrument</t>
        </is>
      </c>
      <c r="E81" s="2" t="n"/>
      <c r="F81" s="2" t="n"/>
      <c r="G81" s="2" t="n"/>
      <c r="H81" s="3" t="inlineStr">
        <is>
          <t>Liability from the takeover of the Viersen production site (oral care division) EUR 6.4m, remaining purchase price due 2 January 2024.</t>
        </is>
      </c>
      <c r="I81" s="2" t="inlineStr">
        <is>
          <t>S1</t>
        </is>
      </c>
      <c r="J81" s="2" t="n">
        <v>64</v>
      </c>
      <c r="K81" s="3" t="inlineStr">
        <is>
          <t>duction site for the oral care division in the amount of EUR 6.4 million is also included.</t>
        </is>
      </c>
      <c r="L81" s="2" t="inlineStr">
        <is>
          <t>ok</t>
        </is>
      </c>
      <c r="M81" s="2" t="inlineStr">
        <is>
          <t>demo reviewer</t>
        </is>
      </c>
      <c r="N81" s="2" t="n"/>
      <c r="O81" s="3" t="inlineStr">
        <is>
          <t>https://vanillabonds.com/dossier-data/pdf/katjes/katjes-2023-annual-report.pdf#page=64</t>
        </is>
      </c>
    </row>
    <row r="82">
      <c r="A82" s="2" t="inlineStr">
        <is>
          <t>F081</t>
        </is>
      </c>
      <c r="B82" s="2" t="inlineStr">
        <is>
          <t>debt</t>
        </is>
      </c>
      <c r="C82" s="2" t="inlineStr">
        <is>
          <t>debt_instrument</t>
        </is>
      </c>
      <c r="D82" s="2" t="inlineStr">
        <is>
          <t>Debt instrument</t>
        </is>
      </c>
      <c r="E82" s="2" t="n"/>
      <c r="F82" s="2" t="n"/>
      <c r="G82" s="2" t="n"/>
      <c r="H82" s="3" t="inlineStr">
        <is>
          <t>Hire-purchase contract liabilities EUR 3.0m (2022: 2.7).</t>
        </is>
      </c>
      <c r="I82" s="2" t="inlineStr">
        <is>
          <t>S1</t>
        </is>
      </c>
      <c r="J82" s="2" t="n">
        <v>64</v>
      </c>
      <c r="K82" s="3" t="inlineStr">
        <is>
          <t>also include liabilities from hire-purchase contracts in the amount of EUR 3.0 million (2022: EUR 2.7 million).</t>
        </is>
      </c>
      <c r="L82" s="2" t="inlineStr">
        <is>
          <t>ok</t>
        </is>
      </c>
      <c r="M82" s="2" t="inlineStr">
        <is>
          <t>demo reviewer</t>
        </is>
      </c>
      <c r="N82" s="2" t="n"/>
      <c r="O82" s="3" t="inlineStr">
        <is>
          <t>https://vanillabonds.com/dossier-data/pdf/katjes/katjes-2023-annual-report.pdf#page=64</t>
        </is>
      </c>
    </row>
    <row r="83">
      <c r="A83" s="2" t="inlineStr">
        <is>
          <t>F082</t>
        </is>
      </c>
      <c r="B83" s="2" t="inlineStr">
        <is>
          <t>debt</t>
        </is>
      </c>
      <c r="C83" s="2" t="inlineStr">
        <is>
          <t>debt_instrument</t>
        </is>
      </c>
      <c r="D83" s="2" t="inlineStr">
        <is>
          <t>Debt instrument</t>
        </is>
      </c>
      <c r="E83" s="2" t="n"/>
      <c r="F83" s="2" t="n"/>
      <c r="G83" s="2" t="n"/>
      <c r="H83" s="3" t="inlineStr">
        <is>
          <t>Corporate bond 2023/2028, EUR 115.0m, fixed 6.75% (previous bond 4.25%), issued September 2023, maturity 2028, Nordic bond format, unsecured per reported terms not stated; carrying 115.0, fair value 123.1; accrued interest 2.1; bond interest expense 6.5 in 2023.</t>
        </is>
      </c>
      <c r="I83" s="2" t="inlineStr">
        <is>
          <t>S1</t>
        </is>
      </c>
      <c r="J83" s="2" t="n">
        <v>69</v>
      </c>
      <c r="K83" s="3" t="inlineStr">
        <is>
          <t>Corporate bond 6.75 (previous year: 4.25) 115.0 110.0</t>
        </is>
      </c>
      <c r="L83" s="2" t="inlineStr">
        <is>
          <t>ok</t>
        </is>
      </c>
      <c r="M83" s="2" t="inlineStr">
        <is>
          <t>demo reviewer</t>
        </is>
      </c>
      <c r="N83" s="2" t="n"/>
      <c r="O83" s="3" t="inlineStr">
        <is>
          <t>https://vanillabonds.com/dossier-data/pdf/katjes/katjes-2023-annual-report.pdf#page=69</t>
        </is>
      </c>
    </row>
    <row r="84">
      <c r="A84" s="2" t="inlineStr">
        <is>
          <t>F083</t>
        </is>
      </c>
      <c r="B84" s="2" t="inlineStr">
        <is>
          <t>debt</t>
        </is>
      </c>
      <c r="C84" s="2" t="inlineStr">
        <is>
          <t>debt_instrument</t>
        </is>
      </c>
      <c r="D84" s="2" t="inlineStr">
        <is>
          <t>Debt instrument</t>
        </is>
      </c>
      <c r="E84" s="2" t="n"/>
      <c r="F84" s="2" t="n"/>
      <c r="G84" s="2" t="n"/>
      <c r="H84" s="3" t="inlineStr">
        <is>
          <t>Bank loan facility kEUR 24,000 at 5.6%, EUR 24.0m outstanding at 31 Dec 2023 (2022: 15.0); management report attributes the increase to the acquisition loan for the oral care business (Viersen production facility).</t>
        </is>
      </c>
      <c r="I84" s="2" t="inlineStr">
        <is>
          <t>S1</t>
        </is>
      </c>
      <c r="J84" s="2" t="n">
        <v>69</v>
      </c>
      <c r="K84" s="2" t="inlineStr">
        <is>
          <t>Bank loan kEUR 24.000 5.6 24.0 15.0</t>
        </is>
      </c>
      <c r="L84" s="2" t="inlineStr">
        <is>
          <t>ok</t>
        </is>
      </c>
      <c r="M84" s="2" t="inlineStr">
        <is>
          <t>demo reviewer</t>
        </is>
      </c>
      <c r="N84" s="2" t="n"/>
      <c r="O84" s="3" t="inlineStr">
        <is>
          <t>https://vanillabonds.com/dossier-data/pdf/katjes/katjes-2023-annual-report.pdf#page=69</t>
        </is>
      </c>
    </row>
    <row r="85">
      <c r="A85" s="2" t="inlineStr">
        <is>
          <t>F084</t>
        </is>
      </c>
      <c r="B85" s="2" t="inlineStr">
        <is>
          <t>debt</t>
        </is>
      </c>
      <c r="C85" s="2" t="inlineStr">
        <is>
          <t>debt_instrument</t>
        </is>
      </c>
      <c r="D85" s="2" t="inlineStr">
        <is>
          <t>Debt instrument</t>
        </is>
      </c>
      <c r="E85" s="2" t="n"/>
      <c r="F85" s="2" t="n"/>
      <c r="G85" s="2" t="n"/>
      <c r="H85" s="3" t="inlineStr">
        <is>
          <t>Bank loan kEUR 11,700 at 2.9%, EUR 6.0m outstanding (2022: 8.2).</t>
        </is>
      </c>
      <c r="I85" s="2" t="inlineStr">
        <is>
          <t>S1</t>
        </is>
      </c>
      <c r="J85" s="2" t="n">
        <v>69</v>
      </c>
      <c r="K85" s="2" t="inlineStr">
        <is>
          <t>Bank loan kEUR 11.700 2.9 6.0 8.2</t>
        </is>
      </c>
      <c r="L85" s="2" t="inlineStr">
        <is>
          <t>ok</t>
        </is>
      </c>
      <c r="M85" s="2" t="inlineStr">
        <is>
          <t>demo reviewer</t>
        </is>
      </c>
      <c r="N85" s="2" t="n"/>
      <c r="O85" s="3" t="inlineStr">
        <is>
          <t>https://vanillabonds.com/dossier-data/pdf/katjes/katjes-2023-annual-report.pdf#page=69</t>
        </is>
      </c>
    </row>
    <row r="86">
      <c r="A86" s="2" t="inlineStr">
        <is>
          <t>F085</t>
        </is>
      </c>
      <c r="B86" s="2" t="inlineStr">
        <is>
          <t>debt</t>
        </is>
      </c>
      <c r="C86" s="2" t="inlineStr">
        <is>
          <t>debt_instrument</t>
        </is>
      </c>
      <c r="D86" s="2" t="inlineStr">
        <is>
          <t>Debt instrument</t>
        </is>
      </c>
      <c r="E86" s="2" t="n"/>
      <c r="F86" s="2" t="n"/>
      <c r="G86" s="2" t="n"/>
      <c r="H86" s="3" t="inlineStr">
        <is>
          <t>Bank loan kEUR 5,000 at 4.98%, EUR 5.0m outstanding (2022: 0.0), new in 2023.</t>
        </is>
      </c>
      <c r="I86" s="2" t="inlineStr">
        <is>
          <t>S1</t>
        </is>
      </c>
      <c r="J86" s="2" t="n">
        <v>69</v>
      </c>
      <c r="K86" s="2" t="inlineStr">
        <is>
          <t>Bank loan kEUR 5.000 4.98 5.0 0.0</t>
        </is>
      </c>
      <c r="L86" s="2" t="inlineStr">
        <is>
          <t>ok</t>
        </is>
      </c>
      <c r="M86" s="2" t="inlineStr">
        <is>
          <t>demo reviewer</t>
        </is>
      </c>
      <c r="N86" s="2" t="n"/>
      <c r="O86" s="3" t="inlineStr">
        <is>
          <t>https://vanillabonds.com/dossier-data/pdf/katjes/katjes-2023-annual-report.pdf#page=69</t>
        </is>
      </c>
    </row>
    <row r="87">
      <c r="A87" s="2" t="inlineStr">
        <is>
          <t>F086</t>
        </is>
      </c>
      <c r="B87" s="2" t="inlineStr">
        <is>
          <t>debt</t>
        </is>
      </c>
      <c r="C87" s="2" t="inlineStr">
        <is>
          <t>debt_instrument</t>
        </is>
      </c>
      <c r="D87" s="2" t="inlineStr">
        <is>
          <t>Debt instrument</t>
        </is>
      </c>
      <c r="E87" s="2" t="n"/>
      <c r="F87" s="2" t="n"/>
      <c r="G87" s="2" t="n"/>
      <c r="H87" s="3" t="inlineStr">
        <is>
          <t>Bank loan kEUR 5,000 at 8.5%, EUR 4.4m outstanding (2022: 0.0), new in 2023.</t>
        </is>
      </c>
      <c r="I87" s="2" t="inlineStr">
        <is>
          <t>S1</t>
        </is>
      </c>
      <c r="J87" s="2" t="n">
        <v>69</v>
      </c>
      <c r="K87" s="2" t="inlineStr">
        <is>
          <t>Bank loan kEUR 5.000 8.5 4.4 0.0</t>
        </is>
      </c>
      <c r="L87" s="2" t="inlineStr">
        <is>
          <t>ok</t>
        </is>
      </c>
      <c r="M87" s="2" t="inlineStr">
        <is>
          <t>demo reviewer</t>
        </is>
      </c>
      <c r="N87" s="2" t="n"/>
      <c r="O87" s="3" t="inlineStr">
        <is>
          <t>https://vanillabonds.com/dossier-data/pdf/katjes/katjes-2023-annual-report.pdf#page=69</t>
        </is>
      </c>
    </row>
    <row r="88">
      <c r="A88" s="2" t="inlineStr">
        <is>
          <t>F087</t>
        </is>
      </c>
      <c r="B88" s="2" t="inlineStr">
        <is>
          <t>debt</t>
        </is>
      </c>
      <c r="C88" s="2" t="inlineStr">
        <is>
          <t>debt_instrument</t>
        </is>
      </c>
      <c r="D88" s="2" t="inlineStr">
        <is>
          <t>Debt instrument</t>
        </is>
      </c>
      <c r="E88" s="2" t="n"/>
      <c r="F88" s="2" t="n"/>
      <c r="G88" s="2" t="n"/>
      <c r="H88" s="3" t="inlineStr">
        <is>
          <t>Bank loan kEUR 5,000 at 0.7%, EUR 1.7m outstanding (2022: 3.3); p72 reports a 2020 liquidity-support loan of EUR 5.0m with EUR 1.7m outstanding, secured by a state guarantee for the majority of the amount.</t>
        </is>
      </c>
      <c r="I88" s="2" t="inlineStr">
        <is>
          <t>S1</t>
        </is>
      </c>
      <c r="J88" s="2" t="n">
        <v>69</v>
      </c>
      <c r="K88" s="2" t="inlineStr">
        <is>
          <t>Bank loan kEUR 5.000 0.7 1.7 3.3</t>
        </is>
      </c>
      <c r="L88" s="2" t="inlineStr">
        <is>
          <t>ok</t>
        </is>
      </c>
      <c r="M88" s="2" t="inlineStr">
        <is>
          <t>demo reviewer</t>
        </is>
      </c>
      <c r="N88" s="2" t="n"/>
      <c r="O88" s="3" t="inlineStr">
        <is>
          <t>https://vanillabonds.com/dossier-data/pdf/katjes/katjes-2023-annual-report.pdf#page=69</t>
        </is>
      </c>
    </row>
    <row r="89">
      <c r="A89" s="2" t="inlineStr">
        <is>
          <t>F088</t>
        </is>
      </c>
      <c r="B89" s="2" t="inlineStr">
        <is>
          <t>debt</t>
        </is>
      </c>
      <c r="C89" s="2" t="inlineStr">
        <is>
          <t>debt_instrument</t>
        </is>
      </c>
      <c r="D89" s="2" t="inlineStr">
        <is>
          <t>Debt instrument</t>
        </is>
      </c>
      <c r="E89" s="2" t="n"/>
      <c r="F89" s="2" t="n"/>
      <c r="G89" s="2" t="n"/>
      <c r="H89" s="3" t="inlineStr">
        <is>
          <t>Bank loan kEUR 3,000 at 2.0%, EUR 1.1m outstanding (2022: 1.9).</t>
        </is>
      </c>
      <c r="I89" s="2" t="inlineStr">
        <is>
          <t>S1</t>
        </is>
      </c>
      <c r="J89" s="2" t="n">
        <v>69</v>
      </c>
      <c r="K89" s="2" t="inlineStr">
        <is>
          <t>Bank loan kEUR 3.000 2.0 1.1 1.9</t>
        </is>
      </c>
      <c r="L89" s="2" t="inlineStr">
        <is>
          <t>ok</t>
        </is>
      </c>
      <c r="M89" s="2" t="inlineStr">
        <is>
          <t>demo reviewer</t>
        </is>
      </c>
      <c r="N89" s="2" t="n"/>
      <c r="O89" s="3" t="inlineStr">
        <is>
          <t>https://vanillabonds.com/dossier-data/pdf/katjes/katjes-2023-annual-report.pdf#page=69</t>
        </is>
      </c>
    </row>
    <row r="90">
      <c r="A90" s="2" t="inlineStr">
        <is>
          <t>F089</t>
        </is>
      </c>
      <c r="B90" s="2" t="inlineStr">
        <is>
          <t>debt</t>
        </is>
      </c>
      <c r="C90" s="2" t="inlineStr">
        <is>
          <t>debt_instrument</t>
        </is>
      </c>
      <c r="D90" s="2" t="inlineStr">
        <is>
          <t>Debt instrument</t>
        </is>
      </c>
      <c r="E90" s="2" t="n"/>
      <c r="F90" s="2" t="n"/>
      <c r="G90" s="2" t="n"/>
      <c r="H90" s="3" t="inlineStr">
        <is>
          <t>Bank loan kEUR 3,000 at 1.8%, EUR 0.3m outstanding (2022: 0.9).</t>
        </is>
      </c>
      <c r="I90" s="2" t="inlineStr">
        <is>
          <t>S1</t>
        </is>
      </c>
      <c r="J90" s="2" t="n">
        <v>69</v>
      </c>
      <c r="K90" s="2" t="inlineStr">
        <is>
          <t>Bank loan kEUR 3.000 1.8 0.3 0.9</t>
        </is>
      </c>
      <c r="L90" s="2" t="inlineStr">
        <is>
          <t>ok</t>
        </is>
      </c>
      <c r="M90" s="2" t="inlineStr">
        <is>
          <t>demo reviewer</t>
        </is>
      </c>
      <c r="N90" s="2" t="n"/>
      <c r="O90" s="3" t="inlineStr">
        <is>
          <t>https://vanillabonds.com/dossier-data/pdf/katjes/katjes-2023-annual-report.pdf#page=69</t>
        </is>
      </c>
    </row>
    <row r="91">
      <c r="A91" s="2" t="inlineStr">
        <is>
          <t>F090</t>
        </is>
      </c>
      <c r="B91" s="2" t="inlineStr">
        <is>
          <t>debt</t>
        </is>
      </c>
      <c r="C91" s="2" t="inlineStr">
        <is>
          <t>debt_instrument</t>
        </is>
      </c>
      <c r="D91" s="2" t="inlineStr">
        <is>
          <t>Debt instrument</t>
        </is>
      </c>
      <c r="E91" s="2" t="n"/>
      <c r="F91" s="2" t="n"/>
      <c r="G91" s="2" t="n"/>
      <c r="H91" s="3" t="inlineStr">
        <is>
          <t>Bank loan kEUR 1,500 at 5.6%, EUR 0.0m outstanding at 31 Dec 2023 (2022: 1.5), repaid during 2023.</t>
        </is>
      </c>
      <c r="I91" s="2" t="inlineStr">
        <is>
          <t>S1</t>
        </is>
      </c>
      <c r="J91" s="2" t="n">
        <v>69</v>
      </c>
      <c r="K91" s="2" t="inlineStr">
        <is>
          <t>Bank loan kEUR 1.500 5.6 0.0 1.5</t>
        </is>
      </c>
      <c r="L91" s="2" t="inlineStr">
        <is>
          <t>ok</t>
        </is>
      </c>
      <c r="M91" s="2" t="inlineStr">
        <is>
          <t>demo reviewer</t>
        </is>
      </c>
      <c r="N91" s="2" t="n"/>
      <c r="O91" s="3" t="inlineStr">
        <is>
          <t>https://vanillabonds.com/dossier-data/pdf/katjes/katjes-2023-annual-report.pdf#page=69</t>
        </is>
      </c>
    </row>
    <row r="92">
      <c r="A92" s="2" t="inlineStr">
        <is>
          <t>F091</t>
        </is>
      </c>
      <c r="B92" s="2" t="inlineStr">
        <is>
          <t>debt</t>
        </is>
      </c>
      <c r="C92" s="2" t="inlineStr">
        <is>
          <t>debt_instrument</t>
        </is>
      </c>
      <c r="D92" s="2" t="inlineStr">
        <is>
          <t>Debt instrument</t>
        </is>
      </c>
      <c r="E92" s="2" t="n"/>
      <c r="F92" s="2" t="n"/>
      <c r="G92" s="2" t="n"/>
      <c r="H92" s="3" t="inlineStr">
        <is>
          <t>Other loans, variable and fixed rates, EUR 12.5m (2022: 11.7).</t>
        </is>
      </c>
      <c r="I92" s="2" t="inlineStr">
        <is>
          <t>S1</t>
        </is>
      </c>
      <c r="J92" s="2" t="n">
        <v>69</v>
      </c>
      <c r="K92" s="2" t="inlineStr">
        <is>
          <t>Other loans Variable and fixed 12.5 11.7</t>
        </is>
      </c>
      <c r="L92" s="2" t="inlineStr">
        <is>
          <t>ok</t>
        </is>
      </c>
      <c r="M92" s="2" t="inlineStr">
        <is>
          <t>demo reviewer</t>
        </is>
      </c>
      <c r="N92" s="2" t="n"/>
      <c r="O92" s="3" t="inlineStr">
        <is>
          <t>https://vanillabonds.com/dossier-data/pdf/katjes/katjes-2023-annual-report.pdf#page=69</t>
        </is>
      </c>
    </row>
    <row r="93">
      <c r="A93" s="2" t="inlineStr">
        <is>
          <t>F092</t>
        </is>
      </c>
      <c r="B93" s="2" t="inlineStr">
        <is>
          <t>debt</t>
        </is>
      </c>
      <c r="C93" s="2" t="inlineStr">
        <is>
          <t>debt_instrument</t>
        </is>
      </c>
      <c r="D93" s="2" t="inlineStr">
        <is>
          <t>Debt instrument</t>
        </is>
      </c>
      <c r="E93" s="2" t="n"/>
      <c r="F93" s="2" t="n"/>
      <c r="G93" s="2" t="n"/>
      <c r="H93" s="3" t="inlineStr">
        <is>
          <t>Other financial interest-bearing liabilities, variable and fixed, EUR 8.9m (2022: 10.7, adjusted).</t>
        </is>
      </c>
      <c r="I93" s="2" t="inlineStr">
        <is>
          <t>S1</t>
        </is>
      </c>
      <c r="J93" s="2" t="n">
        <v>69</v>
      </c>
      <c r="K93" s="3" t="inlineStr">
        <is>
          <t>Other financial interest-bearing liabilities(1) Variable and fixed 8.9 10.7</t>
        </is>
      </c>
      <c r="L93" s="2" t="inlineStr">
        <is>
          <t>ok</t>
        </is>
      </c>
      <c r="M93" s="2" t="inlineStr">
        <is>
          <t>demo reviewer</t>
        </is>
      </c>
      <c r="N93" s="2" t="n"/>
      <c r="O93" s="3" t="inlineStr">
        <is>
          <t>https://vanillabonds.com/dossier-data/pdf/katjes/katjes-2023-annual-report.pdf#page=69</t>
        </is>
      </c>
    </row>
    <row r="94">
      <c r="A94" s="2" t="inlineStr">
        <is>
          <t>F093</t>
        </is>
      </c>
      <c r="B94" s="2" t="inlineStr">
        <is>
          <t>debt</t>
        </is>
      </c>
      <c r="C94" s="2" t="inlineStr">
        <is>
          <t>debt_instrument</t>
        </is>
      </c>
      <c r="D94" s="2" t="inlineStr">
        <is>
          <t>Debt instrument</t>
        </is>
      </c>
      <c r="E94" s="2" t="n"/>
      <c r="F94" s="2" t="n"/>
      <c r="G94" s="2" t="n"/>
      <c r="H94" s="3" t="inlineStr">
        <is>
          <t>2020 liquidity-support bank loan: total EUR 5.0m, EUR 1.7m outstanding at 31 Dec 2023, not from a development bank, majority secured by a state guarantee.</t>
        </is>
      </c>
      <c r="I94" s="2" t="inlineStr">
        <is>
          <t>S1</t>
        </is>
      </c>
      <c r="J94" s="2" t="n">
        <v>72</v>
      </c>
      <c r="K94" s="3" t="inlineStr">
        <is>
          <t>port measures to secure liquidity in 2020 (total of EUR 5.0 million, 31 December 2023: EUR 1.7 million).</t>
        </is>
      </c>
      <c r="L94" s="2" t="inlineStr">
        <is>
          <t>ok</t>
        </is>
      </c>
      <c r="M94" s="2" t="inlineStr">
        <is>
          <t>demo reviewer</t>
        </is>
      </c>
      <c r="N94" s="2" t="n"/>
      <c r="O94" s="3" t="inlineStr">
        <is>
          <t>https://vanillabonds.com/dossier-data/pdf/katjes/katjes-2023-annual-report.pdf#page=72</t>
        </is>
      </c>
    </row>
    <row r="95">
      <c r="A95" s="2" t="inlineStr">
        <is>
          <t>F094</t>
        </is>
      </c>
      <c r="B95" s="2" t="inlineStr">
        <is>
          <t>risk</t>
        </is>
      </c>
      <c r="C95" s="2" t="inlineStr">
        <is>
          <t>risk_fact</t>
        </is>
      </c>
      <c r="D95" s="2" t="inlineStr">
        <is>
          <t>Risk fact</t>
        </is>
      </c>
      <c r="E95" s="2" t="n"/>
      <c r="F95" s="2" t="n"/>
      <c r="G95" s="2" t="n"/>
      <c r="H95" s="3" t="inlineStr">
        <is>
          <t>Concentration risk from major customers, especially in food retail, named by management; retail and wholesale consolidation could change volumes and conditions.</t>
        </is>
      </c>
      <c r="I95" s="2" t="inlineStr">
        <is>
          <t>S1</t>
        </is>
      </c>
      <c r="J95" s="2" t="n">
        <v>38</v>
      </c>
      <c r="K95" s="3" t="inlineStr">
        <is>
          <t>Concentration risks could arise from major customers, especially in the food retail sector.</t>
        </is>
      </c>
      <c r="L95" s="2" t="inlineStr">
        <is>
          <t>ok</t>
        </is>
      </c>
      <c r="M95" s="2" t="inlineStr">
        <is>
          <t>demo reviewer</t>
        </is>
      </c>
      <c r="N95" s="2" t="n"/>
      <c r="O95" s="3" t="inlineStr">
        <is>
          <t>https://vanillabonds.com/dossier-data/pdf/katjes/katjes-2023-annual-report.pdf#page=38</t>
        </is>
      </c>
    </row>
    <row r="96">
      <c r="A96" s="2" t="inlineStr">
        <is>
          <t>F095</t>
        </is>
      </c>
      <c r="B96" s="2" t="inlineStr">
        <is>
          <t>risk</t>
        </is>
      </c>
      <c r="C96" s="2" t="inlineStr">
        <is>
          <t>risk_fact</t>
        </is>
      </c>
      <c r="D96" s="2" t="inlineStr">
        <is>
          <t>Risk fact</t>
        </is>
      </c>
      <c r="E96" s="2" t="n"/>
      <c r="F96" s="2" t="n"/>
      <c r="G96" s="2" t="n"/>
      <c r="H96" s="3" t="inlineStr">
        <is>
          <t>Purchasing terms for sugar, cocoa, nuts, glucose and panthenol could become 'less favourable' and may not be passed on in prices.</t>
        </is>
      </c>
      <c r="I96" s="2" t="inlineStr">
        <is>
          <t>S1</t>
        </is>
      </c>
      <c r="J96" s="2" t="n">
        <v>38</v>
      </c>
      <c r="K96" s="3" t="inlineStr">
        <is>
          <t>needed for production – especially sugar, cocoa, nuts, glucose and panthenol – could become less favourable.</t>
        </is>
      </c>
      <c r="L96" s="2" t="inlineStr">
        <is>
          <t>ok</t>
        </is>
      </c>
      <c r="M96" s="2" t="inlineStr">
        <is>
          <t>demo reviewer</t>
        </is>
      </c>
      <c r="N96" s="3" t="inlineStr">
        <is>
          <t>text: company wording put in quotation marks (reviewer, 20 Oct 2026)</t>
        </is>
      </c>
      <c r="O96" s="3" t="inlineStr">
        <is>
          <t>https://vanillabonds.com/dossier-data/pdf/katjes/katjes-2023-annual-report.pdf#page=38</t>
        </is>
      </c>
    </row>
    <row r="97">
      <c r="A97" s="2" t="inlineStr">
        <is>
          <t>F096</t>
        </is>
      </c>
      <c r="B97" s="2" t="inlineStr">
        <is>
          <t>risk</t>
        </is>
      </c>
      <c r="C97" s="2" t="inlineStr">
        <is>
          <t>risk_fact</t>
        </is>
      </c>
      <c r="D97" s="2" t="inlineStr">
        <is>
          <t>Risk fact</t>
        </is>
      </c>
      <c r="E97" s="2" t="n"/>
      <c r="F97" s="2" t="n"/>
      <c r="G97" s="2" t="n"/>
      <c r="H97" s="3" t="inlineStr">
        <is>
          <t>Dependence on certain suppliers; delivery delays or non-delivery could cause production downtime.</t>
        </is>
      </c>
      <c r="I97" s="2" t="inlineStr">
        <is>
          <t>S1</t>
        </is>
      </c>
      <c r="J97" s="2" t="n">
        <v>38</v>
      </c>
      <c r="K97" s="3" t="inlineStr">
        <is>
          <t>Katjes International is dependent on certain suppliers. Delivery delays or non-delivery by a supplier could lead to production downtime.</t>
        </is>
      </c>
      <c r="L97" s="2" t="inlineStr">
        <is>
          <t>ok</t>
        </is>
      </c>
      <c r="M97" s="2" t="inlineStr">
        <is>
          <t>demo reviewer</t>
        </is>
      </c>
      <c r="N97" s="2" t="n"/>
      <c r="O97" s="3" t="inlineStr">
        <is>
          <t>https://vanillabonds.com/dossier-data/pdf/katjes/katjes-2023-annual-report.pdf#page=38</t>
        </is>
      </c>
    </row>
    <row r="98">
      <c r="A98" s="2" t="inlineStr">
        <is>
          <t>F097</t>
        </is>
      </c>
      <c r="B98" s="2" t="inlineStr">
        <is>
          <t>risk</t>
        </is>
      </c>
      <c r="C98" s="2" t="inlineStr">
        <is>
          <t>risk_fact</t>
        </is>
      </c>
      <c r="D98" s="2" t="inlineStr">
        <is>
          <t>Risk fact</t>
        </is>
      </c>
      <c r="E98" s="2" t="n"/>
      <c r="F98" s="2" t="n"/>
      <c r="G98" s="2" t="n"/>
      <c r="H98" s="3" t="inlineStr">
        <is>
          <t>Management rates the overall market-related and regulatory risk as 'negligible' and company-related risks as 'manageable'; the opportunity and risk situation 'has not changed much' from the previous year.</t>
        </is>
      </c>
      <c r="I98" s="2" t="inlineStr">
        <is>
          <t>S1</t>
        </is>
      </c>
      <c r="J98" s="2" t="n">
        <v>38</v>
      </c>
      <c r="K98" s="3" t="inlineStr">
        <is>
          <t>Katjes International considers the overall risk arising from the aforementioned market-related and regulatory risks to be negligible.</t>
        </is>
      </c>
      <c r="L98" s="2" t="inlineStr">
        <is>
          <t>ok</t>
        </is>
      </c>
      <c r="M98" s="2" t="inlineStr">
        <is>
          <t>demo reviewer</t>
        </is>
      </c>
      <c r="N98" s="2" t="n"/>
      <c r="O98" s="3" t="inlineStr">
        <is>
          <t>https://vanillabonds.com/dossier-data/pdf/katjes/katjes-2023-annual-report.pdf#page=38</t>
        </is>
      </c>
    </row>
    <row r="99">
      <c r="A99" s="2" t="inlineStr">
        <is>
          <t>F098</t>
        </is>
      </c>
      <c r="B99" s="2" t="inlineStr">
        <is>
          <t>risk</t>
        </is>
      </c>
      <c r="C99" s="2" t="inlineStr">
        <is>
          <t>risk_fact</t>
        </is>
      </c>
      <c r="D99" s="2" t="inlineStr">
        <is>
          <t>Risk fact</t>
        </is>
      </c>
      <c r="E99" s="2" t="n"/>
      <c r="F99" s="2" t="n"/>
      <c r="G99" s="2" t="n"/>
      <c r="H99" s="3" t="inlineStr">
        <is>
          <t>Geopolitical: the wars in Ukraine and the Middle East could cause further unrest in procurement markets and affect energy and raw material prices.</t>
        </is>
      </c>
      <c r="I99" s="2" t="inlineStr">
        <is>
          <t>S1</t>
        </is>
      </c>
      <c r="J99" s="2" t="n">
        <v>38</v>
      </c>
      <c r="K99" s="3" t="inlineStr">
        <is>
          <t>The wars in Ukraine and the Middle East could cause</t>
        </is>
      </c>
      <c r="L99" s="2" t="inlineStr">
        <is>
          <t>ok</t>
        </is>
      </c>
      <c r="M99" s="2" t="inlineStr">
        <is>
          <t>demo reviewer</t>
        </is>
      </c>
      <c r="N99" s="2" t="n"/>
      <c r="O99" s="3" t="inlineStr">
        <is>
          <t>https://vanillabonds.com/dossier-data/pdf/katjes/katjes-2023-annual-report.pdf#page=38</t>
        </is>
      </c>
    </row>
    <row r="100">
      <c r="A100" s="2" t="inlineStr">
        <is>
          <t>F099</t>
        </is>
      </c>
      <c r="B100" s="2" t="inlineStr">
        <is>
          <t>risk</t>
        </is>
      </c>
      <c r="C100" s="2" t="inlineStr">
        <is>
          <t>risk_fact</t>
        </is>
      </c>
      <c r="D100" s="2" t="inlineStr">
        <is>
          <t>Risk fact</t>
        </is>
      </c>
      <c r="E100" s="2" t="n"/>
      <c r="F100" s="2" t="n"/>
      <c r="G100" s="2" t="n"/>
      <c r="H100" s="3" t="inlineStr">
        <is>
          <t>Group companies may have to repay subsidies or other government funding (government grants of about EUR 2.4m received in 2023).</t>
        </is>
      </c>
      <c r="I100" s="2" t="inlineStr">
        <is>
          <t>S1</t>
        </is>
      </c>
      <c r="J100" s="2" t="n">
        <v>38</v>
      </c>
      <c r="K100" s="3" t="inlineStr">
        <is>
          <t>Group companies have to repay subsidies or other</t>
        </is>
      </c>
      <c r="L100" s="2" t="inlineStr">
        <is>
          <t>ok</t>
        </is>
      </c>
      <c r="M100" s="2" t="inlineStr">
        <is>
          <t>demo reviewer</t>
        </is>
      </c>
      <c r="N100" s="2" t="n"/>
      <c r="O100" s="3" t="inlineStr">
        <is>
          <t>https://vanillabonds.com/dossier-data/pdf/katjes/katjes-2023-annual-report.pdf#page=38</t>
        </is>
      </c>
    </row>
    <row r="101">
      <c r="A101" s="2" t="inlineStr">
        <is>
          <t>F100</t>
        </is>
      </c>
      <c r="B101" s="2" t="inlineStr">
        <is>
          <t>risk</t>
        </is>
      </c>
      <c r="C101" s="2" t="inlineStr">
        <is>
          <t>risk_fact</t>
        </is>
      </c>
      <c r="D101" s="2" t="inlineStr">
        <is>
          <t>Risk fact</t>
        </is>
      </c>
      <c r="E101" s="2" t="n"/>
      <c r="F101" s="2" t="n"/>
      <c r="G101" s="2" t="n"/>
      <c r="H101" s="3" t="inlineStr">
        <is>
          <t>Seasonality: the confectionery business is subject to seasonal fluctuations (Christmas and Easter specialities at Sperlari/Paluani).</t>
        </is>
      </c>
      <c r="I101" s="2" t="inlineStr">
        <is>
          <t>S1</t>
        </is>
      </c>
      <c r="J101" s="2" t="n">
        <v>38</v>
      </c>
      <c r="K101" s="3" t="inlineStr">
        <is>
          <t>The business in the confectionery market is subject to seasonal fluctuations.</t>
        </is>
      </c>
      <c r="L101" s="2" t="inlineStr">
        <is>
          <t>ok</t>
        </is>
      </c>
      <c r="M101" s="2" t="inlineStr">
        <is>
          <t>demo reviewer</t>
        </is>
      </c>
      <c r="N101" s="2" t="n"/>
      <c r="O101" s="3" t="inlineStr">
        <is>
          <t>https://vanillabonds.com/dossier-data/pdf/katjes/katjes-2023-annual-report.pdf#page=38</t>
        </is>
      </c>
    </row>
    <row r="102">
      <c r="A102" s="2" t="inlineStr">
        <is>
          <t>F101</t>
        </is>
      </c>
      <c r="B102" s="2" t="inlineStr">
        <is>
          <t>risk</t>
        </is>
      </c>
      <c r="C102" s="2" t="inlineStr">
        <is>
          <t>risk_fact</t>
        </is>
      </c>
      <c r="D102" s="2" t="inlineStr">
        <is>
          <t>Risk fact</t>
        </is>
      </c>
      <c r="E102" s="2" t="n"/>
      <c r="F102" s="2" t="n"/>
      <c r="G102" s="2" t="n"/>
      <c r="H102" s="3" t="inlineStr">
        <is>
          <t>Key-person dependence on individual managers and skilled personnel stated by management.</t>
        </is>
      </c>
      <c r="I102" s="2" t="inlineStr">
        <is>
          <t>S1</t>
        </is>
      </c>
      <c r="J102" s="2" t="n">
        <v>39</v>
      </c>
      <c r="K102" s="3" t="inlineStr">
        <is>
          <t>The success of Katjes International depends on the knowledge and experience of individual managers and skilled personnel.</t>
        </is>
      </c>
      <c r="L102" s="2" t="inlineStr">
        <is>
          <t>ok</t>
        </is>
      </c>
      <c r="M102" s="2" t="inlineStr">
        <is>
          <t>demo reviewer</t>
        </is>
      </c>
      <c r="N102" s="2" t="n"/>
      <c r="O102" s="3" t="inlineStr">
        <is>
          <t>https://vanillabonds.com/dossier-data/pdf/katjes/katjes-2023-annual-report.pdf#page=39</t>
        </is>
      </c>
    </row>
    <row r="103">
      <c r="A103" s="2" t="inlineStr">
        <is>
          <t>F102</t>
        </is>
      </c>
      <c r="B103" s="2" t="inlineStr">
        <is>
          <t>risk</t>
        </is>
      </c>
      <c r="C103" s="2" t="inlineStr">
        <is>
          <t>risk_fact</t>
        </is>
      </c>
      <c r="D103" s="2" t="inlineStr">
        <is>
          <t>Risk fact</t>
        </is>
      </c>
      <c r="E103" s="2" t="n"/>
      <c r="F103" s="2" t="n"/>
      <c r="G103" s="2" t="n"/>
      <c r="H103" s="3" t="inlineStr">
        <is>
          <t>Structural: the holding provides services to subsidiaries for payment but its earnings depend largely on the results of the subsidiaries and holdings.</t>
        </is>
      </c>
      <c r="I103" s="2" t="inlineStr">
        <is>
          <t>S1</t>
        </is>
      </c>
      <c r="J103" s="2" t="n">
        <v>39</v>
      </c>
      <c r="K103" s="3" t="inlineStr">
        <is>
          <t>holdings in return for payment, but its earnings are largely depending on the results of the subsidiaries and holdings.</t>
        </is>
      </c>
      <c r="L103" s="2" t="inlineStr">
        <is>
          <t>ok</t>
        </is>
      </c>
      <c r="M103" s="2" t="inlineStr">
        <is>
          <t>demo reviewer</t>
        </is>
      </c>
      <c r="N103" s="2" t="n"/>
      <c r="O103" s="3" t="inlineStr">
        <is>
          <t>https://vanillabonds.com/dossier-data/pdf/katjes/katjes-2023-annual-report.pdf#page=39</t>
        </is>
      </c>
    </row>
    <row r="104">
      <c r="A104" s="2" t="inlineStr">
        <is>
          <t>F103</t>
        </is>
      </c>
      <c r="B104" s="2" t="inlineStr">
        <is>
          <t>risk</t>
        </is>
      </c>
      <c r="C104" s="2" t="inlineStr">
        <is>
          <t>risk_fact</t>
        </is>
      </c>
      <c r="D104" s="2" t="inlineStr">
        <is>
          <t>Risk fact</t>
        </is>
      </c>
      <c r="E104" s="2" t="n"/>
      <c r="F104" s="2" t="n"/>
      <c r="G104" s="2" t="n"/>
      <c r="H104" s="3" t="inlineStr">
        <is>
          <t>Cyberattack risk (hacking, phishing) named as increasing; a single attack could cause business interruption or data loss.</t>
        </is>
      </c>
      <c r="I104" s="2" t="inlineStr">
        <is>
          <t>S1</t>
        </is>
      </c>
      <c r="J104" s="2" t="n">
        <v>39</v>
      </c>
      <c r="K104" s="3" t="inlineStr">
        <is>
          <t>The risk of cyberattacks (e.g. hacking attacks, phishing emails) is increasing all the time.</t>
        </is>
      </c>
      <c r="L104" s="2" t="inlineStr">
        <is>
          <t>ok</t>
        </is>
      </c>
      <c r="M104" s="2" t="inlineStr">
        <is>
          <t>demo reviewer</t>
        </is>
      </c>
      <c r="N104" s="2" t="n"/>
      <c r="O104" s="3" t="inlineStr">
        <is>
          <t>https://vanillabonds.com/dossier-data/pdf/katjes/katjes-2023-annual-report.pdf#page=39</t>
        </is>
      </c>
    </row>
    <row r="105">
      <c r="A105" s="2" t="inlineStr">
        <is>
          <t>F104</t>
        </is>
      </c>
      <c r="B105" s="2" t="inlineStr">
        <is>
          <t>risk</t>
        </is>
      </c>
      <c r="C105" s="2" t="inlineStr">
        <is>
          <t>risk_fact</t>
        </is>
      </c>
      <c r="D105" s="2" t="inlineStr">
        <is>
          <t>Risk fact</t>
        </is>
      </c>
      <c r="E105" s="2" t="n"/>
      <c r="F105" s="2" t="n"/>
      <c r="G105" s="2" t="n"/>
      <c r="H105" s="3" t="inlineStr">
        <is>
          <t>Cash and cash equivalents of EUR 2.0m (SEK 24.0m) held in foreign currency at 31 Dec 2023; currency conversion effect EUR 0.0m.</t>
        </is>
      </c>
      <c r="I105" s="2" t="inlineStr">
        <is>
          <t>S1</t>
        </is>
      </c>
      <c r="J105" s="2" t="n">
        <v>48</v>
      </c>
      <c r="K105" s="3" t="inlineStr">
        <is>
          <t>As at 31 December 2023, cash and cash equivalents in a foreign currency with a value of EUR 2.0 million (SEK 24.0 million) are reported.</t>
        </is>
      </c>
      <c r="L105" s="2" t="inlineStr">
        <is>
          <t>ok</t>
        </is>
      </c>
      <c r="M105" s="2" t="inlineStr">
        <is>
          <t>demo reviewer</t>
        </is>
      </c>
      <c r="N105" s="2" t="n"/>
      <c r="O105" s="3" t="inlineStr">
        <is>
          <t>https://vanillabonds.com/dossier-data/pdf/katjes/katjes-2023-annual-report.pdf#page=48</t>
        </is>
      </c>
    </row>
    <row r="106">
      <c r="A106" s="2" t="inlineStr">
        <is>
          <t>F105</t>
        </is>
      </c>
      <c r="B106" s="2" t="inlineStr">
        <is>
          <t>risk</t>
        </is>
      </c>
      <c r="C106" s="2" t="inlineStr">
        <is>
          <t>risk_fact</t>
        </is>
      </c>
      <c r="D106" s="2" t="inlineStr">
        <is>
          <t>Risk fact</t>
        </is>
      </c>
      <c r="E106" s="2" t="n"/>
      <c r="F106" s="2" t="n"/>
      <c r="G106" s="2" t="n"/>
      <c r="H106" s="3" t="inlineStr">
        <is>
          <t>Functional currency of Candy Kittens and Longaim is GBP; closing rate GBP 1.15, average 1.15, SEK closing 11.10.</t>
        </is>
      </c>
      <c r="I106" s="2" t="inlineStr">
        <is>
          <t>S1</t>
        </is>
      </c>
      <c r="J106" s="2" t="n">
        <v>53</v>
      </c>
      <c r="K106" s="3" t="inlineStr">
        <is>
          <t>The financial statements of Candy Kittens and Longaim, whose functional currency is GBP as opposed to the Euro,</t>
        </is>
      </c>
      <c r="L106" s="2" t="inlineStr">
        <is>
          <t>ok</t>
        </is>
      </c>
      <c r="M106" s="2" t="inlineStr">
        <is>
          <t>demo reviewer</t>
        </is>
      </c>
      <c r="N106" s="2" t="n"/>
      <c r="O106" s="3" t="inlineStr">
        <is>
          <t>https://vanillabonds.com/dossier-data/pdf/katjes/katjes-2023-annual-report.pdf#page=53</t>
        </is>
      </c>
    </row>
    <row r="107">
      <c r="A107" s="2" t="inlineStr">
        <is>
          <t>F106</t>
        </is>
      </c>
      <c r="B107" s="2" t="inlineStr">
        <is>
          <t>risk</t>
        </is>
      </c>
      <c r="C107" s="2" t="inlineStr">
        <is>
          <t>risk_fact</t>
        </is>
      </c>
      <c r="D107" s="2" t="inlineStr">
        <is>
          <t>Risk fact</t>
        </is>
      </c>
      <c r="E107" s="2" t="n"/>
      <c r="F107" s="2" t="n"/>
      <c r="G107" s="2" t="n"/>
      <c r="H107" s="3" t="inlineStr">
        <is>
          <t>Interest-rate sensitivity on factoring (three- and two-month Euribor): a 1% change moves profit after tax by EUR 0.8m in 2023 (2022: EUR 0.2m).</t>
        </is>
      </c>
      <c r="I107" s="2" t="inlineStr">
        <is>
          <t>S1</t>
        </is>
      </c>
      <c r="J107" s="2" t="n">
        <v>61</v>
      </c>
      <c r="K107" s="3" t="inlineStr">
        <is>
          <t>len by 1%, profit after tax would have been EUR 0.8 million lower/EUR 0.8 million higher in the reporting year</t>
        </is>
      </c>
      <c r="L107" s="2" t="inlineStr">
        <is>
          <t>ok</t>
        </is>
      </c>
      <c r="M107" s="2" t="inlineStr">
        <is>
          <t>demo reviewer</t>
        </is>
      </c>
      <c r="N107" s="2" t="n"/>
      <c r="O107" s="3" t="inlineStr">
        <is>
          <t>https://vanillabonds.com/dossier-data/pdf/katjes/katjes-2023-annual-report.pdf#page=61</t>
        </is>
      </c>
    </row>
    <row r="108">
      <c r="A108" s="2" t="inlineStr">
        <is>
          <t>F107</t>
        </is>
      </c>
      <c r="B108" s="2" t="inlineStr">
        <is>
          <t>risk</t>
        </is>
      </c>
      <c r="C108" s="2" t="inlineStr">
        <is>
          <t>risk_fact</t>
        </is>
      </c>
      <c r="D108" s="2" t="inlineStr">
        <is>
          <t>Risk fact</t>
        </is>
      </c>
      <c r="E108" s="2" t="n"/>
      <c r="F108" s="2" t="n"/>
      <c r="G108" s="2" t="n"/>
      <c r="H108" s="3" t="inlineStr">
        <is>
          <t>No hedging instruments for currency risk at 31 December 2023; Candy Kittens and Longaim report in GBP; cash of EUR 2.0m held in SEK (SEK 24.0m).</t>
        </is>
      </c>
      <c r="I108" s="2" t="inlineStr">
        <is>
          <t>S1</t>
        </is>
      </c>
      <c r="J108" s="2" t="n">
        <v>61</v>
      </c>
      <c r="K108" s="3" t="inlineStr">
        <is>
          <t>As at 31 December 2023, there are no hedging</t>
        </is>
      </c>
      <c r="L108" s="2" t="inlineStr">
        <is>
          <t>ok</t>
        </is>
      </c>
      <c r="M108" s="2" t="inlineStr">
        <is>
          <t>demo reviewer</t>
        </is>
      </c>
      <c r="N108" s="2" t="n"/>
      <c r="O108" s="3" t="inlineStr">
        <is>
          <t>https://vanillabonds.com/dossier-data/pdf/katjes/katjes-2023-annual-report.pdf#page=61</t>
        </is>
      </c>
    </row>
    <row r="109">
      <c r="A109" s="2" t="inlineStr">
        <is>
          <t>F108</t>
        </is>
      </c>
      <c r="B109" s="2" t="inlineStr">
        <is>
          <t>risk</t>
        </is>
      </c>
      <c r="C109" s="2" t="inlineStr">
        <is>
          <t>risk_fact</t>
        </is>
      </c>
      <c r="D109" s="2" t="inlineStr">
        <is>
          <t>Risk fact</t>
        </is>
      </c>
      <c r="E109" s="2" t="n"/>
      <c r="F109" s="2" t="n"/>
      <c r="G109" s="2" t="n"/>
      <c r="H109" s="3" t="inlineStr">
        <is>
          <t>Credit risk: maximum default risk limited to receivables carrying amount EUR 57.3m (2022: 47.5); individual risk limits set on internal or external ratings.</t>
        </is>
      </c>
      <c r="I109" s="2" t="inlineStr">
        <is>
          <t>S1</t>
        </is>
      </c>
      <c r="J109" s="2" t="n">
        <v>61</v>
      </c>
      <c r="K109" s="3" t="inlineStr">
        <is>
          <t>The maximum default risk is limited to the carrying amount (EUR 57.3 million; 2022: EUR 47.5 million).</t>
        </is>
      </c>
      <c r="L109" s="2" t="inlineStr">
        <is>
          <t>ok</t>
        </is>
      </c>
      <c r="M109" s="2" t="inlineStr">
        <is>
          <t>demo reviewer</t>
        </is>
      </c>
      <c r="N109" s="2" t="n"/>
      <c r="O109" s="3" t="inlineStr">
        <is>
          <t>https://vanillabonds.com/dossier-data/pdf/katjes/katjes-2023-annual-report.pdf#page=61</t>
        </is>
      </c>
    </row>
    <row r="110">
      <c r="A110" s="2" t="inlineStr">
        <is>
          <t>F109</t>
        </is>
      </c>
      <c r="B110" s="2" t="inlineStr">
        <is>
          <t>risk</t>
        </is>
      </c>
      <c r="C110" s="2" t="inlineStr">
        <is>
          <t>risk_fact</t>
        </is>
      </c>
      <c r="D110" s="2" t="inlineStr">
        <is>
          <t>Risk fact</t>
        </is>
      </c>
      <c r="E110" s="2" t="n"/>
      <c r="F110" s="2" t="n"/>
      <c r="G110" s="2" t="n"/>
      <c r="H110" s="3" t="inlineStr">
        <is>
          <t>Refinancing profile at 31 Dec 2023: EUR 137.4m due in two to five years (incl. the EUR 115m bond 2028) and EUR 4.2m after five years; at 31 Dec 2022 EUR 125.4m fell due in one to two years.</t>
        </is>
      </c>
      <c r="I110" s="2" t="inlineStr">
        <is>
          <t>S1</t>
        </is>
      </c>
      <c r="J110" s="2" t="n">
        <v>63</v>
      </c>
      <c r="K110" s="3" t="inlineStr">
        <is>
          <t>Non-current financial liabilities (incl. liabilities from leases) 0.0 15.1 137.4 4.2 156.7 156.7</t>
        </is>
      </c>
      <c r="L110" s="2" t="inlineStr">
        <is>
          <t>ok</t>
        </is>
      </c>
      <c r="M110" s="2" t="inlineStr">
        <is>
          <t>demo reviewer</t>
        </is>
      </c>
      <c r="N110" s="2" t="n"/>
      <c r="O110" s="3" t="inlineStr">
        <is>
          <t>https://vanillabonds.com/dossier-data/pdf/katjes/katjes-2023-annual-report.pdf#page=63</t>
        </is>
      </c>
    </row>
    <row r="111">
      <c r="A111" s="2" t="inlineStr">
        <is>
          <t>F110</t>
        </is>
      </c>
      <c r="B111" s="2" t="inlineStr">
        <is>
          <t>risk</t>
        </is>
      </c>
      <c r="C111" s="2" t="inlineStr">
        <is>
          <t>risk_fact</t>
        </is>
      </c>
      <c r="D111" s="2" t="inlineStr">
        <is>
          <t>Risk fact</t>
        </is>
      </c>
      <c r="E111" s="2" t="n"/>
      <c r="F111" s="2" t="n"/>
      <c r="G111" s="2" t="n"/>
      <c r="H111" s="3" t="inlineStr">
        <is>
          <t>Trade receivables of EUR 0.9m more than six months overdue were written off in full at 31 Dec 2023; impairment allowance 0.4 (2022: 1.2).</t>
        </is>
      </c>
      <c r="I111" s="2" t="inlineStr">
        <is>
          <t>S1</t>
        </is>
      </c>
      <c r="J111" s="2" t="n">
        <v>70</v>
      </c>
      <c r="K111" s="3" t="inlineStr">
        <is>
          <t>As at the balance sheet date, trade receivables in the amount of EUR 0.9 million were more than six months over‐</t>
        </is>
      </c>
      <c r="L111" s="2" t="inlineStr">
        <is>
          <t>ok</t>
        </is>
      </c>
      <c r="M111" s="2" t="inlineStr">
        <is>
          <t>demo reviewer</t>
        </is>
      </c>
      <c r="N111" s="2" t="n"/>
      <c r="O111" s="3" t="inlineStr">
        <is>
          <t>https://vanillabonds.com/dossier-data/pdf/katjes/katjes-2023-annual-report.pdf#page=70</t>
        </is>
      </c>
    </row>
    <row r="112">
      <c r="A112" s="2" t="inlineStr">
        <is>
          <t>F111</t>
        </is>
      </c>
      <c r="B112" s="2" t="inlineStr">
        <is>
          <t>management</t>
        </is>
      </c>
      <c r="C112" s="2" t="inlineStr">
        <is>
          <t>mgmt_person</t>
        </is>
      </c>
      <c r="D112" s="3" t="inlineStr">
        <is>
          <t>Executive: name, role, since, prior roles (register / report)</t>
        </is>
      </c>
      <c r="E112" s="2" t="n"/>
      <c r="F112" s="2" t="n"/>
      <c r="G112" s="2" t="n"/>
      <c r="H112" s="3" t="inlineStr">
        <is>
          <t>Stephan Milde, Managing Director (CFO) of Katjes International since 2012; before several years in investment banking at Deutsche Bank and Citigroup in London.</t>
        </is>
      </c>
      <c r="I112" s="2" t="inlineStr">
        <is>
          <t>S1</t>
        </is>
      </c>
      <c r="J112" s="2" t="n">
        <v>6</v>
      </c>
      <c r="K112" s="3" t="inlineStr">
        <is>
          <t>since 2012 – CFO Katjes International Before several years in Investment Banking at Deutsche Bank and Citigroup in London</t>
        </is>
      </c>
      <c r="L112" s="2" t="inlineStr">
        <is>
          <t>ok</t>
        </is>
      </c>
      <c r="M112" s="2" t="inlineStr">
        <is>
          <t>demo reviewer</t>
        </is>
      </c>
      <c r="N112" s="2" t="n"/>
      <c r="O112" s="3" t="inlineStr">
        <is>
          <t>https://vanillabonds.com/dossier-data/pdf/katjes/katjes-2023-annual-report.pdf#page=6</t>
        </is>
      </c>
    </row>
    <row r="113">
      <c r="A113" s="2" t="inlineStr">
        <is>
          <t>F112</t>
        </is>
      </c>
      <c r="B113" s="2" t="inlineStr">
        <is>
          <t>management</t>
        </is>
      </c>
      <c r="C113" s="2" t="inlineStr">
        <is>
          <t>mgmt_person</t>
        </is>
      </c>
      <c r="D113" s="3" t="inlineStr">
        <is>
          <t>Executive: name, role, since, prior roles (register / report)</t>
        </is>
      </c>
      <c r="E113" s="2" t="n"/>
      <c r="F113" s="2" t="n"/>
      <c r="G113" s="2" t="n"/>
      <c r="H113" s="3" t="inlineStr">
        <is>
          <t>Bastian Fassin, Managing Shareholder of Katjes International since 2004; until 2003 Marketing and Sales at Kraft Foods, until 2000 Roland Berger Strategy Consultants.</t>
        </is>
      </c>
      <c r="I113" s="2" t="inlineStr">
        <is>
          <t>S1</t>
        </is>
      </c>
      <c r="J113" s="2" t="n">
        <v>6</v>
      </c>
      <c r="K113" s="3" t="inlineStr">
        <is>
          <t>Since 2004 – Managing Shareholder of Katjes International until 2003 – Marketing and Sales, Kraft Foods</t>
        </is>
      </c>
      <c r="L113" s="2" t="inlineStr">
        <is>
          <t>ok</t>
        </is>
      </c>
      <c r="M113" s="2" t="inlineStr">
        <is>
          <t>demo reviewer</t>
        </is>
      </c>
      <c r="N113" s="2" t="n"/>
      <c r="O113" s="3" t="inlineStr">
        <is>
          <t>https://vanillabonds.com/dossier-data/pdf/katjes/katjes-2023-annual-report.pdf#page=6</t>
        </is>
      </c>
    </row>
    <row r="114">
      <c r="A114" s="2" t="inlineStr">
        <is>
          <t>F113</t>
        </is>
      </c>
      <c r="B114" s="2" t="inlineStr">
        <is>
          <t>management</t>
        </is>
      </c>
      <c r="C114" s="2" t="inlineStr">
        <is>
          <t>mgmt_person</t>
        </is>
      </c>
      <c r="D114" s="3" t="inlineStr">
        <is>
          <t>Executive: name, role, since, prior roles (register / report)</t>
        </is>
      </c>
      <c r="E114" s="2" t="n"/>
      <c r="F114" s="2" t="n"/>
      <c r="G114" s="2" t="n"/>
      <c r="H114" s="3" t="inlineStr">
        <is>
          <t>Tobias Bachmüller, Managing Shareholder of Katjes International since 1996; until 1995 General Manager Kraft Foods (Milka), until 1992 Principal at The Boston Consulting Group.</t>
        </is>
      </c>
      <c r="I114" s="2" t="inlineStr">
        <is>
          <t>S1</t>
        </is>
      </c>
      <c r="J114" s="2" t="n">
        <v>6</v>
      </c>
      <c r="K114" s="3" t="inlineStr">
        <is>
          <t>since 1996 – Managing Shareholder of Katjes International until 1995 – General Manager, Kraft Foods (Milka)</t>
        </is>
      </c>
      <c r="L114" s="2" t="inlineStr">
        <is>
          <t>ok</t>
        </is>
      </c>
      <c r="M114" s="2" t="inlineStr">
        <is>
          <t>demo reviewer</t>
        </is>
      </c>
      <c r="N114" s="2" t="n"/>
      <c r="O114" s="3" t="inlineStr">
        <is>
          <t>https://vanillabonds.com/dossier-data/pdf/katjes/katjes-2023-annual-report.pdf#page=6</t>
        </is>
      </c>
    </row>
    <row r="115">
      <c r="A115" s="2" t="inlineStr">
        <is>
          <t>F114</t>
        </is>
      </c>
      <c r="B115" s="2" t="inlineStr">
        <is>
          <t>management</t>
        </is>
      </c>
      <c r="C115" s="2" t="inlineStr">
        <is>
          <t>revenue_budget</t>
        </is>
      </c>
      <c r="D115" s="3" t="inlineStr">
        <is>
          <t>Revenue as budgeted for that year (management plan at the time)</t>
        </is>
      </c>
      <c r="E115" s="2" t="inlineStr">
        <is>
          <t>FY2023</t>
        </is>
      </c>
      <c r="F115" s="2" t="n"/>
      <c r="G115" s="2" t="inlineStr">
        <is>
          <t>EUR m</t>
        </is>
      </c>
      <c r="H115" s="3" t="inlineStr">
        <is>
          <t>Guidance for 2023 as stated: consolidated net sales EUR 350m–375m (raised during the year); actual 377.4 exceeded it</t>
        </is>
      </c>
      <c r="I115" s="2" t="inlineStr">
        <is>
          <t>S1</t>
        </is>
      </c>
      <c r="J115" s="2" t="n">
        <v>41</v>
      </c>
      <c r="K115" s="3" t="inlineStr">
        <is>
          <t>The company expected to achieve consolidated net sales of between EUR 350 million and EUR 375 million for the financial year 2023.</t>
        </is>
      </c>
      <c r="L115" s="2" t="inlineStr">
        <is>
          <t>ok</t>
        </is>
      </c>
      <c r="M115" s="2" t="inlineStr">
        <is>
          <t>demo reviewer</t>
        </is>
      </c>
      <c r="N115" s="2" t="n"/>
      <c r="O115" s="3" t="inlineStr">
        <is>
          <t>https://vanillabonds.com/dossier-data/pdf/katjes/katjes-2023-annual-report.pdf#page=41</t>
        </is>
      </c>
    </row>
    <row r="116">
      <c r="A116" s="2" t="inlineStr">
        <is>
          <t>F115</t>
        </is>
      </c>
      <c r="B116" s="2" t="inlineStr">
        <is>
          <t>management</t>
        </is>
      </c>
      <c r="C116" s="2" t="inlineStr">
        <is>
          <t>ebitda_budget</t>
        </is>
      </c>
      <c r="D116" s="3" t="inlineStr">
        <is>
          <t>EBITDA as budgeted for that year (management plan at the time)</t>
        </is>
      </c>
      <c r="E116" s="2" t="inlineStr">
        <is>
          <t>FY2023</t>
        </is>
      </c>
      <c r="F116" s="2" t="n"/>
      <c r="G116" s="2" t="inlineStr">
        <is>
          <t>EUR m</t>
        </is>
      </c>
      <c r="H116" s="3" t="inlineStr">
        <is>
          <t>Guidance for 2023 as stated: EBITDA margin 9–10%; actual 10.8%</t>
        </is>
      </c>
      <c r="I116" s="2" t="inlineStr">
        <is>
          <t>S1</t>
        </is>
      </c>
      <c r="J116" s="2" t="n">
        <v>41</v>
      </c>
      <c r="K116" s="3" t="inlineStr">
        <is>
          <t>Katjes International’s EBITDA margin in the reporting year was 10.8%, well above the forecast range of 9–10%.</t>
        </is>
      </c>
      <c r="L116" s="2" t="inlineStr">
        <is>
          <t>ok</t>
        </is>
      </c>
      <c r="M116" s="2" t="inlineStr">
        <is>
          <t>demo reviewer</t>
        </is>
      </c>
      <c r="N116" s="2" t="n"/>
      <c r="O116" s="3" t="inlineStr">
        <is>
          <t>https://vanillabonds.com/dossier-data/pdf/katjes/katjes-2023-annual-report.pdf#page=41</t>
        </is>
      </c>
    </row>
    <row r="117">
      <c r="A117" s="2" t="inlineStr">
        <is>
          <t>F116</t>
        </is>
      </c>
      <c r="B117" s="2" t="inlineStr">
        <is>
          <t>management</t>
        </is>
      </c>
      <c r="C117" s="2" t="inlineStr">
        <is>
          <t>acquisition</t>
        </is>
      </c>
      <c r="D117" s="3" t="inlineStr">
        <is>
          <t>Acquisition / disposal: target, year, price, funding, outcome vs case</t>
        </is>
      </c>
      <c r="E117" s="2" t="n"/>
      <c r="F117" s="2" t="n"/>
      <c r="G117" s="2" t="n"/>
      <c r="H117" s="3" t="inlineStr">
        <is>
          <t>target: operating business of Paluani S.p.A., Verona (panettone, colomba), via Sperlari; year: 2022 (effective 1 August 2022); price: not stated; outcome vs case: Paluani had been in insolvency proceedings since October 2021, 2021 sales around EUR 40m, PPA effect 14.1 recognised in 2022 income</t>
        </is>
      </c>
      <c r="I117" s="2" t="inlineStr">
        <is>
          <t>S1</t>
        </is>
      </c>
      <c r="J117" s="2" t="n">
        <v>16</v>
      </c>
      <c r="K117" s="3" t="inlineStr">
        <is>
          <t>Effective 1 August 2022, Sperlari laid the foundation to further expand its leadership position in the seasonal business: the company acquired the operating business of Paluani S.p.A.</t>
        </is>
      </c>
      <c r="L117" s="2" t="inlineStr">
        <is>
          <t>ok</t>
        </is>
      </c>
      <c r="M117" s="2" t="inlineStr">
        <is>
          <t>demo reviewer</t>
        </is>
      </c>
      <c r="N117" s="2" t="n"/>
      <c r="O117" s="3" t="inlineStr">
        <is>
          <t>https://vanillabonds.com/dossier-data/pdf/katjes/katjes-2023-annual-report.pdf#page=16</t>
        </is>
      </c>
    </row>
    <row r="118">
      <c r="A118" s="2" t="inlineStr">
        <is>
          <t>F117</t>
        </is>
      </c>
      <c r="B118" s="2" t="inlineStr">
        <is>
          <t>management</t>
        </is>
      </c>
      <c r="C118" s="2" t="inlineStr">
        <is>
          <t>acquisition</t>
        </is>
      </c>
      <c r="D118" s="3" t="inlineStr">
        <is>
          <t>Acquisition / disposal: target, year, price, funding, outcome vs case</t>
        </is>
      </c>
      <c r="E118" s="2" t="n"/>
      <c r="F118" s="2" t="n"/>
      <c r="G118" s="2" t="n"/>
      <c r="H118" s="3" t="inlineStr">
        <is>
          <t>target: Paluani background; year: 2021 insolvency; outcome: until insolvency proceedings opened in October 2021 Paluani was Italy's fourth-largest panettone producer with 2021 sales around EUR 40m</t>
        </is>
      </c>
      <c r="I118" s="2" t="inlineStr">
        <is>
          <t>S1</t>
        </is>
      </c>
      <c r="J118" s="2" t="n">
        <v>16</v>
      </c>
      <c r="K118" s="3" t="inlineStr">
        <is>
          <t>Until insolvency proceedings were opened in October 2021, Paluani was Italy’s fourth-largest panettone producer, with sales of around EUR 40 million in the year 2021.</t>
        </is>
      </c>
      <c r="L118" s="2" t="inlineStr">
        <is>
          <t>ok</t>
        </is>
      </c>
      <c r="M118" s="2" t="inlineStr">
        <is>
          <t>demo reviewer</t>
        </is>
      </c>
      <c r="N118" s="2" t="n"/>
      <c r="O118" s="3" t="inlineStr">
        <is>
          <t>https://vanillabonds.com/dossier-data/pdf/katjes/katjes-2023-annual-report.pdf#page=16</t>
        </is>
      </c>
    </row>
    <row r="119">
      <c r="A119" s="2" t="inlineStr">
        <is>
          <t>F118</t>
        </is>
      </c>
      <c r="B119" s="2" t="inlineStr">
        <is>
          <t>management</t>
        </is>
      </c>
      <c r="C119" s="2" t="inlineStr">
        <is>
          <t>acquisition</t>
        </is>
      </c>
      <c r="D119" s="3" t="inlineStr">
        <is>
          <t>Acquisition / disposal: target, year, price, funding, outcome vs case</t>
        </is>
      </c>
      <c r="E119" s="2" t="n"/>
      <c r="F119" s="2" t="n"/>
      <c r="G119" s="2" t="n"/>
      <c r="H119" s="3" t="inlineStr">
        <is>
          <t>target: Bübchen (baby and kids body care) from Nestlé/Galderma; year: 2020 (May); price: not stated; brand valued at 22.5 in PPA</t>
        </is>
      </c>
      <c r="I119" s="2" t="inlineStr">
        <is>
          <t>S1</t>
        </is>
      </c>
      <c r="J119" s="2" t="n">
        <v>20</v>
      </c>
      <c r="K119" s="3" t="inlineStr">
        <is>
          <t>Following the successful acquisition of Bübchen from Nestlé/Galderma in 2020</t>
        </is>
      </c>
      <c r="L119" s="2" t="inlineStr">
        <is>
          <t>ok</t>
        </is>
      </c>
      <c r="M119" s="2" t="inlineStr">
        <is>
          <t>demo reviewer</t>
        </is>
      </c>
      <c r="N119" s="2" t="n"/>
      <c r="O119" s="3" t="inlineStr">
        <is>
          <t>https://vanillabonds.com/dossier-data/pdf/katjes/katjes-2023-annual-report.pdf#page=20</t>
        </is>
      </c>
    </row>
    <row r="120">
      <c r="A120" s="2" t="inlineStr">
        <is>
          <t>F119</t>
        </is>
      </c>
      <c r="B120" s="2" t="inlineStr">
        <is>
          <t>management</t>
        </is>
      </c>
      <c r="C120" s="2" t="inlineStr">
        <is>
          <t>acquisition</t>
        </is>
      </c>
      <c r="D120" s="3" t="inlineStr">
        <is>
          <t>Acquisition / disposal: target, year, price, funding, outcome vs case</t>
        </is>
      </c>
      <c r="E120" s="2" t="n"/>
      <c r="F120" s="2" t="n"/>
      <c r="G120" s="2" t="n"/>
      <c r="H120" s="3" t="inlineStr">
        <is>
          <t>target: disposal/contribution of French subsidiary Lutti together with Continental Sweets Belgium into CPK S.A.S.; year: 2018 (end of 2018); outcome: around 23% stake in CPK, equity-accounted at 63.7, share of loss -0.7 in 2023 (2022: -0.1), future payments from the transaction still in other financial assets</t>
        </is>
      </c>
      <c r="I120" s="2" t="inlineStr">
        <is>
          <t>S1</t>
        </is>
      </c>
      <c r="J120" s="2" t="n">
        <v>24</v>
      </c>
      <c r="K120" s="3" t="inlineStr">
        <is>
          <t>At the end of 2018, Katjes International contributed its French subsidiary Lutti - already the second-largest sugar confectionery brand in France at the time - into CPK</t>
        </is>
      </c>
      <c r="L120" s="2" t="inlineStr">
        <is>
          <t>ok</t>
        </is>
      </c>
      <c r="M120" s="2" t="inlineStr">
        <is>
          <t>demo reviewer</t>
        </is>
      </c>
      <c r="N120" s="2" t="n"/>
      <c r="O120" s="3" t="inlineStr">
        <is>
          <t>https://vanillabonds.com/dossier-data/pdf/katjes/katjes-2023-annual-report.pdf#page=24</t>
        </is>
      </c>
    </row>
    <row r="121">
      <c r="A121" s="2" t="inlineStr">
        <is>
          <t>F120</t>
        </is>
      </c>
      <c r="B121" s="2" t="inlineStr">
        <is>
          <t>management</t>
        </is>
      </c>
      <c r="C121" s="2" t="inlineStr">
        <is>
          <t>acquisition</t>
        </is>
      </c>
      <c r="D121" s="3" t="inlineStr">
        <is>
          <t>Acquisition / disposal: target, year, price, funding, outcome vs case</t>
        </is>
      </c>
      <c r="E121" s="2" t="n"/>
      <c r="F121" s="2" t="n"/>
      <c r="G121" s="2" t="n"/>
      <c r="H121" s="3" t="inlineStr">
        <is>
          <t>target: Dulcioliva S.r.l., Borgo San Dalmazzo (Cuneesi chocolates), 75% stake with option on the remaining 25%; year: 2021 (30 June 2021); price: not stated; option liability 1.2 at 31 Dec 2023</t>
        </is>
      </c>
      <c r="I121" s="2" t="inlineStr">
        <is>
          <t>S1</t>
        </is>
      </c>
      <c r="J121" s="2" t="n">
        <v>27</v>
      </c>
      <c r="K121" s="3" t="inlineStr">
        <is>
          <t>75% stake in Dulcioliva in Italy, with the option to acquire the remaining 25%.</t>
        </is>
      </c>
      <c r="L121" s="2" t="inlineStr">
        <is>
          <t>ok</t>
        </is>
      </c>
      <c r="M121" s="2" t="inlineStr">
        <is>
          <t>demo reviewer</t>
        </is>
      </c>
      <c r="N121" s="2" t="n"/>
      <c r="O121" s="3" t="inlineStr">
        <is>
          <t>https://vanillabonds.com/dossier-data/pdf/katjes/katjes-2023-annual-report.pdf#page=27</t>
        </is>
      </c>
    </row>
    <row r="122">
      <c r="A122" s="2" t="inlineStr">
        <is>
          <t>F121</t>
        </is>
      </c>
      <c r="B122" s="2" t="inlineStr">
        <is>
          <t>management</t>
        </is>
      </c>
      <c r="C122" s="2" t="inlineStr">
        <is>
          <t>acquisition</t>
        </is>
      </c>
      <c r="D122" s="3" t="inlineStr">
        <is>
          <t>Acquisition / disposal: target, year, price, funding, outcome vs case</t>
        </is>
      </c>
      <c r="E122" s="2" t="n"/>
      <c r="F122" s="2" t="n"/>
      <c r="G122" s="2" t="n"/>
      <c r="H122" s="3" t="inlineStr">
        <is>
          <t>target: Sperlari (Italy, sugar confectionery, Cremona plus three other Italian production sites); year: 2017; price: not stated; brands valued at 22.9 in PPA</t>
        </is>
      </c>
      <c r="I122" s="2" t="inlineStr">
        <is>
          <t>S1</t>
        </is>
      </c>
      <c r="J122" s="2" t="n">
        <v>27</v>
      </c>
      <c r="K122" s="3" t="inlineStr">
        <is>
          <t>In Italy, Sperlari has been part of Katjes International sin‐ ce 2017.</t>
        </is>
      </c>
      <c r="L122" s="2" t="inlineStr">
        <is>
          <t>ok</t>
        </is>
      </c>
      <c r="M122" s="2" t="inlineStr">
        <is>
          <t>demo reviewer</t>
        </is>
      </c>
      <c r="N122" s="2" t="n"/>
      <c r="O122" s="3" t="inlineStr">
        <is>
          <t>https://vanillabonds.com/dossier-data/pdf/katjes/katjes-2023-annual-report.pdf#page=27</t>
        </is>
      </c>
    </row>
    <row r="123">
      <c r="A123" s="2" t="inlineStr">
        <is>
          <t>F122</t>
        </is>
      </c>
      <c r="B123" s="2" t="inlineStr">
        <is>
          <t>management</t>
        </is>
      </c>
      <c r="C123" s="2" t="inlineStr">
        <is>
          <t>acquisition</t>
        </is>
      </c>
      <c r="D123" s="3" t="inlineStr">
        <is>
          <t>Acquisition / disposal: target, year, price, funding, outcome vs case</t>
        </is>
      </c>
      <c r="E123" s="2" t="n"/>
      <c r="F123" s="2" t="n"/>
      <c r="G123" s="2" t="n"/>
      <c r="H123" s="3" t="inlineStr">
        <is>
          <t>target: Harlekijntjes B.V., Nijkerk (liquorice), 100%; year: 2016; price: not stated; brand valued at 4.9 in PPA</t>
        </is>
      </c>
      <c r="I123" s="2" t="inlineStr">
        <is>
          <t>S1</t>
        </is>
      </c>
      <c r="J123" s="2" t="n">
        <v>27</v>
      </c>
      <c r="K123" s="3" t="inlineStr">
        <is>
          <t>Since 2016, Katjes International has held all shares in the Dutch company Harlekijntjes</t>
        </is>
      </c>
      <c r="L123" s="2" t="inlineStr">
        <is>
          <t>ok</t>
        </is>
      </c>
      <c r="M123" s="2" t="inlineStr">
        <is>
          <t>demo reviewer</t>
        </is>
      </c>
      <c r="N123" s="2" t="n"/>
      <c r="O123" s="3" t="inlineStr">
        <is>
          <t>https://vanillabonds.com/dossier-data/pdf/katjes/katjes-2023-annual-report.pdf#page=27</t>
        </is>
      </c>
    </row>
    <row r="124">
      <c r="A124" s="2" t="inlineStr">
        <is>
          <t>F123</t>
        </is>
      </c>
      <c r="B124" s="2" t="inlineStr">
        <is>
          <t>management</t>
        </is>
      </c>
      <c r="C124" s="2" t="inlineStr">
        <is>
          <t>acquisition</t>
        </is>
      </c>
      <c r="D124" s="3" t="inlineStr">
        <is>
          <t>Acquisition / disposal: target, year, price, funding, outcome vs case</t>
        </is>
      </c>
      <c r="E124" s="2" t="n"/>
      <c r="F124" s="2" t="n"/>
      <c r="G124" s="2" t="n"/>
      <c r="H124" s="3" t="inlineStr">
        <is>
          <t>target: Piasten GmbH, Forchheim (chocolate dragees, Treets); year: 2014; price: not stated; brand valued at 6.0 in PPA</t>
        </is>
      </c>
      <c r="I124" s="2" t="inlineStr">
        <is>
          <t>S1</t>
        </is>
      </c>
      <c r="J124" s="2" t="n">
        <v>27</v>
      </c>
      <c r="K124" s="3" t="inlineStr">
        <is>
          <t>In Germany, Piasten has been part of Katjes Internatio‐ nal’s portfolio of holdings since 2014.</t>
        </is>
      </c>
      <c r="L124" s="2" t="inlineStr">
        <is>
          <t>ok</t>
        </is>
      </c>
      <c r="M124" s="2" t="inlineStr">
        <is>
          <t>demo reviewer</t>
        </is>
      </c>
      <c r="N124" s="2" t="n"/>
      <c r="O124" s="3" t="inlineStr">
        <is>
          <t>https://vanillabonds.com/dossier-data/pdf/katjes/katjes-2023-annual-report.pdf#page=27</t>
        </is>
      </c>
    </row>
    <row r="125">
      <c r="A125" s="2" t="inlineStr">
        <is>
          <t>F124</t>
        </is>
      </c>
      <c r="B125" s="2" t="inlineStr">
        <is>
          <t>management</t>
        </is>
      </c>
      <c r="C125" s="2" t="inlineStr">
        <is>
          <t>acquisition</t>
        </is>
      </c>
      <c r="D125" s="3" t="inlineStr">
        <is>
          <t>Acquisition / disposal: target, year, price, funding, outcome vs case</t>
        </is>
      </c>
      <c r="E125" s="2" t="n"/>
      <c r="F125" s="2" t="n"/>
      <c r="G125" s="2" t="n"/>
      <c r="H125" s="3" t="inlineStr">
        <is>
          <t>target: Dallmann's Pharma Candy, Hofheim am Taunus (sage lozenges); year: 2012; price: not stated; brand valued at 7.7 in PPA</t>
        </is>
      </c>
      <c r="I125" s="2" t="inlineStr">
        <is>
          <t>S1</t>
        </is>
      </c>
      <c r="J125" s="2" t="n">
        <v>27</v>
      </c>
      <c r="K125" s="3" t="inlineStr">
        <is>
          <t>sed company Dallmann’s Pharma Candy (part of Katjes International since 2012) is the leader in German phar‐</t>
        </is>
      </c>
      <c r="L125" s="2" t="inlineStr">
        <is>
          <t>ok</t>
        </is>
      </c>
      <c r="M125" s="2" t="inlineStr">
        <is>
          <t>demo reviewer</t>
        </is>
      </c>
      <c r="N125" s="2" t="n"/>
      <c r="O125" s="3" t="inlineStr">
        <is>
          <t>https://vanillabonds.com/dossier-data/pdf/katjes/katjes-2023-annual-report.pdf#page=27</t>
        </is>
      </c>
    </row>
    <row r="126">
      <c r="A126" s="2" t="inlineStr">
        <is>
          <t>F125</t>
        </is>
      </c>
      <c r="B126" s="2" t="inlineStr">
        <is>
          <t>management</t>
        </is>
      </c>
      <c r="C126" s="2" t="inlineStr">
        <is>
          <t>acquisition</t>
        </is>
      </c>
      <c r="D126" s="3" t="inlineStr">
        <is>
          <t>Acquisition / disposal: target, year, price, funding, outcome vs case</t>
        </is>
      </c>
      <c r="E126" s="2" t="n"/>
      <c r="F126" s="2" t="n"/>
      <c r="G126" s="2" t="n"/>
      <c r="H126" s="3" t="inlineStr">
        <is>
          <t>target: Naturale Antica Erboristeria (N.A.E.) natural cosmetics brand from Henkel, via Bübchen Bodycare; year: 2023 (November); price: not stated separately (within investing cash flow -14.6); brand recognised at cost</t>
        </is>
      </c>
      <c r="I126" s="2" t="inlineStr">
        <is>
          <t>S1</t>
        </is>
      </c>
      <c r="J126" s="2" t="n">
        <v>33</v>
      </c>
      <c r="K126" s="3" t="inlineStr">
        <is>
          <t>Since November 2023, the natural cosmetics brand Naturale Antica Erboris‐ teria (N.A.E.) complements the existing body care portfo‐</t>
        </is>
      </c>
      <c r="L126" s="2" t="inlineStr">
        <is>
          <t>ok</t>
        </is>
      </c>
      <c r="M126" s="2" t="inlineStr">
        <is>
          <t>demo reviewer</t>
        </is>
      </c>
      <c r="N126" s="2" t="n"/>
      <c r="O126" s="3" t="inlineStr">
        <is>
          <t>https://vanillabonds.com/dossier-data/pdf/katjes/katjes-2023-annual-report.pdf#page=33</t>
        </is>
      </c>
    </row>
    <row r="127">
      <c r="A127" s="2" t="inlineStr">
        <is>
          <t>F126</t>
        </is>
      </c>
      <c r="B127" s="2" t="inlineStr">
        <is>
          <t>management</t>
        </is>
      </c>
      <c r="C127" s="2" t="inlineStr">
        <is>
          <t>acquisition</t>
        </is>
      </c>
      <c r="D127" s="3" t="inlineStr">
        <is>
          <t>Acquisition / disposal: target, year, price, funding, outcome vs case</t>
        </is>
      </c>
      <c r="E127" s="2" t="n"/>
      <c r="F127" s="2" t="n"/>
      <c r="G127" s="2" t="n"/>
      <c r="H127" s="3" t="inlineStr">
        <is>
          <t>target: oral care and part of hair care business of Henkel AG &amp; Co. KGaA (Theramed, Antica Erboristeria, Vademecum, Licor del Polo, Denivit) plus Viersen production site, via Bübchen Bodycare; year: 2022 (7 December 2022, site transferred 2 January 2024); price: cash outflow 14.0 in 2022, remaining Viersen purchase price 6.4 due 2 Jan 2024; outcome vs case: negative goodwill 10.3 recognised in 2022 income, business had 2022 sales EUR 49m and was profitable</t>
        </is>
      </c>
      <c r="I127" s="2" t="inlineStr">
        <is>
          <t>S1</t>
        </is>
      </c>
      <c r="J127" s="2" t="n">
        <v>59</v>
      </c>
      <c r="K127" s="3" t="inlineStr">
        <is>
          <t>sidiary Bübchen Bodycare, acquired the oral care and part of the hair care business (the ‘oral care division’) from Henkel AG &amp; Co. KGaA (‘Henkel’).</t>
        </is>
      </c>
      <c r="L127" s="2" t="inlineStr">
        <is>
          <t>ok</t>
        </is>
      </c>
      <c r="M127" s="2" t="inlineStr">
        <is>
          <t>demo reviewer</t>
        </is>
      </c>
      <c r="N127" s="2" t="n"/>
      <c r="O127" s="3" t="inlineStr">
        <is>
          <t>https://vanillabonds.com/dossier-data/pdf/katjes/katjes-2023-annual-report.pdf#page=59</t>
        </is>
      </c>
    </row>
    <row r="128">
      <c r="A128" s="2" t="inlineStr">
        <is>
          <t>F127</t>
        </is>
      </c>
      <c r="B128" s="2" t="inlineStr">
        <is>
          <t>management</t>
        </is>
      </c>
      <c r="C128" s="2" t="inlineStr">
        <is>
          <t>acquisition</t>
        </is>
      </c>
      <c r="D128" s="3" t="inlineStr">
        <is>
          <t>Acquisition / disposal: target, year, price, funding, outcome vs case</t>
        </is>
      </c>
      <c r="E128" s="2" t="n"/>
      <c r="F128" s="2" t="n">
        <v>18.1</v>
      </c>
      <c r="G128" s="2" t="n"/>
      <c r="H128" s="3" t="inlineStr">
        <is>
          <t>target: oral care division purchase price allocation (final); year: 2022; identifiable net assets at fair value 18.1: PP&amp;E 25.9, intangibles 23.8, financial liabilities 20.4, pensions 3.1, deferred tax liabilities 8.1</t>
        </is>
      </c>
      <c r="I128" s="2" t="inlineStr">
        <is>
          <t>S1</t>
        </is>
      </c>
      <c r="J128" s="2" t="n">
        <v>59</v>
      </c>
      <c r="K128" s="3" t="inlineStr">
        <is>
          <t>Total identifiable net assets at fair value 18.1</t>
        </is>
      </c>
      <c r="L128" s="2" t="inlineStr">
        <is>
          <t>ok</t>
        </is>
      </c>
      <c r="M128" s="2" t="inlineStr">
        <is>
          <t>demo reviewer</t>
        </is>
      </c>
      <c r="N128" s="2" t="n"/>
      <c r="O128" s="3" t="inlineStr">
        <is>
          <t>https://vanillabonds.com/dossier-data/pdf/katjes/katjes-2023-annual-report.pdf#page=59</t>
        </is>
      </c>
    </row>
    <row r="129">
      <c r="A129" s="2" t="inlineStr">
        <is>
          <t>F128</t>
        </is>
      </c>
      <c r="B129" s="2" t="inlineStr">
        <is>
          <t>management</t>
        </is>
      </c>
      <c r="C129" s="2" t="inlineStr">
        <is>
          <t>acquisition</t>
        </is>
      </c>
      <c r="D129" s="3" t="inlineStr">
        <is>
          <t>Acquisition / disposal: target, year, price, funding, outcome vs case</t>
        </is>
      </c>
      <c r="E129" s="2" t="n"/>
      <c r="F129" s="2" t="n">
        <v>14</v>
      </c>
      <c r="G129" s="2" t="n"/>
      <c r="H129" s="3" t="inlineStr">
        <is>
          <t>target: oral care division; year: 2022; price: cash outflow EUR 14.0m in 2022, remainder for the Viersen production facility due 2 January 2024</t>
        </is>
      </c>
      <c r="I129" s="2" t="inlineStr">
        <is>
          <t>S1</t>
        </is>
      </c>
      <c r="J129" s="2" t="n">
        <v>59</v>
      </c>
      <c r="K129" s="3" t="inlineStr">
        <is>
          <t>an outflow of cash amounting to EUR 14.0 million in the previous year.</t>
        </is>
      </c>
      <c r="L129" s="2" t="inlineStr">
        <is>
          <t>ok</t>
        </is>
      </c>
      <c r="M129" s="2" t="inlineStr">
        <is>
          <t>demo reviewer</t>
        </is>
      </c>
      <c r="N129" s="2" t="n"/>
      <c r="O129" s="3" t="inlineStr">
        <is>
          <t>https://vanillabonds.com/dossier-data/pdf/katjes/katjes-2023-annual-report.pdf#page=59</t>
        </is>
      </c>
    </row>
    <row r="130">
      <c r="A130" s="2" t="inlineStr">
        <is>
          <t>F129</t>
        </is>
      </c>
      <c r="B130" s="2" t="inlineStr">
        <is>
          <t>management</t>
        </is>
      </c>
      <c r="C130" s="2" t="inlineStr">
        <is>
          <t>succession</t>
        </is>
      </c>
      <c r="D130" s="3" t="inlineStr">
        <is>
          <t>Succession: plan, last change of CEO / CFO, who decides</t>
        </is>
      </c>
      <c r="E130" s="2" t="n"/>
      <c r="F130" s="2" t="n"/>
      <c r="G130" s="2" t="n"/>
      <c r="H130" s="3" t="inlineStr">
        <is>
          <t>Last CFO change 2012 (Stephan Milde since 2012); managing shareholders in office since 1996 and 2004; no succession plan stated in the report.</t>
        </is>
      </c>
      <c r="I130" s="2" t="inlineStr">
        <is>
          <t>S1</t>
        </is>
      </c>
      <c r="J130" s="2" t="n">
        <v>6</v>
      </c>
      <c r="K130" s="2" t="inlineStr">
        <is>
          <t>since 2012 – CFO Katjes International</t>
        </is>
      </c>
      <c r="L130" s="2" t="inlineStr">
        <is>
          <t>ok</t>
        </is>
      </c>
      <c r="M130" s="2" t="inlineStr">
        <is>
          <t>demo reviewer</t>
        </is>
      </c>
      <c r="N130" s="2" t="n"/>
      <c r="O130" s="3" t="inlineStr">
        <is>
          <t>https://vanillabonds.com/dossier-data/pdf/katjes/katjes-2023-annual-report.pdf#page=6</t>
        </is>
      </c>
    </row>
    <row r="131">
      <c r="A131" s="2" t="inlineStr">
        <is>
          <t>F130</t>
        </is>
      </c>
      <c r="B131" s="2" t="inlineStr">
        <is>
          <t>management</t>
        </is>
      </c>
      <c r="C131" s="2" t="inlineStr">
        <is>
          <t>governance</t>
        </is>
      </c>
      <c r="D131" s="3" t="inlineStr">
        <is>
          <t>Board, independent members, group structure, related-party flows, dividends</t>
        </is>
      </c>
      <c r="E131" s="2" t="n"/>
      <c r="F131" s="2" t="n"/>
      <c r="G131" s="2" t="n"/>
      <c r="H131" s="3" t="inlineStr">
        <is>
          <t>Non-controlling interests EUR 3.0m (2022: 2.9) relate mainly to Candy Kittens, its subsidiary Longaim and Tuckshop.</t>
        </is>
      </c>
      <c r="I131" s="2" t="inlineStr">
        <is>
          <t>S1</t>
        </is>
      </c>
      <c r="J131" s="2" t="n">
        <v>34</v>
      </c>
      <c r="K131" s="3" t="inlineStr">
        <is>
          <t>3.0 million (31 December 2022: EUR 2.9 million) and mainly relate to the minority interests in Candy Kittens.</t>
        </is>
      </c>
      <c r="L131" s="2" t="inlineStr">
        <is>
          <t>ok</t>
        </is>
      </c>
      <c r="M131" s="2" t="inlineStr">
        <is>
          <t>demo reviewer</t>
        </is>
      </c>
      <c r="N131" s="2" t="n"/>
      <c r="O131" s="3" t="inlineStr">
        <is>
          <t>https://vanillabonds.com/dossier-data/pdf/katjes/katjes-2023-annual-report.pdf#page=34</t>
        </is>
      </c>
    </row>
    <row r="132">
      <c r="A132" s="2" t="inlineStr">
        <is>
          <t>F131</t>
        </is>
      </c>
      <c r="B132" s="2" t="inlineStr">
        <is>
          <t>management</t>
        </is>
      </c>
      <c r="C132" s="2" t="inlineStr">
        <is>
          <t>governance</t>
        </is>
      </c>
      <c r="D132" s="3" t="inlineStr">
        <is>
          <t>Board, independent members, group structure, related-party flows, dividends</t>
        </is>
      </c>
      <c r="E132" s="2" t="n"/>
      <c r="F132" s="2" t="n"/>
      <c r="G132" s="2" t="n"/>
      <c r="H132" s="3" t="inlineStr">
        <is>
          <t>A voluntary external advisory board of several specialists (management consulting/auditing, industry and marketing) observes and advises management under the Articles of Association and meets management several times a year; members not named.</t>
        </is>
      </c>
      <c r="I132" s="2" t="inlineStr">
        <is>
          <t>S1</t>
        </is>
      </c>
      <c r="J132" s="2" t="n">
        <v>40</v>
      </c>
      <c r="K132" s="3" t="inlineStr">
        <is>
          <t>Katjes International also has a voluntary external advisory board in place.</t>
        </is>
      </c>
      <c r="L132" s="2" t="inlineStr">
        <is>
          <t>ok</t>
        </is>
      </c>
      <c r="M132" s="2" t="inlineStr">
        <is>
          <t>demo reviewer</t>
        </is>
      </c>
      <c r="N132" s="2" t="n"/>
      <c r="O132" s="3" t="inlineStr">
        <is>
          <t>https://vanillabonds.com/dossier-data/pdf/katjes/katjes-2023-annual-report.pdf#page=40</t>
        </is>
      </c>
    </row>
    <row r="133">
      <c r="A133" s="2" t="inlineStr">
        <is>
          <t>F132</t>
        </is>
      </c>
      <c r="B133" s="2" t="inlineStr">
        <is>
          <t>management</t>
        </is>
      </c>
      <c r="C133" s="2" t="inlineStr">
        <is>
          <t>governance</t>
        </is>
      </c>
      <c r="D133" s="3" t="inlineStr">
        <is>
          <t>Board, independent members, group structure, related-party flows, dividends</t>
        </is>
      </c>
      <c r="E133" s="2" t="n"/>
      <c r="F133" s="2" t="n"/>
      <c r="G133" s="2" t="n"/>
      <c r="H133" s="3" t="inlineStr">
        <is>
          <t>Statement of changes in equity 2023 shows no distribution to partners; result 10.1 allocated, prior-year result moved to profit carried forward, 'Other' +0.3.</t>
        </is>
      </c>
      <c r="I133" s="2" t="inlineStr">
        <is>
          <t>S1</t>
        </is>
      </c>
      <c r="J133" s="2" t="n">
        <v>47</v>
      </c>
      <c r="K133" s="3" t="inlineStr">
        <is>
          <t>As at 31 Dec 2023 0.6 2.0 2.0 153.5 10.1 1.2 3.6 4,8 173.0 3.0 176.0</t>
        </is>
      </c>
      <c r="L133" s="2" t="inlineStr">
        <is>
          <t>ok</t>
        </is>
      </c>
      <c r="M133" s="2" t="inlineStr">
        <is>
          <t>demo reviewer</t>
        </is>
      </c>
      <c r="N133" s="2" t="n"/>
      <c r="O133" s="3" t="inlineStr">
        <is>
          <t>https://vanillabonds.com/dossier-data/pdf/katjes/katjes-2023-annual-report.pdf#page=47</t>
        </is>
      </c>
    </row>
    <row r="134">
      <c r="A134" s="2" t="inlineStr">
        <is>
          <t>F133</t>
        </is>
      </c>
      <c r="B134" s="2" t="inlineStr">
        <is>
          <t>management</t>
        </is>
      </c>
      <c r="C134" s="2" t="inlineStr">
        <is>
          <t>governance</t>
        </is>
      </c>
      <c r="D134" s="3" t="inlineStr">
        <is>
          <t>Board, independent members, group structure, related-party flows, dividends</t>
        </is>
      </c>
      <c r="E134" s="2" t="n"/>
      <c r="F134" s="2" t="n"/>
      <c r="G134" s="2" t="n"/>
      <c r="H134" s="3" t="inlineStr">
        <is>
          <t>General partner is Xaver Fassin International GmbH (shareholders Bastian Fassin and Tobias Bachmüller); Stephan Milde also appointed managing director; the general partner holds no capital interest.</t>
        </is>
      </c>
      <c r="I134" s="2" t="inlineStr">
        <is>
          <t>S1</t>
        </is>
      </c>
      <c r="J134" s="2" t="n">
        <v>50</v>
      </c>
      <c r="K134" s="3" t="inlineStr">
        <is>
          <t>The personally liable partner (general partner) of the Company is Xaver Fassin International GmbH with its shareholders Bastian Fassin and Tobias Bachmüller.</t>
        </is>
      </c>
      <c r="L134" s="2" t="inlineStr">
        <is>
          <t>ok</t>
        </is>
      </c>
      <c r="M134" s="2" t="inlineStr">
        <is>
          <t>demo reviewer</t>
        </is>
      </c>
      <c r="N134" s="2" t="n"/>
      <c r="O134" s="3" t="inlineStr">
        <is>
          <t>https://vanillabonds.com/dossier-data/pdf/katjes/katjes-2023-annual-report.pdf#page=50</t>
        </is>
      </c>
    </row>
    <row r="135">
      <c r="A135" s="2" t="inlineStr">
        <is>
          <t>F134</t>
        </is>
      </c>
      <c r="B135" s="2" t="inlineStr">
        <is>
          <t>management</t>
        </is>
      </c>
      <c r="C135" s="2" t="inlineStr">
        <is>
          <t>governance</t>
        </is>
      </c>
      <c r="D135" s="3" t="inlineStr">
        <is>
          <t>Board, independent members, group structure, related-party flows, dividends</t>
        </is>
      </c>
      <c r="E135" s="2" t="n"/>
      <c r="F135" s="2" t="n"/>
      <c r="G135" s="2" t="n"/>
      <c r="H135" s="3" t="inlineStr">
        <is>
          <t>Auditor fees 2023: audit services 0.5 (2022: 0.4), tax consultancy 0.1 (0.1), other 0.0 (0.1), total 0.6; EUR 0.2m of audit services for foreign subsidiaries.</t>
        </is>
      </c>
      <c r="I135" s="2" t="inlineStr">
        <is>
          <t>S1</t>
        </is>
      </c>
      <c r="J135" s="2" t="n">
        <v>79</v>
      </c>
      <c r="K135" s="2" t="inlineStr">
        <is>
          <t>Fees for audit services 0.5 0.4</t>
        </is>
      </c>
      <c r="L135" s="2" t="inlineStr">
        <is>
          <t>ok</t>
        </is>
      </c>
      <c r="M135" s="2" t="inlineStr">
        <is>
          <t>demo reviewer</t>
        </is>
      </c>
      <c r="N135" s="2" t="n"/>
      <c r="O135" s="3" t="inlineStr">
        <is>
          <t>https://vanillabonds.com/dossier-data/pdf/katjes/katjes-2023-annual-report.pdf#page=79</t>
        </is>
      </c>
    </row>
    <row r="136">
      <c r="A136" s="2" t="inlineStr">
        <is>
          <t>F135</t>
        </is>
      </c>
      <c r="B136" s="2" t="inlineStr">
        <is>
          <t>management</t>
        </is>
      </c>
      <c r="C136" s="2" t="inlineStr">
        <is>
          <t>governance</t>
        </is>
      </c>
      <c r="D136" s="3" t="inlineStr">
        <is>
          <t>Board, independent members, group structure, related-party flows, dividends</t>
        </is>
      </c>
      <c r="E136" s="2" t="n"/>
      <c r="F136" s="2" t="n"/>
      <c r="G136" s="2" t="n"/>
      <c r="H136" s="3" t="inlineStr">
        <is>
          <t>The general partner is the chief operating decision maker, allocating resources and evaluating performance at group level on one FMCG segment with EBITDA as the main indicator.</t>
        </is>
      </c>
      <c r="I136" s="2" t="inlineStr">
        <is>
          <t>S1</t>
        </is>
      </c>
      <c r="J136" s="2" t="n">
        <v>81</v>
      </c>
      <c r="K136" s="3" t="inlineStr">
        <is>
          <t>The general partner of Katjes International GmbH &amp; Co. KG is the chief operating decision maker throughout the group</t>
        </is>
      </c>
      <c r="L136" s="2" t="inlineStr">
        <is>
          <t>ok</t>
        </is>
      </c>
      <c r="M136" s="2" t="inlineStr">
        <is>
          <t>demo reviewer</t>
        </is>
      </c>
      <c r="N136" s="2" t="n"/>
      <c r="O136" s="3" t="inlineStr">
        <is>
          <t>https://vanillabonds.com/dossier-data/pdf/katjes/katjes-2023-annual-report.pdf#page=81</t>
        </is>
      </c>
    </row>
    <row r="137">
      <c r="A137" s="2" t="inlineStr">
        <is>
          <t>F136</t>
        </is>
      </c>
      <c r="B137" s="2" t="inlineStr">
        <is>
          <t>management</t>
        </is>
      </c>
      <c r="C137" s="2" t="inlineStr">
        <is>
          <t>governance</t>
        </is>
      </c>
      <c r="D137" s="3" t="inlineStr">
        <is>
          <t>Board, independent members, group structure, related-party flows, dividends</t>
        </is>
      </c>
      <c r="E137" s="2" t="n"/>
      <c r="F137" s="2" t="n"/>
      <c r="G137" s="2" t="n"/>
      <c r="H137" s="3" t="inlineStr">
        <is>
          <t>All related-party business relationships are conducted at arm's length and are not collateralised.</t>
        </is>
      </c>
      <c r="I137" s="2" t="inlineStr">
        <is>
          <t>S1</t>
        </is>
      </c>
      <c r="J137" s="2" t="n">
        <v>84</v>
      </c>
      <c r="K137" s="3" t="inlineStr">
        <is>
          <t>All business relationships are conducted at arm’s length and are not collateralised.</t>
        </is>
      </c>
      <c r="L137" s="2" t="inlineStr">
        <is>
          <t>ok</t>
        </is>
      </c>
      <c r="M137" s="2" t="inlineStr">
        <is>
          <t>demo reviewer</t>
        </is>
      </c>
      <c r="N137" s="2" t="n"/>
      <c r="O137" s="3" t="inlineStr">
        <is>
          <t>https://vanillabonds.com/dossier-data/pdf/katjes/katjes-2023-annual-report.pdf#page=84</t>
        </is>
      </c>
    </row>
    <row r="138">
      <c r="A138" s="2" t="inlineStr">
        <is>
          <t>F137</t>
        </is>
      </c>
      <c r="B138" s="2" t="inlineStr">
        <is>
          <t>management</t>
        </is>
      </c>
      <c r="C138" s="2" t="inlineStr">
        <is>
          <t>governance</t>
        </is>
      </c>
      <c r="D138" s="3" t="inlineStr">
        <is>
          <t>Board, independent members, group structure, related-party flows, dividends</t>
        </is>
      </c>
      <c r="E138" s="2" t="n"/>
      <c r="F138" s="2" t="n"/>
      <c r="G138" s="2" t="n"/>
      <c r="H138" s="3" t="inlineStr">
        <is>
          <t>Piasten GmbH, Dallmann's Pharma Candy GmbH, Katjes 24 GmbH and Bübchen Skincare GmbH use the Sec. 264 (3) HGB exemption from preparation, audit and publication rules for their own accounts.</t>
        </is>
      </c>
      <c r="I138" s="2" t="inlineStr">
        <is>
          <t>S1</t>
        </is>
      </c>
      <c r="J138" s="2" t="n">
        <v>85</v>
      </c>
      <c r="K138" s="3" t="inlineStr">
        <is>
          <t>gal form of a corporation, make use of the exemption from certain regulations on the preparation, auditing and</t>
        </is>
      </c>
      <c r="L138" s="2" t="inlineStr">
        <is>
          <t>ok</t>
        </is>
      </c>
      <c r="M138" s="2" t="inlineStr">
        <is>
          <t>demo reviewer</t>
        </is>
      </c>
      <c r="N138" s="2" t="n"/>
      <c r="O138" s="3" t="inlineStr">
        <is>
          <t>https://vanillabonds.com/dossier-data/pdf/katjes/katjes-2023-annual-report.pdf#page=85</t>
        </is>
      </c>
    </row>
    <row r="139">
      <c r="A139" s="2" t="inlineStr">
        <is>
          <t>F138</t>
        </is>
      </c>
      <c r="B139" s="2" t="inlineStr">
        <is>
          <t>management</t>
        </is>
      </c>
      <c r="C139" s="2" t="inlineStr">
        <is>
          <t>reporting_practice</t>
        </is>
      </c>
      <c r="D139" s="3" t="inlineStr">
        <is>
          <t>Monitoring: KPI reporting, frequency, budget process, controlling</t>
        </is>
      </c>
      <c r="E139" s="2" t="n"/>
      <c r="F139" s="2" t="n"/>
      <c r="G139" s="2" t="n"/>
      <c r="H139" s="3" t="inlineStr">
        <is>
          <t>Internal control and reporting run through one segment (fast-moving consumer goods); regular management meetings and internal reporting identify risks; the advisory board meets management several times a year.</t>
        </is>
      </c>
      <c r="I139" s="2" t="inlineStr">
        <is>
          <t>S1</t>
        </is>
      </c>
      <c r="J139" s="2" t="n">
        <v>27</v>
      </c>
      <c r="K139" s="3" t="inlineStr">
        <is>
          <t>Internal control and reporting within Katjes International is carried out through the fast-moving consumer goods</t>
        </is>
      </c>
      <c r="L139" s="2" t="inlineStr">
        <is>
          <t>ok</t>
        </is>
      </c>
      <c r="M139" s="2" t="inlineStr">
        <is>
          <t>demo reviewer</t>
        </is>
      </c>
      <c r="N139" s="2" t="n"/>
      <c r="O139" s="3" t="inlineStr">
        <is>
          <t>https://vanillabonds.com/dossier-data/pdf/katjes/katjes-2023-annual-report.pdf#page=27</t>
        </is>
      </c>
    </row>
    <row r="140">
      <c r="A140" s="2" t="inlineStr">
        <is>
          <t>F139</t>
        </is>
      </c>
      <c r="B140" s="2" t="inlineStr">
        <is>
          <t>management</t>
        </is>
      </c>
      <c r="C140" s="2" t="inlineStr">
        <is>
          <t>reporting_practice</t>
        </is>
      </c>
      <c r="D140" s="3" t="inlineStr">
        <is>
          <t>Monitoring: KPI reporting, frequency, budget process, controlling</t>
        </is>
      </c>
      <c r="E140" s="2" t="n"/>
      <c r="F140" s="2" t="n"/>
      <c r="G140" s="2" t="n"/>
      <c r="H140" s="3" t="inlineStr">
        <is>
          <t>KPIs are financial: revenue as growth indicator and EBITDA as profitability indicator; strategic planning combined with value-oriented business development.</t>
        </is>
      </c>
      <c r="I140" s="2" t="inlineStr">
        <is>
          <t>S1</t>
        </is>
      </c>
      <c r="J140" s="2" t="n">
        <v>28</v>
      </c>
      <c r="K140" s="3" t="inlineStr">
        <is>
          <t>cators (KPIs) are financial in nature and include revenue as an indicator of business growth and EBITDA</t>
        </is>
      </c>
      <c r="L140" s="2" t="inlineStr">
        <is>
          <t>ok</t>
        </is>
      </c>
      <c r="M140" s="2" t="inlineStr">
        <is>
          <t>demo reviewer</t>
        </is>
      </c>
      <c r="N140" s="2" t="n"/>
      <c r="O140" s="3" t="inlineStr">
        <is>
          <t>https://vanillabonds.com/dossier-data/pdf/katjes/katjes-2023-annual-report.pdf#page=28</t>
        </is>
      </c>
    </row>
    <row r="141">
      <c r="A141" s="2" t="inlineStr">
        <is>
          <t>F140</t>
        </is>
      </c>
      <c r="B141" s="2" t="inlineStr">
        <is>
          <t>management</t>
        </is>
      </c>
      <c r="C141" s="2" t="inlineStr">
        <is>
          <t>reporting_practice</t>
        </is>
      </c>
      <c r="D141" s="3" t="inlineStr">
        <is>
          <t>Monitoring: KPI reporting, frequency, budget process, controlling</t>
        </is>
      </c>
      <c r="E141" s="2" t="n"/>
      <c r="F141" s="2" t="n"/>
      <c r="G141" s="2" t="n"/>
      <c r="H141" s="3" t="inlineStr">
        <is>
          <t>Non-financial performance indicators: employee satisfaction, certifications, brand awareness and sustainable orientation.</t>
        </is>
      </c>
      <c r="I141" s="2" t="inlineStr">
        <is>
          <t>S1</t>
        </is>
      </c>
      <c r="J141" s="2" t="n">
        <v>35</v>
      </c>
      <c r="K141" s="3" t="inlineStr">
        <is>
          <t>ons, brand awareness and the sustainable orientation of the company and its holdings.</t>
        </is>
      </c>
      <c r="L141" s="2" t="inlineStr">
        <is>
          <t>ok</t>
        </is>
      </c>
      <c r="M141" s="2" t="inlineStr">
        <is>
          <t>demo reviewer</t>
        </is>
      </c>
      <c r="N141" s="2" t="n"/>
      <c r="O141" s="3" t="inlineStr">
        <is>
          <t>https://vanillabonds.com/dossier-data/pdf/katjes/katjes-2023-annual-report.pdf#page=35</t>
        </is>
      </c>
    </row>
    <row r="142">
      <c r="A142" s="2" t="inlineStr">
        <is>
          <t>F141</t>
        </is>
      </c>
      <c r="B142" s="2" t="inlineStr">
        <is>
          <t>management</t>
        </is>
      </c>
      <c r="C142" s="2" t="inlineStr">
        <is>
          <t>reporting_practice</t>
        </is>
      </c>
      <c r="D142" s="3" t="inlineStr">
        <is>
          <t>Monitoring: KPI reporting, frequency, budget process, controlling</t>
        </is>
      </c>
      <c r="E142" s="2" t="n"/>
      <c r="F142" s="2" t="n"/>
      <c r="G142" s="2" t="n"/>
      <c r="H142" s="3" t="inlineStr">
        <is>
          <t>Internal reporting to identify risks from business operations plus regular management meetings form the risk management and control system.</t>
        </is>
      </c>
      <c r="I142" s="2" t="inlineStr">
        <is>
          <t>S1</t>
        </is>
      </c>
      <c r="J142" s="2" t="n">
        <v>40</v>
      </c>
      <c r="K142" s="3" t="inlineStr">
        <is>
          <t>This includes adequate internal reporting to identify risks from business operations, as well as</t>
        </is>
      </c>
      <c r="L142" s="2" t="inlineStr">
        <is>
          <t>ok</t>
        </is>
      </c>
      <c r="M142" s="2" t="inlineStr">
        <is>
          <t>demo reviewer</t>
        </is>
      </c>
      <c r="N142" s="2" t="n"/>
      <c r="O142" s="3" t="inlineStr">
        <is>
          <t>https://vanillabonds.com/dossier-data/pdf/katjes/katjes-2023-annual-report.pdf#page=40</t>
        </is>
      </c>
    </row>
    <row r="143">
      <c r="A143" s="2" t="inlineStr">
        <is>
          <t>F142</t>
        </is>
      </c>
      <c r="B143" s="2" t="inlineStr">
        <is>
          <t>management</t>
        </is>
      </c>
      <c r="C143" s="2" t="inlineStr">
        <is>
          <t>reporting_practice</t>
        </is>
      </c>
      <c r="D143" s="3" t="inlineStr">
        <is>
          <t>Monitoring: KPI reporting, frequency, budget process, controlling</t>
        </is>
      </c>
      <c r="E143" s="2" t="n"/>
      <c r="F143" s="2" t="n"/>
      <c r="G143" s="2" t="n"/>
      <c r="H143" s="3" t="inlineStr">
        <is>
          <t>Cash planning is monitored and updated on a regular basis.</t>
        </is>
      </c>
      <c r="I143" s="2" t="inlineStr">
        <is>
          <t>S1</t>
        </is>
      </c>
      <c r="J143" s="2" t="n">
        <v>62</v>
      </c>
      <c r="K143" s="3" t="inlineStr">
        <is>
          <t>The Group monitors and updates its cash planning on a regular basis.</t>
        </is>
      </c>
      <c r="L143" s="2" t="inlineStr">
        <is>
          <t>ok</t>
        </is>
      </c>
      <c r="M143" s="2" t="inlineStr">
        <is>
          <t>demo reviewer</t>
        </is>
      </c>
      <c r="N143" s="2" t="n"/>
      <c r="O143" s="3" t="inlineStr">
        <is>
          <t>https://vanillabonds.com/dossier-data/pdf/katjes/katjes-2023-annual-report.pdf#page=62</t>
        </is>
      </c>
    </row>
    <row r="144">
      <c r="A144" s="2" t="inlineStr">
        <is>
          <t>F143</t>
        </is>
      </c>
      <c r="B144" s="2" t="inlineStr">
        <is>
          <t>market</t>
        </is>
      </c>
      <c r="C144" s="2" t="inlineStr">
        <is>
          <t>market_fact</t>
        </is>
      </c>
      <c r="D144" s="3" t="inlineStr">
        <is>
          <t>Market: size, growth, share, competitor capacity, regulation (source named)</t>
        </is>
      </c>
      <c r="E144" s="2" t="n"/>
      <c r="F144" s="2" t="n"/>
      <c r="G144" s="2" t="n"/>
      <c r="H144" s="3" t="inlineStr">
        <is>
          <t>company statement: Sperlari is the second largest provider in the Italian sugar confectionery market and market leader in sugar-free candies, seasonal products and sweeteners.</t>
        </is>
      </c>
      <c r="I144" s="2" t="inlineStr">
        <is>
          <t>S1</t>
        </is>
      </c>
      <c r="J144" s="2" t="n">
        <v>27</v>
      </c>
      <c r="K144" s="3" t="inlineStr">
        <is>
          <t>lian sugar confectionery market, and the market leader in the segment for sugar-free candies, seasonal pro‐</t>
        </is>
      </c>
      <c r="L144" s="2" t="inlineStr">
        <is>
          <t>ok</t>
        </is>
      </c>
      <c r="M144" s="2" t="inlineStr">
        <is>
          <t>demo reviewer</t>
        </is>
      </c>
      <c r="N144" s="2" t="n"/>
      <c r="O144" s="3" t="inlineStr">
        <is>
          <t>https://vanillabonds.com/dossier-data/pdf/katjes/katjes-2023-annual-report.pdf#page=27</t>
        </is>
      </c>
    </row>
    <row r="145">
      <c r="A145" s="2" t="inlineStr">
        <is>
          <t>F144</t>
        </is>
      </c>
      <c r="B145" s="2" t="inlineStr">
        <is>
          <t>market</t>
        </is>
      </c>
      <c r="C145" s="2" t="inlineStr">
        <is>
          <t>market_fact</t>
        </is>
      </c>
      <c r="D145" s="3" t="inlineStr">
        <is>
          <t>Market: size, growth, share, competitor capacity, regulation (source named)</t>
        </is>
      </c>
      <c r="E145" s="2" t="n"/>
      <c r="F145" s="2" t="n"/>
      <c r="G145" s="2" t="n"/>
      <c r="H145" s="3" t="inlineStr">
        <is>
          <t>company statement: Bübchen is the market leader in the baby and kids body care segment in Germany (since May 2020 in the group).</t>
        </is>
      </c>
      <c r="I145" s="2" t="inlineStr">
        <is>
          <t>S1</t>
        </is>
      </c>
      <c r="J145" s="2" t="n">
        <v>27</v>
      </c>
      <c r="K145" s="3" t="inlineStr">
        <is>
          <t>Since May 2020 Bübchen, the market leader in the baby &amp; kids body care segment in Germany, is part of the Kat‐</t>
        </is>
      </c>
      <c r="L145" s="2" t="inlineStr">
        <is>
          <t>ok</t>
        </is>
      </c>
      <c r="M145" s="2" t="inlineStr">
        <is>
          <t>demo reviewer</t>
        </is>
      </c>
      <c r="N145" s="2" t="n"/>
      <c r="O145" s="3" t="inlineStr">
        <is>
          <t>https://vanillabonds.com/dossier-data/pdf/katjes/katjes-2023-annual-report.pdf#page=27</t>
        </is>
      </c>
    </row>
    <row r="146">
      <c r="A146" s="2" t="inlineStr">
        <is>
          <t>F145</t>
        </is>
      </c>
      <c r="B146" s="2" t="inlineStr">
        <is>
          <t>market</t>
        </is>
      </c>
      <c r="C146" s="2" t="inlineStr">
        <is>
          <t>market_fact</t>
        </is>
      </c>
      <c r="D146" s="3" t="inlineStr">
        <is>
          <t>Market: size, growth, share, competitor capacity, regulation (source named)</t>
        </is>
      </c>
      <c r="E146" s="2" t="n"/>
      <c r="F146" s="2" t="n"/>
      <c r="G146" s="2" t="n"/>
      <c r="H146" s="3" t="inlineStr">
        <is>
          <t>company statement: Harlekijntjes makes the best-selling liquorice product in the Netherlands by volume.</t>
        </is>
      </c>
      <c r="I146" s="2" t="inlineStr">
        <is>
          <t>S1</t>
        </is>
      </c>
      <c r="J146" s="2" t="n">
        <v>27</v>
      </c>
      <c r="K146" s="3" t="inlineStr">
        <is>
          <t>Dutch company Harlekijntjes, which makes the country’s best-selling liquorice product (based on volume).</t>
        </is>
      </c>
      <c r="L146" s="2" t="inlineStr">
        <is>
          <t>ok</t>
        </is>
      </c>
      <c r="M146" s="2" t="inlineStr">
        <is>
          <t>demo reviewer</t>
        </is>
      </c>
      <c r="N146" s="2" t="n"/>
      <c r="O146" s="3" t="inlineStr">
        <is>
          <t>https://vanillabonds.com/dossier-data/pdf/katjes/katjes-2023-annual-report.pdf#page=27</t>
        </is>
      </c>
    </row>
    <row r="147">
      <c r="A147" s="2" t="inlineStr">
        <is>
          <t>F146</t>
        </is>
      </c>
      <c r="B147" s="2" t="inlineStr">
        <is>
          <t>market</t>
        </is>
      </c>
      <c r="C147" s="2" t="inlineStr">
        <is>
          <t>market_fact</t>
        </is>
      </c>
      <c r="D147" s="3" t="inlineStr">
        <is>
          <t>Market: size, growth, share, competitor capacity, regulation (source named)</t>
        </is>
      </c>
      <c r="E147" s="2" t="n"/>
      <c r="F147" s="2" t="n"/>
      <c r="G147" s="2" t="n"/>
      <c r="H147" s="3" t="inlineStr">
        <is>
          <t>company statement: Dallmann's sage cough drops lead German pharmacies by number of packets sold; Piasten is one of the largest German producers of chocolate dragees.</t>
        </is>
      </c>
      <c r="I147" s="2" t="inlineStr">
        <is>
          <t>S1</t>
        </is>
      </c>
      <c r="J147" s="2" t="n">
        <v>27</v>
      </c>
      <c r="K147" s="3" t="inlineStr">
        <is>
          <t>International since 2012) is the leader in German phar‐ macies in terms of number of packets sold.</t>
        </is>
      </c>
      <c r="L147" s="2" t="inlineStr">
        <is>
          <t>ok</t>
        </is>
      </c>
      <c r="M147" s="2" t="inlineStr">
        <is>
          <t>demo reviewer</t>
        </is>
      </c>
      <c r="N147" s="2" t="n"/>
      <c r="O147" s="3" t="inlineStr">
        <is>
          <t>https://vanillabonds.com/dossier-data/pdf/katjes/katjes-2023-annual-report.pdf#page=27</t>
        </is>
      </c>
    </row>
    <row r="148">
      <c r="A148" s="2" t="inlineStr">
        <is>
          <t>F147</t>
        </is>
      </c>
      <c r="B148" s="2" t="inlineStr">
        <is>
          <t>market</t>
        </is>
      </c>
      <c r="C148" s="2" t="inlineStr">
        <is>
          <t>market_fact</t>
        </is>
      </c>
      <c r="D148" s="3" t="inlineStr">
        <is>
          <t>Market: size, growth, share, competitor capacity, regulation (source named)</t>
        </is>
      </c>
      <c r="E148" s="2" t="n"/>
      <c r="F148" s="2" t="n"/>
      <c r="G148" s="2" t="n"/>
      <c r="H148" s="3" t="inlineStr">
        <is>
          <t>company statement: Vademecum is the leading organic toothpaste in France; Licor del Polo is the No. 1 toothpaste brand for children in Spain; Antica Erboristeria has over 85% brand awareness in Italy.</t>
        </is>
      </c>
      <c r="I148" s="2" t="inlineStr">
        <is>
          <t>S1</t>
        </is>
      </c>
      <c r="J148" s="2" t="n">
        <v>27</v>
      </c>
      <c r="K148" s="3" t="inlineStr">
        <is>
          <t>For instance, Vademecum is the leading organic toothpaste in France. Licor del Polo has</t>
        </is>
      </c>
      <c r="L148" s="2" t="inlineStr">
        <is>
          <t>ok</t>
        </is>
      </c>
      <c r="M148" s="2" t="inlineStr">
        <is>
          <t>demo reviewer</t>
        </is>
      </c>
      <c r="N148" s="2" t="n"/>
      <c r="O148" s="3" t="inlineStr">
        <is>
          <t>https://vanillabonds.com/dossier-data/pdf/katjes/katjes-2023-annual-report.pdf#page=27</t>
        </is>
      </c>
    </row>
    <row r="149">
      <c r="A149" s="2" t="inlineStr">
        <is>
          <t>F148</t>
        </is>
      </c>
      <c r="B149" s="2" t="inlineStr">
        <is>
          <t>market</t>
        </is>
      </c>
      <c r="C149" s="2" t="inlineStr">
        <is>
          <t>market_fact</t>
        </is>
      </c>
      <c r="D149" s="3" t="inlineStr">
        <is>
          <t>Market: size, growth, share, competitor capacity, regulation (source named)</t>
        </is>
      </c>
      <c r="E149" s="2" t="n"/>
      <c r="F149" s="2" t="n"/>
      <c r="G149" s="2" t="n"/>
      <c r="H149" s="3" t="inlineStr">
        <is>
          <t>cites statista, November 2023: the European sugar confectionery market is predicted to reach just under EUR 298bn by 2028; German sugar confectionery market grew just under 4% in 2023.</t>
        </is>
      </c>
      <c r="I149" s="2" t="inlineStr">
        <is>
          <t>S1</t>
        </is>
      </c>
      <c r="J149" s="2" t="n">
        <v>29</v>
      </c>
      <c r="K149" s="3" t="inlineStr">
        <is>
          <t>dicting that the European sugar confectionery market will continue to grow and will reach a volume of just under EUR 298 billion by 2028.</t>
        </is>
      </c>
      <c r="L149" s="2" t="inlineStr">
        <is>
          <t>ok</t>
        </is>
      </c>
      <c r="M149" s="2" t="inlineStr">
        <is>
          <t>demo reviewer</t>
        </is>
      </c>
      <c r="N149" s="2" t="n"/>
      <c r="O149" s="3" t="inlineStr">
        <is>
          <t>https://vanillabonds.com/dossier-data/pdf/katjes/katjes-2023-annual-report.pdf#page=29</t>
        </is>
      </c>
    </row>
    <row r="150">
      <c r="A150" s="2" t="inlineStr">
        <is>
          <t>F149</t>
        </is>
      </c>
      <c r="B150" s="2" t="inlineStr">
        <is>
          <t>market</t>
        </is>
      </c>
      <c r="C150" s="2" t="inlineStr">
        <is>
          <t>market_fact</t>
        </is>
      </c>
      <c r="D150" s="3" t="inlineStr">
        <is>
          <t>Market: size, growth, share, competitor capacity, regulation (source named)</t>
        </is>
      </c>
      <c r="E150" s="2" t="n"/>
      <c r="F150" s="2" t="n"/>
      <c r="G150" s="2" t="n"/>
      <c r="H150" s="3" t="inlineStr">
        <is>
          <t>company statement: FMCG sales markets (sugar confectionery, body care) show low sensitivity to business cycles; sugar confectionery business is subject to seasonal fluctuations.</t>
        </is>
      </c>
      <c r="I150" s="2" t="inlineStr">
        <is>
          <t>S1</t>
        </is>
      </c>
      <c r="J150" s="2" t="n">
        <v>29</v>
      </c>
      <c r="K150" s="3" t="inlineStr">
        <is>
          <t>The sales markets for FMCG were characterised by low sensitivity to business cycles and high economic resili‐</t>
        </is>
      </c>
      <c r="L150" s="2" t="inlineStr">
        <is>
          <t>ok</t>
        </is>
      </c>
      <c r="M150" s="2" t="inlineStr">
        <is>
          <t>demo reviewer</t>
        </is>
      </c>
      <c r="N150" s="2" t="n"/>
      <c r="O150" s="3" t="inlineStr">
        <is>
          <t>https://vanillabonds.com/dossier-data/pdf/katjes/katjes-2023-annual-report.pdf#page=29</t>
        </is>
      </c>
    </row>
    <row r="151">
      <c r="A151" s="2" t="inlineStr">
        <is>
          <t>F150</t>
        </is>
      </c>
      <c r="B151" s="2" t="inlineStr">
        <is>
          <t>market</t>
        </is>
      </c>
      <c r="C151" s="2" t="inlineStr">
        <is>
          <t>market_fact</t>
        </is>
      </c>
      <c r="D151" s="3" t="inlineStr">
        <is>
          <t>Market: size, growth, share, competitor capacity, regulation (source named)</t>
        </is>
      </c>
      <c r="E151" s="2" t="n"/>
      <c r="F151" s="2" t="n"/>
      <c r="G151" s="2" t="n"/>
      <c r="H151" s="3" t="inlineStr">
        <is>
          <t>company statement: CPK (Carambar, Lutti, Poulain, Terry's) is the number two in the French sugar confectionery market; Lutti was the fastest-growing sugar confectionery brand among major suppliers in France in 2023.</t>
        </is>
      </c>
      <c r="I151" s="2" t="inlineStr">
        <is>
          <t>S1</t>
        </is>
      </c>
      <c r="J151" s="2" t="n">
        <v>32</v>
      </c>
      <c r="K151" s="3" t="inlineStr">
        <is>
          <t>The 23% stake in CPK, the number two in the French sugar confectionery market, is consolidated using the equity method.</t>
        </is>
      </c>
      <c r="L151" s="2" t="inlineStr">
        <is>
          <t>ok</t>
        </is>
      </c>
      <c r="M151" s="2" t="inlineStr">
        <is>
          <t>demo reviewer</t>
        </is>
      </c>
      <c r="N151" s="2" t="n"/>
      <c r="O151" s="3" t="inlineStr">
        <is>
          <t>https://vanillabonds.com/dossier-data/pdf/katjes/katjes-2023-annual-report.pdf#page=32</t>
        </is>
      </c>
    </row>
    <row r="152">
      <c r="A152" s="2" t="inlineStr">
        <is>
          <t>F151</t>
        </is>
      </c>
      <c r="B152" s="2" t="inlineStr">
        <is>
          <t>market</t>
        </is>
      </c>
      <c r="C152" s="2" t="inlineStr">
        <is>
          <t>concentration</t>
        </is>
      </c>
      <c r="D152" s="3" t="inlineStr">
        <is>
          <t>Concentration: top customers / suppliers share, key contracts, sites</t>
        </is>
      </c>
      <c r="E152" s="2" t="n"/>
      <c r="F152" s="2" t="n"/>
      <c r="G152" s="2" t="n"/>
      <c r="H152" s="3" t="inlineStr">
        <is>
          <t>Sites: Italy 30.6% of 2023 sales (2022: 29.2%), Germany 27.7% (29.4%), Netherlands 4.4% (5.3%), UK 4.0% (4.8%), other EU + Switzerland 28.6% (25.9%), outside EU 4.8% (5.4%).</t>
        </is>
      </c>
      <c r="I152" s="2" t="inlineStr">
        <is>
          <t>S1</t>
        </is>
      </c>
      <c r="J152" s="2" t="n">
        <v>32</v>
      </c>
      <c r="K152" s="3" t="inlineStr">
        <is>
          <t>Katjes International generated 30.6% of its sales in Italy (previous year: 29.2%) and 27.7% in Germany (previous year: 29.4%).</t>
        </is>
      </c>
      <c r="L152" s="2" t="inlineStr">
        <is>
          <t>ok</t>
        </is>
      </c>
      <c r="M152" s="2" t="inlineStr">
        <is>
          <t>demo reviewer</t>
        </is>
      </c>
      <c r="N152" s="2" t="n"/>
      <c r="O152" s="3" t="inlineStr">
        <is>
          <t>https://vanillabonds.com/dossier-data/pdf/katjes/katjes-2023-annual-report.pdf#page=32</t>
        </is>
      </c>
    </row>
    <row r="153">
      <c r="A153" s="2" t="inlineStr">
        <is>
          <t>F152</t>
        </is>
      </c>
      <c r="B153" s="2" t="inlineStr">
        <is>
          <t>market</t>
        </is>
      </c>
      <c r="C153" s="2" t="inlineStr">
        <is>
          <t>concentration</t>
        </is>
      </c>
      <c r="D153" s="3" t="inlineStr">
        <is>
          <t>Concentration: top customers / suppliers share, key contracts, sites</t>
        </is>
      </c>
      <c r="E153" s="2" t="n"/>
      <c r="F153" s="2" t="n"/>
      <c r="G153" s="2" t="n"/>
      <c r="H153" s="3" t="inlineStr">
        <is>
          <t>Company statement: no significant concentrations of credit risk at the balance sheet date; maximum default risk equals receivables carrying amount EUR 57.3m (2022: 47.5); no security deposits received.</t>
        </is>
      </c>
      <c r="I153" s="2" t="inlineStr">
        <is>
          <t>S1</t>
        </is>
      </c>
      <c r="J153" s="2" t="n">
        <v>61</v>
      </c>
      <c r="K153" s="3" t="inlineStr">
        <is>
          <t>No significant concentrations of risk were apparent as at the balance sheet date.</t>
        </is>
      </c>
      <c r="L153" s="2" t="inlineStr">
        <is>
          <t>ok</t>
        </is>
      </c>
      <c r="M153" s="2" t="inlineStr">
        <is>
          <t>demo reviewer</t>
        </is>
      </c>
      <c r="N153" s="2" t="n"/>
      <c r="O153" s="3" t="inlineStr">
        <is>
          <t>https://vanillabonds.com/dossier-data/pdf/katjes/katjes-2023-annual-report.pdf#page=61</t>
        </is>
      </c>
    </row>
    <row r="154">
      <c r="A154" s="2" t="inlineStr">
        <is>
          <t>F153</t>
        </is>
      </c>
      <c r="B154" s="2" t="inlineStr">
        <is>
          <t>market</t>
        </is>
      </c>
      <c r="C154" s="2" t="inlineStr">
        <is>
          <t>concentration</t>
        </is>
      </c>
      <c r="D154" s="3" t="inlineStr">
        <is>
          <t>Concentration: top customers / suppliers share, key contracts, sites</t>
        </is>
      </c>
      <c r="E154" s="2" t="n"/>
      <c r="F154" s="2" t="n"/>
      <c r="G154" s="2" t="n"/>
      <c r="H154" s="3" t="inlineStr">
        <is>
          <t>Products sold primarily through food retailers and drugstores; management names concentration risk from major customers in food retail.</t>
        </is>
      </c>
      <c r="I154" s="2" t="inlineStr">
        <is>
          <t>S1</t>
        </is>
      </c>
      <c r="J154" s="2" t="n">
        <v>81</v>
      </c>
      <c r="K154" s="3" t="inlineStr">
        <is>
          <t>The products are sold primarily through food retailers and drugstores.</t>
        </is>
      </c>
      <c r="L154" s="2" t="inlineStr">
        <is>
          <t>ok</t>
        </is>
      </c>
      <c r="M154" s="2" t="inlineStr">
        <is>
          <t>demo reviewer</t>
        </is>
      </c>
      <c r="N154" s="2" t="n"/>
      <c r="O154" s="3" t="inlineStr">
        <is>
          <t>https://vanillabonds.com/dossier-data/pdf/katjes/katjes-2023-annual-report.pdf#page=81</t>
        </is>
      </c>
    </row>
    <row r="155">
      <c r="A155" s="2" t="inlineStr">
        <is>
          <t>F154</t>
        </is>
      </c>
      <c r="B155" s="2" t="inlineStr">
        <is>
          <t>plan</t>
        </is>
      </c>
      <c r="C155" s="2" t="inlineStr">
        <is>
          <t>plan_item</t>
        </is>
      </c>
      <c r="D155" s="3" t="inlineStr">
        <is>
          <t>Investment plan item: what, amount, timing, contracted / ordered / planned</t>
        </is>
      </c>
      <c r="E155" s="2" t="n"/>
      <c r="F155" s="2" t="n">
        <v>6.4</v>
      </c>
      <c r="G155" s="2" t="n"/>
      <c r="H155" s="3" t="inlineStr">
        <is>
          <t>what: takeover of the Viersen production site (oral care) including around 50 employees; amount: remaining purchase price liability 6.4; timing: beginning of 2024 (2 January 2024); status: contracted 7 December 2022, completed</t>
        </is>
      </c>
      <c r="I155" s="2" t="inlineStr">
        <is>
          <t>S1</t>
        </is>
      </c>
      <c r="J155" s="2" t="n">
        <v>21</v>
      </c>
      <c r="K155" s="3" t="inlineStr">
        <is>
          <t>in Viersen, including around 50 employees, at the beginning of 2024.</t>
        </is>
      </c>
      <c r="L155" s="2" t="inlineStr">
        <is>
          <t>ok</t>
        </is>
      </c>
      <c r="M155" s="2" t="inlineStr">
        <is>
          <t>demo reviewer</t>
        </is>
      </c>
      <c r="N155" s="2" t="n"/>
      <c r="O155" s="3" t="inlineStr">
        <is>
          <t>https://vanillabonds.com/dossier-data/pdf/katjes/katjes-2023-annual-report.pdf#page=21</t>
        </is>
      </c>
    </row>
    <row r="156">
      <c r="A156" s="2" t="inlineStr">
        <is>
          <t>F155</t>
        </is>
      </c>
      <c r="B156" s="2" t="inlineStr">
        <is>
          <t>plan</t>
        </is>
      </c>
      <c r="C156" s="2" t="inlineStr">
        <is>
          <t>debt_maturing</t>
        </is>
      </c>
      <c r="D156" s="2" t="inlineStr">
        <is>
          <t>Debt principal falling due in the period</t>
        </is>
      </c>
      <c r="E156" s="2" t="inlineStr">
        <is>
          <t>FY2024E</t>
        </is>
      </c>
      <c r="F156" s="2" t="n">
        <v>35.2</v>
      </c>
      <c r="G156" s="2" t="inlineStr">
        <is>
          <t>EUR m</t>
        </is>
      </c>
      <c r="H156" s="3" t="inlineStr">
        <is>
          <t>Current financial liabilities due within one year at 31 Dec 2023 (undiscounted, excl. interest), incl. lease liabilities 2.9 and Viersen site liability</t>
        </is>
      </c>
      <c r="I156" s="2" t="inlineStr">
        <is>
          <t>S1</t>
        </is>
      </c>
      <c r="J156" s="2" t="n">
        <v>63</v>
      </c>
      <c r="K156" s="3" t="inlineStr">
        <is>
          <t>Current financial liabilities (incl. liabilities from leases) 35.2 0.0 0.0 0.0 35.2 35.2</t>
        </is>
      </c>
      <c r="L156" s="2" t="inlineStr">
        <is>
          <t>ok</t>
        </is>
      </c>
      <c r="M156" s="2" t="inlineStr">
        <is>
          <t>demo reviewer</t>
        </is>
      </c>
      <c r="N156" s="2" t="n"/>
      <c r="O156" s="3" t="inlineStr">
        <is>
          <t>https://vanillabonds.com/dossier-data/pdf/katjes/katjes-2023-annual-report.pdf#page=63</t>
        </is>
      </c>
    </row>
    <row r="157">
      <c r="A157" s="2" t="inlineStr">
        <is>
          <t>F156</t>
        </is>
      </c>
      <c r="B157" s="2" t="inlineStr">
        <is>
          <t>plan</t>
        </is>
      </c>
      <c r="C157" s="2" t="inlineStr">
        <is>
          <t>debt_maturing</t>
        </is>
      </c>
      <c r="D157" s="2" t="inlineStr">
        <is>
          <t>Debt principal falling due in the period</t>
        </is>
      </c>
      <c r="E157" s="2" t="inlineStr">
        <is>
          <t>FY2025E</t>
        </is>
      </c>
      <c r="F157" s="2" t="n">
        <v>15.1</v>
      </c>
      <c r="G157" s="2" t="inlineStr">
        <is>
          <t>EUR m</t>
        </is>
      </c>
      <c r="H157" s="3" t="inlineStr">
        <is>
          <t>Financial liabilities due in one to two years at 31 Dec 2023 (undiscounted, excl. interest), incl. lease liabilities 1.9</t>
        </is>
      </c>
      <c r="I157" s="2" t="inlineStr">
        <is>
          <t>S1</t>
        </is>
      </c>
      <c r="J157" s="2" t="n">
        <v>63</v>
      </c>
      <c r="K157" s="3" t="inlineStr">
        <is>
          <t>Non-current financial liabilities (incl. liabilities from leases) 0.0 15.1 137.4 4.2 156.7 156.7</t>
        </is>
      </c>
      <c r="L157" s="2" t="inlineStr">
        <is>
          <t>pend</t>
        </is>
      </c>
      <c r="M157" s="2" t="n"/>
      <c r="N157" s="3" t="inlineStr">
        <is>
          <t>conflict: S1·p63 15.1 vs S2·p59 37.4; primary per fact agent: S2 p59 - S2's maturity table at 31 Dec 2024 is the later audited measurement of amounts due in 2025; S1's 15.1 is the one-to-two-year band at 31 Dec 2023.</t>
        </is>
      </c>
      <c r="O157" s="3" t="inlineStr">
        <is>
          <t>https://vanillabonds.com/dossier-data/pdf/katjes/katjes-2023-annual-report.pdf#page=63</t>
        </is>
      </c>
    </row>
    <row r="158">
      <c r="A158" s="2" t="inlineStr">
        <is>
          <t>F157</t>
        </is>
      </c>
      <c r="B158" s="2" t="inlineStr">
        <is>
          <t>plan</t>
        </is>
      </c>
      <c r="C158" s="2" t="inlineStr">
        <is>
          <t>issue_cost</t>
        </is>
      </c>
      <c r="D158" s="3" t="inlineStr">
        <is>
          <t>Issue cost item: item (notary, trustee, listing, legal, VAT); amount; source</t>
        </is>
      </c>
      <c r="E158" s="2" t="n"/>
      <c r="F158" s="2" t="n">
        <v>2.8</v>
      </c>
      <c r="G158" s="2" t="n"/>
      <c r="H158" s="3" t="inlineStr">
        <is>
          <t>item: incidental costs of the 2023/2028 bond; amount: 2.8; source: consolidated cash flow statement 2023</t>
        </is>
      </c>
      <c r="I158" s="2" t="inlineStr">
        <is>
          <t>S1</t>
        </is>
      </c>
      <c r="J158" s="2" t="n">
        <v>48</v>
      </c>
      <c r="K158" s="2" t="inlineStr">
        <is>
          <t>Incidental costs of the bond -2.8 0.0</t>
        </is>
      </c>
      <c r="L158" s="2" t="inlineStr">
        <is>
          <t>ok</t>
        </is>
      </c>
      <c r="M158" s="2" t="inlineStr">
        <is>
          <t>demo reviewer</t>
        </is>
      </c>
      <c r="N158" s="2" t="n"/>
      <c r="O158" s="3" t="inlineStr">
        <is>
          <t>https://vanillabonds.com/dossier-data/pdf/katjes/katjes-2023-annual-report.pdf#page=48</t>
        </is>
      </c>
    </row>
    <row r="159">
      <c r="A159" s="2" t="inlineStr">
        <is>
          <t>F158</t>
        </is>
      </c>
      <c r="B159" s="2" t="inlineStr">
        <is>
          <t>governance</t>
        </is>
      </c>
      <c r="C159" s="2" t="inlineStr">
        <is>
          <t>group_entity</t>
        </is>
      </c>
      <c r="D159" s="3" t="inlineStr">
        <is>
          <t>Group entity: entity; jurisdiction; revenue; ebitda; assets; debt; guarantor (yes / no)</t>
        </is>
      </c>
      <c r="E159" s="2" t="n"/>
      <c r="F159" s="2" t="n">
        <v>1.4</v>
      </c>
      <c r="G159" s="2" t="n"/>
      <c r="H159" s="3" t="inlineStr">
        <is>
          <t>entity: CPK S.A.S., Paris (holding of Carambar &amp; Co); jurisdiction: FR; revenue: 1.4 (2022: 2.0); assets: current 4.5, non-current 268.5, cash 0.1; debt: current liabilities 6.1, non-current 0.0; guarantor: no (associate, around 23%, equity method, carrying 63.7, loss share -0.7 in 2023)</t>
        </is>
      </c>
      <c r="I159" s="2" t="inlineStr">
        <is>
          <t>S1</t>
        </is>
      </c>
      <c r="J159" s="2" t="n">
        <v>60</v>
      </c>
      <c r="K159" s="3" t="inlineStr">
        <is>
          <t>Current assets 4.5 2.0 Non-current assets 268.5 268.5 Current liabilities 6.1 1.5</t>
        </is>
      </c>
      <c r="L159" s="2" t="inlineStr">
        <is>
          <t>ok</t>
        </is>
      </c>
      <c r="M159" s="2" t="inlineStr">
        <is>
          <t>demo reviewer</t>
        </is>
      </c>
      <c r="N159" s="2" t="n"/>
      <c r="O159" s="3" t="inlineStr">
        <is>
          <t>https://vanillabonds.com/dossier-data/pdf/katjes/katjes-2023-annual-report.pdf#page=60</t>
        </is>
      </c>
    </row>
    <row r="160">
      <c r="A160" s="2" t="inlineStr">
        <is>
          <t>F159</t>
        </is>
      </c>
      <c r="B160" s="2" t="inlineStr">
        <is>
          <t>governance</t>
        </is>
      </c>
      <c r="C160" s="2" t="inlineStr">
        <is>
          <t>group_entity</t>
        </is>
      </c>
      <c r="D160" s="3" t="inlineStr">
        <is>
          <t>Group entity: entity; jurisdiction; revenue; ebitda; assets; debt; guarantor (yes / no)</t>
        </is>
      </c>
      <c r="E160" s="2" t="n"/>
      <c r="F160" s="2" t="n"/>
      <c r="G160" s="2" t="n"/>
      <c r="H160" s="3" t="inlineStr">
        <is>
          <t>entity: Katjes France GmbH, Emmerich am Rhein; jurisdiction: DE; guarantor: not stated; stake: 100%, fully consolidated (intermediate holding for Candy Kittens and CPK)</t>
        </is>
      </c>
      <c r="I160" s="2" t="inlineStr">
        <is>
          <t>S1</t>
        </is>
      </c>
      <c r="J160" s="2" t="n">
        <v>87</v>
      </c>
      <c r="K160" s="3" t="inlineStr">
        <is>
          <t>Katjes France GmbH, Emmerich am Rhein 100 A 100 A</t>
        </is>
      </c>
      <c r="L160" s="2" t="inlineStr">
        <is>
          <t>ok</t>
        </is>
      </c>
      <c r="M160" s="2" t="inlineStr">
        <is>
          <t>demo reviewer</t>
        </is>
      </c>
      <c r="N160" s="2" t="n"/>
      <c r="O160" s="3" t="inlineStr">
        <is>
          <t>https://vanillabonds.com/dossier-data/pdf/katjes/katjes-2023-annual-report.pdf#page=87</t>
        </is>
      </c>
    </row>
    <row r="161">
      <c r="A161" s="2" t="inlineStr">
        <is>
          <t>F160</t>
        </is>
      </c>
      <c r="B161" s="2" t="inlineStr">
        <is>
          <t>governance</t>
        </is>
      </c>
      <c r="C161" s="2" t="inlineStr">
        <is>
          <t>group_entity</t>
        </is>
      </c>
      <c r="D161" s="3" t="inlineStr">
        <is>
          <t>Group entity: entity; jurisdiction; revenue; ebitda; assets; debt; guarantor (yes / no)</t>
        </is>
      </c>
      <c r="E161" s="2" t="n"/>
      <c r="F161" s="2" t="n"/>
      <c r="G161" s="2" t="n"/>
      <c r="H161" s="3" t="inlineStr">
        <is>
          <t>entity: Katjes Nederland GmbH, Emmerich am Rhein; jurisdiction: DE; guarantor: not stated; stake: 100%, fully consolidated (intermediate holding for Harlekijntjes)</t>
        </is>
      </c>
      <c r="I161" s="2" t="inlineStr">
        <is>
          <t>S1</t>
        </is>
      </c>
      <c r="J161" s="2" t="n">
        <v>87</v>
      </c>
      <c r="K161" s="3" t="inlineStr">
        <is>
          <t>Katjes Nederland GmbH, Emmerich am Rhein 100 A 100 A</t>
        </is>
      </c>
      <c r="L161" s="2" t="inlineStr">
        <is>
          <t>ok</t>
        </is>
      </c>
      <c r="M161" s="2" t="inlineStr">
        <is>
          <t>demo reviewer</t>
        </is>
      </c>
      <c r="N161" s="2" t="n"/>
      <c r="O161" s="3" t="inlineStr">
        <is>
          <t>https://vanillabonds.com/dossier-data/pdf/katjes/katjes-2023-annual-report.pdf#page=87</t>
        </is>
      </c>
    </row>
    <row r="162">
      <c r="A162" s="2" t="inlineStr">
        <is>
          <t>F161</t>
        </is>
      </c>
      <c r="B162" s="2" t="inlineStr">
        <is>
          <t>governance</t>
        </is>
      </c>
      <c r="C162" s="2" t="inlineStr">
        <is>
          <t>group_entity</t>
        </is>
      </c>
      <c r="D162" s="3" t="inlineStr">
        <is>
          <t>Group entity: entity; jurisdiction; revenue; ebitda; assets; debt; guarantor (yes / no)</t>
        </is>
      </c>
      <c r="E162" s="2" t="n"/>
      <c r="F162" s="2" t="n"/>
      <c r="G162" s="2" t="n"/>
      <c r="H162" s="3" t="inlineStr">
        <is>
          <t>entity: Katjes 21 GmbH, Emmerich am Rhein; jurisdiction: DE; guarantor: not stated; stake: 100%, fully consolidated (intermediate holding for Piasten)</t>
        </is>
      </c>
      <c r="I162" s="2" t="inlineStr">
        <is>
          <t>S1</t>
        </is>
      </c>
      <c r="J162" s="2" t="n">
        <v>87</v>
      </c>
      <c r="K162" s="3" t="inlineStr">
        <is>
          <t>Katjes 21 GmbH, Emmerich am Rhein 100 A 100 A</t>
        </is>
      </c>
      <c r="L162" s="2" t="inlineStr">
        <is>
          <t>ok</t>
        </is>
      </c>
      <c r="M162" s="2" t="inlineStr">
        <is>
          <t>demo reviewer</t>
        </is>
      </c>
      <c r="N162" s="2" t="n"/>
      <c r="O162" s="3" t="inlineStr">
        <is>
          <t>https://vanillabonds.com/dossier-data/pdf/katjes/katjes-2023-annual-report.pdf#page=87</t>
        </is>
      </c>
    </row>
    <row r="163">
      <c r="A163" s="2" t="inlineStr">
        <is>
          <t>F162</t>
        </is>
      </c>
      <c r="B163" s="2" t="inlineStr">
        <is>
          <t>governance</t>
        </is>
      </c>
      <c r="C163" s="2" t="inlineStr">
        <is>
          <t>group_entity</t>
        </is>
      </c>
      <c r="D163" s="3" t="inlineStr">
        <is>
          <t>Group entity: entity; jurisdiction; revenue; ebitda; assets; debt; guarantor (yes / no)</t>
        </is>
      </c>
      <c r="E163" s="2" t="n"/>
      <c r="F163" s="2" t="n"/>
      <c r="G163" s="2" t="n"/>
      <c r="H163" s="3" t="inlineStr">
        <is>
          <t>entity: Dallmann's Pharma Candy GmbH, Hofheim am Taunus; jurisdiction: DE; guarantor: not stated; stake: 100% via Candy Pharma GmbH, fully consolidated; sage lozenges and WICK distribution</t>
        </is>
      </c>
      <c r="I163" s="2" t="inlineStr">
        <is>
          <t>S1</t>
        </is>
      </c>
      <c r="J163" s="2" t="n">
        <v>87</v>
      </c>
      <c r="K163" s="3" t="inlineStr">
        <is>
          <t>Dallmann’s Pharma Candy GmbH, Hofheim am Taunus 100 A 100 A</t>
        </is>
      </c>
      <c r="L163" s="2" t="inlineStr">
        <is>
          <t>ok</t>
        </is>
      </c>
      <c r="M163" s="2" t="inlineStr">
        <is>
          <t>demo reviewer</t>
        </is>
      </c>
      <c r="N163" s="2" t="n"/>
      <c r="O163" s="3" t="inlineStr">
        <is>
          <t>https://vanillabonds.com/dossier-data/pdf/katjes/katjes-2023-annual-report.pdf#page=87</t>
        </is>
      </c>
    </row>
    <row r="164">
      <c r="A164" s="2" t="inlineStr">
        <is>
          <t>F163</t>
        </is>
      </c>
      <c r="B164" s="2" t="inlineStr">
        <is>
          <t>governance</t>
        </is>
      </c>
      <c r="C164" s="2" t="inlineStr">
        <is>
          <t>group_entity</t>
        </is>
      </c>
      <c r="D164" s="3" t="inlineStr">
        <is>
          <t>Group entity: entity; jurisdiction; revenue; ebitda; assets; debt; guarantor (yes / no)</t>
        </is>
      </c>
      <c r="E164" s="2" t="n"/>
      <c r="F164" s="2" t="n"/>
      <c r="G164" s="2" t="n"/>
      <c r="H164" s="3" t="inlineStr">
        <is>
          <t>entity: Candy Pharma GmbH, Hofheim am Taunus; jurisdiction: DE; guarantor: not stated; stake: 100%, fully consolidated (holding for Dallmann's, Bübchen, Bübchen Bodycare)</t>
        </is>
      </c>
      <c r="I164" s="2" t="inlineStr">
        <is>
          <t>S1</t>
        </is>
      </c>
      <c r="J164" s="2" t="n">
        <v>87</v>
      </c>
      <c r="K164" s="3" t="inlineStr">
        <is>
          <t>Candy Pharma GmbH, Hofheim am Taunus 100 A 100 A</t>
        </is>
      </c>
      <c r="L164" s="2" t="inlineStr">
        <is>
          <t>ok</t>
        </is>
      </c>
      <c r="M164" s="2" t="inlineStr">
        <is>
          <t>demo reviewer</t>
        </is>
      </c>
      <c r="N164" s="2" t="n"/>
      <c r="O164" s="3" t="inlineStr">
        <is>
          <t>https://vanillabonds.com/dossier-data/pdf/katjes/katjes-2023-annual-report.pdf#page=87</t>
        </is>
      </c>
    </row>
    <row r="165">
      <c r="A165" s="2" t="inlineStr">
        <is>
          <t>F164</t>
        </is>
      </c>
      <c r="B165" s="2" t="inlineStr">
        <is>
          <t>governance</t>
        </is>
      </c>
      <c r="C165" s="2" t="inlineStr">
        <is>
          <t>group_entity</t>
        </is>
      </c>
      <c r="D165" s="3" t="inlineStr">
        <is>
          <t>Group entity: entity; jurisdiction; revenue; ebitda; assets; debt; guarantor (yes / no)</t>
        </is>
      </c>
      <c r="E165" s="2" t="n"/>
      <c r="F165" s="2" t="n"/>
      <c r="G165" s="2" t="n"/>
      <c r="H165" s="3" t="inlineStr">
        <is>
          <t>entity: Piasten GmbH, Forchheim; jurisdiction: DE; guarantor: not stated; stake: 100% via Katjes 24 GmbH and Katjes 21 GmbH, fully consolidated; dragees, Treets; 87% of trade receivables factored</t>
        </is>
      </c>
      <c r="I165" s="2" t="inlineStr">
        <is>
          <t>S1</t>
        </is>
      </c>
      <c r="J165" s="2" t="n">
        <v>87</v>
      </c>
      <c r="K165" s="2" t="inlineStr">
        <is>
          <t>Piasten GmbH, Forchheim 100 A 100 A</t>
        </is>
      </c>
      <c r="L165" s="2" t="inlineStr">
        <is>
          <t>ok</t>
        </is>
      </c>
      <c r="M165" s="2" t="inlineStr">
        <is>
          <t>demo reviewer</t>
        </is>
      </c>
      <c r="N165" s="2" t="n"/>
      <c r="O165" s="3" t="inlineStr">
        <is>
          <t>https://vanillabonds.com/dossier-data/pdf/katjes/katjes-2023-annual-report.pdf#page=87</t>
        </is>
      </c>
    </row>
    <row r="166">
      <c r="A166" s="2" t="inlineStr">
        <is>
          <t>F165</t>
        </is>
      </c>
      <c r="B166" s="2" t="inlineStr">
        <is>
          <t>governance</t>
        </is>
      </c>
      <c r="C166" s="2" t="inlineStr">
        <is>
          <t>group_entity</t>
        </is>
      </c>
      <c r="D166" s="3" t="inlineStr">
        <is>
          <t>Group entity: entity; jurisdiction; revenue; ebitda; assets; debt; guarantor (yes / no)</t>
        </is>
      </c>
      <c r="E166" s="2" t="n"/>
      <c r="F166" s="2" t="n"/>
      <c r="G166" s="2" t="n"/>
      <c r="H166" s="3" t="inlineStr">
        <is>
          <t>entity: Treets GmbH, Forchheim; jurisdiction: DE; guarantor: not stated; stake: 100%, fully consolidated</t>
        </is>
      </c>
      <c r="I166" s="2" t="inlineStr">
        <is>
          <t>S1</t>
        </is>
      </c>
      <c r="J166" s="2" t="n">
        <v>87</v>
      </c>
      <c r="K166" s="2" t="inlineStr">
        <is>
          <t>Treets GmbH, Forchheim 100 A 100 A</t>
        </is>
      </c>
      <c r="L166" s="2" t="inlineStr">
        <is>
          <t>ok</t>
        </is>
      </c>
      <c r="M166" s="2" t="inlineStr">
        <is>
          <t>demo reviewer</t>
        </is>
      </c>
      <c r="N166" s="2" t="n"/>
      <c r="O166" s="3" t="inlineStr">
        <is>
          <t>https://vanillabonds.com/dossier-data/pdf/katjes/katjes-2023-annual-report.pdf#page=87</t>
        </is>
      </c>
    </row>
    <row r="167">
      <c r="A167" s="2" t="inlineStr">
        <is>
          <t>F166</t>
        </is>
      </c>
      <c r="B167" s="2" t="inlineStr">
        <is>
          <t>governance</t>
        </is>
      </c>
      <c r="C167" s="2" t="inlineStr">
        <is>
          <t>group_entity</t>
        </is>
      </c>
      <c r="D167" s="3" t="inlineStr">
        <is>
          <t>Group entity: entity; jurisdiction; revenue; ebitda; assets; debt; guarantor (yes / no)</t>
        </is>
      </c>
      <c r="E167" s="2" t="n"/>
      <c r="F167" s="2" t="n"/>
      <c r="G167" s="2" t="n"/>
      <c r="H167" s="3" t="inlineStr">
        <is>
          <t>entity: CCV-Vertriebs-GmbH, Forchheim; jurisdiction: DE; guarantor: not stated; stake: 100%, fully consolidated</t>
        </is>
      </c>
      <c r="I167" s="2" t="inlineStr">
        <is>
          <t>S1</t>
        </is>
      </c>
      <c r="J167" s="2" t="n">
        <v>87</v>
      </c>
      <c r="K167" s="3" t="inlineStr">
        <is>
          <t>CCV-Vertriebs-GmbH, Forchheim 100 A 100 A</t>
        </is>
      </c>
      <c r="L167" s="2" t="inlineStr">
        <is>
          <t>ok</t>
        </is>
      </c>
      <c r="M167" s="2" t="inlineStr">
        <is>
          <t>demo reviewer</t>
        </is>
      </c>
      <c r="N167" s="2" t="n"/>
      <c r="O167" s="3" t="inlineStr">
        <is>
          <t>https://vanillabonds.com/dossier-data/pdf/katjes/katjes-2023-annual-report.pdf#page=87</t>
        </is>
      </c>
    </row>
    <row r="168">
      <c r="A168" s="2" t="inlineStr">
        <is>
          <t>F167</t>
        </is>
      </c>
      <c r="B168" s="2" t="inlineStr">
        <is>
          <t>governance</t>
        </is>
      </c>
      <c r="C168" s="2" t="inlineStr">
        <is>
          <t>group_entity</t>
        </is>
      </c>
      <c r="D168" s="3" t="inlineStr">
        <is>
          <t>Group entity: entity; jurisdiction; revenue; ebitda; assets; debt; guarantor (yes / no)</t>
        </is>
      </c>
      <c r="E168" s="2" t="n"/>
      <c r="F168" s="2" t="n"/>
      <c r="G168" s="2" t="n"/>
      <c r="H168" s="3" t="inlineStr">
        <is>
          <t>entity: Katjes 24 GmbH, Emmerich; jurisdiction: DE; guarantor: not stated; stake: 100%, fully consolidated (intermediate holding)</t>
        </is>
      </c>
      <c r="I168" s="2" t="inlineStr">
        <is>
          <t>S1</t>
        </is>
      </c>
      <c r="J168" s="2" t="n">
        <v>87</v>
      </c>
      <c r="K168" s="2" t="inlineStr">
        <is>
          <t>Katjes 24 GmbH, Emmerich 100 A 100 A</t>
        </is>
      </c>
      <c r="L168" s="2" t="inlineStr">
        <is>
          <t>ok</t>
        </is>
      </c>
      <c r="M168" s="2" t="inlineStr">
        <is>
          <t>demo reviewer</t>
        </is>
      </c>
      <c r="N168" s="2" t="n"/>
      <c r="O168" s="3" t="inlineStr">
        <is>
          <t>https://vanillabonds.com/dossier-data/pdf/katjes/katjes-2023-annual-report.pdf#page=87</t>
        </is>
      </c>
    </row>
    <row r="169">
      <c r="A169" s="2" t="inlineStr">
        <is>
          <t>F168</t>
        </is>
      </c>
      <c r="B169" s="2" t="inlineStr">
        <is>
          <t>governance</t>
        </is>
      </c>
      <c r="C169" s="2" t="inlineStr">
        <is>
          <t>group_entity</t>
        </is>
      </c>
      <c r="D169" s="3" t="inlineStr">
        <is>
          <t>Group entity: entity; jurisdiction; revenue; ebitda; assets; debt; guarantor (yes / no)</t>
        </is>
      </c>
      <c r="E169" s="2" t="n"/>
      <c r="F169" s="2" t="n"/>
      <c r="G169" s="2" t="n"/>
      <c r="H169" s="3" t="inlineStr">
        <is>
          <t>entity: Katjes Italy GmbH, Emmerich; jurisdiction: DE; guarantor: not stated; stake: 100%, fully consolidated (intermediate holding for Sperlari, Dulcioliva, Paluani)</t>
        </is>
      </c>
      <c r="I169" s="2" t="inlineStr">
        <is>
          <t>S1</t>
        </is>
      </c>
      <c r="J169" s="2" t="n">
        <v>87</v>
      </c>
      <c r="K169" s="2" t="inlineStr">
        <is>
          <t>Katjes Italy GmbH, Emmerich 100 A 100 A</t>
        </is>
      </c>
      <c r="L169" s="2" t="inlineStr">
        <is>
          <t>ok</t>
        </is>
      </c>
      <c r="M169" s="2" t="inlineStr">
        <is>
          <t>demo reviewer</t>
        </is>
      </c>
      <c r="N169" s="2" t="n"/>
      <c r="O169" s="3" t="inlineStr">
        <is>
          <t>https://vanillabonds.com/dossier-data/pdf/katjes/katjes-2023-annual-report.pdf#page=87</t>
        </is>
      </c>
    </row>
    <row r="170">
      <c r="A170" s="2" t="inlineStr">
        <is>
          <t>F169</t>
        </is>
      </c>
      <c r="B170" s="2" t="inlineStr">
        <is>
          <t>governance</t>
        </is>
      </c>
      <c r="C170" s="2" t="inlineStr">
        <is>
          <t>group_entity</t>
        </is>
      </c>
      <c r="D170" s="3" t="inlineStr">
        <is>
          <t>Group entity: entity; jurisdiction; revenue; ebitda; assets; debt; guarantor (yes / no)</t>
        </is>
      </c>
      <c r="E170" s="2" t="n"/>
      <c r="F170" s="2" t="n"/>
      <c r="G170" s="2" t="n"/>
      <c r="H170" s="3" t="inlineStr">
        <is>
          <t>entity: Bübchen Skincare GmbH (previously Dallmann's Pharma GmbH), Hofheim am Taunus; jurisdiction: DE; guarantor: not stated; stake: 100%, fully consolidated</t>
        </is>
      </c>
      <c r="I170" s="2" t="inlineStr">
        <is>
          <t>S1</t>
        </is>
      </c>
      <c r="J170" s="2" t="n">
        <v>87</v>
      </c>
      <c r="K170" s="3" t="inlineStr">
        <is>
          <t>Bübchen Skincare GmbH (previous: Dallmann’s Pharma GmbH), Hofheim am Taunus 100 A 100 A</t>
        </is>
      </c>
      <c r="L170" s="2" t="inlineStr">
        <is>
          <t>ok</t>
        </is>
      </c>
      <c r="M170" s="2" t="inlineStr">
        <is>
          <t>demo reviewer</t>
        </is>
      </c>
      <c r="N170" s="2" t="n"/>
      <c r="O170" s="3" t="inlineStr">
        <is>
          <t>https://vanillabonds.com/dossier-data/pdf/katjes/katjes-2023-annual-report.pdf#page=87</t>
        </is>
      </c>
    </row>
    <row r="171">
      <c r="A171" s="2" t="inlineStr">
        <is>
          <t>F170</t>
        </is>
      </c>
      <c r="B171" s="2" t="inlineStr">
        <is>
          <t>governance</t>
        </is>
      </c>
      <c r="C171" s="2" t="inlineStr">
        <is>
          <t>group_entity</t>
        </is>
      </c>
      <c r="D171" s="3" t="inlineStr">
        <is>
          <t>Group entity: entity; jurisdiction; revenue; ebitda; assets; debt; guarantor (yes / no)</t>
        </is>
      </c>
      <c r="E171" s="2" t="n"/>
      <c r="F171" s="2" t="n"/>
      <c r="G171" s="2" t="n"/>
      <c r="H171" s="3" t="inlineStr">
        <is>
          <t>entity: Bübchen-Werk Ewald Hermes Pharmazeutische Fabrik GmbH, Soest; jurisdiction: DE; guarantor: not stated; stake: 100% via Candy Pharma GmbH, fully consolidated; baby and kids body care, production Soest</t>
        </is>
      </c>
      <c r="I171" s="2" t="inlineStr">
        <is>
          <t>S1</t>
        </is>
      </c>
      <c r="J171" s="2" t="n">
        <v>87</v>
      </c>
      <c r="K171" s="3" t="inlineStr">
        <is>
          <t>Bübchen-Werk Ewald Hermes Pharmazeutische Fabrik GmbH, Soest 100 A 100 A</t>
        </is>
      </c>
      <c r="L171" s="2" t="inlineStr">
        <is>
          <t>ok</t>
        </is>
      </c>
      <c r="M171" s="2" t="inlineStr">
        <is>
          <t>demo reviewer</t>
        </is>
      </c>
      <c r="N171" s="2" t="n"/>
      <c r="O171" s="3" t="inlineStr">
        <is>
          <t>https://vanillabonds.com/dossier-data/pdf/katjes/katjes-2023-annual-report.pdf#page=87</t>
        </is>
      </c>
    </row>
    <row r="172">
      <c r="A172" s="2" t="inlineStr">
        <is>
          <t>F171</t>
        </is>
      </c>
      <c r="B172" s="2" t="inlineStr">
        <is>
          <t>governance</t>
        </is>
      </c>
      <c r="C172" s="2" t="inlineStr">
        <is>
          <t>group_entity</t>
        </is>
      </c>
      <c r="D172" s="3" t="inlineStr">
        <is>
          <t>Group entity: entity; jurisdiction; revenue; ebitda; assets; debt; guarantor (yes / no)</t>
        </is>
      </c>
      <c r="E172" s="2" t="n"/>
      <c r="F172" s="2" t="n"/>
      <c r="G172" s="2" t="n"/>
      <c r="H172" s="3" t="inlineStr">
        <is>
          <t>entity: Bübchen Bodycare GmbH, Düsseldorf; jurisdiction: DE; guarantor: not stated; stake: 100%, fully consolidated; oral care brands (Theramed, Vademecum, Antica Erboristeria, Licor del Polo, Denivit) and N.A.E.; Viersen site from 2 Jan 2024</t>
        </is>
      </c>
      <c r="I172" s="2" t="inlineStr">
        <is>
          <t>S1</t>
        </is>
      </c>
      <c r="J172" s="2" t="n">
        <v>87</v>
      </c>
      <c r="K172" s="3" t="inlineStr">
        <is>
          <t>Bübchen Bodycare GmbH, Düsseldorf 100 A 100 A</t>
        </is>
      </c>
      <c r="L172" s="2" t="inlineStr">
        <is>
          <t>ok</t>
        </is>
      </c>
      <c r="M172" s="2" t="inlineStr">
        <is>
          <t>demo reviewer</t>
        </is>
      </c>
      <c r="N172" s="2" t="n"/>
      <c r="O172" s="3" t="inlineStr">
        <is>
          <t>https://vanillabonds.com/dossier-data/pdf/katjes/katjes-2023-annual-report.pdf#page=87</t>
        </is>
      </c>
    </row>
    <row r="173">
      <c r="A173" s="2" t="inlineStr">
        <is>
          <t>F172</t>
        </is>
      </c>
      <c r="B173" s="2" t="inlineStr">
        <is>
          <t>governance</t>
        </is>
      </c>
      <c r="C173" s="2" t="inlineStr">
        <is>
          <t>group_entity</t>
        </is>
      </c>
      <c r="D173" s="3" t="inlineStr">
        <is>
          <t>Group entity: entity; jurisdiction; revenue; ebitda; assets; debt; guarantor (yes / no)</t>
        </is>
      </c>
      <c r="E173" s="2" t="n"/>
      <c r="F173" s="2" t="n"/>
      <c r="G173" s="2" t="n"/>
      <c r="H173" s="3" t="inlineStr">
        <is>
          <t>entity: Candy Kittens EU GmbH, Emmerich; jurisdiction: DE; guarantor: not stated; stake: 100%, fully consolidated</t>
        </is>
      </c>
      <c r="I173" s="2" t="inlineStr">
        <is>
          <t>S1</t>
        </is>
      </c>
      <c r="J173" s="2" t="n">
        <v>87</v>
      </c>
      <c r="K173" s="3" t="inlineStr">
        <is>
          <t>Candy Kittens EU GmbH, Emmerich 100 A 100 A</t>
        </is>
      </c>
      <c r="L173" s="2" t="inlineStr">
        <is>
          <t>ok</t>
        </is>
      </c>
      <c r="M173" s="2" t="inlineStr">
        <is>
          <t>demo reviewer</t>
        </is>
      </c>
      <c r="N173" s="2" t="n"/>
      <c r="O173" s="3" t="inlineStr">
        <is>
          <t>https://vanillabonds.com/dossier-data/pdf/katjes/katjes-2023-annual-report.pdf#page=87</t>
        </is>
      </c>
    </row>
    <row r="174">
      <c r="A174" s="2" t="inlineStr">
        <is>
          <t>F173</t>
        </is>
      </c>
      <c r="B174" s="2" t="inlineStr">
        <is>
          <t>governance</t>
        </is>
      </c>
      <c r="C174" s="2" t="inlineStr">
        <is>
          <t>group_entity</t>
        </is>
      </c>
      <c r="D174" s="3" t="inlineStr">
        <is>
          <t>Group entity: entity; jurisdiction; revenue; ebitda; assets; debt; guarantor (yes / no)</t>
        </is>
      </c>
      <c r="E174" s="2" t="n"/>
      <c r="F174" s="2" t="n"/>
      <c r="G174" s="2" t="n"/>
      <c r="H174" s="3" t="inlineStr">
        <is>
          <t>entity: Pharma Candy Management GmbH; jurisdiction: DE; guarantor: not stated; stake: 100%, fully consolidated</t>
        </is>
      </c>
      <c r="I174" s="2" t="inlineStr">
        <is>
          <t>S1</t>
        </is>
      </c>
      <c r="J174" s="2" t="n">
        <v>87</v>
      </c>
      <c r="K174" s="2" t="inlineStr">
        <is>
          <t>Pharma Candy Management GmbH 100 A 100 A</t>
        </is>
      </c>
      <c r="L174" s="2" t="inlineStr">
        <is>
          <t>ok</t>
        </is>
      </c>
      <c r="M174" s="2" t="inlineStr">
        <is>
          <t>demo reviewer</t>
        </is>
      </c>
      <c r="N174" s="2" t="n"/>
      <c r="O174" s="3" t="inlineStr">
        <is>
          <t>https://vanillabonds.com/dossier-data/pdf/katjes/katjes-2023-annual-report.pdf#page=87</t>
        </is>
      </c>
    </row>
    <row r="175">
      <c r="A175" s="2" t="inlineStr">
        <is>
          <t>F174</t>
        </is>
      </c>
      <c r="B175" s="2" t="inlineStr">
        <is>
          <t>governance</t>
        </is>
      </c>
      <c r="C175" s="2" t="inlineStr">
        <is>
          <t>group_entity</t>
        </is>
      </c>
      <c r="D175" s="3" t="inlineStr">
        <is>
          <t>Group entity: entity; jurisdiction; revenue; ebitda; assets; debt; guarantor (yes / no)</t>
        </is>
      </c>
      <c r="E175" s="2" t="n"/>
      <c r="F175" s="2" t="n"/>
      <c r="G175" s="2" t="n"/>
      <c r="H175" s="3" t="inlineStr">
        <is>
          <t>entity: Pharma Candy GmbH &amp; Co. KG; jurisdiction: DE; guarantor: not stated; stake: 99.9%, fully consolidated</t>
        </is>
      </c>
      <c r="I175" s="2" t="inlineStr">
        <is>
          <t>S1</t>
        </is>
      </c>
      <c r="J175" s="2" t="n">
        <v>87</v>
      </c>
      <c r="K175" s="2" t="inlineStr">
        <is>
          <t>Pharma Candy GmbH &amp; Co. KG 99.9 A 99.9 A</t>
        </is>
      </c>
      <c r="L175" s="2" t="inlineStr">
        <is>
          <t>ok</t>
        </is>
      </c>
      <c r="M175" s="2" t="inlineStr">
        <is>
          <t>demo reviewer</t>
        </is>
      </c>
      <c r="N175" s="2" t="n"/>
      <c r="O175" s="3" t="inlineStr">
        <is>
          <t>https://vanillabonds.com/dossier-data/pdf/katjes/katjes-2023-annual-report.pdf#page=87</t>
        </is>
      </c>
    </row>
    <row r="176">
      <c r="A176" s="2" t="inlineStr">
        <is>
          <t>F175</t>
        </is>
      </c>
      <c r="B176" s="2" t="inlineStr">
        <is>
          <t>governance</t>
        </is>
      </c>
      <c r="C176" s="2" t="inlineStr">
        <is>
          <t>group_entity</t>
        </is>
      </c>
      <c r="D176" s="3" t="inlineStr">
        <is>
          <t>Group entity: entity; jurisdiction; revenue; ebitda; assets; debt; guarantor (yes / no)</t>
        </is>
      </c>
      <c r="E176" s="2" t="n"/>
      <c r="F176" s="2" t="n"/>
      <c r="G176" s="2" t="n"/>
      <c r="H176" s="3" t="inlineStr">
        <is>
          <t>entity: Blaue Helden GmbH, Bad Homburg; jurisdiction: DE; guarantor: not stated; stake: 11.1% (2022: 16.1%), not consolidated</t>
        </is>
      </c>
      <c r="I176" s="2" t="inlineStr">
        <is>
          <t>S1</t>
        </is>
      </c>
      <c r="J176" s="2" t="n">
        <v>87</v>
      </c>
      <c r="K176" s="3" t="inlineStr">
        <is>
          <t>Blaue Helden GmbH, Bad Homburg 11,1 — 16.1 —</t>
        </is>
      </c>
      <c r="L176" s="2" t="inlineStr">
        <is>
          <t>ok</t>
        </is>
      </c>
      <c r="M176" s="2" t="inlineStr">
        <is>
          <t>demo reviewer</t>
        </is>
      </c>
      <c r="N176" s="2" t="n"/>
      <c r="O176" s="3" t="inlineStr">
        <is>
          <t>https://vanillabonds.com/dossier-data/pdf/katjes/katjes-2023-annual-report.pdf#page=87</t>
        </is>
      </c>
    </row>
    <row r="177">
      <c r="A177" s="2" t="inlineStr">
        <is>
          <t>F176</t>
        </is>
      </c>
      <c r="B177" s="2" t="inlineStr">
        <is>
          <t>governance</t>
        </is>
      </c>
      <c r="C177" s="2" t="inlineStr">
        <is>
          <t>group_entity</t>
        </is>
      </c>
      <c r="D177" s="3" t="inlineStr">
        <is>
          <t>Group entity: entity; jurisdiction; revenue; ebitda; assets; debt; guarantor (yes / no)</t>
        </is>
      </c>
      <c r="E177" s="2" t="n"/>
      <c r="F177" s="2" t="n"/>
      <c r="G177" s="2" t="n"/>
      <c r="H177" s="3" t="inlineStr">
        <is>
          <t>entity: Heel Veel Snoepjes B.V., Nijkerk; jurisdiction: NL; guarantor: not stated; stake: 100%, fully consolidated (holds part of the CPK stake)</t>
        </is>
      </c>
      <c r="I177" s="2" t="inlineStr">
        <is>
          <t>S1</t>
        </is>
      </c>
      <c r="J177" s="2" t="n">
        <v>87</v>
      </c>
      <c r="K177" s="3" t="inlineStr">
        <is>
          <t>Heel Veel Snoepjes B.V., Nijkerk,Netherlands 100 A 100 A</t>
        </is>
      </c>
      <c r="L177" s="2" t="inlineStr">
        <is>
          <t>ok</t>
        </is>
      </c>
      <c r="M177" s="2" t="inlineStr">
        <is>
          <t>demo reviewer</t>
        </is>
      </c>
      <c r="N177" s="2" t="n"/>
      <c r="O177" s="3" t="inlineStr">
        <is>
          <t>https://vanillabonds.com/dossier-data/pdf/katjes/katjes-2023-annual-report.pdf#page=87</t>
        </is>
      </c>
    </row>
    <row r="178">
      <c r="A178" s="2" t="inlineStr">
        <is>
          <t>F177</t>
        </is>
      </c>
      <c r="B178" s="2" t="inlineStr">
        <is>
          <t>governance</t>
        </is>
      </c>
      <c r="C178" s="2" t="inlineStr">
        <is>
          <t>group_entity</t>
        </is>
      </c>
      <c r="D178" s="3" t="inlineStr">
        <is>
          <t>Group entity: entity; jurisdiction; revenue; ebitda; assets; debt; guarantor (yes / no)</t>
        </is>
      </c>
      <c r="E178" s="2" t="n"/>
      <c r="F178" s="2" t="n"/>
      <c r="G178" s="2" t="n"/>
      <c r="H178" s="3" t="inlineStr">
        <is>
          <t>entity: Harlekijntjes B.V., Nijkerk; jurisdiction: NL; guarantor: not stated; stake: 100% via Katjes 24 GmbH and Katjes Nederland GmbH, fully consolidated; liquorice, production Nijkerk</t>
        </is>
      </c>
      <c r="I178" s="2" t="inlineStr">
        <is>
          <t>S1</t>
        </is>
      </c>
      <c r="J178" s="2" t="n">
        <v>87</v>
      </c>
      <c r="K178" s="3" t="inlineStr">
        <is>
          <t>Harlekijntjes B.V., Nijkerk,Netherlands 100 A 100 A</t>
        </is>
      </c>
      <c r="L178" s="2" t="inlineStr">
        <is>
          <t>ok</t>
        </is>
      </c>
      <c r="M178" s="2" t="inlineStr">
        <is>
          <t>demo reviewer</t>
        </is>
      </c>
      <c r="N178" s="2" t="n"/>
      <c r="O178" s="3" t="inlineStr">
        <is>
          <t>https://vanillabonds.com/dossier-data/pdf/katjes/katjes-2023-annual-report.pdf#page=87</t>
        </is>
      </c>
    </row>
    <row r="179">
      <c r="A179" s="2" t="inlineStr">
        <is>
          <t>F178</t>
        </is>
      </c>
      <c r="B179" s="2" t="inlineStr">
        <is>
          <t>governance</t>
        </is>
      </c>
      <c r="C179" s="2" t="inlineStr">
        <is>
          <t>group_entity</t>
        </is>
      </c>
      <c r="D179" s="3" t="inlineStr">
        <is>
          <t>Group entity: entity; jurisdiction; revenue; ebitda; assets; debt; guarantor (yes / no)</t>
        </is>
      </c>
      <c r="E179" s="2" t="n"/>
      <c r="F179" s="2" t="n"/>
      <c r="G179" s="2" t="n"/>
      <c r="H179" s="3" t="inlineStr">
        <is>
          <t>entity: ÖZW Österreichische Zuckerwaren GmbH, Innsbruck; jurisdiction: AT; guarantor: not stated; stake: 100%, fully consolidated</t>
        </is>
      </c>
      <c r="I179" s="2" t="inlineStr">
        <is>
          <t>S1</t>
        </is>
      </c>
      <c r="J179" s="2" t="n">
        <v>87</v>
      </c>
      <c r="K179" s="3" t="inlineStr">
        <is>
          <t>ÖZW Österreichische Zuckerwaren GmbH, Innsbruck/Austria 100 A 100 A</t>
        </is>
      </c>
      <c r="L179" s="2" t="inlineStr">
        <is>
          <t>ok</t>
        </is>
      </c>
      <c r="M179" s="2" t="inlineStr">
        <is>
          <t>demo reviewer</t>
        </is>
      </c>
      <c r="N179" s="2" t="n"/>
      <c r="O179" s="3" t="inlineStr">
        <is>
          <t>https://vanillabonds.com/dossier-data/pdf/katjes/katjes-2023-annual-report.pdf#page=87</t>
        </is>
      </c>
    </row>
    <row r="180">
      <c r="A180" s="2" t="inlineStr">
        <is>
          <t>F179</t>
        </is>
      </c>
      <c r="B180" s="2" t="inlineStr">
        <is>
          <t>governance</t>
        </is>
      </c>
      <c r="C180" s="2" t="inlineStr">
        <is>
          <t>group_entity</t>
        </is>
      </c>
      <c r="D180" s="3" t="inlineStr">
        <is>
          <t>Group entity: entity; jurisdiction; revenue; ebitda; assets; debt; guarantor (yes / no)</t>
        </is>
      </c>
      <c r="E180" s="2" t="n"/>
      <c r="F180" s="2" t="n"/>
      <c r="G180" s="2" t="n"/>
      <c r="H180" s="3" t="inlineStr">
        <is>
          <t>entity: Sperlari S.r.l., Cremona; jurisdiction: IT; guarantor: not stated; stake: 100% via Katjes 24 GmbH and Katjes Italy GmbH, fully consolidated; Cremona plus three other Italian production sites; around 38% of trade receivables factored</t>
        </is>
      </c>
      <c r="I180" s="2" t="inlineStr">
        <is>
          <t>S1</t>
        </is>
      </c>
      <c r="J180" s="2" t="n">
        <v>87</v>
      </c>
      <c r="K180" s="3" t="inlineStr">
        <is>
          <t>Sperlari S.r.l., Cremona, Italy 100 A 100 A</t>
        </is>
      </c>
      <c r="L180" s="2" t="inlineStr">
        <is>
          <t>ok</t>
        </is>
      </c>
      <c r="M180" s="2" t="inlineStr">
        <is>
          <t>demo reviewer</t>
        </is>
      </c>
      <c r="N180" s="2" t="n"/>
      <c r="O180" s="3" t="inlineStr">
        <is>
          <t>https://vanillabonds.com/dossier-data/pdf/katjes/katjes-2023-annual-report.pdf#page=87</t>
        </is>
      </c>
    </row>
    <row r="181">
      <c r="A181" s="2" t="inlineStr">
        <is>
          <t>F180</t>
        </is>
      </c>
      <c r="B181" s="2" t="inlineStr">
        <is>
          <t>governance</t>
        </is>
      </c>
      <c r="C181" s="2" t="inlineStr">
        <is>
          <t>group_entity</t>
        </is>
      </c>
      <c r="D181" s="3" t="inlineStr">
        <is>
          <t>Group entity: entity; jurisdiction; revenue; ebitda; assets; debt; guarantor (yes / no)</t>
        </is>
      </c>
      <c r="E181" s="2" t="n"/>
      <c r="F181" s="2" t="n"/>
      <c r="G181" s="2" t="n"/>
      <c r="H181" s="3" t="inlineStr">
        <is>
          <t>entity: Dulcioliva S.r.l., Borgo San Dalmazzo; jurisdiction: IT; guarantor: not stated; stake: 75% via Katjes 24 GmbH, Katjes Italy GmbH and Sperlari S.r.l., fully consolidated; option on remaining 25%</t>
        </is>
      </c>
      <c r="I181" s="2" t="inlineStr">
        <is>
          <t>S1</t>
        </is>
      </c>
      <c r="J181" s="2" t="n">
        <v>87</v>
      </c>
      <c r="K181" s="3" t="inlineStr">
        <is>
          <t>Dulcioliva S.r.l., Borgo San Dalmazzo, Italy 75 A 75 A</t>
        </is>
      </c>
      <c r="L181" s="2" t="inlineStr">
        <is>
          <t>ok</t>
        </is>
      </c>
      <c r="M181" s="2" t="inlineStr">
        <is>
          <t>demo reviewer</t>
        </is>
      </c>
      <c r="N181" s="2" t="n"/>
      <c r="O181" s="3" t="inlineStr">
        <is>
          <t>https://vanillabonds.com/dossier-data/pdf/katjes/katjes-2023-annual-report.pdf#page=87</t>
        </is>
      </c>
    </row>
    <row r="182">
      <c r="A182" s="2" t="inlineStr">
        <is>
          <t>F181</t>
        </is>
      </c>
      <c r="B182" s="2" t="inlineStr">
        <is>
          <t>governance</t>
        </is>
      </c>
      <c r="C182" s="2" t="inlineStr">
        <is>
          <t>group_entity</t>
        </is>
      </c>
      <c r="D182" s="3" t="inlineStr">
        <is>
          <t>Group entity: entity; jurisdiction; revenue; ebitda; assets; debt; guarantor (yes / no)</t>
        </is>
      </c>
      <c r="E182" s="2" t="n"/>
      <c r="F182" s="2" t="n"/>
      <c r="G182" s="2" t="n"/>
      <c r="H182" s="3" t="inlineStr">
        <is>
          <t>entity: Paluani 1921 S.r.l., Verona; jurisdiction: IT; guarantor: not stated; stake: 100% via Katjes 24 GmbH, Katjes Italy GmbH and Sperlari S.r.l., fully consolidated; panettone and colomba</t>
        </is>
      </c>
      <c r="I182" s="2" t="inlineStr">
        <is>
          <t>S1</t>
        </is>
      </c>
      <c r="J182" s="2" t="n">
        <v>87</v>
      </c>
      <c r="K182" s="3" t="inlineStr">
        <is>
          <t>Paluani 1921 S.r.l.,Verona, Italy 100 A 100 A</t>
        </is>
      </c>
      <c r="L182" s="2" t="inlineStr">
        <is>
          <t>ok</t>
        </is>
      </c>
      <c r="M182" s="2" t="inlineStr">
        <is>
          <t>demo reviewer</t>
        </is>
      </c>
      <c r="N182" s="2" t="n"/>
      <c r="O182" s="3" t="inlineStr">
        <is>
          <t>https://vanillabonds.com/dossier-data/pdf/katjes/katjes-2023-annual-report.pdf#page=87</t>
        </is>
      </c>
    </row>
    <row r="183">
      <c r="A183" s="2" t="inlineStr">
        <is>
          <t>F182</t>
        </is>
      </c>
      <c r="B183" s="2" t="inlineStr">
        <is>
          <t>governance</t>
        </is>
      </c>
      <c r="C183" s="2" t="inlineStr">
        <is>
          <t>group_entity</t>
        </is>
      </c>
      <c r="D183" s="3" t="inlineStr">
        <is>
          <t>Group entity: entity; jurisdiction; revenue; ebitda; assets; debt; guarantor (yes / no)</t>
        </is>
      </c>
      <c r="E183" s="2" t="n"/>
      <c r="F183" s="2" t="n"/>
      <c r="G183" s="2" t="n"/>
      <c r="H183" s="3" t="inlineStr">
        <is>
          <t>entity: Candy Kittens Ltd., London; jurisdiction: GB; guarantor: not stated; stake: 56.5% via Katjes 24 GmbH and Katjes France GmbH, fully consolidated; functional currency GBP; 70% of trade receivables factored</t>
        </is>
      </c>
      <c r="I183" s="2" t="inlineStr">
        <is>
          <t>S1</t>
        </is>
      </c>
      <c r="J183" s="2" t="n">
        <v>87</v>
      </c>
      <c r="K183" s="3" t="inlineStr">
        <is>
          <t>Candy Kittens Ltd., London, UK 56.5 A 56.5 A</t>
        </is>
      </c>
      <c r="L183" s="2" t="inlineStr">
        <is>
          <t>ok</t>
        </is>
      </c>
      <c r="M183" s="2" t="inlineStr">
        <is>
          <t>demo reviewer</t>
        </is>
      </c>
      <c r="N183" s="2" t="n"/>
      <c r="O183" s="3" t="inlineStr">
        <is>
          <t>https://vanillabonds.com/dossier-data/pdf/katjes/katjes-2023-annual-report.pdf#page=87</t>
        </is>
      </c>
    </row>
    <row r="184">
      <c r="A184" s="2" t="inlineStr">
        <is>
          <t>F183</t>
        </is>
      </c>
      <c r="B184" s="2" t="inlineStr">
        <is>
          <t>governance</t>
        </is>
      </c>
      <c r="C184" s="2" t="inlineStr">
        <is>
          <t>group_entity</t>
        </is>
      </c>
      <c r="D184" s="3" t="inlineStr">
        <is>
          <t>Group entity: entity; jurisdiction; revenue; ebitda; assets; debt; guarantor (yes / no)</t>
        </is>
      </c>
      <c r="E184" s="2" t="n"/>
      <c r="F184" s="2" t="n"/>
      <c r="G184" s="2" t="n"/>
      <c r="H184" s="3" t="inlineStr">
        <is>
          <t>entity: Longaim Ltd, London; jurisdiction: GB; guarantor: not stated; stake: 56.5%, fully consolidated (subsidiary of Candy Kittens), functional currency GBP</t>
        </is>
      </c>
      <c r="I184" s="2" t="inlineStr">
        <is>
          <t>S1</t>
        </is>
      </c>
      <c r="J184" s="2" t="n">
        <v>87</v>
      </c>
      <c r="K184" s="2" t="inlineStr">
        <is>
          <t>Longaim Ltd, London, UK 56.5 A 56.5 A</t>
        </is>
      </c>
      <c r="L184" s="2" t="inlineStr">
        <is>
          <t>ok</t>
        </is>
      </c>
      <c r="M184" s="2" t="inlineStr">
        <is>
          <t>demo reviewer</t>
        </is>
      </c>
      <c r="N184" s="2" t="n"/>
      <c r="O184" s="3" t="inlineStr">
        <is>
          <t>https://vanillabonds.com/dossier-data/pdf/katjes/katjes-2023-annual-report.pdf#page=87</t>
        </is>
      </c>
    </row>
    <row r="185">
      <c r="A185" s="2" t="inlineStr">
        <is>
          <t>F184</t>
        </is>
      </c>
      <c r="B185" s="2" t="inlineStr">
        <is>
          <t>governance</t>
        </is>
      </c>
      <c r="C185" s="2" t="inlineStr">
        <is>
          <t>group_entity</t>
        </is>
      </c>
      <c r="D185" s="3" t="inlineStr">
        <is>
          <t>Group entity: entity; jurisdiction; revenue; ebitda; assets; debt; guarantor (yes / no)</t>
        </is>
      </c>
      <c r="E185" s="2" t="n"/>
      <c r="F185" s="2" t="n"/>
      <c r="G185" s="2" t="n"/>
      <c r="H185" s="3" t="inlineStr">
        <is>
          <t>entity: Tuckshop Ltd, London; jurisdiction: GB; guarantor: not stated; stake: 75%, fully consolidated</t>
        </is>
      </c>
      <c r="I185" s="2" t="inlineStr">
        <is>
          <t>S1</t>
        </is>
      </c>
      <c r="J185" s="2" t="n">
        <v>87</v>
      </c>
      <c r="K185" s="2" t="inlineStr">
        <is>
          <t>Tuckshop Ltd, London, UK 75 A 75 A</t>
        </is>
      </c>
      <c r="L185" s="2" t="inlineStr">
        <is>
          <t>ok</t>
        </is>
      </c>
      <c r="M185" s="2" t="inlineStr">
        <is>
          <t>demo reviewer</t>
        </is>
      </c>
      <c r="N185" s="2" t="n"/>
      <c r="O185" s="3" t="inlineStr">
        <is>
          <t>https://vanillabonds.com/dossier-data/pdf/katjes/katjes-2023-annual-report.pdf#page=87</t>
        </is>
      </c>
    </row>
    <row r="186">
      <c r="A186" s="2" t="inlineStr">
        <is>
          <t>F185</t>
        </is>
      </c>
      <c r="B186" s="2" t="inlineStr">
        <is>
          <t>governance</t>
        </is>
      </c>
      <c r="C186" s="2" t="inlineStr">
        <is>
          <t>group_entity</t>
        </is>
      </c>
      <c r="D186" s="3" t="inlineStr">
        <is>
          <t>Group entity: entity; jurisdiction; revenue; ebitda; assets; debt; guarantor (yes / no)</t>
        </is>
      </c>
      <c r="E186" s="2" t="n"/>
      <c r="F186" s="2" t="n"/>
      <c r="G186" s="2" t="n"/>
      <c r="H186" s="3" t="inlineStr">
        <is>
          <t>entity: Nuud Snacks Ltd, London; jurisdiction: GB; guarantor: not stated; stake: 10%, not consolidated</t>
        </is>
      </c>
      <c r="I186" s="2" t="inlineStr">
        <is>
          <t>S1</t>
        </is>
      </c>
      <c r="J186" s="2" t="n">
        <v>87</v>
      </c>
      <c r="K186" s="2" t="inlineStr">
        <is>
          <t>Nuud Snacks Ltd, London ,UK 10 -— 10 -—</t>
        </is>
      </c>
      <c r="L186" s="2" t="inlineStr">
        <is>
          <t>ok</t>
        </is>
      </c>
      <c r="M186" s="2" t="inlineStr">
        <is>
          <t>demo reviewer</t>
        </is>
      </c>
      <c r="N186" s="2" t="n"/>
      <c r="O186" s="3" t="inlineStr">
        <is>
          <t>https://vanillabonds.com/dossier-data/pdf/katjes/katjes-2023-annual-report.pdf#page=87</t>
        </is>
      </c>
    </row>
    <row r="187">
      <c r="A187" s="2" t="inlineStr">
        <is>
          <t>F186</t>
        </is>
      </c>
      <c r="B187" s="2" t="inlineStr">
        <is>
          <t>governance</t>
        </is>
      </c>
      <c r="C187" s="2" t="inlineStr">
        <is>
          <t>group_entity</t>
        </is>
      </c>
      <c r="D187" s="3" t="inlineStr">
        <is>
          <t>Group entity: entity; jurisdiction; revenue; ebitda; assets; debt; guarantor (yes / no)</t>
        </is>
      </c>
      <c r="E187" s="2" t="n"/>
      <c r="F187" s="2" t="n"/>
      <c r="G187" s="2" t="n"/>
      <c r="H187" s="3" t="inlineStr">
        <is>
          <t>entity: Theramed GmbH, Smile Cosmetics GmbH, Antica Erboristeria GmbH, Laboratoires Vademecum GmbH, Licor del Polo GmbH (Düsseldorf); jurisdiction: DE; guarantor: not stated; in the process of being founded at 31 Dec 2023</t>
        </is>
      </c>
      <c r="I187" s="2" t="inlineStr">
        <is>
          <t>S1</t>
        </is>
      </c>
      <c r="J187" s="2" t="n">
        <v>87</v>
      </c>
      <c r="K187" s="3" t="inlineStr">
        <is>
          <t>31 December 2023:Theramed GmbH, Düsseldorf, Smile Cosmetics GmbH, Düsseldorf, Antica Erboristeria GmbH, Düsseldorf, Laboratoires Vademecum GmbH, Düsseldorf,</t>
        </is>
      </c>
      <c r="L187" s="2" t="inlineStr">
        <is>
          <t>ok</t>
        </is>
      </c>
      <c r="M187" s="2" t="inlineStr">
        <is>
          <t>demo reviewer</t>
        </is>
      </c>
      <c r="N187" s="2" t="n"/>
      <c r="O187" s="3" t="inlineStr">
        <is>
          <t>https://vanillabonds.com/dossier-data/pdf/katjes/katjes-2023-annual-report.pdf#page=87</t>
        </is>
      </c>
    </row>
    <row r="188">
      <c r="A188" s="2" t="inlineStr">
        <is>
          <t>F187</t>
        </is>
      </c>
      <c r="B188" s="2" t="inlineStr">
        <is>
          <t>governance</t>
        </is>
      </c>
      <c r="C188" s="2" t="inlineStr">
        <is>
          <t>board_member</t>
        </is>
      </c>
      <c r="D188" s="3" t="inlineStr">
        <is>
          <t>Board member: name; body (management / supervisory); role; since; independent (yes / no); committees</t>
        </is>
      </c>
      <c r="E188" s="2" t="n"/>
      <c r="F188" s="2" t="n"/>
      <c r="G188" s="2" t="n"/>
      <c r="H188" s="3" t="inlineStr">
        <is>
          <t>name: Stephan Milde; body: management; role: Managing Director (CFO), appointed managing director of the general partner; since: 2012; independent: no</t>
        </is>
      </c>
      <c r="I188" s="2" t="inlineStr">
        <is>
          <t>S1</t>
        </is>
      </c>
      <c r="J188" s="2" t="n">
        <v>6</v>
      </c>
      <c r="K188" s="3" t="inlineStr">
        <is>
          <t>STEPHAN MILDE Managing Director (CFO) of Katjes International</t>
        </is>
      </c>
      <c r="L188" s="2" t="inlineStr">
        <is>
          <t>ok</t>
        </is>
      </c>
      <c r="M188" s="2" t="inlineStr">
        <is>
          <t>demo reviewer</t>
        </is>
      </c>
      <c r="N188" s="2" t="n"/>
      <c r="O188" s="3" t="inlineStr">
        <is>
          <t>https://vanillabonds.com/dossier-data/pdf/katjes/katjes-2023-annual-report.pdf#page=6</t>
        </is>
      </c>
    </row>
    <row r="189">
      <c r="A189" s="2" t="inlineStr">
        <is>
          <t>F188</t>
        </is>
      </c>
      <c r="B189" s="2" t="inlineStr">
        <is>
          <t>governance</t>
        </is>
      </c>
      <c r="C189" s="2" t="inlineStr">
        <is>
          <t>board_member</t>
        </is>
      </c>
      <c r="D189" s="3" t="inlineStr">
        <is>
          <t>Board member: name; body (management / supervisory); role; since; independent (yes / no); committees</t>
        </is>
      </c>
      <c r="E189" s="2" t="n"/>
      <c r="F189" s="2" t="n"/>
      <c r="G189" s="2" t="n"/>
      <c r="H189" s="3" t="inlineStr">
        <is>
          <t>name: Bastian Fassin; body: management; role: Managing Shareholder, shareholder of general partner Xaver Fassin International GmbH and limited partner; since: 2004; independent: no</t>
        </is>
      </c>
      <c r="I189" s="2" t="inlineStr">
        <is>
          <t>S1</t>
        </is>
      </c>
      <c r="J189" s="2" t="n">
        <v>6</v>
      </c>
      <c r="K189" s="3" t="inlineStr">
        <is>
          <t>BASTIAN FASSIN Managing Shareholder of Katjes International</t>
        </is>
      </c>
      <c r="L189" s="2" t="inlineStr">
        <is>
          <t>ok</t>
        </is>
      </c>
      <c r="M189" s="2" t="inlineStr">
        <is>
          <t>demo reviewer</t>
        </is>
      </c>
      <c r="N189" s="2" t="n"/>
      <c r="O189" s="3" t="inlineStr">
        <is>
          <t>https://vanillabonds.com/dossier-data/pdf/katjes/katjes-2023-annual-report.pdf#page=6</t>
        </is>
      </c>
    </row>
    <row r="190">
      <c r="A190" s="2" t="inlineStr">
        <is>
          <t>F189</t>
        </is>
      </c>
      <c r="B190" s="2" t="inlineStr">
        <is>
          <t>governance</t>
        </is>
      </c>
      <c r="C190" s="2" t="inlineStr">
        <is>
          <t>board_member</t>
        </is>
      </c>
      <c r="D190" s="3" t="inlineStr">
        <is>
          <t>Board member: name; body (management / supervisory); role; since; independent (yes / no); committees</t>
        </is>
      </c>
      <c r="E190" s="2" t="n"/>
      <c r="F190" s="2" t="n"/>
      <c r="G190" s="2" t="n"/>
      <c r="H190" s="3" t="inlineStr">
        <is>
          <t>name: Tobias Bachmüller; body: management; role: Managing Shareholder, shareholder of general partner Xaver Fassin International GmbH and limited partner; since: 1996; independent: no</t>
        </is>
      </c>
      <c r="I190" s="2" t="inlineStr">
        <is>
          <t>S1</t>
        </is>
      </c>
      <c r="J190" s="2" t="n">
        <v>6</v>
      </c>
      <c r="K190" s="3" t="inlineStr">
        <is>
          <t>TOBIAS BACHMÜLLER Managing Shareholder of Katjes International</t>
        </is>
      </c>
      <c r="L190" s="2" t="inlineStr">
        <is>
          <t>ok</t>
        </is>
      </c>
      <c r="M190" s="2" t="inlineStr">
        <is>
          <t>demo reviewer</t>
        </is>
      </c>
      <c r="N190" s="2" t="n"/>
      <c r="O190" s="3" t="inlineStr">
        <is>
          <t>https://vanillabonds.com/dossier-data/pdf/katjes/katjes-2023-annual-report.pdf#page=6</t>
        </is>
      </c>
    </row>
    <row r="191">
      <c r="A191" s="2" t="inlineStr">
        <is>
          <t>F190</t>
        </is>
      </c>
      <c r="B191" s="2" t="inlineStr">
        <is>
          <t>governance</t>
        </is>
      </c>
      <c r="C191" s="2" t="inlineStr">
        <is>
          <t>related_party_flow</t>
        </is>
      </c>
      <c r="D191" s="3" t="inlineStr">
        <is>
          <t>Related-party flow: counterparty; kind (fee, rent, dividend, buyback, loan); amount; year; terms</t>
        </is>
      </c>
      <c r="E191" s="2" t="n"/>
      <c r="F191" s="2" t="n">
        <v>0.1</v>
      </c>
      <c r="G191" s="2" t="n"/>
      <c r="H191" s="3" t="inlineStr">
        <is>
          <t>counterparty: related parties; kind: loan interest income; amount: 0.1; year: 2023; terms: previous year 0.3</t>
        </is>
      </c>
      <c r="I191" s="2" t="inlineStr">
        <is>
          <t>S1</t>
        </is>
      </c>
      <c r="J191" s="2" t="n">
        <v>79</v>
      </c>
      <c r="K191" s="3" t="inlineStr">
        <is>
          <t>from loans to related parties (EUR 0.1 million; previous year: EUR 0.3 million).</t>
        </is>
      </c>
      <c r="L191" s="2" t="inlineStr">
        <is>
          <t>ok</t>
        </is>
      </c>
      <c r="M191" s="2" t="inlineStr">
        <is>
          <t>demo reviewer</t>
        </is>
      </c>
      <c r="N191" s="2" t="n"/>
      <c r="O191" s="3" t="inlineStr">
        <is>
          <t>https://vanillabonds.com/dossier-data/pdf/katjes/katjes-2023-annual-report.pdf#page=79</t>
        </is>
      </c>
    </row>
    <row r="192">
      <c r="A192" s="2" t="inlineStr">
        <is>
          <t>F191</t>
        </is>
      </c>
      <c r="B192" s="2" t="inlineStr">
        <is>
          <t>governance</t>
        </is>
      </c>
      <c r="C192" s="2" t="inlineStr">
        <is>
          <t>related_party_flow</t>
        </is>
      </c>
      <c r="D192" s="3" t="inlineStr">
        <is>
          <t>Related-party flow: counterparty; kind (fee, rent, dividend, buyback, loan); amount; year; terms</t>
        </is>
      </c>
      <c r="E192" s="2" t="n"/>
      <c r="F192" s="2" t="n">
        <v>14.7</v>
      </c>
      <c r="G192" s="2" t="n"/>
      <c r="H192" s="3" t="inlineStr">
        <is>
          <t>counterparty: Katjes Germany (Katjes Fassin GmbH + Co. KG); kind: purchase of goods and services; amount: 14.7; year: 2023; terms: arm's length, not collateralised (2022: 10.2)</t>
        </is>
      </c>
      <c r="I192" s="2" t="inlineStr">
        <is>
          <t>S1</t>
        </is>
      </c>
      <c r="J192" s="2" t="n">
        <v>84</v>
      </c>
      <c r="K192" s="3" t="inlineStr">
        <is>
          <t>Purchase of goods and services from Katjes Germany 14.7 10.2</t>
        </is>
      </c>
      <c r="L192" s="2" t="inlineStr">
        <is>
          <t>ok</t>
        </is>
      </c>
      <c r="M192" s="2" t="inlineStr">
        <is>
          <t>demo reviewer</t>
        </is>
      </c>
      <c r="N192" s="2" t="n"/>
      <c r="O192" s="3" t="inlineStr">
        <is>
          <t>https://vanillabonds.com/dossier-data/pdf/katjes/katjes-2023-annual-report.pdf#page=84</t>
        </is>
      </c>
    </row>
    <row r="193">
      <c r="A193" s="2" t="inlineStr">
        <is>
          <t>F192</t>
        </is>
      </c>
      <c r="B193" s="2" t="inlineStr">
        <is>
          <t>governance</t>
        </is>
      </c>
      <c r="C193" s="2" t="inlineStr">
        <is>
          <t>related_party_flow</t>
        </is>
      </c>
      <c r="D193" s="3" t="inlineStr">
        <is>
          <t>Related-party flow: counterparty; kind (fee, rent, dividend, buyback, loan); amount; year; terms</t>
        </is>
      </c>
      <c r="E193" s="2" t="n"/>
      <c r="F193" s="2" t="n">
        <v>2</v>
      </c>
      <c r="G193" s="2" t="n"/>
      <c r="H193" s="3" t="inlineStr">
        <is>
          <t>counterparty: Katjes Germany; kind: trade payable for goods and services; amount: 2.0; year: 2023 (2022: 1.2)</t>
        </is>
      </c>
      <c r="I193" s="2" t="inlineStr">
        <is>
          <t>S1</t>
        </is>
      </c>
      <c r="J193" s="2" t="n">
        <v>84</v>
      </c>
      <c r="K193" s="2" t="inlineStr">
        <is>
          <t>vices to Katjes Germany 2.0 1.2</t>
        </is>
      </c>
      <c r="L193" s="2" t="inlineStr">
        <is>
          <t>ok</t>
        </is>
      </c>
      <c r="M193" s="2" t="inlineStr">
        <is>
          <t>demo reviewer</t>
        </is>
      </c>
      <c r="N193" s="2" t="n"/>
      <c r="O193" s="3" t="inlineStr">
        <is>
          <t>https://vanillabonds.com/dossier-data/pdf/katjes/katjes-2023-annual-report.pdf#page=84</t>
        </is>
      </c>
    </row>
    <row r="194">
      <c r="A194" s="2" t="inlineStr">
        <is>
          <t>F193</t>
        </is>
      </c>
      <c r="B194" s="2" t="inlineStr">
        <is>
          <t>governance</t>
        </is>
      </c>
      <c r="C194" s="2" t="inlineStr">
        <is>
          <t>related_party_flow</t>
        </is>
      </c>
      <c r="D194" s="3" t="inlineStr">
        <is>
          <t>Related-party flow: counterparty; kind (fee, rent, dividend, buyback, loan); amount; year; terms</t>
        </is>
      </c>
      <c r="E194" s="2" t="n"/>
      <c r="F194" s="2" t="n">
        <v>0.3</v>
      </c>
      <c r="G194" s="2" t="n"/>
      <c r="H194" s="3" t="inlineStr">
        <is>
          <t>counterparty: Katjes Germany; kind: sale of goods; amount: 0.3; year: 2023 (2022: 0.3)</t>
        </is>
      </c>
      <c r="I194" s="2" t="inlineStr">
        <is>
          <t>S1</t>
        </is>
      </c>
      <c r="J194" s="2" t="n">
        <v>84</v>
      </c>
      <c r="K194" s="2" t="inlineStr">
        <is>
          <t>Sale of goods to Katjes Germany 0.3 0.3</t>
        </is>
      </c>
      <c r="L194" s="2" t="inlineStr">
        <is>
          <t>ok</t>
        </is>
      </c>
      <c r="M194" s="2" t="inlineStr">
        <is>
          <t>demo reviewer</t>
        </is>
      </c>
      <c r="N194" s="2" t="n"/>
      <c r="O194" s="3" t="inlineStr">
        <is>
          <t>https://vanillabonds.com/dossier-data/pdf/katjes/katjes-2023-annual-report.pdf#page=84</t>
        </is>
      </c>
    </row>
    <row r="195">
      <c r="A195" s="2" t="inlineStr">
        <is>
          <t>F194</t>
        </is>
      </c>
      <c r="B195" s="2" t="inlineStr">
        <is>
          <t>governance</t>
        </is>
      </c>
      <c r="C195" s="2" t="inlineStr">
        <is>
          <t>related_party_flow</t>
        </is>
      </c>
      <c r="D195" s="3" t="inlineStr">
        <is>
          <t>Related-party flow: counterparty; kind (fee, rent, dividend, buyback, loan); amount; year; terms</t>
        </is>
      </c>
      <c r="E195" s="2" t="n"/>
      <c r="F195" s="2" t="n">
        <v>7.7</v>
      </c>
      <c r="G195" s="2" t="n"/>
      <c r="H195" s="3" t="inlineStr">
        <is>
          <t>counterparty: related parties; kind: other income; amount: 7.7; year: 2023 (2022: 5.0)</t>
        </is>
      </c>
      <c r="I195" s="2" t="inlineStr">
        <is>
          <t>S1</t>
        </is>
      </c>
      <c r="J195" s="2" t="n">
        <v>84</v>
      </c>
      <c r="K195" s="2" t="inlineStr">
        <is>
          <t>Other income 7.7 5.0</t>
        </is>
      </c>
      <c r="L195" s="2" t="inlineStr">
        <is>
          <t>ok</t>
        </is>
      </c>
      <c r="M195" s="2" t="inlineStr">
        <is>
          <t>demo reviewer</t>
        </is>
      </c>
      <c r="N195" s="2" t="n"/>
      <c r="O195" s="3" t="inlineStr">
        <is>
          <t>https://vanillabonds.com/dossier-data/pdf/katjes/katjes-2023-annual-report.pdf#page=84</t>
        </is>
      </c>
    </row>
    <row r="196">
      <c r="A196" s="2" t="inlineStr">
        <is>
          <t>F195</t>
        </is>
      </c>
      <c r="B196" s="2" t="inlineStr">
        <is>
          <t>governance</t>
        </is>
      </c>
      <c r="C196" s="2" t="inlineStr">
        <is>
          <t>related_party_flow</t>
        </is>
      </c>
      <c r="D196" s="3" t="inlineStr">
        <is>
          <t>Related-party flow: counterparty; kind (fee, rent, dividend, buyback, loan); amount; year; terms</t>
        </is>
      </c>
      <c r="E196" s="2" t="n"/>
      <c r="F196" s="2" t="n">
        <v>1.8</v>
      </c>
      <c r="G196" s="2" t="n"/>
      <c r="H196" s="3" t="inlineStr">
        <is>
          <t>counterparty: related companies; kind: loan; amount: 1.8; year: 2023 (2022: 3.6); interest income from loans to related parties 0.1 (2022: 0.3)</t>
        </is>
      </c>
      <c r="I196" s="2" t="inlineStr">
        <is>
          <t>S1</t>
        </is>
      </c>
      <c r="J196" s="2" t="n">
        <v>84</v>
      </c>
      <c r="K196" s="2" t="inlineStr">
        <is>
          <t>Loans to related companies 1.8 3.6</t>
        </is>
      </c>
      <c r="L196" s="2" t="inlineStr">
        <is>
          <t>ok</t>
        </is>
      </c>
      <c r="M196" s="2" t="inlineStr">
        <is>
          <t>demo reviewer</t>
        </is>
      </c>
      <c r="N196" s="2" t="n"/>
      <c r="O196" s="3" t="inlineStr">
        <is>
          <t>https://vanillabonds.com/dossier-data/pdf/katjes/katjes-2023-annual-report.pdf#page=84</t>
        </is>
      </c>
    </row>
    <row r="197">
      <c r="A197" s="2" t="inlineStr">
        <is>
          <t>F196</t>
        </is>
      </c>
      <c r="B197" s="2" t="inlineStr">
        <is>
          <t>governance</t>
        </is>
      </c>
      <c r="C197" s="2" t="inlineStr">
        <is>
          <t>related_party_flow</t>
        </is>
      </c>
      <c r="D197" s="3" t="inlineStr">
        <is>
          <t>Related-party flow: counterparty; kind (fee, rent, dividend, buyback, loan); amount; year; terms</t>
        </is>
      </c>
      <c r="E197" s="2" t="n"/>
      <c r="F197" s="2" t="n">
        <v>0.5</v>
      </c>
      <c r="G197" s="2" t="n"/>
      <c r="H197" s="3" t="inlineStr">
        <is>
          <t>counterparty: limited partners Bastian Fassin and Tobias Bachmüller; kind: interest-bearing clearing accounts; amount: 0.5; year: 2023 (2022: 0.5); terms: 5.0% interest</t>
        </is>
      </c>
      <c r="I197" s="2" t="inlineStr">
        <is>
          <t>S1</t>
        </is>
      </c>
      <c r="J197" s="2" t="n">
        <v>84</v>
      </c>
      <c r="K197" s="3" t="inlineStr">
        <is>
          <t>Interest-bearing clearing accounts of the limited partners 0.5 0.5</t>
        </is>
      </c>
      <c r="L197" s="2" t="inlineStr">
        <is>
          <t>ok</t>
        </is>
      </c>
      <c r="M197" s="2" t="inlineStr">
        <is>
          <t>demo reviewer</t>
        </is>
      </c>
      <c r="N197" s="2" t="n"/>
      <c r="O197" s="3" t="inlineStr">
        <is>
          <t>https://vanillabonds.com/dossier-data/pdf/katjes/katjes-2023-annual-report.pdf#page=84</t>
        </is>
      </c>
    </row>
    <row r="198">
      <c r="A198" s="2" t="inlineStr">
        <is>
          <t>F197</t>
        </is>
      </c>
      <c r="B198" s="2" t="inlineStr">
        <is>
          <t>governance</t>
        </is>
      </c>
      <c r="C198" s="2" t="inlineStr">
        <is>
          <t>shareholder_loan</t>
        </is>
      </c>
      <c r="D198" s="3" t="inlineStr">
        <is>
          <t>Shareholder loan: lender; amount; rate; maturity; subordinated (yes / no)</t>
        </is>
      </c>
      <c r="E198" s="2" t="n"/>
      <c r="F198" s="2" t="n">
        <v>0.5</v>
      </c>
      <c r="G198" s="2" t="n"/>
      <c r="H198" s="3" t="inlineStr">
        <is>
          <t>lender: limited partners (interest-bearing clearing accounts); amount: 0.5; rate: 5.0% (2022: 5.0%); maturity: not stated; subordinated: not stated</t>
        </is>
      </c>
      <c r="I198" s="2" t="inlineStr">
        <is>
          <t>S1</t>
        </is>
      </c>
      <c r="J198" s="2" t="n">
        <v>84</v>
      </c>
      <c r="K198" s="3" t="inlineStr">
        <is>
          <t>ners bear interest at a rate of 5.0% (2022: 5.0%).</t>
        </is>
      </c>
      <c r="L198" s="2" t="inlineStr">
        <is>
          <t>ok</t>
        </is>
      </c>
      <c r="M198" s="2" t="inlineStr">
        <is>
          <t>demo reviewer</t>
        </is>
      </c>
      <c r="N198" s="2" t="n"/>
      <c r="O198" s="3" t="inlineStr">
        <is>
          <t>https://vanillabonds.com/dossier-data/pdf/katjes/katjes-2023-annual-report.pdf#page=84</t>
        </is>
      </c>
    </row>
    <row r="199">
      <c r="A199" s="2" t="inlineStr">
        <is>
          <t>F198</t>
        </is>
      </c>
      <c r="B199" s="2" t="inlineStr">
        <is>
          <t>governance</t>
        </is>
      </c>
      <c r="C199" s="2" t="inlineStr">
        <is>
          <t>owner_stake</t>
        </is>
      </c>
      <c r="D199" s="3" t="inlineStr">
        <is>
          <t>Owner's stake as stated: personal guarantee, pledged shares, family charter</t>
        </is>
      </c>
      <c r="E199" s="2" t="n"/>
      <c r="F199" s="2" t="n"/>
      <c r="G199" s="2" t="n"/>
      <c r="H199" s="3" t="inlineStr">
        <is>
          <t>Limited partners' fixed capital shares: Bastian Fassin EUR 0.5m, Tobias Bachmüller EUR 0.1m (registered liability EUR 540k / EUR 60k); interest-bearing clearing accounts of the limited partners EUR 0.5m at 5.0%.</t>
        </is>
      </c>
      <c r="I199" s="2" t="inlineStr">
        <is>
          <t>S1</t>
        </is>
      </c>
      <c r="J199" s="2" t="n">
        <v>71</v>
      </c>
      <c r="K199" s="3" t="inlineStr">
        <is>
          <t>Limited partner Bastian Fassin 0.5 0.5 Limited partner Tobias Bachmüller 0.1 0.1</t>
        </is>
      </c>
      <c r="L199" s="2" t="inlineStr">
        <is>
          <t>ok</t>
        </is>
      </c>
      <c r="M199" s="2" t="inlineStr">
        <is>
          <t>demo reviewer</t>
        </is>
      </c>
      <c r="N199" s="2" t="n"/>
      <c r="O199" s="3" t="inlineStr">
        <is>
          <t>https://vanillabonds.com/dossier-data/pdf/katjes/katjes-2023-annual-report.pdf#page=71</t>
        </is>
      </c>
    </row>
    <row r="200">
      <c r="A200" s="2" t="inlineStr">
        <is>
          <t>F199</t>
        </is>
      </c>
      <c r="B200" s="2" t="inlineStr">
        <is>
          <t>market</t>
        </is>
      </c>
      <c r="C200" s="2" t="inlineStr">
        <is>
          <t>market_series</t>
        </is>
      </c>
      <c r="D200" s="3" t="inlineStr">
        <is>
          <t>Market variable: variable; year; value; unit; source (a distribution adds n; median; spread; p10; p25; p75; p90)</t>
        </is>
      </c>
      <c r="E200" s="2" t="n"/>
      <c r="F200" s="2" t="n">
        <v>298</v>
      </c>
      <c r="G200" s="2" t="n"/>
      <c r="H200" s="3" t="inlineStr">
        <is>
          <t>variable: European sugar confectionery market volume (forecast); year: 2028; value: just under 298; unit: EUR bn; source: statista, November 2023</t>
        </is>
      </c>
      <c r="I200" s="2" t="inlineStr">
        <is>
          <t>S1</t>
        </is>
      </c>
      <c r="J200" s="2" t="n">
        <v>29</v>
      </c>
      <c r="K200" s="3" t="inlineStr">
        <is>
          <t>dicting that the European sugar confectionery market will continue to grow and will reach a volume of just under EUR 298 billion by 2028.</t>
        </is>
      </c>
      <c r="L200" s="2" t="inlineStr">
        <is>
          <t>ok</t>
        </is>
      </c>
      <c r="M200" s="2" t="inlineStr">
        <is>
          <t>demo reviewer</t>
        </is>
      </c>
      <c r="N200" s="2" t="n"/>
      <c r="O200" s="3" t="inlineStr">
        <is>
          <t>https://vanillabonds.com/dossier-data/pdf/katjes/katjes-2023-annual-report.pdf#page=29</t>
        </is>
      </c>
    </row>
    <row r="201">
      <c r="A201" s="2" t="inlineStr">
        <is>
          <t>F200</t>
        </is>
      </c>
      <c r="B201" s="2" t="inlineStr">
        <is>
          <t>market</t>
        </is>
      </c>
      <c r="C201" s="2" t="inlineStr">
        <is>
          <t>market_series</t>
        </is>
      </c>
      <c r="D201" s="3" t="inlineStr">
        <is>
          <t>Market variable: variable; year; value; unit; source (a distribution adds n; median; spread; p10; p25; p75; p90)</t>
        </is>
      </c>
      <c r="E201" s="2" t="n"/>
      <c r="F201" s="2" t="n">
        <v>4</v>
      </c>
      <c r="G201" s="2" t="n"/>
      <c r="H201" s="3" t="inlineStr">
        <is>
          <t>variable: German sugar confectionery market growth; year: 2023; value: just under 4; unit: %; source: company statement (management report)</t>
        </is>
      </c>
      <c r="I201" s="2" t="inlineStr">
        <is>
          <t>S1</t>
        </is>
      </c>
      <c r="J201" s="2" t="n">
        <v>29</v>
      </c>
      <c r="K201" s="3" t="inlineStr">
        <is>
          <t>The German sugar confectionery market grew by just</t>
        </is>
      </c>
      <c r="L201" s="2" t="inlineStr">
        <is>
          <t>ok</t>
        </is>
      </c>
      <c r="M201" s="2" t="inlineStr">
        <is>
          <t>demo reviewer</t>
        </is>
      </c>
      <c r="N201" s="2" t="n"/>
      <c r="O201" s="3" t="inlineStr">
        <is>
          <t>https://vanillabonds.com/dossier-data/pdf/katjes/katjes-2023-annual-report.pdf#page=29</t>
        </is>
      </c>
    </row>
    <row r="202">
      <c r="A202" s="2" t="inlineStr">
        <is>
          <t>F201</t>
        </is>
      </c>
      <c r="B202" s="2" t="inlineStr">
        <is>
          <t>market</t>
        </is>
      </c>
      <c r="C202" s="2" t="inlineStr">
        <is>
          <t>market_series</t>
        </is>
      </c>
      <c r="D202" s="3" t="inlineStr">
        <is>
          <t>Market variable: variable; year; value; unit; source (a distribution adds n; median; spread; p10; p25; p75; p90)</t>
        </is>
      </c>
      <c r="E202" s="2" t="n"/>
      <c r="F202" s="2" t="n">
        <v>4.1</v>
      </c>
      <c r="G202" s="2" t="n"/>
      <c r="H202" s="3" t="inlineStr">
        <is>
          <t>variable: European sugar confectionery market growth; year: 2023; value: 4.1; unit: %; source: company statement (management report)</t>
        </is>
      </c>
      <c r="I202" s="2" t="inlineStr">
        <is>
          <t>S1</t>
        </is>
      </c>
      <c r="J202" s="2" t="n">
        <v>29</v>
      </c>
      <c r="K202" s="3" t="inlineStr">
        <is>
          <t>ry market confirms this resilience: a further increase of 4.1% was recorded in 2023</t>
        </is>
      </c>
      <c r="L202" s="2" t="inlineStr">
        <is>
          <t>ok</t>
        </is>
      </c>
      <c r="M202" s="2" t="inlineStr">
        <is>
          <t>demo reviewer</t>
        </is>
      </c>
      <c r="N202" s="2" t="n"/>
      <c r="O202" s="3" t="inlineStr">
        <is>
          <t>https://vanillabonds.com/dossier-data/pdf/katjes/katjes-2023-annual-report.pdf#page=29</t>
        </is>
      </c>
    </row>
    <row r="203">
      <c r="A203" s="2" t="inlineStr">
        <is>
          <t>F202</t>
        </is>
      </c>
      <c r="B203" s="2" t="inlineStr">
        <is>
          <t>market</t>
        </is>
      </c>
      <c r="C203" s="2" t="inlineStr">
        <is>
          <t>market_series</t>
        </is>
      </c>
      <c r="D203" s="3" t="inlineStr">
        <is>
          <t>Market variable: variable; year; value; unit; source (a distribution adds n; median; spread; p10; p25; p75; p90)</t>
        </is>
      </c>
      <c r="E203" s="2" t="n"/>
      <c r="F203" s="2" t="n">
        <v>0.5</v>
      </c>
      <c r="G203" s="2" t="n"/>
      <c r="H203" s="3" t="inlineStr">
        <is>
          <t>variable: Eurozone GDP growth; year: 2023; value: 0.5 (2022: 3.4); unit: %; source: OECD Economic Outlook November 2023, updated February 2024</t>
        </is>
      </c>
      <c r="I203" s="2" t="inlineStr">
        <is>
          <t>S1</t>
        </is>
      </c>
      <c r="J203" s="2" t="n">
        <v>29</v>
      </c>
      <c r="K203" s="3" t="inlineStr">
        <is>
          <t>(GDP) increased by only 0.5% as a whole (2022: 3.4%)</t>
        </is>
      </c>
      <c r="L203" s="2" t="inlineStr">
        <is>
          <t>ok</t>
        </is>
      </c>
      <c r="M203" s="2" t="inlineStr">
        <is>
          <t>demo reviewer</t>
        </is>
      </c>
      <c r="N203" s="2" t="n"/>
      <c r="O203" s="3" t="inlineStr">
        <is>
          <t>https://vanillabonds.com/dossier-data/pdf/katjes/katjes-2023-annual-report.pdf#page=29</t>
        </is>
      </c>
    </row>
    <row r="204">
      <c r="A204" s="2" t="inlineStr">
        <is>
          <t>F203</t>
        </is>
      </c>
      <c r="B204" s="2" t="inlineStr">
        <is>
          <t>market</t>
        </is>
      </c>
      <c r="C204" s="2" t="inlineStr">
        <is>
          <t>market_series</t>
        </is>
      </c>
      <c r="D204" s="3" t="inlineStr">
        <is>
          <t>Market variable: variable; year; value; unit; source (a distribution adds n; median; spread; p10; p25; p75; p90)</t>
        </is>
      </c>
      <c r="E204" s="2" t="n"/>
      <c r="F204" s="2" t="n">
        <v>0.7</v>
      </c>
      <c r="G204" s="2" t="n"/>
      <c r="H204" s="3" t="inlineStr">
        <is>
          <t>variable: Italy GDP growth; year: 2023; value: 0.7 (2022: 3.9); unit: %; source: OECD Economic Outlook November 2023 / February 2024</t>
        </is>
      </c>
      <c r="I204" s="2" t="inlineStr">
        <is>
          <t>S1</t>
        </is>
      </c>
      <c r="J204" s="2" t="n">
        <v>29</v>
      </c>
      <c r="K204" s="3" t="inlineStr">
        <is>
          <t>The Italian economy grew by 0.7% (2022: 3.9%)</t>
        </is>
      </c>
      <c r="L204" s="2" t="inlineStr">
        <is>
          <t>ok</t>
        </is>
      </c>
      <c r="M204" s="2" t="inlineStr">
        <is>
          <t>demo reviewer</t>
        </is>
      </c>
      <c r="N204" s="2" t="n"/>
      <c r="O204" s="3" t="inlineStr">
        <is>
          <t>https://vanillabonds.com/dossier-data/pdf/katjes/katjes-2023-annual-report.pdf#page=29</t>
        </is>
      </c>
    </row>
    <row r="205">
      <c r="A205" s="2" t="inlineStr">
        <is>
          <t>F204</t>
        </is>
      </c>
      <c r="B205" s="2" t="inlineStr">
        <is>
          <t>market</t>
        </is>
      </c>
      <c r="C205" s="2" t="inlineStr">
        <is>
          <t>market_series</t>
        </is>
      </c>
      <c r="D205" s="3" t="inlineStr">
        <is>
          <t>Market variable: variable; year; value; unit; source (a distribution adds n; median; spread; p10; p25; p75; p90)</t>
        </is>
      </c>
      <c r="E205" s="2" t="n"/>
      <c r="F205" s="2" t="n">
        <v>-0.1</v>
      </c>
      <c r="G205" s="2" t="n"/>
      <c r="H205" s="3" t="inlineStr">
        <is>
          <t>variable: Germany GDP growth; year: 2023; value: -0.1 (2022: 1.9); unit: %; source: OECD Economic Outlook November 2023 / February 2024</t>
        </is>
      </c>
      <c r="I205" s="2" t="inlineStr">
        <is>
          <t>S1</t>
        </is>
      </c>
      <c r="J205" s="2" t="n">
        <v>29</v>
      </c>
      <c r="K205" s="3" t="inlineStr">
        <is>
          <t>Germany’s GDP fell by -0.1% (2022: 1.9%).</t>
        </is>
      </c>
      <c r="L205" s="2" t="inlineStr">
        <is>
          <t>ok</t>
        </is>
      </c>
      <c r="M205" s="2" t="inlineStr">
        <is>
          <t>demo reviewer</t>
        </is>
      </c>
      <c r="N205" s="2" t="n"/>
      <c r="O205" s="3" t="inlineStr">
        <is>
          <t>https://vanillabonds.com/dossier-data/pdf/katjes/katjes-2023-annual-report.pdf#page=29</t>
        </is>
      </c>
    </row>
    <row r="206">
      <c r="A206" s="2" t="inlineStr">
        <is>
          <t>F205</t>
        </is>
      </c>
      <c r="B206" s="2" t="inlineStr">
        <is>
          <t>market</t>
        </is>
      </c>
      <c r="C206" s="2" t="inlineStr">
        <is>
          <t>market_series</t>
        </is>
      </c>
      <c r="D206" s="3" t="inlineStr">
        <is>
          <t>Market variable: variable; year; value; unit; source (a distribution adds n; median; spread; p10; p25; p75; p90)</t>
        </is>
      </c>
      <c r="E206" s="2" t="n"/>
      <c r="F206" s="2" t="n">
        <v>0.9</v>
      </c>
      <c r="G206" s="2" t="n"/>
      <c r="H206" s="3" t="inlineStr">
        <is>
          <t>variable: France GDP growth; year: 2023; value: 0.9 (2022: 2.5); unit: %; source: OECD Economic Outlook November 2023 / February 2024</t>
        </is>
      </c>
      <c r="I206" s="2" t="inlineStr">
        <is>
          <t>S1</t>
        </is>
      </c>
      <c r="J206" s="2" t="n">
        <v>29</v>
      </c>
      <c r="K206" s="3" t="inlineStr">
        <is>
          <t>reporting only slight growth of 0.9% (2022: 2.5%)</t>
        </is>
      </c>
      <c r="L206" s="2" t="inlineStr">
        <is>
          <t>ok</t>
        </is>
      </c>
      <c r="M206" s="2" t="inlineStr">
        <is>
          <t>demo reviewer</t>
        </is>
      </c>
      <c r="N206" s="2" t="n"/>
      <c r="O206" s="3" t="inlineStr">
        <is>
          <t>https://vanillabonds.com/dossier-data/pdf/katjes/katjes-2023-annual-report.pdf#page=29</t>
        </is>
      </c>
    </row>
    <row r="207">
      <c r="A207" s="2" t="inlineStr">
        <is>
          <t>F206</t>
        </is>
      </c>
      <c r="B207" s="2" t="inlineStr">
        <is>
          <t>market</t>
        </is>
      </c>
      <c r="C207" s="2" t="inlineStr">
        <is>
          <t>market_series</t>
        </is>
      </c>
      <c r="D207" s="3" t="inlineStr">
        <is>
          <t>Market variable: variable; year; value; unit; source (a distribution adds n; median; spread; p10; p25; p75; p90)</t>
        </is>
      </c>
      <c r="E207" s="2" t="n"/>
      <c r="F207" s="2" t="n">
        <v>0.3</v>
      </c>
      <c r="G207" s="2" t="n"/>
      <c r="H207" s="3" t="inlineStr">
        <is>
          <t>variable: UK GDP growth; year: 2023; value: 0.3 (2022: 4.3); unit: %; source: OECD Economic Outlook November 2023 / February 2024</t>
        </is>
      </c>
      <c r="I207" s="2" t="inlineStr">
        <is>
          <t>S1</t>
        </is>
      </c>
      <c r="J207" s="2" t="n">
        <v>29</v>
      </c>
      <c r="K207" s="3" t="inlineStr">
        <is>
          <t>Growth in the UK was weak at 0.3% in total (2022: 4.3%).</t>
        </is>
      </c>
      <c r="L207" s="2" t="inlineStr">
        <is>
          <t>ok</t>
        </is>
      </c>
      <c r="M207" s="2" t="inlineStr">
        <is>
          <t>demo reviewer</t>
        </is>
      </c>
      <c r="N207" s="2" t="n"/>
      <c r="O207" s="3" t="inlineStr">
        <is>
          <t>https://vanillabonds.com/dossier-data/pdf/katjes/katjes-2023-annual-report.pdf#page=29</t>
        </is>
      </c>
    </row>
    <row r="208">
      <c r="A208" s="2" t="inlineStr">
        <is>
          <t>F207</t>
        </is>
      </c>
      <c r="B208" s="2" t="inlineStr">
        <is>
          <t>market</t>
        </is>
      </c>
      <c r="C208" s="2" t="inlineStr">
        <is>
          <t>market_series</t>
        </is>
      </c>
      <c r="D208" s="3" t="inlineStr">
        <is>
          <t>Market variable: variable; year; value; unit; source (a distribution adds n; median; spread; p10; p25; p75; p90)</t>
        </is>
      </c>
      <c r="E208" s="2" t="n"/>
      <c r="F208" s="2" t="n">
        <v>0.2</v>
      </c>
      <c r="G208" s="2" t="n"/>
      <c r="H208" s="3" t="inlineStr">
        <is>
          <t>variable: Netherlands GDP growth; year: 2023; value: 0.2 (2022: 4.3); unit: %; source: OECD Economic Outlook November 2023 / February 2024</t>
        </is>
      </c>
      <c r="I208" s="2" t="inlineStr">
        <is>
          <t>S1</t>
        </is>
      </c>
      <c r="J208" s="2" t="n">
        <v>29</v>
      </c>
      <c r="K208" s="3" t="inlineStr">
        <is>
          <t>The Netherlands recorded GDP growth of 0.2% (2022: 4.3%).</t>
        </is>
      </c>
      <c r="L208" s="2" t="inlineStr">
        <is>
          <t>ok</t>
        </is>
      </c>
      <c r="M208" s="2" t="inlineStr">
        <is>
          <t>demo reviewer</t>
        </is>
      </c>
      <c r="N208" s="2" t="n"/>
      <c r="O208" s="3" t="inlineStr">
        <is>
          <t>https://vanillabonds.com/dossier-data/pdf/katjes/katjes-2023-annual-report.pdf#page=29</t>
        </is>
      </c>
    </row>
    <row r="209">
      <c r="A209" s="2" t="inlineStr">
        <is>
          <t>F208</t>
        </is>
      </c>
      <c r="B209" s="2" t="inlineStr">
        <is>
          <t>market</t>
        </is>
      </c>
      <c r="C209" s="2" t="inlineStr">
        <is>
          <t>market_series</t>
        </is>
      </c>
      <c r="D209" s="3" t="inlineStr">
        <is>
          <t>Market variable: variable; year; value; unit; source (a distribution adds n; median; spread; p10; p25; p75; p90)</t>
        </is>
      </c>
      <c r="E209" s="2" t="n"/>
      <c r="F209" s="2" t="n">
        <v>1.8</v>
      </c>
      <c r="G209" s="2" t="n"/>
      <c r="H209" s="3" t="inlineStr">
        <is>
          <t>variable: German dental and oral care market sales; year: 2023; value: around 1.8; unit: EUR bn; source: company statement (+4.6% vs 2022)</t>
        </is>
      </c>
      <c r="I209" s="2" t="inlineStr">
        <is>
          <t>S1</t>
        </is>
      </c>
      <c r="J209" s="2" t="n">
        <v>30</v>
      </c>
      <c r="K209" s="3" t="inlineStr">
        <is>
          <t>In 2023, sales of these types of products amounted to around EUR 1.8 billion</t>
        </is>
      </c>
      <c r="L209" s="2" t="inlineStr">
        <is>
          <t>ok</t>
        </is>
      </c>
      <c r="M209" s="2" t="inlineStr">
        <is>
          <t>demo reviewer</t>
        </is>
      </c>
      <c r="N209" s="2" t="n"/>
      <c r="O209" s="3" t="inlineStr">
        <is>
          <t>https://vanillabonds.com/dossier-data/pdf/katjes/katjes-2023-annual-report.pdf#page=30</t>
        </is>
      </c>
    </row>
    <row r="210">
      <c r="A210" s="2" t="inlineStr">
        <is>
          <t>F209</t>
        </is>
      </c>
      <c r="B210" s="2" t="inlineStr">
        <is>
          <t>market</t>
        </is>
      </c>
      <c r="C210" s="2" t="inlineStr">
        <is>
          <t>market_series</t>
        </is>
      </c>
      <c r="D210" s="3" t="inlineStr">
        <is>
          <t>Market variable: variable; year; value; unit; source (a distribution adds n; median; spread; p10; p25; p75; p90)</t>
        </is>
      </c>
      <c r="E210" s="2" t="n"/>
      <c r="F210" s="2" t="n">
        <v>554</v>
      </c>
      <c r="G210" s="2" t="n"/>
      <c r="H210" s="3" t="inlineStr">
        <is>
          <t>variable: German baby and kids body care market volume; year: 2023; value: 554; unit: EUR m; source: Nielsen analysis (+7.6% value, +0.4% volume)</t>
        </is>
      </c>
      <c r="I210" s="2" t="inlineStr">
        <is>
          <t>S1</t>
        </is>
      </c>
      <c r="J210" s="2" t="n">
        <v>30</v>
      </c>
      <c r="K210" s="3" t="inlineStr">
        <is>
          <t>According to the Nielsen analysis, the total market volume in Germany grew by 7.6% to EUR 554 million in 2023.</t>
        </is>
      </c>
      <c r="L210" s="2" t="inlineStr">
        <is>
          <t>ok</t>
        </is>
      </c>
      <c r="M210" s="2" t="inlineStr">
        <is>
          <t>demo reviewer</t>
        </is>
      </c>
      <c r="N210" s="2" t="n"/>
      <c r="O210" s="3" t="inlineStr">
        <is>
          <t>https://vanillabonds.com/dossier-data/pdf/katjes/katjes-2023-annual-report.pdf#page=30</t>
        </is>
      </c>
    </row>
    <row r="211">
      <c r="A211" s="2" t="inlineStr">
        <is>
          <t>F210</t>
        </is>
      </c>
      <c r="B211" s="2" t="inlineStr">
        <is>
          <t>market</t>
        </is>
      </c>
      <c r="C211" s="2" t="inlineStr">
        <is>
          <t>market_series</t>
        </is>
      </c>
      <c r="D211" s="3" t="inlineStr">
        <is>
          <t>Market variable: variable; year; value; unit; source (a distribution adds n; median; spread; p10; p25; p75; p90)</t>
        </is>
      </c>
      <c r="E211" s="2" t="n"/>
      <c r="F211" s="2" t="n">
        <v>17.1</v>
      </c>
      <c r="G211" s="2" t="n"/>
      <c r="H211" s="3" t="inlineStr">
        <is>
          <t>variable: confectionery market volume Germany; year: 2023; value: 17.1 (2022: 16.8); unit: EUR bn; source: statista</t>
        </is>
      </c>
      <c r="I211" s="2" t="inlineStr">
        <is>
          <t>S1</t>
        </is>
      </c>
      <c r="J211" s="2" t="n">
        <v>30</v>
      </c>
      <c r="K211" s="2" t="inlineStr">
        <is>
          <t>Germany 17.1 16.8</t>
        </is>
      </c>
      <c r="L211" s="2" t="inlineStr">
        <is>
          <t>ok</t>
        </is>
      </c>
      <c r="M211" s="2" t="inlineStr">
        <is>
          <t>demo reviewer</t>
        </is>
      </c>
      <c r="N211" s="2" t="n"/>
      <c r="O211" s="3" t="inlineStr">
        <is>
          <t>https://vanillabonds.com/dossier-data/pdf/katjes/katjes-2023-annual-report.pdf#page=30</t>
        </is>
      </c>
    </row>
    <row r="212">
      <c r="A212" s="2" t="inlineStr">
        <is>
          <t>F211</t>
        </is>
      </c>
      <c r="B212" s="2" t="inlineStr">
        <is>
          <t>market</t>
        </is>
      </c>
      <c r="C212" s="2" t="inlineStr">
        <is>
          <t>market_series</t>
        </is>
      </c>
      <c r="D212" s="3" t="inlineStr">
        <is>
          <t>Market variable: variable; year; value; unit; source (a distribution adds n; median; spread; p10; p25; p75; p90)</t>
        </is>
      </c>
      <c r="E212" s="2" t="n"/>
      <c r="F212" s="2" t="n">
        <v>17.4</v>
      </c>
      <c r="G212" s="2" t="n"/>
      <c r="H212" s="3" t="inlineStr">
        <is>
          <t>variable: confectionery market volume France; year: 2023; value: 17.4 (2022: 17.3); unit: EUR bn; source: statista</t>
        </is>
      </c>
      <c r="I212" s="2" t="inlineStr">
        <is>
          <t>S1</t>
        </is>
      </c>
      <c r="J212" s="2" t="n">
        <v>30</v>
      </c>
      <c r="K212" s="2" t="inlineStr">
        <is>
          <t>France 17.4 17.3</t>
        </is>
      </c>
      <c r="L212" s="2" t="inlineStr">
        <is>
          <t>ok</t>
        </is>
      </c>
      <c r="M212" s="2" t="inlineStr">
        <is>
          <t>demo reviewer</t>
        </is>
      </c>
      <c r="N212" s="2" t="n"/>
      <c r="O212" s="3" t="inlineStr">
        <is>
          <t>https://vanillabonds.com/dossier-data/pdf/katjes/katjes-2023-annual-report.pdf#page=30</t>
        </is>
      </c>
    </row>
    <row r="213">
      <c r="A213" s="2" t="inlineStr">
        <is>
          <t>F212</t>
        </is>
      </c>
      <c r="B213" s="2" t="inlineStr">
        <is>
          <t>market</t>
        </is>
      </c>
      <c r="C213" s="2" t="inlineStr">
        <is>
          <t>market_series</t>
        </is>
      </c>
      <c r="D213" s="3" t="inlineStr">
        <is>
          <t>Market variable: variable; year; value; unit; source (a distribution adds n; median; spread; p10; p25; p75; p90)</t>
        </is>
      </c>
      <c r="E213" s="2" t="n"/>
      <c r="F213" s="2" t="n">
        <v>2.7</v>
      </c>
      <c r="G213" s="2" t="n"/>
      <c r="H213" s="3" t="inlineStr">
        <is>
          <t>variable: confectionery market volume Netherlands; year: 2023; value: 2.7 (2022: 2.7); unit: EUR bn; source: statista</t>
        </is>
      </c>
      <c r="I213" s="2" t="inlineStr">
        <is>
          <t>S1</t>
        </is>
      </c>
      <c r="J213" s="2" t="n">
        <v>30</v>
      </c>
      <c r="K213" s="2" t="inlineStr">
        <is>
          <t>Netherlands 2.7 2.7</t>
        </is>
      </c>
      <c r="L213" s="2" t="inlineStr">
        <is>
          <t>ok</t>
        </is>
      </c>
      <c r="M213" s="2" t="inlineStr">
        <is>
          <t>demo reviewer</t>
        </is>
      </c>
      <c r="N213" s="2" t="n"/>
      <c r="O213" s="3" t="inlineStr">
        <is>
          <t>https://vanillabonds.com/dossier-data/pdf/katjes/katjes-2023-annual-report.pdf#page=30</t>
        </is>
      </c>
    </row>
    <row r="214">
      <c r="A214" s="2" t="inlineStr">
        <is>
          <t>F213</t>
        </is>
      </c>
      <c r="B214" s="2" t="inlineStr">
        <is>
          <t>market</t>
        </is>
      </c>
      <c r="C214" s="2" t="inlineStr">
        <is>
          <t>market_series</t>
        </is>
      </c>
      <c r="D214" s="3" t="inlineStr">
        <is>
          <t>Market variable: variable; year; value; unit; source (a distribution adds n; median; spread; p10; p25; p75; p90)</t>
        </is>
      </c>
      <c r="E214" s="2" t="n"/>
      <c r="F214" s="2" t="n">
        <v>20.8</v>
      </c>
      <c r="G214" s="2" t="n"/>
      <c r="H214" s="3" t="inlineStr">
        <is>
          <t>variable: confectionery market volume Italy; year: 2023; value: 20.8 (2022: 20.7); unit: EUR bn; source: statista</t>
        </is>
      </c>
      <c r="I214" s="2" t="inlineStr">
        <is>
          <t>S1</t>
        </is>
      </c>
      <c r="J214" s="2" t="n">
        <v>30</v>
      </c>
      <c r="K214" s="2" t="inlineStr">
        <is>
          <t>Italy 20.8 20.7</t>
        </is>
      </c>
      <c r="L214" s="2" t="inlineStr">
        <is>
          <t>ok</t>
        </is>
      </c>
      <c r="M214" s="2" t="inlineStr">
        <is>
          <t>demo reviewer</t>
        </is>
      </c>
      <c r="N214" s="2" t="n"/>
      <c r="O214" s="3" t="inlineStr">
        <is>
          <t>https://vanillabonds.com/dossier-data/pdf/katjes/katjes-2023-annual-report.pdf#page=30</t>
        </is>
      </c>
    </row>
    <row r="215">
      <c r="A215" s="2" t="inlineStr">
        <is>
          <t>F214</t>
        </is>
      </c>
      <c r="B215" s="2" t="inlineStr">
        <is>
          <t>market</t>
        </is>
      </c>
      <c r="C215" s="2" t="inlineStr">
        <is>
          <t>market_series</t>
        </is>
      </c>
      <c r="D215" s="3" t="inlineStr">
        <is>
          <t>Market variable: variable; year; value; unit; source (a distribution adds n; median; spread; p10; p25; p75; p90)</t>
        </is>
      </c>
      <c r="E215" s="2" t="n"/>
      <c r="F215" s="2" t="n">
        <v>16.2</v>
      </c>
      <c r="G215" s="2" t="n"/>
      <c r="H215" s="3" t="inlineStr">
        <is>
          <t>variable: confectionery market volume United Kingdom; year: 2023; value: 16.2 (2022: 15.7); unit: EUR bn; source: statista</t>
        </is>
      </c>
      <c r="I215" s="2" t="inlineStr">
        <is>
          <t>S1</t>
        </is>
      </c>
      <c r="J215" s="2" t="n">
        <v>30</v>
      </c>
      <c r="K215" s="2" t="inlineStr">
        <is>
          <t>United Kingdom 16.2 15.7</t>
        </is>
      </c>
      <c r="L215" s="2" t="inlineStr">
        <is>
          <t>ok</t>
        </is>
      </c>
      <c r="M215" s="2" t="inlineStr">
        <is>
          <t>demo reviewer</t>
        </is>
      </c>
      <c r="N215" s="2" t="n"/>
      <c r="O215" s="3" t="inlineStr">
        <is>
          <t>https://vanillabonds.com/dossier-data/pdf/katjes/katjes-2023-annual-report.pdf#page=30</t>
        </is>
      </c>
    </row>
    <row r="216">
      <c r="A216" s="2" t="inlineStr">
        <is>
          <t>F215</t>
        </is>
      </c>
      <c r="B216" s="2" t="inlineStr">
        <is>
          <t>market</t>
        </is>
      </c>
      <c r="C216" s="2" t="inlineStr">
        <is>
          <t>market_series</t>
        </is>
      </c>
      <c r="D216" s="3" t="inlineStr">
        <is>
          <t>Market variable: variable; year; value; unit; source (a distribution adds n; median; spread; p10; p25; p75; p90)</t>
        </is>
      </c>
      <c r="E216" s="2" t="n"/>
      <c r="F216" s="2" t="n">
        <v>6</v>
      </c>
      <c r="G216" s="2" t="n"/>
      <c r="H216" s="3" t="inlineStr">
        <is>
          <t>variable: European sugar confectionery market volume growth (expected); year: 2024; value: around 6; unit: %; source: company statement (forecast report)</t>
        </is>
      </c>
      <c r="I216" s="2" t="inlineStr">
        <is>
          <t>S1</t>
        </is>
      </c>
      <c r="J216" s="2" t="n">
        <v>41</v>
      </c>
      <c r="K216" s="3" t="inlineStr">
        <is>
          <t>The market volume for sugar confectionery in Europe is expected to increase by around 6% in 2024</t>
        </is>
      </c>
      <c r="L216" s="2" t="inlineStr">
        <is>
          <t>ok</t>
        </is>
      </c>
      <c r="M216" s="2" t="inlineStr">
        <is>
          <t>demo reviewer</t>
        </is>
      </c>
      <c r="N216" s="2" t="n"/>
      <c r="O216" s="3" t="inlineStr">
        <is>
          <t>https://vanillabonds.com/dossier-data/pdf/katjes/katjes-2023-annual-report.pdf#page=41</t>
        </is>
      </c>
    </row>
    <row r="217">
      <c r="A217" s="2" t="inlineStr">
        <is>
          <t>F216</t>
        </is>
      </c>
      <c r="B217" s="2" t="inlineStr">
        <is>
          <t>market</t>
        </is>
      </c>
      <c r="C217" s="2" t="inlineStr">
        <is>
          <t>market_series</t>
        </is>
      </c>
      <c r="D217" s="3" t="inlineStr">
        <is>
          <t>Market variable: variable; year; value; unit; source (a distribution adds n; median; spread; p10; p25; p75; p90)</t>
        </is>
      </c>
      <c r="E217" s="2" t="n"/>
      <c r="F217" s="2" t="n">
        <v>0.6</v>
      </c>
      <c r="G217" s="2" t="n"/>
      <c r="H217" s="3" t="inlineStr">
        <is>
          <t>variable: Eurozone GDP growth (forecast); year: 2024; value: 0.6; unit: %; source: OECD, November 2023 updated February 2024</t>
        </is>
      </c>
      <c r="I217" s="2" t="inlineStr">
        <is>
          <t>S1</t>
        </is>
      </c>
      <c r="J217" s="2" t="n">
        <v>41</v>
      </c>
      <c r="K217" s="3" t="inlineStr">
        <is>
          <t>The OECD is expecting gross domestic product (GDP) to increase by a modest 0.6% in the Eurozone in 2024.</t>
        </is>
      </c>
      <c r="L217" s="2" t="inlineStr">
        <is>
          <t>ok</t>
        </is>
      </c>
      <c r="M217" s="2" t="inlineStr">
        <is>
          <t>demo reviewer</t>
        </is>
      </c>
      <c r="N217" s="2" t="n"/>
      <c r="O217" s="3" t="inlineStr">
        <is>
          <t>https://vanillabonds.com/dossier-data/pdf/katjes/katjes-2023-annual-report.pdf#page=41</t>
        </is>
      </c>
    </row>
    <row r="218">
      <c r="A218" s="2" t="inlineStr">
        <is>
          <t>F217</t>
        </is>
      </c>
      <c r="B218" s="2" t="inlineStr">
        <is>
          <t>market</t>
        </is>
      </c>
      <c r="C218" s="2" t="inlineStr">
        <is>
          <t>market_series</t>
        </is>
      </c>
      <c r="D218" s="3" t="inlineStr">
        <is>
          <t>Market variable: variable; year; value; unit; source (a distribution adds n; median; spread; p10; p25; p75; p90)</t>
        </is>
      </c>
      <c r="E218" s="2" t="n"/>
      <c r="F218" s="2" t="n">
        <v>0.3</v>
      </c>
      <c r="G218" s="2" t="n"/>
      <c r="H218" s="3" t="inlineStr">
        <is>
          <t>variable: Germany GDP growth (forecast); year: 2024; value: 0.3 (Netherlands 0.5, Italy 0.7, France 0.6, UK 0.7); unit: %; source: OECD, November 2023 updated February 2024</t>
        </is>
      </c>
      <c r="I218" s="2" t="inlineStr">
        <is>
          <t>S1</t>
        </is>
      </c>
      <c r="J218" s="2" t="n">
        <v>41</v>
      </c>
      <c r="K218" s="3" t="inlineStr">
        <is>
          <t>An increase of 0.3% is expected for Germany and 0.5% for the Netherlands. GDP in Italy is expected to grow by 0.7%.</t>
        </is>
      </c>
      <c r="L218" s="2" t="inlineStr">
        <is>
          <t>ok</t>
        </is>
      </c>
      <c r="M218" s="2" t="inlineStr">
        <is>
          <t>demo reviewer</t>
        </is>
      </c>
      <c r="N218" s="2" t="n"/>
      <c r="O218" s="3" t="inlineStr">
        <is>
          <t>https://vanillabonds.com/dossier-data/pdf/katjes/katjes-2023-annual-report.pdf#page=41</t>
        </is>
      </c>
    </row>
    <row r="219">
      <c r="A219" s="2" t="inlineStr">
        <is>
          <t>F218</t>
        </is>
      </c>
      <c r="B219" s="2" t="inlineStr">
        <is>
          <t>market</t>
        </is>
      </c>
      <c r="C219" s="2" t="inlineStr">
        <is>
          <t>regulation_item</t>
        </is>
      </c>
      <c r="D219" s="3" t="inlineStr">
        <is>
          <t>Regulation: measure; effective; effect on the company as stated; source</t>
        </is>
      </c>
      <c r="E219" s="2" t="n"/>
      <c r="F219" s="2" t="n"/>
      <c r="G219" s="2" t="n"/>
      <c r="H219" s="3" t="inlineStr">
        <is>
          <t>measure: OECD Pillar Two global minimum tax (IAS 12 amendments); effective: 2023; effect on the company as stated: none, group revenue below the EUR 750m threshold; source: notes 2.2.1</t>
        </is>
      </c>
      <c r="I219" s="2" t="inlineStr">
        <is>
          <t>S1</t>
        </is>
      </c>
      <c r="J219" s="2" t="n">
        <v>52</v>
      </c>
      <c r="K219" s="3" t="inlineStr">
        <is>
          <t>the Group did not exceed the required minimum revenue volume of EUR 750 million</t>
        </is>
      </c>
      <c r="L219" s="2" t="inlineStr">
        <is>
          <t>ok</t>
        </is>
      </c>
      <c r="M219" s="2" t="inlineStr">
        <is>
          <t>demo reviewer</t>
        </is>
      </c>
      <c r="N219" s="2" t="n"/>
      <c r="O219" s="3" t="inlineStr">
        <is>
          <t>https://vanillabonds.com/dossier-data/pdf/katjes/katjes-2023-annual-report.pdf#page=52</t>
        </is>
      </c>
    </row>
    <row r="220">
      <c r="A220" s="2" t="inlineStr">
        <is>
          <t>F219</t>
        </is>
      </c>
      <c r="B220" s="2" t="inlineStr">
        <is>
          <t>market</t>
        </is>
      </c>
      <c r="C220" s="2" t="inlineStr">
        <is>
          <t>regulation_item</t>
        </is>
      </c>
      <c r="D220" s="3" t="inlineStr">
        <is>
          <t>Regulation: measure; effective; effect on the company as stated; source</t>
        </is>
      </c>
      <c r="E220" s="2" t="n"/>
      <c r="F220" s="2" t="n">
        <v>2.4</v>
      </c>
      <c r="G220" s="2" t="n"/>
      <c r="H220" s="3" t="inlineStr">
        <is>
          <t>measure: Electricity Price Reduction Act (StromPBG) relief amounts; effective: 2023; effect on the company as stated: government grants of around EUR 2.4m recognised as a reduction in cost of sales; source: notes 2.3</t>
        </is>
      </c>
      <c r="I220" s="2" t="inlineStr">
        <is>
          <t>S1</t>
        </is>
      </c>
      <c r="J220" s="2" t="n">
        <v>54</v>
      </c>
      <c r="K220" s="3" t="inlineStr">
        <is>
          <t>the form of relief amounts under the Electricity Price Reduction Act (StromPBG) around EUR 2.4 million.</t>
        </is>
      </c>
      <c r="L220" s="2" t="inlineStr">
        <is>
          <t>ok</t>
        </is>
      </c>
      <c r="M220" s="2" t="inlineStr">
        <is>
          <t>demo reviewer</t>
        </is>
      </c>
      <c r="N220" s="2" t="n"/>
      <c r="O220" s="3" t="inlineStr">
        <is>
          <t>https://vanillabonds.com/dossier-data/pdf/katjes/katjes-2023-annual-report.pdf#page=54</t>
        </is>
      </c>
    </row>
    <row r="221">
      <c r="A221" s="2" t="inlineStr">
        <is>
          <t>F220</t>
        </is>
      </c>
      <c r="B221" s="2" t="inlineStr">
        <is>
          <t>market</t>
        </is>
      </c>
      <c r="C221" s="2" t="inlineStr">
        <is>
          <t>industry_assessment</t>
        </is>
      </c>
      <c r="D221" s="3" t="inlineStr">
        <is>
          <t>Third-party industry assessment, quoted verbatim: source; date; text; licence (T)</t>
        </is>
      </c>
      <c r="E221" s="2" t="n"/>
      <c r="F221" s="2" t="n"/>
      <c r="G221" s="2" t="n"/>
      <c r="H221" s="3" t="inlineStr">
        <is>
          <t>source: statista (cited as 'Experts'); date: November 2023; text: 'the European sugar confectionery market will continue to grow and will reach a volume of just under EUR 298 billion by 2028'; licence: not stated</t>
        </is>
      </c>
      <c r="I221" s="2" t="inlineStr">
        <is>
          <t>S1</t>
        </is>
      </c>
      <c r="J221" s="2" t="n">
        <v>29</v>
      </c>
      <c r="K221" s="3" t="inlineStr">
        <is>
          <t>dicting that the European sugar confectionery market will continue to grow and will reach a volume of just under EUR 298 billion by 2028.</t>
        </is>
      </c>
      <c r="L221" s="2" t="inlineStr">
        <is>
          <t>ok</t>
        </is>
      </c>
      <c r="M221" s="2" t="inlineStr">
        <is>
          <t>demo reviewer</t>
        </is>
      </c>
      <c r="N221" s="2" t="n"/>
      <c r="O221" s="3" t="inlineStr">
        <is>
          <t>https://vanillabonds.com/dossier-data/pdf/katjes/katjes-2023-annual-report.pdf#page=29</t>
        </is>
      </c>
    </row>
    <row r="222">
      <c r="A222" s="2" t="inlineStr">
        <is>
          <t>F221</t>
        </is>
      </c>
      <c r="B222" s="2" t="inlineStr">
        <is>
          <t>market</t>
        </is>
      </c>
      <c r="C222" s="2" t="inlineStr">
        <is>
          <t>industry_assessment</t>
        </is>
      </c>
      <c r="D222" s="3" t="inlineStr">
        <is>
          <t>Third-party industry assessment, quoted verbatim: source; date; text; licence (T)</t>
        </is>
      </c>
      <c r="E222" s="2" t="n"/>
      <c r="F222" s="2" t="n"/>
      <c r="G222" s="2" t="n"/>
      <c r="H222" s="3" t="inlineStr">
        <is>
          <t>source: OECD Economic Outlook; date: November 2023, updated February 2024; text: 'the OECD identified subdued development overall for 2023 in the Eurozone'; licence: not stated</t>
        </is>
      </c>
      <c r="I222" s="2" t="inlineStr">
        <is>
          <t>S1</t>
        </is>
      </c>
      <c r="J222" s="2" t="n">
        <v>29</v>
      </c>
      <c r="K222" s="3" t="inlineStr">
        <is>
          <t>2024, the OECD identified subdued development overall for 2023 in the Eurozone, the region that is particularly rele‐</t>
        </is>
      </c>
      <c r="L222" s="2" t="inlineStr">
        <is>
          <t>ok</t>
        </is>
      </c>
      <c r="M222" s="2" t="inlineStr">
        <is>
          <t>demo reviewer</t>
        </is>
      </c>
      <c r="N222" s="2" t="n"/>
      <c r="O222" s="3" t="inlineStr">
        <is>
          <t>https://vanillabonds.com/dossier-data/pdf/katjes/katjes-2023-annual-report.pdf#page=29</t>
        </is>
      </c>
    </row>
    <row r="223">
      <c r="A223" s="2" t="inlineStr">
        <is>
          <t>F222</t>
        </is>
      </c>
      <c r="B223" s="2" t="inlineStr">
        <is>
          <t>market</t>
        </is>
      </c>
      <c r="C223" s="2" t="inlineStr">
        <is>
          <t>contract_term</t>
        </is>
      </c>
      <c r="D223" s="3" t="inlineStr">
        <is>
          <t>Key contract: counterparty; share (of revenue or purchases, 0-1); duration; termination; indexation</t>
        </is>
      </c>
      <c r="E223" s="2" t="n"/>
      <c r="F223" s="2" t="n"/>
      <c r="G223" s="2" t="n"/>
      <c r="H223" s="3" t="inlineStr">
        <is>
          <t>counterparty: Henkel AG &amp; Co. KGaA; duration: transitional production of oral care goods for Bübchen Bodycare until the Viersen site transfer on 2 January 2024</t>
        </is>
      </c>
      <c r="I223" s="2" t="inlineStr">
        <is>
          <t>S1</t>
        </is>
      </c>
      <c r="J223" s="2" t="n">
        <v>59</v>
      </c>
      <c r="K223" s="3" t="inlineStr">
        <is>
          <t>then,Henkel continued to produce the goods for Bübchen Bodycare.</t>
        </is>
      </c>
      <c r="L223" s="2" t="inlineStr">
        <is>
          <t>ok</t>
        </is>
      </c>
      <c r="M223" s="2" t="inlineStr">
        <is>
          <t>demo reviewer</t>
        </is>
      </c>
      <c r="N223" s="2" t="n"/>
      <c r="O223" s="3" t="inlineStr">
        <is>
          <t>https://vanillabonds.com/dossier-data/pdf/katjes/katjes-2023-annual-report.pdf#page=59</t>
        </is>
      </c>
    </row>
    <row r="224">
      <c r="A224" s="2" t="inlineStr">
        <is>
          <t>F223</t>
        </is>
      </c>
      <c r="B224" s="2" t="inlineStr">
        <is>
          <t>market</t>
        </is>
      </c>
      <c r="C224" s="2" t="inlineStr">
        <is>
          <t>permit</t>
        </is>
      </c>
      <c r="D224" s="3" t="inlineStr">
        <is>
          <t>Certification, licence, permit or patent: item; issuer; expiry; register</t>
        </is>
      </c>
      <c r="E224" s="2" t="n"/>
      <c r="F224" s="2" t="n"/>
      <c r="G224" s="2" t="n"/>
      <c r="H224" s="3" t="inlineStr">
        <is>
          <t>item: ECOCERT certification of the Vademecum organic toothpaste line; issuer: ECOCERT; expiry: not stated</t>
        </is>
      </c>
      <c r="I224" s="2" t="inlineStr">
        <is>
          <t>S1</t>
        </is>
      </c>
      <c r="J224" s="2" t="n">
        <v>20</v>
      </c>
      <c r="K224" s="3" t="inlineStr">
        <is>
          <t>ECOCERT-certified product line, Vademecum offers consumers toothpaste alternatives</t>
        </is>
      </c>
      <c r="L224" s="2" t="inlineStr">
        <is>
          <t>ok</t>
        </is>
      </c>
      <c r="M224" s="2" t="inlineStr">
        <is>
          <t>demo reviewer</t>
        </is>
      </c>
      <c r="N224" s="2" t="n"/>
      <c r="O224" s="3" t="inlineStr">
        <is>
          <t>https://vanillabonds.com/dossier-data/pdf/katjes/katjes-2023-annual-report.pdf#page=20</t>
        </is>
      </c>
    </row>
    <row r="225">
      <c r="A225" s="2" t="inlineStr">
        <is>
          <t>F224</t>
        </is>
      </c>
      <c r="B225" s="2" t="inlineStr">
        <is>
          <t>market</t>
        </is>
      </c>
      <c r="C225" s="2" t="inlineStr">
        <is>
          <t>permit</t>
        </is>
      </c>
      <c r="D225" s="3" t="inlineStr">
        <is>
          <t>Certification, licence, permit or patent: item; issuer; expiry; register</t>
        </is>
      </c>
      <c r="E225" s="2" t="n"/>
      <c r="F225" s="2" t="n"/>
      <c r="G225" s="2" t="n"/>
      <c r="H225" s="3" t="inlineStr">
        <is>
          <t>item: IFS (International Featured Standards) or BRC Food Safety Standard certification of production sites of the significant holdings; issuer: IFS / British Retail Consortium; expiry: not stated</t>
        </is>
      </c>
      <c r="I225" s="2" t="inlineStr">
        <is>
          <t>S1</t>
        </is>
      </c>
      <c r="J225" s="2" t="n">
        <v>35</v>
      </c>
      <c r="K225" s="3" t="inlineStr">
        <is>
          <t>dergo regular food and quality audits and are certified according to the International Featured Standards (IFS) or the British Retail Consortium (BRC) Food Safety Standard</t>
        </is>
      </c>
      <c r="L225" s="2" t="inlineStr">
        <is>
          <t>ok</t>
        </is>
      </c>
      <c r="M225" s="2" t="inlineStr">
        <is>
          <t>demo reviewer</t>
        </is>
      </c>
      <c r="N225" s="2" t="n"/>
      <c r="O225" s="3" t="inlineStr">
        <is>
          <t>https://vanillabonds.com/dossier-data/pdf/katjes/katjes-2023-annual-report.pdf#page=35</t>
        </is>
      </c>
    </row>
    <row r="226">
      <c r="A226" s="2" t="inlineStr">
        <is>
          <t>F225</t>
        </is>
      </c>
      <c r="B226" s="2" t="inlineStr">
        <is>
          <t>market</t>
        </is>
      </c>
      <c r="C226" s="2" t="inlineStr">
        <is>
          <t>permit</t>
        </is>
      </c>
      <c r="D226" s="3" t="inlineStr">
        <is>
          <t>Certification, licence, permit or patent: item; issuer; expiry; register</t>
        </is>
      </c>
      <c r="E226" s="2" t="n"/>
      <c r="F226" s="2" t="n"/>
      <c r="G226" s="2" t="n"/>
      <c r="H226" s="3" t="inlineStr">
        <is>
          <t>item: trademarks Theramed, Antica Erboristeria, Vademecum, Licor del Polo, Denivit with associated patents, formulas and customer lists acquired from Henkel; register: not stated</t>
        </is>
      </c>
      <c r="I226" s="2" t="inlineStr">
        <is>
          <t>S1</t>
        </is>
      </c>
      <c r="J226" s="2" t="n">
        <v>59</v>
      </c>
      <c r="K226" s="3" t="inlineStr">
        <is>
          <t>ng five trademarks and all associated patents, formulas, customer lists, rights, etc.: Theramed, Antica Erboristeria, Vademecum, Licor del Polo, Denivit.</t>
        </is>
      </c>
      <c r="L226" s="2" t="inlineStr">
        <is>
          <t>ok</t>
        </is>
      </c>
      <c r="M226" s="2" t="inlineStr">
        <is>
          <t>demo reviewer</t>
        </is>
      </c>
      <c r="N226" s="2" t="n"/>
      <c r="O226" s="3" t="inlineStr">
        <is>
          <t>https://vanillabonds.com/dossier-data/pdf/katjes/katjes-2023-annual-report.pdf#page=59</t>
        </is>
      </c>
    </row>
    <row r="227">
      <c r="A227" s="2" t="inlineStr">
        <is>
          <t>F226</t>
        </is>
      </c>
      <c r="B227" s="2" t="inlineStr">
        <is>
          <t>financials</t>
        </is>
      </c>
      <c r="C227" s="2" t="inlineStr">
        <is>
          <t>one_off</t>
        </is>
      </c>
      <c r="D227" s="3" t="inlineStr">
        <is>
          <t>One-off item: item; amount; recurrence (years in which it recurred)</t>
        </is>
      </c>
      <c r="E227" s="2" t="inlineStr">
        <is>
          <t>FY2022</t>
        </is>
      </c>
      <c r="F227" s="2" t="n">
        <v>14.1</v>
      </c>
      <c r="G227" s="2" t="n"/>
      <c r="H227" s="3" t="inlineStr">
        <is>
          <t>item: purchase price allocation effect Paluani recognised in the income statement; amount: 14.1; recurrence: 2022</t>
        </is>
      </c>
      <c r="I227" s="2" t="inlineStr">
        <is>
          <t>S1</t>
        </is>
      </c>
      <c r="J227" s="2" t="n">
        <v>32</v>
      </c>
      <c r="K227" s="3" t="inlineStr">
        <is>
          <t>on of EUR 14.1 million for Paluani and EUR 10.3 million for the oral care business</t>
        </is>
      </c>
      <c r="L227" s="2" t="inlineStr">
        <is>
          <t>ok</t>
        </is>
      </c>
      <c r="M227" s="2" t="inlineStr">
        <is>
          <t>demo reviewer</t>
        </is>
      </c>
      <c r="N227" s="2" t="n"/>
      <c r="O227" s="3" t="inlineStr">
        <is>
          <t>https://vanillabonds.com/dossier-data/pdf/katjes/katjes-2023-annual-report.pdf#page=32</t>
        </is>
      </c>
    </row>
    <row r="228">
      <c r="A228" s="2" t="inlineStr">
        <is>
          <t>F227</t>
        </is>
      </c>
      <c r="B228" s="2" t="inlineStr">
        <is>
          <t>financials</t>
        </is>
      </c>
      <c r="C228" s="2" t="inlineStr">
        <is>
          <t>one_off</t>
        </is>
      </c>
      <c r="D228" s="3" t="inlineStr">
        <is>
          <t>One-off item: item; amount; recurrence (years in which it recurred)</t>
        </is>
      </c>
      <c r="E228" s="2" t="inlineStr">
        <is>
          <t>FY2022</t>
        </is>
      </c>
      <c r="F228" s="2" t="n">
        <v>10.3</v>
      </c>
      <c r="G228" s="2" t="n"/>
      <c r="H228" s="3" t="inlineStr">
        <is>
          <t>item: purchase price allocation effect (negative goodwill) oral care business recognised in other operating income at initial consolidation 7 Dec 2022; amount: 10.3; recurrence: 2022</t>
        </is>
      </c>
      <c r="I228" s="2" t="inlineStr">
        <is>
          <t>S1</t>
        </is>
      </c>
      <c r="J228" s="2" t="n">
        <v>59</v>
      </c>
      <c r="K228" s="3" t="inlineStr">
        <is>
          <t>At the time of initial consolidation on 7 December 2022, a difference on the liabilities side in the amount of EUR 10.3 million was recognised in other operating income</t>
        </is>
      </c>
      <c r="L228" s="2" t="inlineStr">
        <is>
          <t>ok</t>
        </is>
      </c>
      <c r="M228" s="2" t="inlineStr">
        <is>
          <t>demo reviewer</t>
        </is>
      </c>
      <c r="N228" s="2" t="n"/>
      <c r="O228" s="3" t="inlineStr">
        <is>
          <t>https://vanillabonds.com/dossier-data/pdf/katjes/katjes-2023-annual-report.pdf#page=59</t>
        </is>
      </c>
    </row>
    <row r="229">
      <c r="A229" s="2" t="inlineStr">
        <is>
          <t>F228</t>
        </is>
      </c>
      <c r="B229" s="2" t="inlineStr">
        <is>
          <t>financials</t>
        </is>
      </c>
      <c r="C229" s="2" t="inlineStr">
        <is>
          <t>one_off</t>
        </is>
      </c>
      <c r="D229" s="3" t="inlineStr">
        <is>
          <t>One-off item: item; amount; recurrence (years in which it recurred)</t>
        </is>
      </c>
      <c r="E229" s="2" t="inlineStr">
        <is>
          <t>FY2022</t>
        </is>
      </c>
      <c r="F229" s="2" t="n">
        <v>24.4</v>
      </c>
      <c r="G229" s="2" t="n"/>
      <c r="H229" s="3" t="inlineStr">
        <is>
          <t>item: recognition of negative goodwill in profit or loss (other operating income); amount: 24.4; recurrence: 2022 only (2023: 0.0)</t>
        </is>
      </c>
      <c r="I229" s="2" t="inlineStr">
        <is>
          <t>S1</t>
        </is>
      </c>
      <c r="J229" s="2" t="n">
        <v>79</v>
      </c>
      <c r="K229" s="3" t="inlineStr">
        <is>
          <t>Recognition of negative goodwill in profit or loss 0.0 24.4</t>
        </is>
      </c>
      <c r="L229" s="2" t="inlineStr">
        <is>
          <t>ok</t>
        </is>
      </c>
      <c r="M229" s="2" t="inlineStr">
        <is>
          <t>demo reviewer</t>
        </is>
      </c>
      <c r="N229" s="2" t="n"/>
      <c r="O229" s="3" t="inlineStr">
        <is>
          <t>https://vanillabonds.com/dossier-data/pdf/katjes/katjes-2023-annual-report.pdf#page=79</t>
        </is>
      </c>
    </row>
    <row r="230">
      <c r="A230" s="2" t="inlineStr">
        <is>
          <t>F229</t>
        </is>
      </c>
      <c r="B230" s="2" t="inlineStr">
        <is>
          <t>financials</t>
        </is>
      </c>
      <c r="C230" s="2" t="inlineStr">
        <is>
          <t>one_off</t>
        </is>
      </c>
      <c r="D230" s="3" t="inlineStr">
        <is>
          <t>One-off item: item; amount; recurrence (years in which it recurred)</t>
        </is>
      </c>
      <c r="E230" s="2" t="inlineStr">
        <is>
          <t>FY2022</t>
        </is>
      </c>
      <c r="F230" s="2" t="n">
        <v>1.2</v>
      </c>
      <c r="G230" s="2" t="n"/>
      <c r="H230" s="3" t="inlineStr">
        <is>
          <t>item: severance payments; amount: 1.2; recurrence: 2023 (0.2)</t>
        </is>
      </c>
      <c r="I230" s="2" t="inlineStr">
        <is>
          <t>S1</t>
        </is>
      </c>
      <c r="J230" s="2" t="n">
        <v>79</v>
      </c>
      <c r="K230" s="3" t="inlineStr">
        <is>
          <t>ments were incurred in the amount of EUR 0.2 million (2022: EUR 1.2 million).</t>
        </is>
      </c>
      <c r="L230" s="2" t="inlineStr">
        <is>
          <t>ok</t>
        </is>
      </c>
      <c r="M230" s="2" t="inlineStr">
        <is>
          <t>demo reviewer</t>
        </is>
      </c>
      <c r="N230" s="2" t="n"/>
      <c r="O230" s="3" t="inlineStr">
        <is>
          <t>https://vanillabonds.com/dossier-data/pdf/katjes/katjes-2023-annual-report.pdf#page=79</t>
        </is>
      </c>
    </row>
    <row r="231">
      <c r="A231" s="2" t="inlineStr">
        <is>
          <t>F230</t>
        </is>
      </c>
      <c r="B231" s="2" t="inlineStr">
        <is>
          <t>financials</t>
        </is>
      </c>
      <c r="C231" s="2" t="inlineStr">
        <is>
          <t>one_off</t>
        </is>
      </c>
      <c r="D231" s="3" t="inlineStr">
        <is>
          <t>One-off item: item; amount; recurrence (years in which it recurred)</t>
        </is>
      </c>
      <c r="E231" s="2" t="inlineStr">
        <is>
          <t>FY2023</t>
        </is>
      </c>
      <c r="F231" s="2" t="n">
        <v>2.4</v>
      </c>
      <c r="G231" s="2" t="n"/>
      <c r="H231" s="3" t="inlineStr">
        <is>
          <t>item: government grant, electricity price relief (StromPBG) netted in cost of sales; amount: 2.4; recurrence: 2023</t>
        </is>
      </c>
      <c r="I231" s="2" t="inlineStr">
        <is>
          <t>S1</t>
        </is>
      </c>
      <c r="J231" s="2" t="n">
        <v>54</v>
      </c>
      <c r="K231" s="3" t="inlineStr">
        <is>
          <t>the form of relief amounts under the Electricity Price Reduction Act (StromPBG) around EUR 2.4 million.</t>
        </is>
      </c>
      <c r="L231" s="2" t="inlineStr">
        <is>
          <t>ok</t>
        </is>
      </c>
      <c r="M231" s="2" t="inlineStr">
        <is>
          <t>demo reviewer</t>
        </is>
      </c>
      <c r="N231" s="2" t="n"/>
      <c r="O231" s="3" t="inlineStr">
        <is>
          <t>https://vanillabonds.com/dossier-data/pdf/katjes/katjes-2023-annual-report.pdf#page=54</t>
        </is>
      </c>
    </row>
    <row r="232">
      <c r="A232" s="2" t="inlineStr">
        <is>
          <t>F231</t>
        </is>
      </c>
      <c r="B232" s="2" t="inlineStr">
        <is>
          <t>financials</t>
        </is>
      </c>
      <c r="C232" s="2" t="inlineStr">
        <is>
          <t>one_off</t>
        </is>
      </c>
      <c r="D232" s="3" t="inlineStr">
        <is>
          <t>One-off item: item; amount; recurrence (years in which it recurred)</t>
        </is>
      </c>
      <c r="E232" s="2" t="inlineStr">
        <is>
          <t>FY2023</t>
        </is>
      </c>
      <c r="F232" s="2" t="n">
        <v>7.9</v>
      </c>
      <c r="G232" s="2" t="n"/>
      <c r="H232" s="3" t="inlineStr">
        <is>
          <t>item: other operating income 'Other' (mainly settlements with several contracting parties, plus income relating to other periods); amount: 7.9; recurrence: 2022 5.9</t>
        </is>
      </c>
      <c r="I232" s="2" t="inlineStr">
        <is>
          <t>S1</t>
        </is>
      </c>
      <c r="J232" s="2" t="n">
        <v>79</v>
      </c>
      <c r="K232" s="2" t="inlineStr">
        <is>
          <t>sions 0.5 0.7 Other 7.9 5.9</t>
        </is>
      </c>
      <c r="L232" s="2" t="inlineStr">
        <is>
          <t>ok</t>
        </is>
      </c>
      <c r="M232" s="2" t="inlineStr">
        <is>
          <t>demo reviewer</t>
        </is>
      </c>
      <c r="N232" s="2" t="n"/>
      <c r="O232" s="3" t="inlineStr">
        <is>
          <t>https://vanillabonds.com/dossier-data/pdf/katjes/katjes-2023-annual-report.pdf#page=79</t>
        </is>
      </c>
    </row>
    <row r="233">
      <c r="A233" s="2" t="inlineStr">
        <is>
          <t>F232</t>
        </is>
      </c>
      <c r="B233" s="2" t="inlineStr">
        <is>
          <t>financials</t>
        </is>
      </c>
      <c r="C233" s="2" t="inlineStr">
        <is>
          <t>one_off</t>
        </is>
      </c>
      <c r="D233" s="3" t="inlineStr">
        <is>
          <t>One-off item: item; amount; recurrence (years in which it recurred)</t>
        </is>
      </c>
      <c r="E233" s="2" t="inlineStr">
        <is>
          <t>FY2023</t>
        </is>
      </c>
      <c r="F233" s="2" t="n">
        <v>0.2</v>
      </c>
      <c r="G233" s="2" t="n"/>
      <c r="H233" s="3" t="inlineStr">
        <is>
          <t>item: severance payments; amount: 0.2; recurrence: 2022 (1.2)</t>
        </is>
      </c>
      <c r="I233" s="2" t="inlineStr">
        <is>
          <t>S1</t>
        </is>
      </c>
      <c r="J233" s="2" t="n">
        <v>79</v>
      </c>
      <c r="K233" s="3" t="inlineStr">
        <is>
          <t>ments were incurred in the amount of EUR 0.2 million (2022: EUR 1.2 million).</t>
        </is>
      </c>
      <c r="L233" s="2" t="inlineStr">
        <is>
          <t>ok</t>
        </is>
      </c>
      <c r="M233" s="2" t="inlineStr">
        <is>
          <t>demo reviewer</t>
        </is>
      </c>
      <c r="N233" s="2" t="n"/>
      <c r="O233" s="3" t="inlineStr">
        <is>
          <t>https://vanillabonds.com/dossier-data/pdf/katjes/katjes-2023-annual-report.pdf#page=79</t>
        </is>
      </c>
    </row>
    <row r="234">
      <c r="A234" s="2" t="inlineStr">
        <is>
          <t>F233</t>
        </is>
      </c>
      <c r="B234" s="2" t="inlineStr">
        <is>
          <t>financials</t>
        </is>
      </c>
      <c r="C234" s="2" t="inlineStr">
        <is>
          <t>one_off</t>
        </is>
      </c>
      <c r="D234" s="3" t="inlineStr">
        <is>
          <t>One-off item: item; amount; recurrence (years in which it recurred)</t>
        </is>
      </c>
      <c r="E234" s="2" t="inlineStr">
        <is>
          <t>FY2023</t>
        </is>
      </c>
      <c r="F234" s="2" t="n">
        <v>2.6</v>
      </c>
      <c r="G234" s="2" t="n"/>
      <c r="H234" s="3" t="inlineStr">
        <is>
          <t>item: deferred tax income from tax rate changes; amount: 2.6 (reduces tax expense); recurrence: 2022 expense 0.4</t>
        </is>
      </c>
      <c r="I234" s="2" t="inlineStr">
        <is>
          <t>S1</t>
        </is>
      </c>
      <c r="J234" s="2" t="n">
        <v>80</v>
      </c>
      <c r="K234" s="2" t="inlineStr">
        <is>
          <t>Tax rate changes -2.6 0.4</t>
        </is>
      </c>
      <c r="L234" s="2" t="inlineStr">
        <is>
          <t>ok</t>
        </is>
      </c>
      <c r="M234" s="2" t="inlineStr">
        <is>
          <t>demo reviewer</t>
        </is>
      </c>
      <c r="N234" s="2" t="n"/>
      <c r="O234" s="3" t="inlineStr">
        <is>
          <t>https://vanillabonds.com/dossier-data/pdf/katjes/katjes-2023-annual-report.pdf#page=80</t>
        </is>
      </c>
    </row>
    <row r="235">
      <c r="A235" s="2" t="inlineStr">
        <is>
          <t>F234</t>
        </is>
      </c>
      <c r="B235" s="2" t="inlineStr">
        <is>
          <t>financials</t>
        </is>
      </c>
      <c r="C235" s="2" t="inlineStr">
        <is>
          <t>offbalance_item</t>
        </is>
      </c>
      <c r="D235" s="3" t="inlineStr">
        <is>
          <t>Off-balance item: kind (lease, factoring, guarantee given, pension deficit, earn-out, litigation provision); amount; counterparty</t>
        </is>
      </c>
      <c r="E235" s="2" t="inlineStr">
        <is>
          <t>FY2022</t>
        </is>
      </c>
      <c r="F235" s="2" t="n">
        <v>9</v>
      </c>
      <c r="G235" s="2" t="n"/>
      <c r="H235" s="3" t="inlineStr">
        <is>
          <t>kind: pension deficit; amount: 9.0 (adjusted); counterparty: defined benefit plans in Germany and Italy</t>
        </is>
      </c>
      <c r="I235" s="2" t="inlineStr">
        <is>
          <t>S1</t>
        </is>
      </c>
      <c r="J235" s="2" t="n">
        <v>46</v>
      </c>
      <c r="K235" s="3" t="inlineStr">
        <is>
          <t>Provisions for pensions and similar obligations(1) 6.12 9.6 9.0</t>
        </is>
      </c>
      <c r="L235" s="2" t="inlineStr">
        <is>
          <t>ok</t>
        </is>
      </c>
      <c r="M235" s="2" t="inlineStr">
        <is>
          <t>demo reviewer</t>
        </is>
      </c>
      <c r="N235" s="2" t="n"/>
      <c r="O235" s="3" t="inlineStr">
        <is>
          <t>https://vanillabonds.com/dossier-data/pdf/katjes/katjes-2023-annual-report.pdf#page=46</t>
        </is>
      </c>
    </row>
    <row r="236">
      <c r="A236" s="2" t="inlineStr">
        <is>
          <t>F235</t>
        </is>
      </c>
      <c r="B236" s="2" t="inlineStr">
        <is>
          <t>financials</t>
        </is>
      </c>
      <c r="C236" s="2" t="inlineStr">
        <is>
          <t>offbalance_item</t>
        </is>
      </c>
      <c r="D236" s="3" t="inlineStr">
        <is>
          <t>Off-balance item: kind (lease, factoring, guarantee given, pension deficit, earn-out, litigation provision); amount; counterparty</t>
        </is>
      </c>
      <c r="E236" s="2" t="inlineStr">
        <is>
          <t>FY2023</t>
        </is>
      </c>
      <c r="F236" s="2" t="n">
        <v>9.6</v>
      </c>
      <c r="G236" s="2" t="n"/>
      <c r="H236" s="3" t="inlineStr">
        <is>
          <t>kind: pension deficit; amount: 9.6; counterparty: defined benefit plans in Germany and Italy (provision on balance sheet)</t>
        </is>
      </c>
      <c r="I236" s="2" t="inlineStr">
        <is>
          <t>S1</t>
        </is>
      </c>
      <c r="J236" s="2" t="n">
        <v>46</v>
      </c>
      <c r="K236" s="3" t="inlineStr">
        <is>
          <t>Provisions for pensions and similar obligations(1) 6.12 9.6 9.0</t>
        </is>
      </c>
      <c r="L236" s="2" t="inlineStr">
        <is>
          <t>ok</t>
        </is>
      </c>
      <c r="M236" s="2" t="inlineStr">
        <is>
          <t>demo reviewer</t>
        </is>
      </c>
      <c r="N236" s="2" t="n"/>
      <c r="O236" s="3" t="inlineStr">
        <is>
          <t>https://vanillabonds.com/dossier-data/pdf/katjes/katjes-2023-annual-report.pdf#page=46</t>
        </is>
      </c>
    </row>
    <row r="237">
      <c r="A237" s="2" t="inlineStr">
        <is>
          <t>F236</t>
        </is>
      </c>
      <c r="B237" s="2" t="inlineStr">
        <is>
          <t>financials</t>
        </is>
      </c>
      <c r="C237" s="2" t="inlineStr">
        <is>
          <t>offbalance_item</t>
        </is>
      </c>
      <c r="D237" s="3" t="inlineStr">
        <is>
          <t>Off-balance item: kind (lease, factoring, guarantee given, pension deficit, earn-out, litigation provision); amount; counterparty</t>
        </is>
      </c>
      <c r="E237" s="2" t="inlineStr">
        <is>
          <t>FY2023</t>
        </is>
      </c>
      <c r="F237" s="2" t="n">
        <v>1.2</v>
      </c>
      <c r="G237" s="2" t="n"/>
      <c r="H237" s="3" t="inlineStr">
        <is>
          <t>kind: earn-out (purchase option); amount: 1.2; counterparty: minority holders of the remaining 25% of Dulcioliva S.r.l.; option fully recognised as a liability as exercise is still assumed</t>
        </is>
      </c>
      <c r="I237" s="2" t="inlineStr">
        <is>
          <t>S1</t>
        </is>
      </c>
      <c r="J237" s="2" t="n">
        <v>64</v>
      </c>
      <c r="K237" s="3" t="inlineStr">
        <is>
          <t>the liability from the exercise of the purchase option for the remaining 25% of Dulcioliva is reported here (EUR 1.2 million)</t>
        </is>
      </c>
      <c r="L237" s="2" t="inlineStr">
        <is>
          <t>ok</t>
        </is>
      </c>
      <c r="M237" s="2" t="inlineStr">
        <is>
          <t>demo reviewer</t>
        </is>
      </c>
      <c r="N237" s="2" t="n"/>
      <c r="O237" s="3" t="inlineStr">
        <is>
          <t>https://vanillabonds.com/dossier-data/pdf/katjes/katjes-2023-annual-report.pdf#page=64</t>
        </is>
      </c>
    </row>
    <row r="238">
      <c r="A238" s="2" t="inlineStr">
        <is>
          <t>F237</t>
        </is>
      </c>
      <c r="B238" s="2" t="inlineStr">
        <is>
          <t>financials</t>
        </is>
      </c>
      <c r="C238" s="2" t="inlineStr">
        <is>
          <t>offbalance_item</t>
        </is>
      </c>
      <c r="D238" s="3" t="inlineStr">
        <is>
          <t>Off-balance item: kind (lease, factoring, guarantee given, pension deficit, earn-out, litigation provision); amount; counterparty</t>
        </is>
      </c>
      <c r="E238" s="2" t="inlineStr">
        <is>
          <t>FY2023</t>
        </is>
      </c>
      <c r="F238" s="2" t="n"/>
      <c r="G238" s="2" t="n"/>
      <c r="H238" s="3" t="inlineStr">
        <is>
          <t>kind: factoring; amount: not stated; counterparty: factoring companies; 87% of Piasten's, around 38% of Sperlari's and 70% of Candy Kittens' trade receivables sold and derecognised (IFRS 9.3.2.3)</t>
        </is>
      </c>
      <c r="I238" s="2" t="inlineStr">
        <is>
          <t>S1</t>
        </is>
      </c>
      <c r="J238" s="2" t="n">
        <v>70</v>
      </c>
      <c r="K238" s="3" t="inlineStr">
        <is>
          <t>In the reporting year, 87% of Piasten’s trade receivables, around 38% of Sperlari’s trade receivables and 70% of Candy Kittens’ trade receivables were sold to factoring</t>
        </is>
      </c>
      <c r="L238" s="2" t="inlineStr">
        <is>
          <t>ok</t>
        </is>
      </c>
      <c r="M238" s="2" t="inlineStr">
        <is>
          <t>demo reviewer</t>
        </is>
      </c>
      <c r="N238" s="2" t="n"/>
      <c r="O238" s="3" t="inlineStr">
        <is>
          <t>https://vanillabonds.com/dossier-data/pdf/katjes/katjes-2023-annual-report.pdf#page=70</t>
        </is>
      </c>
    </row>
    <row r="239">
      <c r="A239" s="2" t="inlineStr">
        <is>
          <t>F238</t>
        </is>
      </c>
      <c r="B239" s="2" t="inlineStr">
        <is>
          <t>financials</t>
        </is>
      </c>
      <c r="C239" s="2" t="inlineStr">
        <is>
          <t>offbalance_item</t>
        </is>
      </c>
      <c r="D239" s="3" t="inlineStr">
        <is>
          <t>Off-balance item: kind (lease, factoring, guarantee given, pension deficit, earn-out, litigation provision); amount; counterparty</t>
        </is>
      </c>
      <c r="E239" s="2" t="inlineStr">
        <is>
          <t>FY2023</t>
        </is>
      </c>
      <c r="F239" s="2" t="n">
        <v>0.9</v>
      </c>
      <c r="G239" s="2" t="n"/>
      <c r="H239" s="3" t="inlineStr">
        <is>
          <t>kind: pension deficit (funded plans); amount: 0.9; counterparty: funded defined benefit plans, DBO 10.7 vs plan assets 9.8; unfunded obligations 8.5, provision 8.7</t>
        </is>
      </c>
      <c r="I239" s="2" t="inlineStr">
        <is>
          <t>S1</t>
        </is>
      </c>
      <c r="J239" s="2" t="n">
        <v>75</v>
      </c>
      <c r="K239" s="3" t="inlineStr">
        <is>
          <t>Fair value of plan assets -9.8 -10.6 Obligation reported 0.9 0.0</t>
        </is>
      </c>
      <c r="L239" s="2" t="inlineStr">
        <is>
          <t>ok</t>
        </is>
      </c>
      <c r="M239" s="2" t="inlineStr">
        <is>
          <t>demo reviewer</t>
        </is>
      </c>
      <c r="N239" s="2" t="n"/>
      <c r="O239" s="3" t="inlineStr">
        <is>
          <t>https://vanillabonds.com/dossier-data/pdf/katjes/katjes-2023-annual-report.pdf#page=75</t>
        </is>
      </c>
    </row>
    <row r="240">
      <c r="A240" s="2" t="inlineStr">
        <is>
          <t>F239</t>
        </is>
      </c>
      <c r="B240" s="2" t="inlineStr">
        <is>
          <t>financials</t>
        </is>
      </c>
      <c r="C240" s="2" t="inlineStr">
        <is>
          <t>audit_adjustment</t>
        </is>
      </c>
      <c r="D240" s="3" t="inlineStr">
        <is>
          <t>Audit facts: adjustments (number); management_letter_points (number); restatements; key_audit_matters</t>
        </is>
      </c>
      <c r="E240" s="2" t="inlineStr">
        <is>
          <t>FY2022</t>
        </is>
      </c>
      <c r="F240" s="2" t="n">
        <v>7.7</v>
      </c>
      <c r="G240" s="2" t="n"/>
      <c r="H240" s="3" t="inlineStr">
        <is>
          <t>restatements: finalisation of the purchase price allocation added 7.7 to profit carried forward 2022 (equity restated to 167.0)</t>
        </is>
      </c>
      <c r="I240" s="2" t="inlineStr">
        <is>
          <t>S1</t>
        </is>
      </c>
      <c r="J240" s="2" t="n">
        <v>47</v>
      </c>
      <c r="K240" s="3" t="inlineStr">
        <is>
          <t>Finalisation purchase price allocation 0.0 0.0 0.0 7.7 0.0 0.0 0.0 0.0 7.7 0.0 7.7</t>
        </is>
      </c>
      <c r="L240" s="2" t="inlineStr">
        <is>
          <t>ok</t>
        </is>
      </c>
      <c r="M240" s="2" t="inlineStr">
        <is>
          <t>demo reviewer</t>
        </is>
      </c>
      <c r="N240" s="2" t="n"/>
      <c r="O240" s="3" t="inlineStr">
        <is>
          <t>https://vanillabonds.com/dossier-data/pdf/katjes/katjes-2023-annual-report.pdf#page=47</t>
        </is>
      </c>
    </row>
    <row r="241">
      <c r="A241" s="2" t="inlineStr">
        <is>
          <t>F240</t>
        </is>
      </c>
      <c r="B241" s="2" t="inlineStr">
        <is>
          <t>financials</t>
        </is>
      </c>
      <c r="C241" s="2" t="inlineStr">
        <is>
          <t>audit_adjustment</t>
        </is>
      </c>
      <c r="D241" s="3" t="inlineStr">
        <is>
          <t>Audit facts: adjustments (number); management_letter_points (number); restatements; key_audit_matters</t>
        </is>
      </c>
      <c r="E241" s="2" t="inlineStr">
        <is>
          <t>FY2023</t>
        </is>
      </c>
      <c r="F241" s="2" t="n"/>
      <c r="G241" s="2" t="n"/>
      <c r="H241" s="3" t="inlineStr">
        <is>
          <t>restatements: prior-year figures adjusted for the retrospective finalisation of the oral care purchase price allocation (PP&amp;E, equity, pension provisions, deferred taxes, current financial liabilities); key_audit_matters: none presented in the auditor's report; adjustments: not disclosed</t>
        </is>
      </c>
      <c r="I241" s="2" t="inlineStr">
        <is>
          <t>S1</t>
        </is>
      </c>
      <c r="J241" s="2" t="n">
        <v>33</v>
      </c>
      <c r="K241" s="3" t="inlineStr">
        <is>
          <t>figures were adjusted with regard to property, plant and equipment, equity, pension provisions, deferred taxes and current financial liabilities.</t>
        </is>
      </c>
      <c r="L241" s="2" t="inlineStr">
        <is>
          <t>ok</t>
        </is>
      </c>
      <c r="M241" s="2" t="inlineStr">
        <is>
          <t>demo reviewer</t>
        </is>
      </c>
      <c r="N241" s="2" t="n"/>
      <c r="O241" s="3" t="inlineStr">
        <is>
          <t>https://vanillabonds.com/dossier-data/pdf/katjes/katjes-2023-annual-report.pdf#page=33</t>
        </is>
      </c>
    </row>
    <row r="242">
      <c r="A242" s="2" t="inlineStr">
        <is>
          <t>F241</t>
        </is>
      </c>
      <c r="B242" s="2" t="inlineStr">
        <is>
          <t>financials</t>
        </is>
      </c>
      <c r="C242" s="2" t="inlineStr">
        <is>
          <t>filing_days</t>
        </is>
      </c>
      <c r="D242" s="3" t="inlineStr">
        <is>
          <t>Days from year end to filing of the accounts</t>
        </is>
      </c>
      <c r="E242" s="2" t="inlineStr">
        <is>
          <t>FY2023</t>
        </is>
      </c>
      <c r="F242" s="2" t="n">
        <v>87</v>
      </c>
      <c r="G242" s="2" t="n"/>
      <c r="H242" s="3" t="inlineStr">
        <is>
          <t>Year end 31 Dec 2023 to approval for publication and auditor's report on 27 March 2024</t>
        </is>
      </c>
      <c r="I242" s="2" t="inlineStr">
        <is>
          <t>S1</t>
        </is>
      </c>
      <c r="J242" s="2" t="n">
        <v>85</v>
      </c>
      <c r="K242" s="3" t="inlineStr">
        <is>
          <t>These consolidated financial statements were approved for publication by the management on 27 March 2024.</t>
        </is>
      </c>
      <c r="L242" s="2" t="inlineStr">
        <is>
          <t>ok</t>
        </is>
      </c>
      <c r="M242" s="2" t="inlineStr">
        <is>
          <t>demo reviewer</t>
        </is>
      </c>
      <c r="N242" s="2" t="n"/>
      <c r="O242" s="3" t="inlineStr">
        <is>
          <t>https://vanillabonds.com/dossier-data/pdf/katjes/katjes-2023-annual-report.pdf#page=85</t>
        </is>
      </c>
    </row>
    <row r="243">
      <c r="A243" s="2" t="inlineStr">
        <is>
          <t>F242</t>
        </is>
      </c>
      <c r="B243" s="2" t="inlineStr">
        <is>
          <t>financials</t>
        </is>
      </c>
      <c r="C243" s="2" t="inlineStr">
        <is>
          <t>tax_item</t>
        </is>
      </c>
      <c r="D243" s="3" t="inlineStr">
        <is>
          <t>Tax item: position, open assessment, dispute, ruling, payment-behaviour statement</t>
        </is>
      </c>
      <c r="E243" s="2" t="n"/>
      <c r="F243" s="2" t="n"/>
      <c r="G243" s="2" t="n"/>
      <c r="H243" s="3" t="inlineStr">
        <is>
          <t>Management lists 'general tax risks' among company-related risks without quantification.</t>
        </is>
      </c>
      <c r="I243" s="2" t="inlineStr">
        <is>
          <t>S1</t>
        </is>
      </c>
      <c r="J243" s="2" t="n">
        <v>39</v>
      </c>
      <c r="K243" s="2" t="inlineStr">
        <is>
          <t>There are general tax risks.</t>
        </is>
      </c>
      <c r="L243" s="2" t="inlineStr">
        <is>
          <t>ok</t>
        </is>
      </c>
      <c r="M243" s="2" t="inlineStr">
        <is>
          <t>demo reviewer</t>
        </is>
      </c>
      <c r="N243" s="2" t="n"/>
      <c r="O243" s="3" t="inlineStr">
        <is>
          <t>https://vanillabonds.com/dossier-data/pdf/katjes/katjes-2023-annual-report.pdf#page=39</t>
        </is>
      </c>
    </row>
    <row r="244">
      <c r="A244" s="2" t="inlineStr">
        <is>
          <t>F243</t>
        </is>
      </c>
      <c r="B244" s="2" t="inlineStr">
        <is>
          <t>financials</t>
        </is>
      </c>
      <c r="C244" s="2" t="inlineStr">
        <is>
          <t>tax_item</t>
        </is>
      </c>
      <c r="D244" s="3" t="inlineStr">
        <is>
          <t>Tax item: position, open assessment, dispute, ruling, payment-behaviour statement</t>
        </is>
      </c>
      <c r="E244" s="2" t="n"/>
      <c r="F244" s="2" t="n"/>
      <c r="G244" s="2" t="n"/>
      <c r="H244" s="3" t="inlineStr">
        <is>
          <t>No deferred tax assets on corporate tax loss carryforwards EUR 35.8m (2022: 35.9), trade tax loss carryforwards EUR 6.8m (6.2) and other loss carryforwards EUR 8.1m (8.3); recognised deferred tax asset on losses 9.0; six-year planning horizon.</t>
        </is>
      </c>
      <c r="I244" s="2" t="inlineStr">
        <is>
          <t>S1</t>
        </is>
      </c>
      <c r="J244" s="2" t="n">
        <v>74</v>
      </c>
      <c r="K244" s="3" t="inlineStr">
        <is>
          <t>No deferred taxes were recognised on corporate tax loss carryforwards in the amount of EUR 35.8 million (2022: EUR 35.9 million)</t>
        </is>
      </c>
      <c r="L244" s="2" t="inlineStr">
        <is>
          <t>ok</t>
        </is>
      </c>
      <c r="M244" s="2" t="inlineStr">
        <is>
          <t>demo reviewer</t>
        </is>
      </c>
      <c r="N244" s="2" t="n"/>
      <c r="O244" s="3" t="inlineStr">
        <is>
          <t>https://vanillabonds.com/dossier-data/pdf/katjes/katjes-2023-annual-report.pdf#page=74</t>
        </is>
      </c>
    </row>
    <row r="245">
      <c r="A245" s="2" t="inlineStr">
        <is>
          <t>F244</t>
        </is>
      </c>
      <c r="B245" s="2" t="inlineStr">
        <is>
          <t>financials</t>
        </is>
      </c>
      <c r="C245" s="2" t="inlineStr">
        <is>
          <t>tax_item</t>
        </is>
      </c>
      <c r="D245" s="3" t="inlineStr">
        <is>
          <t>Tax item: position, open assessment, dispute, ruling, payment-behaviour statement</t>
        </is>
      </c>
      <c r="E245" s="2" t="n"/>
      <c r="F245" s="2" t="n"/>
      <c r="G245" s="2" t="n"/>
      <c r="H245" s="3" t="inlineStr">
        <is>
          <t>Dutch corporation loss carryforwards EUR 1.3m (2022: 1.7) expire in one to five years; other loss carryforwards can be carried forward indefinitely.</t>
        </is>
      </c>
      <c r="I245" s="2" t="inlineStr">
        <is>
          <t>S1</t>
        </is>
      </c>
      <c r="J245" s="2" t="n">
        <v>74</v>
      </c>
      <c r="K245" s="3" t="inlineStr">
        <is>
          <t>ception involves Dutch corporation loss carryforwards in the amount of EUR 1.3 million (2022: EUR 1.7 million), which expire in one to five years.</t>
        </is>
      </c>
      <c r="L245" s="2" t="inlineStr">
        <is>
          <t>ok</t>
        </is>
      </c>
      <c r="M245" s="2" t="inlineStr">
        <is>
          <t>demo reviewer</t>
        </is>
      </c>
      <c r="N245" s="2" t="n"/>
      <c r="O245" s="3" t="inlineStr">
        <is>
          <t>https://vanillabonds.com/dossier-data/pdf/katjes/katjes-2023-annual-report.pdf#page=74</t>
        </is>
      </c>
    </row>
    <row r="246">
      <c r="A246" s="2" t="inlineStr">
        <is>
          <t>F245</t>
        </is>
      </c>
      <c r="B246" s="2" t="inlineStr">
        <is>
          <t>financials</t>
        </is>
      </c>
      <c r="C246" s="2" t="inlineStr">
        <is>
          <t>tax_item</t>
        </is>
      </c>
      <c r="D246" s="3" t="inlineStr">
        <is>
          <t>Tax item: position, open assessment, dispute, ruling, payment-behaviour statement</t>
        </is>
      </c>
      <c r="E246" s="2" t="n"/>
      <c r="F246" s="2" t="n"/>
      <c r="G246" s="2" t="n"/>
      <c r="H246" s="3" t="inlineStr">
        <is>
          <t>Tax expense 2023 EUR 0.9m (2022: 1.0): current tax 4.4 (Germany 4.2, other 0.2) less deferred tax income 3.5; expected rate 12.4% = average trade tax rate of the German parent (partnership).</t>
        </is>
      </c>
      <c r="I246" s="2" t="inlineStr">
        <is>
          <t>S1</t>
        </is>
      </c>
      <c r="J246" s="2" t="n">
        <v>80</v>
      </c>
      <c r="K246" s="3" t="inlineStr">
        <is>
          <t>The expected tax rate of 12.4% (2022: 12.3%) is the</t>
        </is>
      </c>
      <c r="L246" s="2" t="inlineStr">
        <is>
          <t>ok</t>
        </is>
      </c>
      <c r="M246" s="2" t="inlineStr">
        <is>
          <t>demo reviewer</t>
        </is>
      </c>
      <c r="N246" s="2" t="n"/>
      <c r="O246" s="3" t="inlineStr">
        <is>
          <t>https://vanillabonds.com/dossier-data/pdf/katjes/katjes-2023-annual-report.pdf#page=80</t>
        </is>
      </c>
    </row>
    <row r="247">
      <c r="A247" s="2" t="inlineStr">
        <is>
          <t>F246</t>
        </is>
      </c>
      <c r="B247" s="2" t="inlineStr">
        <is>
          <t>financials</t>
        </is>
      </c>
      <c r="C247" s="2" t="inlineStr">
        <is>
          <t>tax_item</t>
        </is>
      </c>
      <c r="D247" s="3" t="inlineStr">
        <is>
          <t>Tax item: position, open assessment, dispute, ruling, payment-behaviour statement</t>
        </is>
      </c>
      <c r="E247" s="2" t="n"/>
      <c r="F247" s="2" t="n"/>
      <c r="G247" s="2" t="n"/>
      <c r="H247" s="3" t="inlineStr">
        <is>
          <t>No deferred tax liabilities on taxable temporary differences of EUR 654.2m (2022: 562.1) relating to shares in subsidiaries, as reversal is controlled and not foreseeable.</t>
        </is>
      </c>
      <c r="I247" s="2" t="inlineStr">
        <is>
          <t>S1</t>
        </is>
      </c>
      <c r="J247" s="2" t="n">
        <v>80</v>
      </c>
      <c r="K247" s="3" t="inlineStr">
        <is>
          <t>shares in subsidiaries in the amount of EUR 654.2 million (2022: EUR 562.1 million), no deferred taxes were</t>
        </is>
      </c>
      <c r="L247" s="2" t="inlineStr">
        <is>
          <t>ok</t>
        </is>
      </c>
      <c r="M247" s="2" t="inlineStr">
        <is>
          <t>demo reviewer</t>
        </is>
      </c>
      <c r="N247" s="2" t="n"/>
      <c r="O247" s="3" t="inlineStr">
        <is>
          <t>https://vanillabonds.com/dossier-data/pdf/katjes/katjes-2023-annual-report.pdf#page=80</t>
        </is>
      </c>
    </row>
    <row r="248">
      <c r="A248" s="2" t="inlineStr">
        <is>
          <t>F247</t>
        </is>
      </c>
      <c r="B248" s="2" t="inlineStr">
        <is>
          <t>financials</t>
        </is>
      </c>
      <c r="C248" s="2" t="inlineStr">
        <is>
          <t>segment</t>
        </is>
      </c>
      <c r="D248" s="3" t="inlineStr">
        <is>
          <t>Segment: segment; revenue; ebitda; assets</t>
        </is>
      </c>
      <c r="E248" s="2" t="inlineStr">
        <is>
          <t>FY2022</t>
        </is>
      </c>
      <c r="F248" s="2" t="n">
        <v>127</v>
      </c>
      <c r="G248" s="2" t="n"/>
      <c r="H248" s="3" t="inlineStr">
        <is>
          <t>segment: Confectionery (business line); revenue: 127.0</t>
        </is>
      </c>
      <c r="I248" s="2" t="inlineStr">
        <is>
          <t>S1</t>
        </is>
      </c>
      <c r="J248" s="2" t="n">
        <v>78</v>
      </c>
      <c r="K248" s="2" t="inlineStr">
        <is>
          <t>Confectionery 156.2 127.0</t>
        </is>
      </c>
      <c r="L248" s="2" t="inlineStr">
        <is>
          <t>ok</t>
        </is>
      </c>
      <c r="M248" s="2" t="inlineStr">
        <is>
          <t>demo reviewer</t>
        </is>
      </c>
      <c r="N248" s="2" t="n"/>
      <c r="O248" s="3" t="inlineStr">
        <is>
          <t>https://vanillabonds.com/dossier-data/pdf/katjes/katjes-2023-annual-report.pdf#page=78</t>
        </is>
      </c>
    </row>
    <row r="249">
      <c r="A249" s="2" t="inlineStr">
        <is>
          <t>F248</t>
        </is>
      </c>
      <c r="B249" s="2" t="inlineStr">
        <is>
          <t>financials</t>
        </is>
      </c>
      <c r="C249" s="2" t="inlineStr">
        <is>
          <t>segment</t>
        </is>
      </c>
      <c r="D249" s="3" t="inlineStr">
        <is>
          <t>Segment: segment; revenue; ebitda; assets</t>
        </is>
      </c>
      <c r="E249" s="2" t="inlineStr">
        <is>
          <t>FY2022</t>
        </is>
      </c>
      <c r="F249" s="2" t="n">
        <v>55.4</v>
      </c>
      <c r="G249" s="2" t="n"/>
      <c r="H249" s="3" t="inlineStr">
        <is>
          <t>segment: Body care products (business line); revenue: 55.4</t>
        </is>
      </c>
      <c r="I249" s="2" t="inlineStr">
        <is>
          <t>S1</t>
        </is>
      </c>
      <c r="J249" s="2" t="n">
        <v>78</v>
      </c>
      <c r="K249" s="2" t="inlineStr">
        <is>
          <t>Body care products 87.0 55.4</t>
        </is>
      </c>
      <c r="L249" s="2" t="inlineStr">
        <is>
          <t>ok</t>
        </is>
      </c>
      <c r="M249" s="2" t="inlineStr">
        <is>
          <t>demo reviewer</t>
        </is>
      </c>
      <c r="N249" s="2" t="n"/>
      <c r="O249" s="3" t="inlineStr">
        <is>
          <t>https://vanillabonds.com/dossier-data/pdf/katjes/katjes-2023-annual-report.pdf#page=78</t>
        </is>
      </c>
    </row>
    <row r="250">
      <c r="A250" s="2" t="inlineStr">
        <is>
          <t>F249</t>
        </is>
      </c>
      <c r="B250" s="2" t="inlineStr">
        <is>
          <t>financials</t>
        </is>
      </c>
      <c r="C250" s="2" t="inlineStr">
        <is>
          <t>segment</t>
        </is>
      </c>
      <c r="D250" s="3" t="inlineStr">
        <is>
          <t>Segment: segment; revenue; ebitda; assets</t>
        </is>
      </c>
      <c r="E250" s="2" t="inlineStr">
        <is>
          <t>FY2022</t>
        </is>
      </c>
      <c r="F250" s="2" t="n">
        <v>55.2</v>
      </c>
      <c r="G250" s="2" t="n"/>
      <c r="H250" s="3" t="inlineStr">
        <is>
          <t>segment: Chocolate (business line); revenue: 55.2</t>
        </is>
      </c>
      <c r="I250" s="2" t="inlineStr">
        <is>
          <t>S1</t>
        </is>
      </c>
      <c r="J250" s="2" t="n">
        <v>78</v>
      </c>
      <c r="K250" s="2" t="inlineStr">
        <is>
          <t>Chocolate 59.4 55.2</t>
        </is>
      </c>
      <c r="L250" s="2" t="inlineStr">
        <is>
          <t>ok</t>
        </is>
      </c>
      <c r="M250" s="2" t="inlineStr">
        <is>
          <t>demo reviewer</t>
        </is>
      </c>
      <c r="N250" s="2" t="n"/>
      <c r="O250" s="3" t="inlineStr">
        <is>
          <t>https://vanillabonds.com/dossier-data/pdf/katjes/katjes-2023-annual-report.pdf#page=78</t>
        </is>
      </c>
    </row>
    <row r="251">
      <c r="A251" s="2" t="inlineStr">
        <is>
          <t>F250</t>
        </is>
      </c>
      <c r="B251" s="2" t="inlineStr">
        <is>
          <t>financials</t>
        </is>
      </c>
      <c r="C251" s="2" t="inlineStr">
        <is>
          <t>segment</t>
        </is>
      </c>
      <c r="D251" s="3" t="inlineStr">
        <is>
          <t>Segment: segment; revenue; ebitda; assets</t>
        </is>
      </c>
      <c r="E251" s="2" t="inlineStr">
        <is>
          <t>FY2022</t>
        </is>
      </c>
      <c r="F251" s="2" t="n">
        <v>37.2</v>
      </c>
      <c r="G251" s="2" t="n"/>
      <c r="H251" s="3" t="inlineStr">
        <is>
          <t>segment: Seasonals (business line); revenue: 37.2</t>
        </is>
      </c>
      <c r="I251" s="2" t="inlineStr">
        <is>
          <t>S1</t>
        </is>
      </c>
      <c r="J251" s="2" t="n">
        <v>78</v>
      </c>
      <c r="K251" s="2" t="inlineStr">
        <is>
          <t>Seasonals 46.7 37.2</t>
        </is>
      </c>
      <c r="L251" s="2" t="inlineStr">
        <is>
          <t>ok</t>
        </is>
      </c>
      <c r="M251" s="2" t="inlineStr">
        <is>
          <t>demo reviewer</t>
        </is>
      </c>
      <c r="N251" s="2" t="n"/>
      <c r="O251" s="3" t="inlineStr">
        <is>
          <t>https://vanillabonds.com/dossier-data/pdf/katjes/katjes-2023-annual-report.pdf#page=78</t>
        </is>
      </c>
    </row>
    <row r="252">
      <c r="A252" s="2" t="inlineStr">
        <is>
          <t>F251</t>
        </is>
      </c>
      <c r="B252" s="2" t="inlineStr">
        <is>
          <t>financials</t>
        </is>
      </c>
      <c r="C252" s="2" t="inlineStr">
        <is>
          <t>segment</t>
        </is>
      </c>
      <c r="D252" s="3" t="inlineStr">
        <is>
          <t>Segment: segment; revenue; ebitda; assets</t>
        </is>
      </c>
      <c r="E252" s="2" t="inlineStr">
        <is>
          <t>FY2022</t>
        </is>
      </c>
      <c r="F252" s="2" t="n">
        <v>19.7</v>
      </c>
      <c r="G252" s="2" t="n"/>
      <c r="H252" s="3" t="inlineStr">
        <is>
          <t>segment: Other (business line); revenue: 19.7</t>
        </is>
      </c>
      <c r="I252" s="2" t="inlineStr">
        <is>
          <t>S1</t>
        </is>
      </c>
      <c r="J252" s="2" t="n">
        <v>78</v>
      </c>
      <c r="K252" s="2" t="inlineStr">
        <is>
          <t>Other 28.1 19.7</t>
        </is>
      </c>
      <c r="L252" s="2" t="inlineStr">
        <is>
          <t>ok</t>
        </is>
      </c>
      <c r="M252" s="2" t="inlineStr">
        <is>
          <t>demo reviewer</t>
        </is>
      </c>
      <c r="N252" s="2" t="n"/>
      <c r="O252" s="3" t="inlineStr">
        <is>
          <t>https://vanillabonds.com/dossier-data/pdf/katjes/katjes-2023-annual-report.pdf#page=78</t>
        </is>
      </c>
    </row>
    <row r="253">
      <c r="A253" s="2" t="inlineStr">
        <is>
          <t>F252</t>
        </is>
      </c>
      <c r="B253" s="2" t="inlineStr">
        <is>
          <t>financials</t>
        </is>
      </c>
      <c r="C253" s="2" t="inlineStr">
        <is>
          <t>segment</t>
        </is>
      </c>
      <c r="D253" s="3" t="inlineStr">
        <is>
          <t>Segment: segment; revenue; ebitda; assets</t>
        </is>
      </c>
      <c r="E253" s="2" t="inlineStr">
        <is>
          <t>FY2022</t>
        </is>
      </c>
      <c r="F253" s="2" t="n">
        <v>86</v>
      </c>
      <c r="G253" s="2" t="n"/>
      <c r="H253" s="2" t="inlineStr">
        <is>
          <t>segment: Italy (region); revenue: 86.0</t>
        </is>
      </c>
      <c r="I253" s="2" t="inlineStr">
        <is>
          <t>S1</t>
        </is>
      </c>
      <c r="J253" s="2" t="n">
        <v>81</v>
      </c>
      <c r="K253" s="2" t="inlineStr">
        <is>
          <t>Italy 115.5 86.0</t>
        </is>
      </c>
      <c r="L253" s="2" t="inlineStr">
        <is>
          <t>ok</t>
        </is>
      </c>
      <c r="M253" s="2" t="inlineStr">
        <is>
          <t>demo reviewer</t>
        </is>
      </c>
      <c r="N253" s="2" t="n"/>
      <c r="O253" s="3" t="inlineStr">
        <is>
          <t>https://vanillabonds.com/dossier-data/pdf/katjes/katjes-2023-annual-report.pdf#page=81</t>
        </is>
      </c>
    </row>
    <row r="254">
      <c r="A254" s="2" t="inlineStr">
        <is>
          <t>F253</t>
        </is>
      </c>
      <c r="B254" s="2" t="inlineStr">
        <is>
          <t>financials</t>
        </is>
      </c>
      <c r="C254" s="2" t="inlineStr">
        <is>
          <t>segment</t>
        </is>
      </c>
      <c r="D254" s="3" t="inlineStr">
        <is>
          <t>Segment: segment; revenue; ebitda; assets</t>
        </is>
      </c>
      <c r="E254" s="2" t="inlineStr">
        <is>
          <t>FY2022</t>
        </is>
      </c>
      <c r="F254" s="2" t="n">
        <v>86.7</v>
      </c>
      <c r="G254" s="2" t="n"/>
      <c r="H254" s="2" t="inlineStr">
        <is>
          <t>segment: Germany (region); revenue: 86.7</t>
        </is>
      </c>
      <c r="I254" s="2" t="inlineStr">
        <is>
          <t>S1</t>
        </is>
      </c>
      <c r="J254" s="2" t="n">
        <v>81</v>
      </c>
      <c r="K254" s="2" t="inlineStr">
        <is>
          <t>Germany 104.4 86.7</t>
        </is>
      </c>
      <c r="L254" s="2" t="inlineStr">
        <is>
          <t>ok</t>
        </is>
      </c>
      <c r="M254" s="2" t="inlineStr">
        <is>
          <t>demo reviewer</t>
        </is>
      </c>
      <c r="N254" s="2" t="n"/>
      <c r="O254" s="3" t="inlineStr">
        <is>
          <t>https://vanillabonds.com/dossier-data/pdf/katjes/katjes-2023-annual-report.pdf#page=81</t>
        </is>
      </c>
    </row>
    <row r="255">
      <c r="A255" s="2" t="inlineStr">
        <is>
          <t>F254</t>
        </is>
      </c>
      <c r="B255" s="2" t="inlineStr">
        <is>
          <t>financials</t>
        </is>
      </c>
      <c r="C255" s="2" t="inlineStr">
        <is>
          <t>segment</t>
        </is>
      </c>
      <c r="D255" s="3" t="inlineStr">
        <is>
          <t>Segment: segment; revenue; ebitda; assets</t>
        </is>
      </c>
      <c r="E255" s="2" t="inlineStr">
        <is>
          <t>FY2022</t>
        </is>
      </c>
      <c r="F255" s="2" t="n">
        <v>15.5</v>
      </c>
      <c r="G255" s="2" t="n"/>
      <c r="H255" s="3" t="inlineStr">
        <is>
          <t>segment: Netherlands (region); revenue: 15.5</t>
        </is>
      </c>
      <c r="I255" s="2" t="inlineStr">
        <is>
          <t>S1</t>
        </is>
      </c>
      <c r="J255" s="2" t="n">
        <v>81</v>
      </c>
      <c r="K255" s="2" t="inlineStr">
        <is>
          <t>Netherlands 16.5 15.5</t>
        </is>
      </c>
      <c r="L255" s="2" t="inlineStr">
        <is>
          <t>ok</t>
        </is>
      </c>
      <c r="M255" s="2" t="inlineStr">
        <is>
          <t>demo reviewer</t>
        </is>
      </c>
      <c r="N255" s="2" t="n"/>
      <c r="O255" s="3" t="inlineStr">
        <is>
          <t>https://vanillabonds.com/dossier-data/pdf/katjes/katjes-2023-annual-report.pdf#page=81</t>
        </is>
      </c>
    </row>
    <row r="256">
      <c r="A256" s="2" t="inlineStr">
        <is>
          <t>F255</t>
        </is>
      </c>
      <c r="B256" s="2" t="inlineStr">
        <is>
          <t>financials</t>
        </is>
      </c>
      <c r="C256" s="2" t="inlineStr">
        <is>
          <t>segment</t>
        </is>
      </c>
      <c r="D256" s="3" t="inlineStr">
        <is>
          <t>Segment: segment; revenue; ebitda; assets</t>
        </is>
      </c>
      <c r="E256" s="2" t="inlineStr">
        <is>
          <t>FY2022</t>
        </is>
      </c>
      <c r="F256" s="2" t="n">
        <v>14.2</v>
      </c>
      <c r="G256" s="2" t="n"/>
      <c r="H256" s="2" t="inlineStr">
        <is>
          <t>segment: UK (region); revenue: 14.2</t>
        </is>
      </c>
      <c r="I256" s="2" t="inlineStr">
        <is>
          <t>S1</t>
        </is>
      </c>
      <c r="J256" s="2" t="n">
        <v>81</v>
      </c>
      <c r="K256" s="2" t="inlineStr">
        <is>
          <t>UK 15.1 14.2</t>
        </is>
      </c>
      <c r="L256" s="2" t="inlineStr">
        <is>
          <t>ok</t>
        </is>
      </c>
      <c r="M256" s="2" t="inlineStr">
        <is>
          <t>demo reviewer</t>
        </is>
      </c>
      <c r="N256" s="2" t="n"/>
      <c r="O256" s="3" t="inlineStr">
        <is>
          <t>https://vanillabonds.com/dossier-data/pdf/katjes/katjes-2023-annual-report.pdf#page=81</t>
        </is>
      </c>
    </row>
    <row r="257">
      <c r="A257" s="2" t="inlineStr">
        <is>
          <t>F256</t>
        </is>
      </c>
      <c r="B257" s="2" t="inlineStr">
        <is>
          <t>financials</t>
        </is>
      </c>
      <c r="C257" s="2" t="inlineStr">
        <is>
          <t>segment</t>
        </is>
      </c>
      <c r="D257" s="3" t="inlineStr">
        <is>
          <t>Segment: segment; revenue; ebitda; assets</t>
        </is>
      </c>
      <c r="E257" s="2" t="inlineStr">
        <is>
          <t>FY2022</t>
        </is>
      </c>
      <c r="F257" s="2" t="n">
        <v>76.3</v>
      </c>
      <c r="G257" s="2" t="n"/>
      <c r="H257" s="3" t="inlineStr">
        <is>
          <t>segment: Other EU countries + Switzerland (region); revenue: 76.3</t>
        </is>
      </c>
      <c r="I257" s="2" t="inlineStr">
        <is>
          <t>S1</t>
        </is>
      </c>
      <c r="J257" s="2" t="n">
        <v>81</v>
      </c>
      <c r="K257" s="3" t="inlineStr">
        <is>
          <t>Other EU countries + Switzerland 107.8 76.3</t>
        </is>
      </c>
      <c r="L257" s="2" t="inlineStr">
        <is>
          <t>ok</t>
        </is>
      </c>
      <c r="M257" s="2" t="inlineStr">
        <is>
          <t>demo reviewer</t>
        </is>
      </c>
      <c r="N257" s="2" t="n"/>
      <c r="O257" s="3" t="inlineStr">
        <is>
          <t>https://vanillabonds.com/dossier-data/pdf/katjes/katjes-2023-annual-report.pdf#page=81</t>
        </is>
      </c>
    </row>
    <row r="258">
      <c r="A258" s="2" t="inlineStr">
        <is>
          <t>F257</t>
        </is>
      </c>
      <c r="B258" s="2" t="inlineStr">
        <is>
          <t>financials</t>
        </is>
      </c>
      <c r="C258" s="2" t="inlineStr">
        <is>
          <t>segment</t>
        </is>
      </c>
      <c r="D258" s="3" t="inlineStr">
        <is>
          <t>Segment: segment; revenue; ebitda; assets</t>
        </is>
      </c>
      <c r="E258" s="2" t="inlineStr">
        <is>
          <t>FY2022</t>
        </is>
      </c>
      <c r="F258" s="2" t="n">
        <v>15.8</v>
      </c>
      <c r="G258" s="2" t="n"/>
      <c r="H258" s="3" t="inlineStr">
        <is>
          <t>segment: Non-EU countries (region); revenue: 15.8</t>
        </is>
      </c>
      <c r="I258" s="2" t="inlineStr">
        <is>
          <t>S1</t>
        </is>
      </c>
      <c r="J258" s="2" t="n">
        <v>81</v>
      </c>
      <c r="K258" s="2" t="inlineStr">
        <is>
          <t>Non-EU countries 18.1 15.8</t>
        </is>
      </c>
      <c r="L258" s="2" t="inlineStr">
        <is>
          <t>ok</t>
        </is>
      </c>
      <c r="M258" s="2" t="inlineStr">
        <is>
          <t>demo reviewer</t>
        </is>
      </c>
      <c r="N258" s="2" t="n"/>
      <c r="O258" s="3" t="inlineStr">
        <is>
          <t>https://vanillabonds.com/dossier-data/pdf/katjes/katjes-2023-annual-report.pdf#page=81</t>
        </is>
      </c>
    </row>
    <row r="259">
      <c r="A259" s="2" t="inlineStr">
        <is>
          <t>F258</t>
        </is>
      </c>
      <c r="B259" s="2" t="inlineStr">
        <is>
          <t>financials</t>
        </is>
      </c>
      <c r="C259" s="2" t="inlineStr">
        <is>
          <t>segment</t>
        </is>
      </c>
      <c r="D259" s="3" t="inlineStr">
        <is>
          <t>Segment: segment; revenue; ebitda; assets</t>
        </is>
      </c>
      <c r="E259" s="2" t="inlineStr">
        <is>
          <t>FY2022</t>
        </is>
      </c>
      <c r="F259" s="2" t="n">
        <v>121.5</v>
      </c>
      <c r="G259" s="2" t="n"/>
      <c r="H259" s="3" t="inlineStr">
        <is>
          <t>segment: Germany (region); assets: 121.5 non-current assets</t>
        </is>
      </c>
      <c r="I259" s="2" t="inlineStr">
        <is>
          <t>S1</t>
        </is>
      </c>
      <c r="J259" s="2" t="n">
        <v>82</v>
      </c>
      <c r="K259" s="2" t="inlineStr">
        <is>
          <t>Germany 132.4 121.5</t>
        </is>
      </c>
      <c r="L259" s="2" t="inlineStr">
        <is>
          <t>ok</t>
        </is>
      </c>
      <c r="M259" s="2" t="inlineStr">
        <is>
          <t>demo reviewer</t>
        </is>
      </c>
      <c r="N259" s="2" t="n"/>
      <c r="O259" s="3" t="inlineStr">
        <is>
          <t>https://vanillabonds.com/dossier-data/pdf/katjes/katjes-2023-annual-report.pdf#page=82</t>
        </is>
      </c>
    </row>
    <row r="260">
      <c r="A260" s="2" t="inlineStr">
        <is>
          <t>F259</t>
        </is>
      </c>
      <c r="B260" s="2" t="inlineStr">
        <is>
          <t>financials</t>
        </is>
      </c>
      <c r="C260" s="2" t="inlineStr">
        <is>
          <t>segment</t>
        </is>
      </c>
      <c r="D260" s="3" t="inlineStr">
        <is>
          <t>Segment: segment; revenue; ebitda; assets</t>
        </is>
      </c>
      <c r="E260" s="2" t="inlineStr">
        <is>
          <t>FY2022</t>
        </is>
      </c>
      <c r="F260" s="2" t="n">
        <v>97.2</v>
      </c>
      <c r="G260" s="2" t="n"/>
      <c r="H260" s="3" t="inlineStr">
        <is>
          <t>segment: Italy (region); assets: 97.2 non-current assets</t>
        </is>
      </c>
      <c r="I260" s="2" t="inlineStr">
        <is>
          <t>S1</t>
        </is>
      </c>
      <c r="J260" s="2" t="n">
        <v>82</v>
      </c>
      <c r="K260" s="2" t="inlineStr">
        <is>
          <t>Italy 94.9 97.2</t>
        </is>
      </c>
      <c r="L260" s="2" t="inlineStr">
        <is>
          <t>ok</t>
        </is>
      </c>
      <c r="M260" s="2" t="inlineStr">
        <is>
          <t>demo reviewer</t>
        </is>
      </c>
      <c r="N260" s="2" t="n"/>
      <c r="O260" s="3" t="inlineStr">
        <is>
          <t>https://vanillabonds.com/dossier-data/pdf/katjes/katjes-2023-annual-report.pdf#page=82</t>
        </is>
      </c>
    </row>
    <row r="261">
      <c r="A261" s="2" t="inlineStr">
        <is>
          <t>F260</t>
        </is>
      </c>
      <c r="B261" s="2" t="inlineStr">
        <is>
          <t>financials</t>
        </is>
      </c>
      <c r="C261" s="2" t="inlineStr">
        <is>
          <t>segment</t>
        </is>
      </c>
      <c r="D261" s="3" t="inlineStr">
        <is>
          <t>Segment: segment; revenue; ebitda; assets</t>
        </is>
      </c>
      <c r="E261" s="2" t="inlineStr">
        <is>
          <t>FY2022</t>
        </is>
      </c>
      <c r="F261" s="2" t="n">
        <v>71.90000000000001</v>
      </c>
      <c r="G261" s="2" t="n"/>
      <c r="H261" s="3" t="inlineStr">
        <is>
          <t>segment: Netherlands (region); assets: 71.9 non-current assets</t>
        </is>
      </c>
      <c r="I261" s="2" t="inlineStr">
        <is>
          <t>S1</t>
        </is>
      </c>
      <c r="J261" s="2" t="n">
        <v>82</v>
      </c>
      <c r="K261" s="2" t="inlineStr">
        <is>
          <t>Netherlands 71.1 71.9</t>
        </is>
      </c>
      <c r="L261" s="2" t="inlineStr">
        <is>
          <t>ok</t>
        </is>
      </c>
      <c r="M261" s="2" t="inlineStr">
        <is>
          <t>demo reviewer</t>
        </is>
      </c>
      <c r="N261" s="2" t="n"/>
      <c r="O261" s="3" t="inlineStr">
        <is>
          <t>https://vanillabonds.com/dossier-data/pdf/katjes/katjes-2023-annual-report.pdf#page=82</t>
        </is>
      </c>
    </row>
    <row r="262">
      <c r="A262" s="2" t="inlineStr">
        <is>
          <t>F261</t>
        </is>
      </c>
      <c r="B262" s="2" t="inlineStr">
        <is>
          <t>financials</t>
        </is>
      </c>
      <c r="C262" s="2" t="inlineStr">
        <is>
          <t>segment</t>
        </is>
      </c>
      <c r="D262" s="3" t="inlineStr">
        <is>
          <t>Segment: segment; revenue; ebitda; assets</t>
        </is>
      </c>
      <c r="E262" s="2" t="inlineStr">
        <is>
          <t>FY2022</t>
        </is>
      </c>
      <c r="F262" s="2" t="n">
        <v>10.6</v>
      </c>
      <c r="G262" s="2" t="n"/>
      <c r="H262" s="3" t="inlineStr">
        <is>
          <t>segment: UK (region); assets: 10.6 non-current assets</t>
        </is>
      </c>
      <c r="I262" s="2" t="inlineStr">
        <is>
          <t>S1</t>
        </is>
      </c>
      <c r="J262" s="2" t="n">
        <v>82</v>
      </c>
      <c r="K262" s="2" t="inlineStr">
        <is>
          <t>UK 10.3 10.6</t>
        </is>
      </c>
      <c r="L262" s="2" t="inlineStr">
        <is>
          <t>ok</t>
        </is>
      </c>
      <c r="M262" s="2" t="inlineStr">
        <is>
          <t>demo reviewer</t>
        </is>
      </c>
      <c r="N262" s="2" t="n"/>
      <c r="O262" s="3" t="inlineStr">
        <is>
          <t>https://vanillabonds.com/dossier-data/pdf/katjes/katjes-2023-annual-report.pdf#page=82</t>
        </is>
      </c>
    </row>
    <row r="263">
      <c r="A263" s="2" t="inlineStr">
        <is>
          <t>F262</t>
        </is>
      </c>
      <c r="B263" s="2" t="inlineStr">
        <is>
          <t>financials</t>
        </is>
      </c>
      <c r="C263" s="2" t="inlineStr">
        <is>
          <t>segment</t>
        </is>
      </c>
      <c r="D263" s="3" t="inlineStr">
        <is>
          <t>Segment: segment; revenue; ebitda; assets</t>
        </is>
      </c>
      <c r="E263" s="2" t="inlineStr">
        <is>
          <t>FY2023</t>
        </is>
      </c>
      <c r="F263" s="2" t="n">
        <v>156.2</v>
      </c>
      <c r="G263" s="2" t="n"/>
      <c r="H263" s="3" t="inlineStr">
        <is>
          <t>segment: Confectionery (business line); revenue: 156.2</t>
        </is>
      </c>
      <c r="I263" s="2" t="inlineStr">
        <is>
          <t>S1</t>
        </is>
      </c>
      <c r="J263" s="2" t="n">
        <v>78</v>
      </c>
      <c r="K263" s="2" t="inlineStr">
        <is>
          <t>Confectionery 156.2 127.0</t>
        </is>
      </c>
      <c r="L263" s="2" t="inlineStr">
        <is>
          <t>ok</t>
        </is>
      </c>
      <c r="M263" s="2" t="inlineStr">
        <is>
          <t>demo reviewer</t>
        </is>
      </c>
      <c r="N263" s="2" t="n"/>
      <c r="O263" s="3" t="inlineStr">
        <is>
          <t>https://vanillabonds.com/dossier-data/pdf/katjes/katjes-2023-annual-report.pdf#page=78</t>
        </is>
      </c>
    </row>
    <row r="264">
      <c r="A264" s="2" t="inlineStr">
        <is>
          <t>F263</t>
        </is>
      </c>
      <c r="B264" s="2" t="inlineStr">
        <is>
          <t>financials</t>
        </is>
      </c>
      <c r="C264" s="2" t="inlineStr">
        <is>
          <t>segment</t>
        </is>
      </c>
      <c r="D264" s="3" t="inlineStr">
        <is>
          <t>Segment: segment; revenue; ebitda; assets</t>
        </is>
      </c>
      <c r="E264" s="2" t="inlineStr">
        <is>
          <t>FY2023</t>
        </is>
      </c>
      <c r="F264" s="2" t="n">
        <v>87</v>
      </c>
      <c r="G264" s="2" t="n"/>
      <c r="H264" s="3" t="inlineStr">
        <is>
          <t>segment: Body care products (business line); revenue: 87.0</t>
        </is>
      </c>
      <c r="I264" s="2" t="inlineStr">
        <is>
          <t>S1</t>
        </is>
      </c>
      <c r="J264" s="2" t="n">
        <v>78</v>
      </c>
      <c r="K264" s="2" t="inlineStr">
        <is>
          <t>Body care products 87.0 55.4</t>
        </is>
      </c>
      <c r="L264" s="2" t="inlineStr">
        <is>
          <t>ok</t>
        </is>
      </c>
      <c r="M264" s="2" t="inlineStr">
        <is>
          <t>demo reviewer</t>
        </is>
      </c>
      <c r="N264" s="2" t="n"/>
      <c r="O264" s="3" t="inlineStr">
        <is>
          <t>https://vanillabonds.com/dossier-data/pdf/katjes/katjes-2023-annual-report.pdf#page=78</t>
        </is>
      </c>
    </row>
    <row r="265">
      <c r="A265" s="2" t="inlineStr">
        <is>
          <t>F264</t>
        </is>
      </c>
      <c r="B265" s="2" t="inlineStr">
        <is>
          <t>financials</t>
        </is>
      </c>
      <c r="C265" s="2" t="inlineStr">
        <is>
          <t>segment</t>
        </is>
      </c>
      <c r="D265" s="3" t="inlineStr">
        <is>
          <t>Segment: segment; revenue; ebitda; assets</t>
        </is>
      </c>
      <c r="E265" s="2" t="inlineStr">
        <is>
          <t>FY2023</t>
        </is>
      </c>
      <c r="F265" s="2" t="n">
        <v>59.4</v>
      </c>
      <c r="G265" s="2" t="n"/>
      <c r="H265" s="3" t="inlineStr">
        <is>
          <t>segment: Chocolate (business line); revenue: 59.4</t>
        </is>
      </c>
      <c r="I265" s="2" t="inlineStr">
        <is>
          <t>S1</t>
        </is>
      </c>
      <c r="J265" s="2" t="n">
        <v>78</v>
      </c>
      <c r="K265" s="2" t="inlineStr">
        <is>
          <t>Chocolate 59.4 55.2</t>
        </is>
      </c>
      <c r="L265" s="2" t="inlineStr">
        <is>
          <t>ok</t>
        </is>
      </c>
      <c r="M265" s="2" t="inlineStr">
        <is>
          <t>demo reviewer</t>
        </is>
      </c>
      <c r="N265" s="2" t="n"/>
      <c r="O265" s="3" t="inlineStr">
        <is>
          <t>https://vanillabonds.com/dossier-data/pdf/katjes/katjes-2023-annual-report.pdf#page=78</t>
        </is>
      </c>
    </row>
    <row r="266">
      <c r="A266" s="2" t="inlineStr">
        <is>
          <t>F265</t>
        </is>
      </c>
      <c r="B266" s="2" t="inlineStr">
        <is>
          <t>financials</t>
        </is>
      </c>
      <c r="C266" s="2" t="inlineStr">
        <is>
          <t>segment</t>
        </is>
      </c>
      <c r="D266" s="3" t="inlineStr">
        <is>
          <t>Segment: segment; revenue; ebitda; assets</t>
        </is>
      </c>
      <c r="E266" s="2" t="inlineStr">
        <is>
          <t>FY2023</t>
        </is>
      </c>
      <c r="F266" s="2" t="n">
        <v>46.7</v>
      </c>
      <c r="G266" s="2" t="n"/>
      <c r="H266" s="3" t="inlineStr">
        <is>
          <t>segment: Seasonals (business line); revenue: 46.7</t>
        </is>
      </c>
      <c r="I266" s="2" t="inlineStr">
        <is>
          <t>S1</t>
        </is>
      </c>
      <c r="J266" s="2" t="n">
        <v>78</v>
      </c>
      <c r="K266" s="2" t="inlineStr">
        <is>
          <t>Seasonals 46.7 37.2</t>
        </is>
      </c>
      <c r="L266" s="2" t="inlineStr">
        <is>
          <t>ok</t>
        </is>
      </c>
      <c r="M266" s="2" t="inlineStr">
        <is>
          <t>demo reviewer</t>
        </is>
      </c>
      <c r="N266" s="2" t="n"/>
      <c r="O266" s="3" t="inlineStr">
        <is>
          <t>https://vanillabonds.com/dossier-data/pdf/katjes/katjes-2023-annual-report.pdf#page=78</t>
        </is>
      </c>
    </row>
    <row r="267">
      <c r="A267" s="2" t="inlineStr">
        <is>
          <t>F266</t>
        </is>
      </c>
      <c r="B267" s="2" t="inlineStr">
        <is>
          <t>financials</t>
        </is>
      </c>
      <c r="C267" s="2" t="inlineStr">
        <is>
          <t>segment</t>
        </is>
      </c>
      <c r="D267" s="3" t="inlineStr">
        <is>
          <t>Segment: segment; revenue; ebitda; assets</t>
        </is>
      </c>
      <c r="E267" s="2" t="inlineStr">
        <is>
          <t>FY2023</t>
        </is>
      </c>
      <c r="F267" s="2" t="n">
        <v>28.1</v>
      </c>
      <c r="G267" s="2" t="n"/>
      <c r="H267" s="3" t="inlineStr">
        <is>
          <t>segment: Other (business line); revenue: 28.1</t>
        </is>
      </c>
      <c r="I267" s="2" t="inlineStr">
        <is>
          <t>S1</t>
        </is>
      </c>
      <c r="J267" s="2" t="n">
        <v>78</v>
      </c>
      <c r="K267" s="2" t="inlineStr">
        <is>
          <t>Other 28.1 19.7</t>
        </is>
      </c>
      <c r="L267" s="2" t="inlineStr">
        <is>
          <t>ok</t>
        </is>
      </c>
      <c r="M267" s="2" t="inlineStr">
        <is>
          <t>demo reviewer</t>
        </is>
      </c>
      <c r="N267" s="2" t="n"/>
      <c r="O267" s="3" t="inlineStr">
        <is>
          <t>https://vanillabonds.com/dossier-data/pdf/katjes/katjes-2023-annual-report.pdf#page=78</t>
        </is>
      </c>
    </row>
    <row r="268">
      <c r="A268" s="2" t="inlineStr">
        <is>
          <t>F267</t>
        </is>
      </c>
      <c r="B268" s="2" t="inlineStr">
        <is>
          <t>financials</t>
        </is>
      </c>
      <c r="C268" s="2" t="inlineStr">
        <is>
          <t>segment</t>
        </is>
      </c>
      <c r="D268" s="3" t="inlineStr">
        <is>
          <t>Segment: segment; revenue; ebitda; assets</t>
        </is>
      </c>
      <c r="E268" s="2" t="inlineStr">
        <is>
          <t>FY2023</t>
        </is>
      </c>
      <c r="F268" s="2" t="n">
        <v>115.5</v>
      </c>
      <c r="G268" s="2" t="n"/>
      <c r="H268" s="3" t="inlineStr">
        <is>
          <t>segment: Italy (region, revenue by customer location); revenue: 115.5</t>
        </is>
      </c>
      <c r="I268" s="2" t="inlineStr">
        <is>
          <t>S1</t>
        </is>
      </c>
      <c r="J268" s="2" t="n">
        <v>81</v>
      </c>
      <c r="K268" s="2" t="inlineStr">
        <is>
          <t>Italy 115.5 86.0</t>
        </is>
      </c>
      <c r="L268" s="2" t="inlineStr">
        <is>
          <t>ok</t>
        </is>
      </c>
      <c r="M268" s="2" t="inlineStr">
        <is>
          <t>demo reviewer</t>
        </is>
      </c>
      <c r="N268" s="2" t="n"/>
      <c r="O268" s="3" t="inlineStr">
        <is>
          <t>https://vanillabonds.com/dossier-data/pdf/katjes/katjes-2023-annual-report.pdf#page=81</t>
        </is>
      </c>
    </row>
    <row r="269">
      <c r="A269" s="2" t="inlineStr">
        <is>
          <t>F268</t>
        </is>
      </c>
      <c r="B269" s="2" t="inlineStr">
        <is>
          <t>financials</t>
        </is>
      </c>
      <c r="C269" s="2" t="inlineStr">
        <is>
          <t>segment</t>
        </is>
      </c>
      <c r="D269" s="3" t="inlineStr">
        <is>
          <t>Segment: segment; revenue; ebitda; assets</t>
        </is>
      </c>
      <c r="E269" s="2" t="inlineStr">
        <is>
          <t>FY2023</t>
        </is>
      </c>
      <c r="F269" s="2" t="n">
        <v>104.4</v>
      </c>
      <c r="G269" s="2" t="n"/>
      <c r="H269" s="3" t="inlineStr">
        <is>
          <t>segment: Germany (region); revenue: 104.4</t>
        </is>
      </c>
      <c r="I269" s="2" t="inlineStr">
        <is>
          <t>S1</t>
        </is>
      </c>
      <c r="J269" s="2" t="n">
        <v>81</v>
      </c>
      <c r="K269" s="2" t="inlineStr">
        <is>
          <t>Germany 104.4 86.7</t>
        </is>
      </c>
      <c r="L269" s="2" t="inlineStr">
        <is>
          <t>ok</t>
        </is>
      </c>
      <c r="M269" s="2" t="inlineStr">
        <is>
          <t>demo reviewer</t>
        </is>
      </c>
      <c r="N269" s="2" t="n"/>
      <c r="O269" s="3" t="inlineStr">
        <is>
          <t>https://vanillabonds.com/dossier-data/pdf/katjes/katjes-2023-annual-report.pdf#page=81</t>
        </is>
      </c>
    </row>
    <row r="270">
      <c r="A270" s="2" t="inlineStr">
        <is>
          <t>F269</t>
        </is>
      </c>
      <c r="B270" s="2" t="inlineStr">
        <is>
          <t>financials</t>
        </is>
      </c>
      <c r="C270" s="2" t="inlineStr">
        <is>
          <t>segment</t>
        </is>
      </c>
      <c r="D270" s="3" t="inlineStr">
        <is>
          <t>Segment: segment; revenue; ebitda; assets</t>
        </is>
      </c>
      <c r="E270" s="2" t="inlineStr">
        <is>
          <t>FY2023</t>
        </is>
      </c>
      <c r="F270" s="2" t="n">
        <v>16.5</v>
      </c>
      <c r="G270" s="2" t="n"/>
      <c r="H270" s="3" t="inlineStr">
        <is>
          <t>segment: Netherlands (region); revenue: 16.5</t>
        </is>
      </c>
      <c r="I270" s="2" t="inlineStr">
        <is>
          <t>S1</t>
        </is>
      </c>
      <c r="J270" s="2" t="n">
        <v>81</v>
      </c>
      <c r="K270" s="2" t="inlineStr">
        <is>
          <t>Netherlands 16.5 15.5</t>
        </is>
      </c>
      <c r="L270" s="2" t="inlineStr">
        <is>
          <t>ok</t>
        </is>
      </c>
      <c r="M270" s="2" t="inlineStr">
        <is>
          <t>demo reviewer</t>
        </is>
      </c>
      <c r="N270" s="2" t="n"/>
      <c r="O270" s="3" t="inlineStr">
        <is>
          <t>https://vanillabonds.com/dossier-data/pdf/katjes/katjes-2023-annual-report.pdf#page=81</t>
        </is>
      </c>
    </row>
    <row r="271">
      <c r="A271" s="2" t="inlineStr">
        <is>
          <t>F270</t>
        </is>
      </c>
      <c r="B271" s="2" t="inlineStr">
        <is>
          <t>financials</t>
        </is>
      </c>
      <c r="C271" s="2" t="inlineStr">
        <is>
          <t>segment</t>
        </is>
      </c>
      <c r="D271" s="3" t="inlineStr">
        <is>
          <t>Segment: segment; revenue; ebitda; assets</t>
        </is>
      </c>
      <c r="E271" s="2" t="inlineStr">
        <is>
          <t>FY2023</t>
        </is>
      </c>
      <c r="F271" s="2" t="n">
        <v>15.1</v>
      </c>
      <c r="G271" s="2" t="n"/>
      <c r="H271" s="2" t="inlineStr">
        <is>
          <t>segment: UK (region); revenue: 15.1</t>
        </is>
      </c>
      <c r="I271" s="2" t="inlineStr">
        <is>
          <t>S1</t>
        </is>
      </c>
      <c r="J271" s="2" t="n">
        <v>81</v>
      </c>
      <c r="K271" s="2" t="inlineStr">
        <is>
          <t>UK 15.1 14.2</t>
        </is>
      </c>
      <c r="L271" s="2" t="inlineStr">
        <is>
          <t>ok</t>
        </is>
      </c>
      <c r="M271" s="2" t="inlineStr">
        <is>
          <t>demo reviewer</t>
        </is>
      </c>
      <c r="N271" s="2" t="n"/>
      <c r="O271" s="3" t="inlineStr">
        <is>
          <t>https://vanillabonds.com/dossier-data/pdf/katjes/katjes-2023-annual-report.pdf#page=81</t>
        </is>
      </c>
    </row>
    <row r="272">
      <c r="A272" s="2" t="inlineStr">
        <is>
          <t>F271</t>
        </is>
      </c>
      <c r="B272" s="2" t="inlineStr">
        <is>
          <t>financials</t>
        </is>
      </c>
      <c r="C272" s="2" t="inlineStr">
        <is>
          <t>segment</t>
        </is>
      </c>
      <c r="D272" s="3" t="inlineStr">
        <is>
          <t>Segment: segment; revenue; ebitda; assets</t>
        </is>
      </c>
      <c r="E272" s="2" t="inlineStr">
        <is>
          <t>FY2023</t>
        </is>
      </c>
      <c r="F272" s="2" t="n">
        <v>107.8</v>
      </c>
      <c r="G272" s="2" t="n"/>
      <c r="H272" s="3" t="inlineStr">
        <is>
          <t>segment: Other EU countries + Switzerland (region); revenue: 107.8</t>
        </is>
      </c>
      <c r="I272" s="2" t="inlineStr">
        <is>
          <t>S1</t>
        </is>
      </c>
      <c r="J272" s="2" t="n">
        <v>81</v>
      </c>
      <c r="K272" s="3" t="inlineStr">
        <is>
          <t>Other EU countries + Switzerland 107.8 76.3</t>
        </is>
      </c>
      <c r="L272" s="2" t="inlineStr">
        <is>
          <t>ok</t>
        </is>
      </c>
      <c r="M272" s="2" t="inlineStr">
        <is>
          <t>demo reviewer</t>
        </is>
      </c>
      <c r="N272" s="2" t="n"/>
      <c r="O272" s="3" t="inlineStr">
        <is>
          <t>https://vanillabonds.com/dossier-data/pdf/katjes/katjes-2023-annual-report.pdf#page=81</t>
        </is>
      </c>
    </row>
    <row r="273">
      <c r="A273" s="2" t="inlineStr">
        <is>
          <t>F272</t>
        </is>
      </c>
      <c r="B273" s="2" t="inlineStr">
        <is>
          <t>financials</t>
        </is>
      </c>
      <c r="C273" s="2" t="inlineStr">
        <is>
          <t>segment</t>
        </is>
      </c>
      <c r="D273" s="3" t="inlineStr">
        <is>
          <t>Segment: segment; revenue; ebitda; assets</t>
        </is>
      </c>
      <c r="E273" s="2" t="inlineStr">
        <is>
          <t>FY2023</t>
        </is>
      </c>
      <c r="F273" s="2" t="n">
        <v>18.1</v>
      </c>
      <c r="G273" s="2" t="n"/>
      <c r="H273" s="3" t="inlineStr">
        <is>
          <t>segment: Non-EU countries (region); revenue: 18.1</t>
        </is>
      </c>
      <c r="I273" s="2" t="inlineStr">
        <is>
          <t>S1</t>
        </is>
      </c>
      <c r="J273" s="2" t="n">
        <v>81</v>
      </c>
      <c r="K273" s="2" t="inlineStr">
        <is>
          <t>Non-EU countries 18.1 15.8</t>
        </is>
      </c>
      <c r="L273" s="2" t="inlineStr">
        <is>
          <t>ok</t>
        </is>
      </c>
      <c r="M273" s="2" t="inlineStr">
        <is>
          <t>demo reviewer</t>
        </is>
      </c>
      <c r="N273" s="2" t="n"/>
      <c r="O273" s="3" t="inlineStr">
        <is>
          <t>https://vanillabonds.com/dossier-data/pdf/katjes/katjes-2023-annual-report.pdf#page=81</t>
        </is>
      </c>
    </row>
    <row r="274">
      <c r="A274" s="2" t="inlineStr">
        <is>
          <t>F273</t>
        </is>
      </c>
      <c r="B274" s="2" t="inlineStr">
        <is>
          <t>financials</t>
        </is>
      </c>
      <c r="C274" s="2" t="inlineStr">
        <is>
          <t>segment</t>
        </is>
      </c>
      <c r="D274" s="3" t="inlineStr">
        <is>
          <t>Segment: segment; revenue; ebitda; assets</t>
        </is>
      </c>
      <c r="E274" s="2" t="inlineStr">
        <is>
          <t>FY2023</t>
        </is>
      </c>
      <c r="F274" s="2" t="n">
        <v>132.4</v>
      </c>
      <c r="G274" s="2" t="n"/>
      <c r="H274" s="3" t="inlineStr">
        <is>
          <t>segment: Germany (region); assets: 132.4 non-current assets (PP&amp;E, intangibles, other financial assets, financial investments)</t>
        </is>
      </c>
      <c r="I274" s="2" t="inlineStr">
        <is>
          <t>S1</t>
        </is>
      </c>
      <c r="J274" s="2" t="n">
        <v>82</v>
      </c>
      <c r="K274" s="2" t="inlineStr">
        <is>
          <t>Germany 132.4 121.5</t>
        </is>
      </c>
      <c r="L274" s="2" t="inlineStr">
        <is>
          <t>ok</t>
        </is>
      </c>
      <c r="M274" s="2" t="inlineStr">
        <is>
          <t>demo reviewer</t>
        </is>
      </c>
      <c r="N274" s="2" t="n"/>
      <c r="O274" s="3" t="inlineStr">
        <is>
          <t>https://vanillabonds.com/dossier-data/pdf/katjes/katjes-2023-annual-report.pdf#page=82</t>
        </is>
      </c>
    </row>
    <row r="275">
      <c r="A275" s="2" t="inlineStr">
        <is>
          <t>F274</t>
        </is>
      </c>
      <c r="B275" s="2" t="inlineStr">
        <is>
          <t>financials</t>
        </is>
      </c>
      <c r="C275" s="2" t="inlineStr">
        <is>
          <t>segment</t>
        </is>
      </c>
      <c r="D275" s="3" t="inlineStr">
        <is>
          <t>Segment: segment; revenue; ebitda; assets</t>
        </is>
      </c>
      <c r="E275" s="2" t="inlineStr">
        <is>
          <t>FY2023</t>
        </is>
      </c>
      <c r="F275" s="2" t="n">
        <v>94.90000000000001</v>
      </c>
      <c r="G275" s="2" t="n"/>
      <c r="H275" s="3" t="inlineStr">
        <is>
          <t>segment: Italy (region); assets: 94.9 non-current assets</t>
        </is>
      </c>
      <c r="I275" s="2" t="inlineStr">
        <is>
          <t>S1</t>
        </is>
      </c>
      <c r="J275" s="2" t="n">
        <v>82</v>
      </c>
      <c r="K275" s="2" t="inlineStr">
        <is>
          <t>Italy 94.9 97.2</t>
        </is>
      </c>
      <c r="L275" s="2" t="inlineStr">
        <is>
          <t>ok</t>
        </is>
      </c>
      <c r="M275" s="2" t="inlineStr">
        <is>
          <t>demo reviewer</t>
        </is>
      </c>
      <c r="N275" s="2" t="n"/>
      <c r="O275" s="3" t="inlineStr">
        <is>
          <t>https://vanillabonds.com/dossier-data/pdf/katjes/katjes-2023-annual-report.pdf#page=82</t>
        </is>
      </c>
    </row>
    <row r="276">
      <c r="A276" s="2" t="inlineStr">
        <is>
          <t>F275</t>
        </is>
      </c>
      <c r="B276" s="2" t="inlineStr">
        <is>
          <t>financials</t>
        </is>
      </c>
      <c r="C276" s="2" t="inlineStr">
        <is>
          <t>segment</t>
        </is>
      </c>
      <c r="D276" s="3" t="inlineStr">
        <is>
          <t>Segment: segment; revenue; ebitda; assets</t>
        </is>
      </c>
      <c r="E276" s="2" t="inlineStr">
        <is>
          <t>FY2023</t>
        </is>
      </c>
      <c r="F276" s="2" t="n">
        <v>71.09999999999999</v>
      </c>
      <c r="G276" s="2" t="n"/>
      <c r="H276" s="3" t="inlineStr">
        <is>
          <t>segment: Netherlands (region); assets: 71.1 non-current assets incl. 63.7 equity-accounted CPK investment</t>
        </is>
      </c>
      <c r="I276" s="2" t="inlineStr">
        <is>
          <t>S1</t>
        </is>
      </c>
      <c r="J276" s="2" t="n">
        <v>82</v>
      </c>
      <c r="K276" s="2" t="inlineStr">
        <is>
          <t>Netherlands 71.1 71.9</t>
        </is>
      </c>
      <c r="L276" s="2" t="inlineStr">
        <is>
          <t>ok</t>
        </is>
      </c>
      <c r="M276" s="2" t="inlineStr">
        <is>
          <t>demo reviewer</t>
        </is>
      </c>
      <c r="N276" s="2" t="n"/>
      <c r="O276" s="3" t="inlineStr">
        <is>
          <t>https://vanillabonds.com/dossier-data/pdf/katjes/katjes-2023-annual-report.pdf#page=82</t>
        </is>
      </c>
    </row>
    <row r="277">
      <c r="A277" s="2" t="inlineStr">
        <is>
          <t>F276</t>
        </is>
      </c>
      <c r="B277" s="2" t="inlineStr">
        <is>
          <t>financials</t>
        </is>
      </c>
      <c r="C277" s="2" t="inlineStr">
        <is>
          <t>segment</t>
        </is>
      </c>
      <c r="D277" s="3" t="inlineStr">
        <is>
          <t>Segment: segment; revenue; ebitda; assets</t>
        </is>
      </c>
      <c r="E277" s="2" t="inlineStr">
        <is>
          <t>FY2023</t>
        </is>
      </c>
      <c r="F277" s="2" t="n">
        <v>10.3</v>
      </c>
      <c r="G277" s="2" t="n"/>
      <c r="H277" s="3" t="inlineStr">
        <is>
          <t>segment: UK (region); assets: 10.3 non-current assets</t>
        </is>
      </c>
      <c r="I277" s="2" t="inlineStr">
        <is>
          <t>S1</t>
        </is>
      </c>
      <c r="J277" s="2" t="n">
        <v>82</v>
      </c>
      <c r="K277" s="2" t="inlineStr">
        <is>
          <t>UK 10.3 10.6</t>
        </is>
      </c>
      <c r="L277" s="2" t="inlineStr">
        <is>
          <t>ok</t>
        </is>
      </c>
      <c r="M277" s="2" t="inlineStr">
        <is>
          <t>demo reviewer</t>
        </is>
      </c>
      <c r="N277" s="2" t="n"/>
      <c r="O277" s="3" t="inlineStr">
        <is>
          <t>https://vanillabonds.com/dossier-data/pdf/katjes/katjes-2023-annual-report.pdf#page=82</t>
        </is>
      </c>
    </row>
    <row r="278">
      <c r="A278" s="2" t="inlineStr">
        <is>
          <t>F277</t>
        </is>
      </c>
      <c r="B278" s="2" t="inlineStr">
        <is>
          <t>financials</t>
        </is>
      </c>
      <c r="C278" s="2" t="inlineStr">
        <is>
          <t>tax_paid</t>
        </is>
      </c>
      <c r="D278" s="2" t="inlineStr">
        <is>
          <t>Income taxes paid (cash flow statement)</t>
        </is>
      </c>
      <c r="E278" s="2" t="inlineStr">
        <is>
          <t>FY2022</t>
        </is>
      </c>
      <c r="F278" s="2" t="n">
        <v>2.6</v>
      </c>
      <c r="G278" s="2" t="inlineStr">
        <is>
          <t>EUR m</t>
        </is>
      </c>
      <c r="H278" s="2" t="inlineStr">
        <is>
          <t>Income taxes paid (cash outflow)</t>
        </is>
      </c>
      <c r="I278" s="2" t="inlineStr">
        <is>
          <t>S1</t>
        </is>
      </c>
      <c r="J278" s="2" t="n">
        <v>48</v>
      </c>
      <c r="K278" s="2" t="inlineStr">
        <is>
          <t>Income taxes paid -2.5 -2.6</t>
        </is>
      </c>
      <c r="L278" s="2" t="inlineStr">
        <is>
          <t>ok</t>
        </is>
      </c>
      <c r="M278" s="2" t="inlineStr">
        <is>
          <t>demo reviewer</t>
        </is>
      </c>
      <c r="N278" s="2" t="n"/>
      <c r="O278" s="3" t="inlineStr">
        <is>
          <t>https://vanillabonds.com/dossier-data/pdf/katjes/katjes-2023-annual-report.pdf#page=48</t>
        </is>
      </c>
    </row>
    <row r="279">
      <c r="A279" s="2" t="inlineStr">
        <is>
          <t>F278</t>
        </is>
      </c>
      <c r="B279" s="2" t="inlineStr">
        <is>
          <t>financials</t>
        </is>
      </c>
      <c r="C279" s="2" t="inlineStr">
        <is>
          <t>tax_paid</t>
        </is>
      </c>
      <c r="D279" s="2" t="inlineStr">
        <is>
          <t>Income taxes paid (cash flow statement)</t>
        </is>
      </c>
      <c r="E279" s="2" t="inlineStr">
        <is>
          <t>FY2023</t>
        </is>
      </c>
      <c r="F279" s="2" t="n">
        <v>2.5</v>
      </c>
      <c r="G279" s="2" t="inlineStr">
        <is>
          <t>EUR m</t>
        </is>
      </c>
      <c r="H279" s="2" t="inlineStr">
        <is>
          <t>Income taxes paid (cash outflow)</t>
        </is>
      </c>
      <c r="I279" s="2" t="inlineStr">
        <is>
          <t>S1</t>
        </is>
      </c>
      <c r="J279" s="2" t="n">
        <v>48</v>
      </c>
      <c r="K279" s="2" t="inlineStr">
        <is>
          <t>Income taxes paid -2.5 -2.6</t>
        </is>
      </c>
      <c r="L279" s="2" t="inlineStr">
        <is>
          <t>ok</t>
        </is>
      </c>
      <c r="M279" s="2" t="inlineStr">
        <is>
          <t>demo reviewer</t>
        </is>
      </c>
      <c r="N279" s="2" t="n"/>
      <c r="O279" s="3" t="inlineStr">
        <is>
          <t>https://vanillabonds.com/dossier-data/pdf/katjes/katjes-2023-annual-report.pdf#page=48</t>
        </is>
      </c>
    </row>
    <row r="280">
      <c r="A280" s="2" t="inlineStr">
        <is>
          <t>F279</t>
        </is>
      </c>
      <c r="B280" s="2" t="inlineStr">
        <is>
          <t>debt</t>
        </is>
      </c>
      <c r="C280" s="2" t="inlineStr">
        <is>
          <t>hedge</t>
        </is>
      </c>
      <c r="D280" s="3" t="inlineStr">
        <is>
          <t>Hedge: instrument; counterparty; notional; maturity; hedged item (rate, FX)</t>
        </is>
      </c>
      <c r="E280" s="2" t="n"/>
      <c r="F280" s="2" t="n">
        <v>6</v>
      </c>
      <c r="G280" s="2" t="n"/>
      <c r="H280" s="3" t="inlineStr">
        <is>
          <t>instrument: interest rate swap; notional: 6.0; hedged item: rate (variable interest rate increase); 2022 notional 8.2</t>
        </is>
      </c>
      <c r="I280" s="2" t="inlineStr">
        <is>
          <t>S1</t>
        </is>
      </c>
      <c r="J280" s="2" t="n">
        <v>69</v>
      </c>
      <c r="K280" s="3" t="inlineStr">
        <is>
          <t>a notional principal amount of EUR 6.0 million, EUR 0.3 mil‐ lion and EUR 1.7 million respectively (2022: EUR 8.2 million,</t>
        </is>
      </c>
      <c r="L280" s="2" t="inlineStr">
        <is>
          <t>ok</t>
        </is>
      </c>
      <c r="M280" s="2" t="inlineStr">
        <is>
          <t>demo reviewer</t>
        </is>
      </c>
      <c r="N280" s="2" t="n"/>
      <c r="O280" s="3" t="inlineStr">
        <is>
          <t>https://vanillabonds.com/dossier-data/pdf/katjes/katjes-2023-annual-report.pdf#page=69</t>
        </is>
      </c>
    </row>
    <row r="281">
      <c r="A281" s="2" t="inlineStr">
        <is>
          <t>F280</t>
        </is>
      </c>
      <c r="B281" s="2" t="inlineStr">
        <is>
          <t>debt</t>
        </is>
      </c>
      <c r="C281" s="2" t="inlineStr">
        <is>
          <t>hedge</t>
        </is>
      </c>
      <c r="D281" s="3" t="inlineStr">
        <is>
          <t>Hedge: instrument; counterparty; notional; maturity; hedged item (rate, FX)</t>
        </is>
      </c>
      <c r="E281" s="2" t="n"/>
      <c r="F281" s="2" t="n">
        <v>0.3</v>
      </c>
      <c r="G281" s="2" t="n"/>
      <c r="H281" s="3" t="inlineStr">
        <is>
          <t>instrument: interest rate swap; notional: 0.3; hedged item: rate (variable interest rate increase); 2022 notional 0.9</t>
        </is>
      </c>
      <c r="I281" s="2" t="inlineStr">
        <is>
          <t>S1</t>
        </is>
      </c>
      <c r="J281" s="2" t="n">
        <v>69</v>
      </c>
      <c r="K281" s="3" t="inlineStr">
        <is>
          <t>a notional principal amount of EUR 6.0 million, EUR 0.3 mil‐ lion and EUR 1.7 million respectively (2022: EUR 8.2 million,</t>
        </is>
      </c>
      <c r="L281" s="2" t="inlineStr">
        <is>
          <t>ok</t>
        </is>
      </c>
      <c r="M281" s="2" t="inlineStr">
        <is>
          <t>demo reviewer</t>
        </is>
      </c>
      <c r="N281" s="2" t="n"/>
      <c r="O281" s="3" t="inlineStr">
        <is>
          <t>https://vanillabonds.com/dossier-data/pdf/katjes/katjes-2023-annual-report.pdf#page=69</t>
        </is>
      </c>
    </row>
    <row r="282">
      <c r="A282" s="2" t="inlineStr">
        <is>
          <t>F281</t>
        </is>
      </c>
      <c r="B282" s="2" t="inlineStr">
        <is>
          <t>debt</t>
        </is>
      </c>
      <c r="C282" s="2" t="inlineStr">
        <is>
          <t>hedge</t>
        </is>
      </c>
      <c r="D282" s="3" t="inlineStr">
        <is>
          <t>Hedge: instrument; counterparty; notional; maturity; hedged item (rate, FX)</t>
        </is>
      </c>
      <c r="E282" s="2" t="n"/>
      <c r="F282" s="2" t="n">
        <v>1.7</v>
      </c>
      <c r="G282" s="2" t="n"/>
      <c r="H282" s="3" t="inlineStr">
        <is>
          <t>instrument: interest rate swap; notional: 1.7; hedged item: rate (variable interest rate increase); 2022 notional 3.3; fair value change of the swaps EUR 0.0m</t>
        </is>
      </c>
      <c r="I282" s="2" t="inlineStr">
        <is>
          <t>S1</t>
        </is>
      </c>
      <c r="J282" s="2" t="n">
        <v>69</v>
      </c>
      <c r="K282" s="3" t="inlineStr">
        <is>
          <t>lion and EUR 1.7 million respectively (2022: EUR 8.2 million, EUR 0.9 million and EUR 3.3 million respectively)</t>
        </is>
      </c>
      <c r="L282" s="2" t="inlineStr">
        <is>
          <t>ok</t>
        </is>
      </c>
      <c r="M282" s="2" t="inlineStr">
        <is>
          <t>demo reviewer</t>
        </is>
      </c>
      <c r="N282" s="2" t="n"/>
      <c r="O282" s="3" t="inlineStr">
        <is>
          <t>https://vanillabonds.com/dossier-data/pdf/katjes/katjes-2023-annual-report.pdf#page=69</t>
        </is>
      </c>
    </row>
    <row r="283">
      <c r="A283" s="2" t="inlineStr">
        <is>
          <t>F282</t>
        </is>
      </c>
      <c r="B283" s="2" t="inlineStr">
        <is>
          <t>debt</t>
        </is>
      </c>
      <c r="C283" s="2" t="inlineStr">
        <is>
          <t>rate_type</t>
        </is>
      </c>
      <c r="D283" s="3" t="inlineStr">
        <is>
          <t>Rate structure of the debt: floating_share (0-1); base rate; fixed_share; fx mismatch revenue vs cost</t>
        </is>
      </c>
      <c r="E283" s="2" t="n"/>
      <c r="F283" s="2" t="n"/>
      <c r="G283" s="2" t="n"/>
      <c r="H283" s="3" t="inlineStr">
        <is>
          <t>fixed_share: not stated (bond EUR 115m fixed 6.75%; bank loans at stated fixed rates; other loans 'variable and fixed'); base rate: Euribor three-month and two-month on factoring contracts; fx mismatch revenue vs cost: vast majority of transactions in euros, variable-rate liabilities in euros</t>
        </is>
      </c>
      <c r="I283" s="2" t="inlineStr">
        <is>
          <t>S1</t>
        </is>
      </c>
      <c r="J283" s="2" t="n">
        <v>61</v>
      </c>
      <c r="K283" s="3" t="inlineStr">
        <is>
          <t>The Company operates mainly within the European Union. The vast majority of transactions are conducted in Euros.</t>
        </is>
      </c>
      <c r="L283" s="2" t="inlineStr">
        <is>
          <t>ok</t>
        </is>
      </c>
      <c r="M283" s="2" t="inlineStr">
        <is>
          <t>demo reviewer</t>
        </is>
      </c>
      <c r="N283" s="2" t="n"/>
      <c r="O283" s="3" t="inlineStr">
        <is>
          <t>https://vanillabonds.com/dossier-data/pdf/katjes/katjes-2023-annual-report.pdf#page=61</t>
        </is>
      </c>
    </row>
    <row r="284">
      <c r="A284" s="2" t="inlineStr">
        <is>
          <t>F283</t>
        </is>
      </c>
      <c r="B284" s="2" t="inlineStr">
        <is>
          <t>debt</t>
        </is>
      </c>
      <c r="C284" s="2" t="inlineStr">
        <is>
          <t>rollover_event</t>
        </is>
      </c>
      <c r="D284" s="3" t="inlineStr">
        <is>
          <t>Past maturity: instrument; amount; due; outcome (repaid, refinanced, extended, waived)</t>
        </is>
      </c>
      <c r="E284" s="2" t="n"/>
      <c r="F284" s="2" t="n">
        <v>65.59999999999999</v>
      </c>
      <c r="G284" s="2" t="n"/>
      <c r="H284" s="3" t="inlineStr">
        <is>
          <t>instrument: corporate bond 2019/2024 non-exchanged portion; amount: 65.6; due: 2024; outcome: redeemed early on 2023-11-12</t>
        </is>
      </c>
      <c r="I284" s="2" t="inlineStr">
        <is>
          <t>S1</t>
        </is>
      </c>
      <c r="J284" s="2" t="n">
        <v>33</v>
      </c>
      <c r="K284" s="3" t="inlineStr">
        <is>
          <t>viously been exchanged in the exchange offer was subse‐ quently redeemed early on 12 November 2023.</t>
        </is>
      </c>
      <c r="L284" s="2" t="inlineStr">
        <is>
          <t>ok</t>
        </is>
      </c>
      <c r="M284" s="2" t="inlineStr">
        <is>
          <t>demo reviewer</t>
        </is>
      </c>
      <c r="N284" s="2" t="n"/>
      <c r="O284" s="3" t="inlineStr">
        <is>
          <t>https://vanillabonds.com/dossier-data/pdf/katjes/katjes-2023-annual-report.pdf#page=33</t>
        </is>
      </c>
    </row>
    <row r="285">
      <c r="A285" s="2" t="inlineStr">
        <is>
          <t>F284</t>
        </is>
      </c>
      <c r="B285" s="2" t="inlineStr">
        <is>
          <t>debt</t>
        </is>
      </c>
      <c r="C285" s="2" t="inlineStr">
        <is>
          <t>rollover_event</t>
        </is>
      </c>
      <c r="D285" s="3" t="inlineStr">
        <is>
          <t>Past maturity: instrument; amount; due; outcome (repaid, refinanced, extended, waived)</t>
        </is>
      </c>
      <c r="E285" s="2" t="n"/>
      <c r="F285" s="2" t="n">
        <v>110</v>
      </c>
      <c r="G285" s="2" t="n"/>
      <c r="H285" s="3" t="inlineStr">
        <is>
          <t>instrument: corporate bond 2019/2024 (4.25%); amount: 110.0; due: 2024; outcome: refinanced early, exchange offer into 2023/2028 bond and redemption of remaining EUR 65.6m at 100.5% on 2023-11-12</t>
        </is>
      </c>
      <c r="I285" s="2" t="inlineStr">
        <is>
          <t>S1</t>
        </is>
      </c>
      <c r="J285" s="2" t="n">
        <v>72</v>
      </c>
      <c r="K285" s="2" t="inlineStr">
        <is>
          <t>turely at 100.5% on 12 November 2023.</t>
        </is>
      </c>
      <c r="L285" s="2" t="inlineStr">
        <is>
          <t>ok</t>
        </is>
      </c>
      <c r="M285" s="2" t="inlineStr">
        <is>
          <t>demo reviewer</t>
        </is>
      </c>
      <c r="N285" s="2" t="n"/>
      <c r="O285" s="3" t="inlineStr">
        <is>
          <t>https://vanillabonds.com/dossier-data/pdf/katjes/katjes-2023-annual-report.pdf#page=72</t>
        </is>
      </c>
    </row>
    <row r="286">
      <c r="A286" s="2" t="inlineStr">
        <is>
          <t>F285</t>
        </is>
      </c>
      <c r="B286" s="2" t="inlineStr">
        <is>
          <t>management</t>
        </is>
      </c>
      <c r="C286" s="2" t="inlineStr">
        <is>
          <t>project_outcome</t>
        </is>
      </c>
      <c r="D286" s="3" t="inlineStr">
        <is>
          <t>Project or acquisition: name; approved budget; approved timing; realised cost; realised timing; realised result</t>
        </is>
      </c>
      <c r="E286" s="2" t="n"/>
      <c r="F286" s="2" t="n"/>
      <c r="G286" s="2" t="n"/>
      <c r="H286" s="3" t="inlineStr">
        <is>
          <t>name: Paluani (Aug 2022) and Oral Care (Dec 2022) acquisitions; realised result: contributed to the 2023 result 'as planned' per management</t>
        </is>
      </c>
      <c r="I286" s="2" t="inlineStr">
        <is>
          <t>S1</t>
        </is>
      </c>
      <c r="J286" s="2" t="n">
        <v>5</v>
      </c>
      <c r="K286" s="3" t="inlineStr">
        <is>
          <t>The acquisitions made in the previous year contributed to the company's success in 2023 as planned.</t>
        </is>
      </c>
      <c r="L286" s="2" t="inlineStr">
        <is>
          <t>ok</t>
        </is>
      </c>
      <c r="M286" s="2" t="inlineStr">
        <is>
          <t>demo reviewer</t>
        </is>
      </c>
      <c r="N286" s="2" t="n"/>
      <c r="O286" s="3" t="inlineStr">
        <is>
          <t>https://vanillabonds.com/dossier-data/pdf/katjes/katjes-2023-annual-report.pdf#page=5</t>
        </is>
      </c>
    </row>
    <row r="287">
      <c r="A287" s="2" t="inlineStr">
        <is>
          <t>F286</t>
        </is>
      </c>
      <c r="B287" s="2" t="inlineStr">
        <is>
          <t>management</t>
        </is>
      </c>
      <c r="C287" s="2" t="inlineStr">
        <is>
          <t>strategy_statement</t>
        </is>
      </c>
      <c r="D287" s="3" t="inlineStr">
        <is>
          <t>Stated strategy: year; statement; what happened; source</t>
        </is>
      </c>
      <c r="E287" s="2" t="n"/>
      <c r="F287" s="2" t="n"/>
      <c r="G287" s="2" t="n"/>
      <c r="H287" s="3" t="inlineStr">
        <is>
          <t>year: 2023; statement: expand position in Europe in FMCG (confectionery and body care) by acquiring 'strong brands' and leveraging synergies, incl. carve-outs from large corporations; what happened: N.A.E. acquired Nov 2023; source: group management report</t>
        </is>
      </c>
      <c r="I287" s="2" t="inlineStr">
        <is>
          <t>S1</t>
        </is>
      </c>
      <c r="J287" s="2" t="n">
        <v>26</v>
      </c>
      <c r="K287" s="3" t="inlineStr">
        <is>
          <t>Katjes International pursues the objective of further expanding its position in Europe with a focus on FMCG (mainly confectionery and body care products).</t>
        </is>
      </c>
      <c r="L287" s="2" t="inlineStr">
        <is>
          <t>ok</t>
        </is>
      </c>
      <c r="M287" s="2" t="inlineStr">
        <is>
          <t>demo reviewer</t>
        </is>
      </c>
      <c r="N287" s="3" t="inlineStr">
        <is>
          <t>text: company wording put in quotation marks (reviewer, 20 Oct 2026)</t>
        </is>
      </c>
      <c r="O287" s="3" t="inlineStr">
        <is>
          <t>https://vanillabonds.com/dossier-data/pdf/katjes/katjes-2023-annual-report.pdf#page=26</t>
        </is>
      </c>
    </row>
    <row r="288">
      <c r="A288" s="2" t="inlineStr">
        <is>
          <t>F287</t>
        </is>
      </c>
      <c r="B288" s="2" t="inlineStr">
        <is>
          <t>management</t>
        </is>
      </c>
      <c r="C288" s="2" t="inlineStr">
        <is>
          <t>strategy_statement</t>
        </is>
      </c>
      <c r="D288" s="3" t="inlineStr">
        <is>
          <t>Stated strategy: year; statement; what happened; source</t>
        </is>
      </c>
      <c r="E288" s="2" t="n"/>
      <c r="F288" s="2" t="n"/>
      <c r="G288" s="2" t="n"/>
      <c r="H288" s="3" t="inlineStr">
        <is>
          <t>year: 2024; statement: reach and sustain an average EBITDA margin of at least 10%; source: forecast report</t>
        </is>
      </c>
      <c r="I288" s="2" t="inlineStr">
        <is>
          <t>S1</t>
        </is>
      </c>
      <c r="J288" s="2" t="n">
        <v>41</v>
      </c>
      <c r="K288" s="3" t="inlineStr">
        <is>
          <t>The company’s goal is to reach and sustain an average EBITDA margin of at least 10%.</t>
        </is>
      </c>
      <c r="L288" s="2" t="inlineStr">
        <is>
          <t>ok</t>
        </is>
      </c>
      <c r="M288" s="2" t="inlineStr">
        <is>
          <t>demo reviewer</t>
        </is>
      </c>
      <c r="N288" s="2" t="n"/>
      <c r="O288" s="3" t="inlineStr">
        <is>
          <t>https://vanillabonds.com/dossier-data/pdf/katjes/katjes-2023-annual-report.pdf#page=41</t>
        </is>
      </c>
    </row>
    <row r="289">
      <c r="A289" s="2" t="inlineStr">
        <is>
          <t>F288</t>
        </is>
      </c>
      <c r="B289" s="2" t="inlineStr">
        <is>
          <t>management</t>
        </is>
      </c>
      <c r="C289" s="2" t="inlineStr">
        <is>
          <t>strategy_statement</t>
        </is>
      </c>
      <c r="D289" s="3" t="inlineStr">
        <is>
          <t>Stated strategy: year; statement; what happened; source</t>
        </is>
      </c>
      <c r="E289" s="2" t="n"/>
      <c r="F289" s="2" t="n"/>
      <c r="G289" s="2" t="n"/>
      <c r="H289" s="3" t="inlineStr">
        <is>
          <t>year: 2024; statement: continue organic growth and acquisitions in target regions, actively take part in market consolidation, regularly at different stages of negotiating or closing deals; source: forecast report</t>
        </is>
      </c>
      <c r="I289" s="2" t="inlineStr">
        <is>
          <t>S1</t>
        </is>
      </c>
      <c r="J289" s="2" t="n">
        <v>41</v>
      </c>
      <c r="K289" s="3" t="inlineStr">
        <is>
          <t>interesting acquisition opportunities and is regularly at different stages of negotiating or closing deals.</t>
        </is>
      </c>
      <c r="L289" s="2" t="inlineStr">
        <is>
          <t>ok</t>
        </is>
      </c>
      <c r="M289" s="2" t="inlineStr">
        <is>
          <t>demo reviewer</t>
        </is>
      </c>
      <c r="N289" s="2" t="n"/>
      <c r="O289" s="3" t="inlineStr">
        <is>
          <t>https://vanillabonds.com/dossier-data/pdf/katjes/katjes-2023-annual-report.pdf#page=41</t>
        </is>
      </c>
    </row>
    <row r="290">
      <c r="A290" s="2" t="inlineStr">
        <is>
          <t>F289</t>
        </is>
      </c>
      <c r="B290" s="2" t="inlineStr">
        <is>
          <t>management</t>
        </is>
      </c>
      <c r="C290" s="2" t="inlineStr">
        <is>
          <t>risk_policy</t>
        </is>
      </c>
      <c r="D290" s="3" t="inlineStr">
        <is>
          <t>Financial policy, stated and revealed: item (leverage target, dividend, hedging, cash held, acquisition funding); stated; realised; year</t>
        </is>
      </c>
      <c r="E290" s="2" t="n"/>
      <c r="F290" s="2" t="n"/>
      <c r="G290" s="2" t="n"/>
      <c r="H290" s="3" t="inlineStr">
        <is>
          <t>item: acquisition funding; stated: corporate bonds are generally used to finance acquisitions; realised: EUR 115m bond 2023 refinanced the 2019 bond; year: 2023</t>
        </is>
      </c>
      <c r="I290" s="2" t="inlineStr">
        <is>
          <t>S1</t>
        </is>
      </c>
      <c r="J290" s="2" t="n">
        <v>33</v>
      </c>
      <c r="K290" s="3" t="inlineStr">
        <is>
          <t>Katjes International generally uses corporate bonds as an instrument to finance acquisitions.</t>
        </is>
      </c>
      <c r="L290" s="2" t="inlineStr">
        <is>
          <t>ok</t>
        </is>
      </c>
      <c r="M290" s="2" t="inlineStr">
        <is>
          <t>demo reviewer</t>
        </is>
      </c>
      <c r="N290" s="2" t="n"/>
      <c r="O290" s="3" t="inlineStr">
        <is>
          <t>https://vanillabonds.com/dossier-data/pdf/katjes/katjes-2023-annual-report.pdf#page=33</t>
        </is>
      </c>
    </row>
    <row r="291">
      <c r="A291" s="2" t="inlineStr">
        <is>
          <t>F290</t>
        </is>
      </c>
      <c r="B291" s="2" t="inlineStr">
        <is>
          <t>management</t>
        </is>
      </c>
      <c r="C291" s="2" t="inlineStr">
        <is>
          <t>risk_policy</t>
        </is>
      </c>
      <c r="D291" s="3" t="inlineStr">
        <is>
          <t>Financial policy, stated and revealed: item (leverage target, dividend, hedging, cash held, acquisition funding); stated; realised; year</t>
        </is>
      </c>
      <c r="E291" s="2" t="n"/>
      <c r="F291" s="2" t="n"/>
      <c r="G291" s="2" t="n"/>
      <c r="H291" s="3" t="inlineStr">
        <is>
          <t>item: operating funding; stated: operations financed with internal funds, factoring, bank loans and credit facilities; year: 2023</t>
        </is>
      </c>
      <c r="I291" s="2" t="inlineStr">
        <is>
          <t>S1</t>
        </is>
      </c>
      <c r="J291" s="2" t="n">
        <v>33</v>
      </c>
      <c r="K291" s="3" t="inlineStr">
        <is>
          <t>The company mainly finances its operations with internal funds, factoring, bank loans and credit facilities provided for this purpose.</t>
        </is>
      </c>
      <c r="L291" s="2" t="inlineStr">
        <is>
          <t>ok</t>
        </is>
      </c>
      <c r="M291" s="2" t="inlineStr">
        <is>
          <t>demo reviewer</t>
        </is>
      </c>
      <c r="N291" s="2" t="n"/>
      <c r="O291" s="3" t="inlineStr">
        <is>
          <t>https://vanillabonds.com/dossier-data/pdf/katjes/katjes-2023-annual-report.pdf#page=33</t>
        </is>
      </c>
    </row>
    <row r="292">
      <c r="A292" s="2" t="inlineStr">
        <is>
          <t>F291</t>
        </is>
      </c>
      <c r="B292" s="2" t="inlineStr">
        <is>
          <t>management</t>
        </is>
      </c>
      <c r="C292" s="2" t="inlineStr">
        <is>
          <t>risk_policy</t>
        </is>
      </c>
      <c r="D292" s="3" t="inlineStr">
        <is>
          <t>Financial policy, stated and revealed: item (leverage target, dividend, hedging, cash held, acquisition funding); stated; realised; year</t>
        </is>
      </c>
      <c r="E292" s="2" t="n"/>
      <c r="F292" s="2" t="n"/>
      <c r="G292" s="2" t="n"/>
      <c r="H292" s="3" t="inlineStr">
        <is>
          <t>item: hedging; stated: interest rate swaps used 'to an appropriate extent' where sensible from a risk perspective; realised: three swaps, notional 8.0 total at 31 Dec 2023; year: 2023</t>
        </is>
      </c>
      <c r="I292" s="2" t="inlineStr">
        <is>
          <t>S1</t>
        </is>
      </c>
      <c r="J292" s="2" t="n">
        <v>61</v>
      </c>
      <c r="K292" s="3" t="inlineStr">
        <is>
          <t>To hedge any interest rate risks, the Company makes use of derivatives (interest rate swaps)</t>
        </is>
      </c>
      <c r="L292" s="2" t="inlineStr">
        <is>
          <t>ok</t>
        </is>
      </c>
      <c r="M292" s="2" t="inlineStr">
        <is>
          <t>demo reviewer</t>
        </is>
      </c>
      <c r="N292" s="2" t="n"/>
      <c r="O292" s="3" t="inlineStr">
        <is>
          <t>https://vanillabonds.com/dossier-data/pdf/katjes/katjes-2023-annual-report.pdf#page=61</t>
        </is>
      </c>
    </row>
    <row r="293">
      <c r="A293" s="2" t="inlineStr">
        <is>
          <t>F292</t>
        </is>
      </c>
      <c r="B293" s="2" t="inlineStr">
        <is>
          <t>management</t>
        </is>
      </c>
      <c r="C293" s="2" t="inlineStr">
        <is>
          <t>risk_policy</t>
        </is>
      </c>
      <c r="D293" s="3" t="inlineStr">
        <is>
          <t>Financial policy, stated and revealed: item (leverage target, dividend, hedging, cash held, acquisition funding); stated; realised; year</t>
        </is>
      </c>
      <c r="E293" s="2" t="n"/>
      <c r="F293" s="2" t="n"/>
      <c r="G293" s="2" t="n"/>
      <c r="H293" s="3" t="inlineStr">
        <is>
          <t>item: raw material price risk; stated: supplier contracts generally with a term of three to 24 months for sugar, glucose, cocoa, nuts, panthenol and energy; year: 2023</t>
        </is>
      </c>
      <c r="I293" s="2" t="inlineStr">
        <is>
          <t>S1</t>
        </is>
      </c>
      <c r="J293" s="2" t="n">
        <v>61</v>
      </c>
      <c r="K293" s="3" t="inlineStr">
        <is>
          <t>counters this risk by concluding contracts with suppliers that generally have a term of three to 24 months.</t>
        </is>
      </c>
      <c r="L293" s="2" t="inlineStr">
        <is>
          <t>ok</t>
        </is>
      </c>
      <c r="M293" s="2" t="inlineStr">
        <is>
          <t>demo reviewer</t>
        </is>
      </c>
      <c r="N293" s="2" t="n"/>
      <c r="O293" s="3" t="inlineStr">
        <is>
          <t>https://vanillabonds.com/dossier-data/pdf/katjes/katjes-2023-annual-report.pdf#page=61</t>
        </is>
      </c>
    </row>
    <row r="294">
      <c r="A294" s="2" t="inlineStr">
        <is>
          <t>F293</t>
        </is>
      </c>
      <c r="B294" s="2" t="inlineStr">
        <is>
          <t>management</t>
        </is>
      </c>
      <c r="C294" s="2" t="inlineStr">
        <is>
          <t>risk_policy</t>
        </is>
      </c>
      <c r="D294" s="3" t="inlineStr">
        <is>
          <t>Financial policy, stated and revealed: item (leverage target, dividend, hedging, cash held, acquisition funding); stated; realised; year</t>
        </is>
      </c>
      <c r="E294" s="2" t="n"/>
      <c r="F294" s="2" t="n"/>
      <c r="G294" s="2" t="n"/>
      <c r="H294" s="3" t="inlineStr">
        <is>
          <t>item: liquidity; stated: 'cover the assets tied up in the long term through long-term financing', short-term needs by 'sufficient credit lines', cash planning updated regularly; year: 2023</t>
        </is>
      </c>
      <c r="I294" s="2" t="inlineStr">
        <is>
          <t>S1</t>
        </is>
      </c>
      <c r="J294" s="2" t="n">
        <v>62</v>
      </c>
      <c r="K294" s="3" t="inlineStr">
        <is>
          <t>The Group’s aim is to cover the assets tied up in the long term through long-term financing</t>
        </is>
      </c>
      <c r="L294" s="2" t="inlineStr">
        <is>
          <t>ok</t>
        </is>
      </c>
      <c r="M294" s="2" t="inlineStr">
        <is>
          <t>demo reviewer</t>
        </is>
      </c>
      <c r="N294" s="3" t="inlineStr">
        <is>
          <t>text: company wording put in quotation marks (reviewer, 20 Oct 2026)</t>
        </is>
      </c>
      <c r="O294" s="3" t="inlineStr">
        <is>
          <t>https://vanillabonds.com/dossier-data/pdf/katjes/katjes-2023-annual-report.pdf#page=62</t>
        </is>
      </c>
    </row>
    <row r="295">
      <c r="A295" s="2" t="inlineStr">
        <is>
          <t>F294</t>
        </is>
      </c>
      <c r="B295" s="2" t="inlineStr">
        <is>
          <t>management</t>
        </is>
      </c>
      <c r="C295" s="2" t="inlineStr">
        <is>
          <t>risk_policy</t>
        </is>
      </c>
      <c r="D295" s="3" t="inlineStr">
        <is>
          <t>Financial policy, stated and revealed: item (leverage target, dividend, hedging, cash held, acquisition funding); stated; realised; year</t>
        </is>
      </c>
      <c r="E295" s="2" t="n"/>
      <c r="F295" s="2" t="n"/>
      <c r="G295" s="2" t="n"/>
      <c r="H295" s="3" t="inlineStr">
        <is>
          <t>item: leverage target; stated: capital monitored on net debt / total capital, 'optimal capital structure' to reduce cost of capital, no numeric target; realised: 43% 2023, 45% 2022; year: 2023</t>
        </is>
      </c>
      <c r="I295" s="2" t="inlineStr">
        <is>
          <t>S1</t>
        </is>
      </c>
      <c r="J295" s="2" t="n">
        <v>64</v>
      </c>
      <c r="K295" s="2" t="inlineStr">
        <is>
          <t>Leverage ratio 43% 45%</t>
        </is>
      </c>
      <c r="L295" s="2" t="inlineStr">
        <is>
          <t>ok</t>
        </is>
      </c>
      <c r="M295" s="2" t="inlineStr">
        <is>
          <t>demo reviewer</t>
        </is>
      </c>
      <c r="N295" s="2" t="n"/>
      <c r="O295" s="3" t="inlineStr">
        <is>
          <t>https://vanillabonds.com/dossier-data/pdf/katjes/katjes-2023-annual-report.pdf#page=64</t>
        </is>
      </c>
    </row>
    <row r="296">
      <c r="A296" s="2" t="inlineStr">
        <is>
          <t>F295</t>
        </is>
      </c>
      <c r="B296" s="2" t="inlineStr">
        <is>
          <t>management</t>
        </is>
      </c>
      <c r="C296" s="2" t="inlineStr">
        <is>
          <t>insurance</t>
        </is>
      </c>
      <c r="D296" s="3" t="inlineStr">
        <is>
          <t>Insurance: cover (property, business interruption, key person, cyber, D&amp;O); insurer; sum; expiry</t>
        </is>
      </c>
      <c r="E296" s="2" t="n"/>
      <c r="F296" s="2" t="n"/>
      <c r="G296" s="2" t="n"/>
      <c r="H296" s="3" t="inlineStr">
        <is>
          <t>cover: loss incidents from quality risks (product); insurer: not named</t>
        </is>
      </c>
      <c r="I296" s="2" t="inlineStr">
        <is>
          <t>S1</t>
        </is>
      </c>
      <c r="J296" s="2" t="n">
        <v>40</v>
      </c>
      <c r="K296" s="3" t="inlineStr">
        <is>
          <t>In addition, insurance policies are taken out against corresponding loss</t>
        </is>
      </c>
      <c r="L296" s="2" t="inlineStr">
        <is>
          <t>ok</t>
        </is>
      </c>
      <c r="M296" s="2" t="inlineStr">
        <is>
          <t>demo reviewer</t>
        </is>
      </c>
      <c r="N296" s="2" t="n"/>
      <c r="O296" s="3" t="inlineStr">
        <is>
          <t>https://vanillabonds.com/dossier-data/pdf/katjes/katjes-2023-annual-report.pdf#page=40</t>
        </is>
      </c>
    </row>
    <row r="297">
      <c r="A297" s="2" t="inlineStr">
        <is>
          <t>F296</t>
        </is>
      </c>
      <c r="B297" s="2" t="inlineStr">
        <is>
          <t>management</t>
        </is>
      </c>
      <c r="C297" s="2" t="inlineStr">
        <is>
          <t>insurance</t>
        </is>
      </c>
      <c r="D297" s="3" t="inlineStr">
        <is>
          <t>Insurance: cover (property, business interruption, key person, cyber, D&amp;O); insurer; sum; expiry</t>
        </is>
      </c>
      <c r="E297" s="2" t="n"/>
      <c r="F297" s="2" t="n"/>
      <c r="G297" s="2" t="n"/>
      <c r="H297" s="3" t="inlineStr">
        <is>
          <t>cover: credit insurance on certain trade receivables; insurer: not named</t>
        </is>
      </c>
      <c r="I297" s="2" t="inlineStr">
        <is>
          <t>S1</t>
        </is>
      </c>
      <c r="J297" s="2" t="n">
        <v>62</v>
      </c>
      <c r="K297" s="3" t="inlineStr">
        <is>
          <t>Credit insurance is also taken out for certain receivables.</t>
        </is>
      </c>
      <c r="L297" s="2" t="inlineStr">
        <is>
          <t>ok</t>
        </is>
      </c>
      <c r="M297" s="2" t="inlineStr">
        <is>
          <t>demo reviewer</t>
        </is>
      </c>
      <c r="N297" s="2" t="n"/>
      <c r="O297" s="3" t="inlineStr">
        <is>
          <t>https://vanillabonds.com/dossier-data/pdf/katjes/katjes-2023-annual-report.pdf#page=62</t>
        </is>
      </c>
    </row>
    <row r="298">
      <c r="A298" s="2" t="inlineStr">
        <is>
          <t>F297</t>
        </is>
      </c>
      <c r="B298" s="2" t="inlineStr">
        <is>
          <t>management</t>
        </is>
      </c>
      <c r="C298" s="2" t="inlineStr">
        <is>
          <t>insurance</t>
        </is>
      </c>
      <c r="D298" s="3" t="inlineStr">
        <is>
          <t>Insurance: cover (property, business interruption, key person, cyber, D&amp;O); insurer; sum; expiry</t>
        </is>
      </c>
      <c r="E298" s="2" t="n"/>
      <c r="F298" s="2" t="n">
        <v>0.7</v>
      </c>
      <c r="G298" s="2" t="n"/>
      <c r="H298" s="3" t="inlineStr">
        <is>
          <t>cover: group insurance expense (not broken down); sum: 0.7 in 2023 (2022: 0.9)</t>
        </is>
      </c>
      <c r="I298" s="2" t="inlineStr">
        <is>
          <t>S1</t>
        </is>
      </c>
      <c r="J298" s="2" t="n">
        <v>78</v>
      </c>
      <c r="K298" s="2" t="inlineStr">
        <is>
          <t>Insurance 0.7 0.9</t>
        </is>
      </c>
      <c r="L298" s="2" t="inlineStr">
        <is>
          <t>ok</t>
        </is>
      </c>
      <c r="M298" s="2" t="inlineStr">
        <is>
          <t>demo reviewer</t>
        </is>
      </c>
      <c r="N298" s="2" t="n"/>
      <c r="O298" s="3" t="inlineStr">
        <is>
          <t>https://vanillabonds.com/dossier-data/pdf/katjes/katjes-2023-annual-report.pdf#page=78</t>
        </is>
      </c>
    </row>
    <row r="299">
      <c r="A299" s="2" t="inlineStr">
        <is>
          <t>F298</t>
        </is>
      </c>
      <c r="B299" s="2" t="inlineStr">
        <is>
          <t>management</t>
        </is>
      </c>
      <c r="C299" s="2" t="inlineStr">
        <is>
          <t>remuneration</t>
        </is>
      </c>
      <c r="D299" s="3" t="inlineStr">
        <is>
          <t>Remuneration as disclosed in the filed accounts: person or body; amount; year</t>
        </is>
      </c>
      <c r="E299" s="2" t="n"/>
      <c r="F299" s="2" t="n">
        <v>0.3</v>
      </c>
      <c r="G299" s="2" t="n"/>
      <c r="H299" s="3" t="inlineStr">
        <is>
          <t>person or body: general partner Xaver Fassin International GmbH (total remuneration paid to the management); amount: 0.3; year: 2023 (2022: 0.3)</t>
        </is>
      </c>
      <c r="I299" s="2" t="inlineStr">
        <is>
          <t>S1</t>
        </is>
      </c>
      <c r="J299" s="2" t="n">
        <v>84</v>
      </c>
      <c r="K299" s="3" t="inlineStr">
        <is>
          <t>Total remuneration paid to the ma‐ nagement* 0.3 0.3</t>
        </is>
      </c>
      <c r="L299" s="2" t="inlineStr">
        <is>
          <t>ok</t>
        </is>
      </c>
      <c r="M299" s="2" t="inlineStr">
        <is>
          <t>demo reviewer</t>
        </is>
      </c>
      <c r="N299" s="2" t="n"/>
      <c r="O299" s="3" t="inlineStr">
        <is>
          <t>https://vanillabonds.com/dossier-data/pdf/katjes/katjes-2023-annual-report.pdf#page=84</t>
        </is>
      </c>
    </row>
    <row r="300">
      <c r="A300" s="2" t="inlineStr">
        <is>
          <t>F299</t>
        </is>
      </c>
      <c r="B300" s="2" t="inlineStr">
        <is>
          <t>management</t>
        </is>
      </c>
      <c r="C300" s="2" t="inlineStr">
        <is>
          <t>remuneration</t>
        </is>
      </c>
      <c r="D300" s="3" t="inlineStr">
        <is>
          <t>Remuneration as disclosed in the filed accounts: person or body; amount; year</t>
        </is>
      </c>
      <c r="E300" s="2" t="n"/>
      <c r="F300" s="2" t="n"/>
      <c r="G300" s="2" t="n"/>
      <c r="H300" s="3" t="inlineStr">
        <is>
          <t>person or body: executive bodies beyond the general partner; amount: not disclosed (protective clause Sec. 286 (4) HGB); year: 2023</t>
        </is>
      </c>
      <c r="I300" s="2" t="inlineStr">
        <is>
          <t>S1</t>
        </is>
      </c>
      <c r="J300" s="2" t="n">
        <v>84</v>
      </c>
      <c r="K300" s="3" t="inlineStr">
        <is>
          <t>With reference to the protective clause set out in section 286 (4) of the German Commercial Code (HGB)</t>
        </is>
      </c>
      <c r="L300" s="2" t="inlineStr">
        <is>
          <t>ok</t>
        </is>
      </c>
      <c r="M300" s="2" t="inlineStr">
        <is>
          <t>demo reviewer</t>
        </is>
      </c>
      <c r="N300" s="2" t="n"/>
      <c r="O300" s="3" t="inlineStr">
        <is>
          <t>https://vanillabonds.com/dossier-data/pdf/katjes/katjes-2023-annual-report.pdf#page=84</t>
        </is>
      </c>
    </row>
    <row r="301">
      <c r="A301" s="2" t="inlineStr">
        <is>
          <t>F300</t>
        </is>
      </c>
      <c r="B301" s="2" t="inlineStr">
        <is>
          <t>structure</t>
        </is>
      </c>
      <c r="C301" s="2" t="inlineStr">
        <is>
          <t>security_asset</t>
        </is>
      </c>
      <c r="D301" s="3" t="inlineStr">
        <is>
          <t>Security asset: asset; book value; encumbrance (register); insured (yes / no); register</t>
        </is>
      </c>
      <c r="E301" s="2" t="n"/>
      <c r="F301" s="2" t="n">
        <v>112.4</v>
      </c>
      <c r="G301" s="2" t="n"/>
      <c r="H301" s="3" t="inlineStr">
        <is>
          <t>asset: capitalised brands and other intangible assets; book value: 112.4 (2022: 109.7); encumbrance: not stated; insured: not stated; register: brand values represented as intangible assets in the group balance sheet</t>
        </is>
      </c>
      <c r="I301" s="2" t="inlineStr">
        <is>
          <t>S1</t>
        </is>
      </c>
      <c r="J301" s="2" t="n">
        <v>35</v>
      </c>
      <c r="K301" s="3" t="inlineStr">
        <is>
          <t>The value of these brands is represented financially as an intangible asset in the Group’s balance sheet.</t>
        </is>
      </c>
      <c r="L301" s="2" t="inlineStr">
        <is>
          <t>ok</t>
        </is>
      </c>
      <c r="M301" s="2" t="inlineStr">
        <is>
          <t>demo reviewer</t>
        </is>
      </c>
      <c r="N301" s="2" t="n"/>
      <c r="O301" s="3" t="inlineStr">
        <is>
          <t>https://vanillabonds.com/dossier-data/pdf/katjes/katjes-2023-annual-report.pdf#page=35</t>
        </is>
      </c>
    </row>
    <row r="302">
      <c r="A302" s="2" t="inlineStr">
        <is>
          <t>F301</t>
        </is>
      </c>
      <c r="B302" s="2" t="inlineStr">
        <is>
          <t>structure</t>
        </is>
      </c>
      <c r="C302" s="2" t="inlineStr">
        <is>
          <t>security_asset</t>
        </is>
      </c>
      <c r="D302" s="3" t="inlineStr">
        <is>
          <t>Security asset: asset; book value; encumbrance (register); insured (yes / no); register</t>
        </is>
      </c>
      <c r="E302" s="2" t="inlineStr">
        <is>
          <t>FY2023</t>
        </is>
      </c>
      <c r="F302" s="2" t="n">
        <v>0</v>
      </c>
      <c r="G302" s="2" t="n"/>
      <c r="H302" s="3" t="inlineStr">
        <is>
          <t>asset: inventories; book value: 46.4; encumbrance: EUR 0.0m deposited as collateral at 31 Dec 2023 (2022: EUR 3.7m)</t>
        </is>
      </c>
      <c r="I302" s="2" t="inlineStr">
        <is>
          <t>S1</t>
        </is>
      </c>
      <c r="J302" s="2" t="n">
        <v>70</v>
      </c>
      <c r="K302" s="3" t="inlineStr">
        <is>
          <t>0.0 million (2022: EUR 3.7 million) of the inventory assets were deposited as collateral.</t>
        </is>
      </c>
      <c r="L302" s="2" t="inlineStr">
        <is>
          <t>ok</t>
        </is>
      </c>
      <c r="M302" s="2" t="inlineStr">
        <is>
          <t>demo reviewer</t>
        </is>
      </c>
      <c r="N302" s="2" t="n"/>
      <c r="O302" s="3" t="inlineStr">
        <is>
          <t>https://vanillabonds.com/dossier-data/pdf/katjes/katjes-2023-annual-report.pdf#page=70</t>
        </is>
      </c>
    </row>
    <row r="303">
      <c r="A303" s="2" t="inlineStr">
        <is>
          <t>F302</t>
        </is>
      </c>
      <c r="B303" s="2" t="inlineStr">
        <is>
          <t>structure</t>
        </is>
      </c>
      <c r="C303" s="2" t="inlineStr">
        <is>
          <t>appraisal</t>
        </is>
      </c>
      <c r="D303" s="3" t="inlineStr">
        <is>
          <t>Appraisal: asset; date; appraiser; method; value</t>
        </is>
      </c>
      <c r="E303" s="2" t="n"/>
      <c r="F303" s="2" t="n">
        <v>25.9</v>
      </c>
      <c r="G303" s="2" t="n"/>
      <c r="H303" s="3" t="inlineStr">
        <is>
          <t>asset: oral care division property, plant and equipment (Viersen site); date: 2023 (within PPA measurement period); appraiser: independent experts (not named); method: not stated; value: 25.9 in final PPA</t>
        </is>
      </c>
      <c r="I303" s="2" t="inlineStr">
        <is>
          <t>S1</t>
        </is>
      </c>
      <c r="J303" s="2" t="n">
        <v>59</v>
      </c>
      <c r="K303" s="3" t="inlineStr">
        <is>
          <t>In the financial year 2023, the property, plant and equip‐ ment to be acquired was valued by independent experts</t>
        </is>
      </c>
      <c r="L303" s="2" t="inlineStr">
        <is>
          <t>ok</t>
        </is>
      </c>
      <c r="M303" s="2" t="inlineStr">
        <is>
          <t>demo reviewer</t>
        </is>
      </c>
      <c r="N303" s="2" t="n"/>
      <c r="O303" s="3" t="inlineStr">
        <is>
          <t>https://vanillabonds.com/dossier-data/pdf/katjes/katjes-2023-annual-report.pdf#page=59</t>
        </is>
      </c>
    </row>
    <row r="304">
      <c r="A304" s="2" t="inlineStr">
        <is>
          <t>F303</t>
        </is>
      </c>
      <c r="B304" s="2" t="inlineStr">
        <is>
          <t>structure</t>
        </is>
      </c>
      <c r="C304" s="2" t="inlineStr">
        <is>
          <t>appraisal</t>
        </is>
      </c>
      <c r="D304" s="3" t="inlineStr">
        <is>
          <t>Appraisal: asset; date; appraiser; method; value</t>
        </is>
      </c>
      <c r="E304" s="2" t="n"/>
      <c r="F304" s="2" t="n">
        <v>4.9</v>
      </c>
      <c r="G304" s="2" t="n"/>
      <c r="H304" s="3" t="inlineStr">
        <is>
          <t>asset: Harlekijntjes brand; date: initial consolidation 2016; appraiser: not named; method: relief-from-royalty, royalty 6.0%, discount rate 6.3%, indefinite useful life; value: 4.9</t>
        </is>
      </c>
      <c r="I304" s="2" t="inlineStr">
        <is>
          <t>S1</t>
        </is>
      </c>
      <c r="J304" s="2" t="n">
        <v>66</v>
      </c>
      <c r="K304" s="3" t="inlineStr">
        <is>
          <t>due to the strength of the brand.The brand value calcula‐ ted using this method amounted to EUR 4.9 million.</t>
        </is>
      </c>
      <c r="L304" s="2" t="inlineStr">
        <is>
          <t>ok</t>
        </is>
      </c>
      <c r="M304" s="2" t="inlineStr">
        <is>
          <t>demo reviewer</t>
        </is>
      </c>
      <c r="N304" s="2" t="n"/>
      <c r="O304" s="3" t="inlineStr">
        <is>
          <t>https://vanillabonds.com/dossier-data/pdf/katjes/katjes-2023-annual-report.pdf#page=66</t>
        </is>
      </c>
    </row>
    <row r="305">
      <c r="A305" s="2" t="inlineStr">
        <is>
          <t>F304</t>
        </is>
      </c>
      <c r="B305" s="2" t="inlineStr">
        <is>
          <t>structure</t>
        </is>
      </c>
      <c r="C305" s="2" t="inlineStr">
        <is>
          <t>appraisal</t>
        </is>
      </c>
      <c r="D305" s="3" t="inlineStr">
        <is>
          <t>Appraisal: asset; date; appraiser; method; value</t>
        </is>
      </c>
      <c r="E305" s="2" t="n"/>
      <c r="F305" s="2" t="n">
        <v>6</v>
      </c>
      <c r="G305" s="2" t="n"/>
      <c r="H305" s="3" t="inlineStr">
        <is>
          <t>asset: Piasten brand; date: initial consolidation 2014/15; appraiser: not named; method: relief-from-royalty, royalty 2.0%, discount rate 7.5%, 40-year life; value: 6.0</t>
        </is>
      </c>
      <c r="I305" s="2" t="inlineStr">
        <is>
          <t>S1</t>
        </is>
      </c>
      <c r="J305" s="2" t="n">
        <v>66</v>
      </c>
      <c r="K305" s="3" t="inlineStr">
        <is>
          <t>was 40 years. The brand value calculated using this me‐ thod amounted to EUR 6.0 million.</t>
        </is>
      </c>
      <c r="L305" s="2" t="inlineStr">
        <is>
          <t>ok</t>
        </is>
      </c>
      <c r="M305" s="2" t="inlineStr">
        <is>
          <t>demo reviewer</t>
        </is>
      </c>
      <c r="N305" s="2" t="n"/>
      <c r="O305" s="3" t="inlineStr">
        <is>
          <t>https://vanillabonds.com/dossier-data/pdf/katjes/katjes-2023-annual-report.pdf#page=66</t>
        </is>
      </c>
    </row>
    <row r="306">
      <c r="A306" s="2" t="inlineStr">
        <is>
          <t>F305</t>
        </is>
      </c>
      <c r="B306" s="2" t="inlineStr">
        <is>
          <t>structure</t>
        </is>
      </c>
      <c r="C306" s="2" t="inlineStr">
        <is>
          <t>appraisal</t>
        </is>
      </c>
      <c r="D306" s="3" t="inlineStr">
        <is>
          <t>Appraisal: asset; date; appraiser; method; value</t>
        </is>
      </c>
      <c r="E306" s="2" t="n"/>
      <c r="F306" s="2" t="n">
        <v>7.7</v>
      </c>
      <c r="G306" s="2" t="n"/>
      <c r="H306" s="3" t="inlineStr">
        <is>
          <t>asset: Dallmann's brand; date: initial consolidation 2012; appraiser: not named; method: relief-from-royalty, royalty 9.5%, discount rate 8.4%, indefinite life; value: 7.7</t>
        </is>
      </c>
      <c r="I306" s="2" t="inlineStr">
        <is>
          <t>S1</t>
        </is>
      </c>
      <c r="J306" s="2" t="n">
        <v>67</v>
      </c>
      <c r="K306" s="3" t="inlineStr">
        <is>
          <t>lue calculated using this method amounted to EUR 7.7 mil‐ lion.</t>
        </is>
      </c>
      <c r="L306" s="2" t="inlineStr">
        <is>
          <t>ok</t>
        </is>
      </c>
      <c r="M306" s="2" t="inlineStr">
        <is>
          <t>demo reviewer</t>
        </is>
      </c>
      <c r="N306" s="2" t="n"/>
      <c r="O306" s="3" t="inlineStr">
        <is>
          <t>https://vanillabonds.com/dossier-data/pdf/katjes/katjes-2023-annual-report.pdf#page=67</t>
        </is>
      </c>
    </row>
    <row r="307">
      <c r="A307" s="2" t="inlineStr">
        <is>
          <t>F306</t>
        </is>
      </c>
      <c r="B307" s="2" t="inlineStr">
        <is>
          <t>structure</t>
        </is>
      </c>
      <c r="C307" s="2" t="inlineStr">
        <is>
          <t>appraisal</t>
        </is>
      </c>
      <c r="D307" s="3" t="inlineStr">
        <is>
          <t>Appraisal: asset; date; appraiser; method; value</t>
        </is>
      </c>
      <c r="E307" s="2" t="n"/>
      <c r="F307" s="2" t="n">
        <v>22.9</v>
      </c>
      <c r="G307" s="2" t="n"/>
      <c r="H307" s="3" t="inlineStr">
        <is>
          <t>asset: Sperlari brands; date: initial consolidation 2017; appraiser: not named; method: relief-from-royalty, royalty 3.5%, discount rate 6.4%, 40-year life; value: 22.9</t>
        </is>
      </c>
      <c r="I307" s="2" t="inlineStr">
        <is>
          <t>S1</t>
        </is>
      </c>
      <c r="J307" s="2" t="n">
        <v>67</v>
      </c>
      <c r="K307" s="3" t="inlineStr">
        <is>
          <t>The useful life is 40 years.The brand value calculated using this method amounted to EUR 22.9 million.</t>
        </is>
      </c>
      <c r="L307" s="2" t="inlineStr">
        <is>
          <t>ok</t>
        </is>
      </c>
      <c r="M307" s="2" t="inlineStr">
        <is>
          <t>demo reviewer</t>
        </is>
      </c>
      <c r="N307" s="2" t="n"/>
      <c r="O307" s="3" t="inlineStr">
        <is>
          <t>https://vanillabonds.com/dossier-data/pdf/katjes/katjes-2023-annual-report.pdf#page=67</t>
        </is>
      </c>
    </row>
    <row r="308">
      <c r="A308" s="2" t="inlineStr">
        <is>
          <t>F307</t>
        </is>
      </c>
      <c r="B308" s="2" t="inlineStr">
        <is>
          <t>structure</t>
        </is>
      </c>
      <c r="C308" s="2" t="inlineStr">
        <is>
          <t>appraisal</t>
        </is>
      </c>
      <c r="D308" s="3" t="inlineStr">
        <is>
          <t>Appraisal: asset; date; appraiser; method; value</t>
        </is>
      </c>
      <c r="E308" s="2" t="n"/>
      <c r="F308" s="2" t="n">
        <v>9.800000000000001</v>
      </c>
      <c r="G308" s="2" t="n"/>
      <c r="H308" s="3" t="inlineStr">
        <is>
          <t>asset: Candy Kittens brand; date: initial consolidation (forecast revenue from 2021); appraiser: not named; method: relief-from-royalty, royalty 6%, discount rate 8.3%, indefinite life; value: 9.8</t>
        </is>
      </c>
      <c r="I308" s="2" t="inlineStr">
        <is>
          <t>S1</t>
        </is>
      </c>
      <c r="J308" s="2" t="n">
        <v>67</v>
      </c>
      <c r="K308" s="3" t="inlineStr">
        <is>
          <t>rate was 8.3%. The useful life is indefinite due to the strength of the brand. The brand value calculated using this method amounted to EUR 9.8 million.</t>
        </is>
      </c>
      <c r="L308" s="2" t="inlineStr">
        <is>
          <t>ok</t>
        </is>
      </c>
      <c r="M308" s="2" t="inlineStr">
        <is>
          <t>demo reviewer</t>
        </is>
      </c>
      <c r="N308" s="2" t="n"/>
      <c r="O308" s="3" t="inlineStr">
        <is>
          <t>https://vanillabonds.com/dossier-data/pdf/katjes/katjes-2023-annual-report.pdf#page=67</t>
        </is>
      </c>
    </row>
    <row r="309">
      <c r="A309" s="2" t="inlineStr">
        <is>
          <t>F308</t>
        </is>
      </c>
      <c r="B309" s="2" t="inlineStr">
        <is>
          <t>structure</t>
        </is>
      </c>
      <c r="C309" s="2" t="inlineStr">
        <is>
          <t>appraisal</t>
        </is>
      </c>
      <c r="D309" s="3" t="inlineStr">
        <is>
          <t>Appraisal: asset; date; appraiser; method; value</t>
        </is>
      </c>
      <c r="E309" s="2" t="n"/>
      <c r="F309" s="2" t="n">
        <v>22.5</v>
      </c>
      <c r="G309" s="2" t="n"/>
      <c r="H309" s="3" t="inlineStr">
        <is>
          <t>asset: Bübchen brand; date: initial consolidation 2021 (pro rata revenue 2021); appraiser: not named; method: relief-from-royalty, royalty 4.0%, discount rate 5.0%, 40-year life; value: 22.5</t>
        </is>
      </c>
      <c r="I309" s="2" t="inlineStr">
        <is>
          <t>S1</t>
        </is>
      </c>
      <c r="J309" s="2" t="n">
        <v>67</v>
      </c>
      <c r="K309" s="3" t="inlineStr">
        <is>
          <t>useful life is 40 years.The brand value calculated using this method amounted to EUR 22.5 million.</t>
        </is>
      </c>
      <c r="L309" s="2" t="inlineStr">
        <is>
          <t>ok</t>
        </is>
      </c>
      <c r="M309" s="2" t="inlineStr">
        <is>
          <t>demo reviewer</t>
        </is>
      </c>
      <c r="N309" s="2" t="n"/>
      <c r="O309" s="3" t="inlineStr">
        <is>
          <t>https://vanillabonds.com/dossier-data/pdf/katjes/katjes-2023-annual-report.pdf#page=67</t>
        </is>
      </c>
    </row>
    <row r="310">
      <c r="A310" s="2" t="inlineStr">
        <is>
          <t>F309</t>
        </is>
      </c>
      <c r="B310" s="2" t="inlineStr">
        <is>
          <t>structure</t>
        </is>
      </c>
      <c r="C310" s="2" t="inlineStr">
        <is>
          <t>appraisal</t>
        </is>
      </c>
      <c r="D310" s="3" t="inlineStr">
        <is>
          <t>Appraisal: asset; date; appraiser; method; value</t>
        </is>
      </c>
      <c r="E310" s="2" t="n"/>
      <c r="F310" s="2" t="n">
        <v>7.6</v>
      </c>
      <c r="G310" s="2" t="n"/>
      <c r="H310" s="3" t="inlineStr">
        <is>
          <t>asset: Dulcioliva brand; date: initial consolidation 2021; appraiser: not named; method: relief-from-royalty, royalty 5.0%, discount rate 4.0%, 40-year life; value: 7.6</t>
        </is>
      </c>
      <c r="I310" s="2" t="inlineStr">
        <is>
          <t>S1</t>
        </is>
      </c>
      <c r="J310" s="2" t="n">
        <v>67</v>
      </c>
      <c r="K310" s="3" t="inlineStr">
        <is>
          <t>useful life is 40 years.The brand value calculated using this method amounted to EUR 7.6 million.</t>
        </is>
      </c>
      <c r="L310" s="2" t="inlineStr">
        <is>
          <t>ok</t>
        </is>
      </c>
      <c r="M310" s="2" t="inlineStr">
        <is>
          <t>demo reviewer</t>
        </is>
      </c>
      <c r="N310" s="2" t="n"/>
      <c r="O310" s="3" t="inlineStr">
        <is>
          <t>https://vanillabonds.com/dossier-data/pdf/katjes/katjes-2023-annual-report.pdf#page=67</t>
        </is>
      </c>
    </row>
    <row r="311">
      <c r="A311" s="2" t="inlineStr">
        <is>
          <t>F310</t>
        </is>
      </c>
      <c r="B311" s="2" t="inlineStr">
        <is>
          <t>structure</t>
        </is>
      </c>
      <c r="C311" s="2" t="inlineStr">
        <is>
          <t>appraisal</t>
        </is>
      </c>
      <c r="D311" s="3" t="inlineStr">
        <is>
          <t>Appraisal: asset; date; appraiser; method; value</t>
        </is>
      </c>
      <c r="E311" s="2" t="n"/>
      <c r="F311" s="2" t="n">
        <v>7.1</v>
      </c>
      <c r="G311" s="2" t="n"/>
      <c r="H311" s="3" t="inlineStr">
        <is>
          <t>asset: Paluani brand; date: initial consolidation 2022; appraiser: not named; method: relief-from-royalty, royalty 3.5%, discount rate 5.9%, 40-year life; value: 7.1</t>
        </is>
      </c>
      <c r="I311" s="2" t="inlineStr">
        <is>
          <t>S1</t>
        </is>
      </c>
      <c r="J311" s="2" t="n">
        <v>67</v>
      </c>
      <c r="K311" s="3" t="inlineStr">
        <is>
          <t>is 40 years.The brand value calculated using this method amounted to EUR 7.1 million.</t>
        </is>
      </c>
      <c r="L311" s="2" t="inlineStr">
        <is>
          <t>ok</t>
        </is>
      </c>
      <c r="M311" s="2" t="inlineStr">
        <is>
          <t>demo reviewer</t>
        </is>
      </c>
      <c r="N311" s="2" t="n"/>
      <c r="O311" s="3" t="inlineStr">
        <is>
          <t>https://vanillabonds.com/dossier-data/pdf/katjes/katjes-2023-annual-report.pdf#page=67</t>
        </is>
      </c>
    </row>
    <row r="312">
      <c r="A312" s="2" t="inlineStr">
        <is>
          <t>F311</t>
        </is>
      </c>
      <c r="B312" s="2" t="inlineStr">
        <is>
          <t>structure</t>
        </is>
      </c>
      <c r="C312" s="2" t="inlineStr">
        <is>
          <t>appraisal</t>
        </is>
      </c>
      <c r="D312" s="3" t="inlineStr">
        <is>
          <t>Appraisal: asset; date; appraiser; method; value</t>
        </is>
      </c>
      <c r="E312" s="2" t="n"/>
      <c r="F312" s="2" t="n">
        <v>23.8</v>
      </c>
      <c r="G312" s="2" t="n"/>
      <c r="H312" s="3" t="inlineStr">
        <is>
          <t>asset: oral care brands (Theramed, Vademecum, Antica Erboristeria, Licor del Polo, Denivit); date: initial consolidation 7 Dec 2022; appraiser: not named; method: relief-from-royalty, royalty 4.0%, discount rate 5.7%, 40-year life; value: 23.8</t>
        </is>
      </c>
      <c r="I312" s="2" t="inlineStr">
        <is>
          <t>S1</t>
        </is>
      </c>
      <c r="J312" s="2" t="n">
        <v>67</v>
      </c>
      <c r="K312" s="3" t="inlineStr">
        <is>
          <t>discount rate was 5.7%.The useful life is 40 years.The brand value calculated using this method amounted to EUR 23.8 million.</t>
        </is>
      </c>
      <c r="L312" s="2" t="inlineStr">
        <is>
          <t>ok</t>
        </is>
      </c>
      <c r="M312" s="2" t="inlineStr">
        <is>
          <t>demo reviewer</t>
        </is>
      </c>
      <c r="N312" s="2" t="n"/>
      <c r="O312" s="3" t="inlineStr">
        <is>
          <t>https://vanillabonds.com/dossier-data/pdf/katjes/katjes-2023-annual-report.pdf#page=67</t>
        </is>
      </c>
    </row>
    <row r="313">
      <c r="A313" s="2" t="inlineStr">
        <is>
          <t>F312</t>
        </is>
      </c>
      <c r="B313" s="2" t="inlineStr">
        <is>
          <t>compliance</t>
        </is>
      </c>
      <c r="C313" s="2" t="inlineStr">
        <is>
          <t>litigation_item</t>
        </is>
      </c>
      <c r="D313" s="3" t="inlineStr">
        <is>
          <t>Litigation, insolvency, fine or tax dispute: register; case; date; amount; status</t>
        </is>
      </c>
      <c r="E313" s="2" t="n"/>
      <c r="F313" s="2" t="n"/>
      <c r="G313" s="2" t="n"/>
      <c r="H313" s="3" t="inlineStr">
        <is>
          <t>register: none; case: company statement that no group company is a defendant in current or foreseeable legal or arbitration proceedings with significant influence, nor within the last two years; status: provisions set up for other proceedings</t>
        </is>
      </c>
      <c r="I313" s="2" t="inlineStr">
        <is>
          <t>S1</t>
        </is>
      </c>
      <c r="J313" s="2" t="n">
        <v>83</v>
      </c>
      <c r="K313" s="3" t="inlineStr">
        <is>
          <t>able legal or arbitration proceedings that could have a significant influence on the economic situation or have</t>
        </is>
      </c>
      <c r="L313" s="2" t="inlineStr">
        <is>
          <t>ok</t>
        </is>
      </c>
      <c r="M313" s="2" t="inlineStr">
        <is>
          <t>demo reviewer</t>
        </is>
      </c>
      <c r="N313" s="2" t="n"/>
      <c r="O313" s="3" t="inlineStr">
        <is>
          <t>https://vanillabonds.com/dossier-data/pdf/katjes/katjes-2023-annual-report.pdf#page=83</t>
        </is>
      </c>
    </row>
    <row r="314">
      <c r="A314" s="2" t="inlineStr">
        <is>
          <t>F313</t>
        </is>
      </c>
      <c r="B314" s="2" t="inlineStr">
        <is>
          <t>compliance</t>
        </is>
      </c>
      <c r="C314" s="2" t="inlineStr">
        <is>
          <t>esg_fact</t>
        </is>
      </c>
      <c r="D314" s="3" t="inlineStr">
        <is>
          <t>ESG fact: item (CSRD / VSME status, energy, emissions, taxonomy, permit, incident, labour); value; year; source</t>
        </is>
      </c>
      <c r="E314" s="2" t="n"/>
      <c r="F314" s="2" t="n"/>
      <c r="G314" s="2" t="n"/>
      <c r="H314" s="3" t="inlineStr">
        <is>
          <t>item: emissions (Candy Kittens packaging); value: plastic reseal zipper removed from 140g pouches, 25% less plastic, 80 tonnes CO2 saved, 82.6 tonnes animal gelatine removed; year: 2023; source: company statement</t>
        </is>
      </c>
      <c r="I314" s="2" t="inlineStr">
        <is>
          <t>S1</t>
        </is>
      </c>
      <c r="J314" s="2" t="n">
        <v>23</v>
      </c>
      <c r="K314" s="3" t="inlineStr">
        <is>
          <t>resulting in a 25% reduction in plastic and consequently saving 80 tonnes of carbon dioxide emissions.</t>
        </is>
      </c>
      <c r="L314" s="2" t="inlineStr">
        <is>
          <t>ok</t>
        </is>
      </c>
      <c r="M314" s="2" t="inlineStr">
        <is>
          <t>demo reviewer</t>
        </is>
      </c>
      <c r="N314" s="2" t="n"/>
      <c r="O314" s="3" t="inlineStr">
        <is>
          <t>https://vanillabonds.com/dossier-data/pdf/katjes/katjes-2023-annual-report.pdf#page=23</t>
        </is>
      </c>
    </row>
    <row r="315">
      <c r="A315" s="2" t="inlineStr">
        <is>
          <t>F314</t>
        </is>
      </c>
      <c r="B315" s="2" t="inlineStr">
        <is>
          <t>compliance</t>
        </is>
      </c>
      <c r="C315" s="2" t="inlineStr">
        <is>
          <t>esg_fact</t>
        </is>
      </c>
      <c r="D315" s="3" t="inlineStr">
        <is>
          <t>ESG fact: item (CSRD / VSME status, energy, emissions, taxonomy, permit, incident, labour); value; year; source</t>
        </is>
      </c>
      <c r="E315" s="2" t="n"/>
      <c r="F315" s="2" t="n"/>
      <c r="G315" s="2" t="n"/>
      <c r="H315" s="3" t="inlineStr">
        <is>
          <t>item: climate target; value: goal of climate-neutral production 'being driven forward' with continuous footprint improvement, no date or baseline given; year: 2023; source: company statement</t>
        </is>
      </c>
      <c r="I315" s="2" t="inlineStr">
        <is>
          <t>S1</t>
        </is>
      </c>
      <c r="J315" s="2" t="n">
        <v>30</v>
      </c>
      <c r="K315" s="3" t="inlineStr">
        <is>
          <t>goal of climate-neutral production is being driven forward with the continuous improvement of our footprint.</t>
        </is>
      </c>
      <c r="L315" s="2" t="inlineStr">
        <is>
          <t>ok</t>
        </is>
      </c>
      <c r="M315" s="2" t="inlineStr">
        <is>
          <t>demo reviewer</t>
        </is>
      </c>
      <c r="N315" s="2" t="n"/>
      <c r="O315" s="3" t="inlineStr">
        <is>
          <t>https://vanillabonds.com/dossier-data/pdf/katjes/katjes-2023-annual-report.pdf#page=30</t>
        </is>
      </c>
    </row>
    <row r="316">
      <c r="A316" s="2" t="inlineStr">
        <is>
          <t>F315</t>
        </is>
      </c>
      <c r="B316" s="2" t="inlineStr">
        <is>
          <t>compliance</t>
        </is>
      </c>
      <c r="C316" s="2" t="inlineStr">
        <is>
          <t>esg_fact</t>
        </is>
      </c>
      <c r="D316" s="3" t="inlineStr">
        <is>
          <t>ESG fact: item (CSRD / VSME status, energy, emissions, taxonomy, permit, incident, labour); value; year; source</t>
        </is>
      </c>
      <c r="E316" s="2" t="n"/>
      <c r="F316" s="2" t="n"/>
      <c r="G316" s="2" t="n"/>
      <c r="H316" s="3" t="inlineStr">
        <is>
          <t>item: labour; value: average of 24 apprentices employed; year: 2023; source: management report</t>
        </is>
      </c>
      <c r="I316" s="2" t="inlineStr">
        <is>
          <t>S1</t>
        </is>
      </c>
      <c r="J316" s="2" t="n">
        <v>35</v>
      </c>
      <c r="K316" s="3" t="inlineStr">
        <is>
          <t>onal employed an average of 24 apprentices in 2023.</t>
        </is>
      </c>
      <c r="L316" s="2" t="inlineStr">
        <is>
          <t>ok</t>
        </is>
      </c>
      <c r="M316" s="2" t="inlineStr">
        <is>
          <t>demo reviewer</t>
        </is>
      </c>
      <c r="N316" s="2" t="n"/>
      <c r="O316" s="3" t="inlineStr">
        <is>
          <t>https://vanillabonds.com/dossier-data/pdf/katjes/katjes-2023-annual-report.pdf#page=35</t>
        </is>
      </c>
    </row>
    <row r="317">
      <c r="A317" s="2" t="inlineStr">
        <is>
          <t>F316</t>
        </is>
      </c>
      <c r="B317" s="2" t="inlineStr">
        <is>
          <t>compliance</t>
        </is>
      </c>
      <c r="C317" s="2" t="inlineStr">
        <is>
          <t>esg_fact</t>
        </is>
      </c>
      <c r="D317" s="3" t="inlineStr">
        <is>
          <t>ESG fact: item (CSRD / VSME status, energy, emissions, taxonomy, permit, incident, labour); value; year; source</t>
        </is>
      </c>
      <c r="E317" s="2" t="n"/>
      <c r="F317" s="2" t="n"/>
      <c r="G317" s="2" t="n"/>
      <c r="H317" s="3" t="inlineStr">
        <is>
          <t>item: CSRD / sustainability reporting status; value: no CSRD or sustainability statement in the report; sustainability described as a principle with stakeholder dialogue; year: 2023; source: management report</t>
        </is>
      </c>
      <c r="I317" s="2" t="inlineStr">
        <is>
          <t>S1</t>
        </is>
      </c>
      <c r="J317" s="2" t="n">
        <v>35</v>
      </c>
      <c r="K317" s="3" t="inlineStr">
        <is>
          <t>As a medium-sized family business, Katjes International im‐ plements sustainable practices as a principle.</t>
        </is>
      </c>
      <c r="L317" s="2" t="inlineStr">
        <is>
          <t>ok</t>
        </is>
      </c>
      <c r="M317" s="2" t="inlineStr">
        <is>
          <t>demo reviewer</t>
        </is>
      </c>
      <c r="N317" s="2" t="n"/>
      <c r="O317" s="3" t="inlineStr">
        <is>
          <t>https://vanillabonds.com/dossier-data/pdf/katjes/katjes-2023-annual-report.pdf#page=35</t>
        </is>
      </c>
    </row>
    <row r="318">
      <c r="A318" s="2" t="inlineStr">
        <is>
          <t>F317</t>
        </is>
      </c>
      <c r="B318" s="2" t="inlineStr">
        <is>
          <t>market_data</t>
        </is>
      </c>
      <c r="C318" s="2" t="inlineStr">
        <is>
          <t>instrument_term</t>
        </is>
      </c>
      <c r="D318" s="3" t="inlineStr">
        <is>
          <t>Instrument term: term (rate type, base rate, maturity, call, listing, ISIN, denomination, settlement, holders, transfer); value</t>
        </is>
      </c>
      <c r="E318" s="2" t="n"/>
      <c r="F318" s="2" t="n"/>
      <c r="G318" s="2" t="n"/>
      <c r="H318" s="3" t="inlineStr">
        <is>
          <t>term: format; value: issued for the first time as a 'Nordic Bond'</t>
        </is>
      </c>
      <c r="I318" s="2" t="inlineStr">
        <is>
          <t>S1</t>
        </is>
      </c>
      <c r="J318" s="2" t="n">
        <v>4</v>
      </c>
      <c r="K318" s="3" t="inlineStr">
        <is>
          <t>which was issued for the first time as a so-called "Nordic Bond".</t>
        </is>
      </c>
      <c r="L318" s="2" t="inlineStr">
        <is>
          <t>ok</t>
        </is>
      </c>
      <c r="M318" s="2" t="inlineStr">
        <is>
          <t>demo reviewer</t>
        </is>
      </c>
      <c r="N318" s="2" t="n"/>
      <c r="O318" s="3" t="inlineStr">
        <is>
          <t>https://vanillabonds.com/dossier-data/pdf/katjes/katjes-2023-annual-report.pdf#page=4</t>
        </is>
      </c>
    </row>
    <row r="319">
      <c r="A319" s="2" t="inlineStr">
        <is>
          <t>F318</t>
        </is>
      </c>
      <c r="B319" s="2" t="inlineStr">
        <is>
          <t>market_data</t>
        </is>
      </c>
      <c r="C319" s="2" t="inlineStr">
        <is>
          <t>instrument_term</t>
        </is>
      </c>
      <c r="D319" s="3" t="inlineStr">
        <is>
          <t>Instrument term: term (rate type, base rate, maturity, call, listing, ISIN, denomination, settlement, holders, transfer); value</t>
        </is>
      </c>
      <c r="E319" s="2" t="n"/>
      <c r="F319" s="2" t="n"/>
      <c r="G319" s="2" t="n"/>
      <c r="H319" s="3" t="inlineStr">
        <is>
          <t>term: holders; value: exchange offer to existing 2019 bondholders, first-time subscription via company website, international private placement to institutional investors</t>
        </is>
      </c>
      <c r="I319" s="2" t="inlineStr">
        <is>
          <t>S1</t>
        </is>
      </c>
      <c r="J319" s="2" t="n">
        <v>4</v>
      </c>
      <c r="K319" s="3" t="inlineStr">
        <is>
          <t>response to the exchange offer, which was offered for the first time to existing investors, as well as the first-time opportunity to subscribe via our website.</t>
        </is>
      </c>
      <c r="L319" s="2" t="inlineStr">
        <is>
          <t>ok</t>
        </is>
      </c>
      <c r="M319" s="2" t="inlineStr">
        <is>
          <t>demo reviewer</t>
        </is>
      </c>
      <c r="N319" s="2" t="n"/>
      <c r="O319" s="3" t="inlineStr">
        <is>
          <t>https://vanillabonds.com/dossier-data/pdf/katjes/katjes-2023-annual-report.pdf#page=4</t>
        </is>
      </c>
    </row>
    <row r="320">
      <c r="A320" s="2" t="inlineStr">
        <is>
          <t>F319</t>
        </is>
      </c>
      <c r="B320" s="2" t="inlineStr">
        <is>
          <t>market_data</t>
        </is>
      </c>
      <c r="C320" s="2" t="inlineStr">
        <is>
          <t>instrument_term</t>
        </is>
      </c>
      <c r="D320" s="3" t="inlineStr">
        <is>
          <t>Instrument term: term (rate type, base rate, maturity, call, listing, ISIN, denomination, settlement, holders, transfer); value</t>
        </is>
      </c>
      <c r="E320" s="2" t="n"/>
      <c r="F320" s="2" t="n"/>
      <c r="G320" s="2" t="n"/>
      <c r="H320" s="3" t="inlineStr">
        <is>
          <t>term: maturity; value: 2028 (bond labelled 2023/2028); undiscounted financial liabilities due in two to five years EUR 137.4m</t>
        </is>
      </c>
      <c r="I320" s="2" t="inlineStr">
        <is>
          <t>S1</t>
        </is>
      </c>
      <c r="J320" s="2" t="n">
        <v>48</v>
      </c>
      <c r="K320" s="3" t="inlineStr">
        <is>
          <t>Repayment of the 2019/2024 bond (EUR 110 million) / issue of the 2023/2028 bond (EUR 115 million)</t>
        </is>
      </c>
      <c r="L320" s="2" t="inlineStr">
        <is>
          <t>ok</t>
        </is>
      </c>
      <c r="M320" s="2" t="inlineStr">
        <is>
          <t>demo reviewer</t>
        </is>
      </c>
      <c r="N320" s="2" t="n"/>
      <c r="O320" s="3" t="inlineStr">
        <is>
          <t>https://vanillabonds.com/dossier-data/pdf/katjes/katjes-2023-annual-report.pdf#page=48</t>
        </is>
      </c>
    </row>
    <row r="321">
      <c r="A321" s="2" t="inlineStr">
        <is>
          <t>F320</t>
        </is>
      </c>
      <c r="B321" s="2" t="inlineStr">
        <is>
          <t>market_data</t>
        </is>
      </c>
      <c r="C321" s="2" t="inlineStr">
        <is>
          <t>instrument_term</t>
        </is>
      </c>
      <c r="D321" s="3" t="inlineStr">
        <is>
          <t>Instrument term: term (rate type, base rate, maturity, call, listing, ISIN, denomination, settlement, holders, transfer); value</t>
        </is>
      </c>
      <c r="E321" s="2" t="n"/>
      <c r="F321" s="2" t="n">
        <v>123.1</v>
      </c>
      <c r="G321" s="2" t="n"/>
      <c r="H321" s="3" t="inlineStr">
        <is>
          <t>term: fair value 31 Dec 2023; value: 123.1 (level II) vs carrying amount 115.0</t>
        </is>
      </c>
      <c r="I321" s="2" t="inlineStr">
        <is>
          <t>S1</t>
        </is>
      </c>
      <c r="J321" s="2" t="n">
        <v>68</v>
      </c>
      <c r="K321" s="3" t="inlineStr">
        <is>
          <t>Liabilities from the issuance of a bond2 115.0 123.1**</t>
        </is>
      </c>
      <c r="L321" s="2" t="inlineStr">
        <is>
          <t>ok</t>
        </is>
      </c>
      <c r="M321" s="2" t="inlineStr">
        <is>
          <t>demo reviewer</t>
        </is>
      </c>
      <c r="N321" s="2" t="n"/>
      <c r="O321" s="3" t="inlineStr">
        <is>
          <t>https://vanillabonds.com/dossier-data/pdf/katjes/katjes-2023-annual-report.pdf#page=68</t>
        </is>
      </c>
    </row>
    <row r="322">
      <c r="A322" s="2" t="inlineStr">
        <is>
          <t>F321</t>
        </is>
      </c>
      <c r="B322" s="2" t="inlineStr">
        <is>
          <t>market_data</t>
        </is>
      </c>
      <c r="C322" s="2" t="inlineStr">
        <is>
          <t>instrument_term</t>
        </is>
      </c>
      <c r="D322" s="3" t="inlineStr">
        <is>
          <t>Instrument term: term (rate type, base rate, maturity, call, listing, ISIN, denomination, settlement, holders, transfer); value</t>
        </is>
      </c>
      <c r="E322" s="2" t="n"/>
      <c r="F322" s="2" t="n"/>
      <c r="G322" s="2" t="n"/>
      <c r="H322" s="3" t="inlineStr">
        <is>
          <t>term: rate type; value: fixed 6.75% coupon, EUR 115m, issued September 2023 to redeem the 2019/2024 bond</t>
        </is>
      </c>
      <c r="I322" s="2" t="inlineStr">
        <is>
          <t>S1</t>
        </is>
      </c>
      <c r="J322" s="2" t="n">
        <v>72</v>
      </c>
      <c r="K322" s="3" t="inlineStr">
        <is>
          <t>mand, a bond with an interest rate of 6.75% and a total volume of EUR 115 million was issued in September 2023</t>
        </is>
      </c>
      <c r="L322" s="2" t="inlineStr">
        <is>
          <t>ok</t>
        </is>
      </c>
      <c r="M322" s="2" t="inlineStr">
        <is>
          <t>demo reviewer</t>
        </is>
      </c>
      <c r="N322" s="2" t="n"/>
      <c r="O322" s="3" t="inlineStr">
        <is>
          <t>https://vanillabonds.com/dossier-data/pdf/katjes/katjes-2023-annual-report.pdf#page=72</t>
        </is>
      </c>
    </row>
    <row r="323">
      <c r="A323" s="2" t="inlineStr">
        <is>
          <t>F322</t>
        </is>
      </c>
      <c r="B323" s="2" t="inlineStr">
        <is>
          <t>market_data</t>
        </is>
      </c>
      <c r="C323" s="2" t="inlineStr">
        <is>
          <t>instrument_term</t>
        </is>
      </c>
      <c r="D323" s="3" t="inlineStr">
        <is>
          <t>Instrument term: term (rate type, base rate, maturity, call, listing, ISIN, denomination, settlement, holders, transfer); value</t>
        </is>
      </c>
      <c r="E323" s="2" t="n"/>
      <c r="F323" s="2" t="n"/>
      <c r="G323" s="2" t="n"/>
      <c r="H323" s="3" t="inlineStr">
        <is>
          <t>term: listing; value: Nordic ABM of the Oslo Stock Exchange, included end of January 2024 (within six months of issue)</t>
        </is>
      </c>
      <c r="I323" s="2" t="inlineStr">
        <is>
          <t>S1</t>
        </is>
      </c>
      <c r="J323" s="2" t="n">
        <v>85</v>
      </c>
      <c r="K323" s="3" t="inlineStr">
        <is>
          <t>the Nordic ABM of the Oslo Stock Exchange at the end of January 2024 as planned within six months of the issue</t>
        </is>
      </c>
      <c r="L323" s="2" t="inlineStr">
        <is>
          <t>ok</t>
        </is>
      </c>
      <c r="M323" s="2" t="inlineStr">
        <is>
          <t>demo reviewer</t>
        </is>
      </c>
      <c r="N323" s="2" t="n"/>
      <c r="O323" s="3" t="inlineStr">
        <is>
          <t>https://vanillabonds.com/dossier-data/pdf/katjes/katjes-2023-annual-report.pdf#page=85</t>
        </is>
      </c>
    </row>
    <row r="324">
      <c r="A324" s="2" t="inlineStr">
        <is>
          <t>F323</t>
        </is>
      </c>
      <c r="B324" s="2" t="inlineStr">
        <is>
          <t>identity</t>
        </is>
      </c>
      <c r="C324" s="2" t="inlineStr">
        <is>
          <t>legal_name</t>
        </is>
      </c>
      <c r="D324" s="2" t="inlineStr">
        <is>
          <t>Legal name</t>
        </is>
      </c>
      <c r="E324" s="2" t="n"/>
      <c r="F324" s="2" t="n"/>
      <c r="G324" s="2" t="n"/>
      <c r="H324" s="2" t="inlineStr">
        <is>
          <t>Katjes International GmbH &amp; Co. KG</t>
        </is>
      </c>
      <c r="I324" s="2" t="inlineStr">
        <is>
          <t>S2</t>
        </is>
      </c>
      <c r="J324" s="2" t="n">
        <v>47</v>
      </c>
      <c r="K324" s="3" t="inlineStr">
        <is>
          <t>Katjes International GmbH &amp; Co. KG (“Katjes International”) is a limited partnership established under the laws of the Federal Republic of Germany</t>
        </is>
      </c>
      <c r="L324" s="2" t="inlineStr">
        <is>
          <t>ok</t>
        </is>
      </c>
      <c r="M324" s="2" t="inlineStr">
        <is>
          <t>demo reviewer</t>
        </is>
      </c>
      <c r="N324" s="2" t="n"/>
      <c r="O324" s="3" t="inlineStr">
        <is>
          <t>https://vanillabonds.com/dossier-data/pdf/katjes/katjes-2024-annual-report.pdf#page=47</t>
        </is>
      </c>
    </row>
    <row r="325">
      <c r="A325" s="2" t="inlineStr">
        <is>
          <t>F324</t>
        </is>
      </c>
      <c r="B325" s="2" t="inlineStr">
        <is>
          <t>identity</t>
        </is>
      </c>
      <c r="C325" s="2" t="inlineStr">
        <is>
          <t>legal_form</t>
        </is>
      </c>
      <c r="D325" s="2" t="inlineStr">
        <is>
          <t>Legal form</t>
        </is>
      </c>
      <c r="E325" s="2" t="n"/>
      <c r="F325" s="2" t="n"/>
      <c r="G325" s="2" t="n"/>
      <c r="H325" s="3" t="inlineStr">
        <is>
          <t>German GmbH &amp; Co. KG (limited partnership)</t>
        </is>
      </c>
      <c r="I325" s="2" t="inlineStr">
        <is>
          <t>S2</t>
        </is>
      </c>
      <c r="J325" s="2" t="n">
        <v>47</v>
      </c>
      <c r="K325" s="3" t="inlineStr">
        <is>
          <t>a limited partnership established under the laws of the Federal Republic of Germany, with its registered office in Emmerich am Rhein</t>
        </is>
      </c>
      <c r="L325" s="2" t="inlineStr">
        <is>
          <t>ok</t>
        </is>
      </c>
      <c r="M325" s="2" t="inlineStr">
        <is>
          <t>demo reviewer</t>
        </is>
      </c>
      <c r="N325" s="2" t="n"/>
      <c r="O325" s="3" t="inlineStr">
        <is>
          <t>https://vanillabonds.com/dossier-data/pdf/katjes/katjes-2024-annual-report.pdf#page=47</t>
        </is>
      </c>
    </row>
    <row r="326">
      <c r="A326" s="2" t="inlineStr">
        <is>
          <t>F325</t>
        </is>
      </c>
      <c r="B326" s="2" t="inlineStr">
        <is>
          <t>identity</t>
        </is>
      </c>
      <c r="C326" s="2" t="inlineStr">
        <is>
          <t>registry</t>
        </is>
      </c>
      <c r="D326" s="2" t="inlineStr">
        <is>
          <t>Commercial register / registration no.</t>
        </is>
      </c>
      <c r="E326" s="2" t="n"/>
      <c r="F326" s="2" t="n"/>
      <c r="G326" s="2" t="n"/>
      <c r="H326" s="2" t="inlineStr">
        <is>
          <t>HRA 1076, Local Court of Kleve</t>
        </is>
      </c>
      <c r="I326" s="2" t="inlineStr">
        <is>
          <t>S2</t>
        </is>
      </c>
      <c r="J326" s="2" t="n">
        <v>47</v>
      </c>
      <c r="K326" s="3" t="inlineStr">
        <is>
          <t>It is registered in the Commercial Register of the Local Court of Kleve under number HRA 1076.</t>
        </is>
      </c>
      <c r="L326" s="2" t="inlineStr">
        <is>
          <t>ok</t>
        </is>
      </c>
      <c r="M326" s="2" t="inlineStr">
        <is>
          <t>demo reviewer</t>
        </is>
      </c>
      <c r="N326" s="2" t="n"/>
      <c r="O326" s="3" t="inlineStr">
        <is>
          <t>https://vanillabonds.com/dossier-data/pdf/katjes/katjes-2024-annual-report.pdf#page=47</t>
        </is>
      </c>
    </row>
    <row r="327">
      <c r="A327" s="2" t="inlineStr">
        <is>
          <t>F326</t>
        </is>
      </c>
      <c r="B327" s="2" t="inlineStr">
        <is>
          <t>identity</t>
        </is>
      </c>
      <c r="C327" s="2" t="inlineStr">
        <is>
          <t>founded</t>
        </is>
      </c>
      <c r="D327" s="2" t="inlineStr">
        <is>
          <t>Founded</t>
        </is>
      </c>
      <c r="E327" s="2" t="n"/>
      <c r="F327" s="2" t="n"/>
      <c r="G327" s="2" t="n"/>
      <c r="H327" s="3" t="inlineStr">
        <is>
          <t>Formed in 2011 from predecessor companies</t>
        </is>
      </c>
      <c r="I327" s="2" t="inlineStr">
        <is>
          <t>S2</t>
        </is>
      </c>
      <c r="J327" s="2" t="n">
        <v>9</v>
      </c>
      <c r="K327" s="3" t="inlineStr">
        <is>
          <t>Formed in 2011 from predecessor companies, Katjes International GmbH &amp; Co. KG (‘Katjes International’)</t>
        </is>
      </c>
      <c r="L327" s="2" t="inlineStr">
        <is>
          <t>ok</t>
        </is>
      </c>
      <c r="M327" s="2" t="inlineStr">
        <is>
          <t>demo reviewer</t>
        </is>
      </c>
      <c r="N327" s="2" t="n"/>
      <c r="O327" s="3" t="inlineStr">
        <is>
          <t>https://vanillabonds.com/dossier-data/pdf/katjes/katjes-2024-annual-report.pdf#page=9</t>
        </is>
      </c>
    </row>
    <row r="328">
      <c r="A328" s="2" t="inlineStr">
        <is>
          <t>F327</t>
        </is>
      </c>
      <c r="B328" s="2" t="inlineStr">
        <is>
          <t>identity</t>
        </is>
      </c>
      <c r="C328" s="2" t="inlineStr">
        <is>
          <t>registered_office</t>
        </is>
      </c>
      <c r="D328" s="2" t="inlineStr">
        <is>
          <t>Registered office</t>
        </is>
      </c>
      <c r="E328" s="2" t="n"/>
      <c r="F328" s="2" t="n"/>
      <c r="G328" s="2" t="n"/>
      <c r="H328" s="3" t="inlineStr">
        <is>
          <t>Emmerich am Rhein (Dechant-Sprünken-Str. 53–57, 46446)</t>
        </is>
      </c>
      <c r="I328" s="2" t="inlineStr">
        <is>
          <t>S2</t>
        </is>
      </c>
      <c r="J328" s="2" t="n">
        <v>47</v>
      </c>
      <c r="K328" s="3" t="inlineStr">
        <is>
          <t>Dechant-Sprünken-Str. 53–57 46446 Emmerich am Rhein Germany</t>
        </is>
      </c>
      <c r="L328" s="2" t="inlineStr">
        <is>
          <t>ok</t>
        </is>
      </c>
      <c r="M328" s="2" t="inlineStr">
        <is>
          <t>demo reviewer</t>
        </is>
      </c>
      <c r="N328" s="2" t="n"/>
      <c r="O328" s="3" t="inlineStr">
        <is>
          <t>https://vanillabonds.com/dossier-data/pdf/katjes/katjes-2024-annual-report.pdf#page=47</t>
        </is>
      </c>
    </row>
    <row r="329">
      <c r="A329" s="2" t="inlineStr">
        <is>
          <t>F328</t>
        </is>
      </c>
      <c r="B329" s="2" t="inlineStr">
        <is>
          <t>identity</t>
        </is>
      </c>
      <c r="C329" s="2" t="inlineStr">
        <is>
          <t>country</t>
        </is>
      </c>
      <c r="D329" s="2" t="inlineStr">
        <is>
          <t>Country of incorporation (ISO-2)</t>
        </is>
      </c>
      <c r="E329" s="2" t="n"/>
      <c r="F329" s="2" t="n"/>
      <c r="G329" s="2" t="n"/>
      <c r="H329" s="2" t="inlineStr">
        <is>
          <t>DE</t>
        </is>
      </c>
      <c r="I329" s="2" t="inlineStr">
        <is>
          <t>S2</t>
        </is>
      </c>
      <c r="J329" s="2" t="n">
        <v>47</v>
      </c>
      <c r="K329" s="3" t="inlineStr">
        <is>
          <t>established under the laws of the Federal Republic of Germany, with its registered office in Emmerich am Rhein</t>
        </is>
      </c>
      <c r="L329" s="2" t="inlineStr">
        <is>
          <t>ok</t>
        </is>
      </c>
      <c r="M329" s="2" t="inlineStr">
        <is>
          <t>demo reviewer</t>
        </is>
      </c>
      <c r="N329" s="2" t="n"/>
      <c r="O329" s="3" t="inlineStr">
        <is>
          <t>https://vanillabonds.com/dossier-data/pdf/katjes/katjes-2024-annual-report.pdf#page=47</t>
        </is>
      </c>
    </row>
    <row r="330">
      <c r="A330" s="2" t="inlineStr">
        <is>
          <t>F329</t>
        </is>
      </c>
      <c r="B330" s="2" t="inlineStr">
        <is>
          <t>identity</t>
        </is>
      </c>
      <c r="C330" s="2" t="inlineStr">
        <is>
          <t>sector</t>
        </is>
      </c>
      <c r="D330" s="2" t="inlineStr">
        <is>
          <t>Sector</t>
        </is>
      </c>
      <c r="E330" s="2" t="n"/>
      <c r="F330" s="2" t="n"/>
      <c r="G330" s="2" t="n"/>
      <c r="H330" s="3" t="inlineStr">
        <is>
          <t>FMCG: confectionery and body care products</t>
        </is>
      </c>
      <c r="I330" s="2" t="inlineStr">
        <is>
          <t>S2</t>
        </is>
      </c>
      <c r="J330" s="2" t="n">
        <v>77</v>
      </c>
      <c r="K330" s="3" t="inlineStr">
        <is>
          <t>Katjes International, through its subsidiaries, is a manufacturer and supplier of confectionery and body care products, which are classified as fast-moving consumer goods (FMCG).</t>
        </is>
      </c>
      <c r="L330" s="2" t="inlineStr">
        <is>
          <t>ok</t>
        </is>
      </c>
      <c r="M330" s="2" t="inlineStr">
        <is>
          <t>demo reviewer</t>
        </is>
      </c>
      <c r="N330" s="2" t="n"/>
      <c r="O330" s="3" t="inlineStr">
        <is>
          <t>https://vanillabonds.com/dossier-data/pdf/katjes/katjes-2024-annual-report.pdf#page=77</t>
        </is>
      </c>
    </row>
    <row r="331">
      <c r="A331" s="2" t="inlineStr">
        <is>
          <t>F330</t>
        </is>
      </c>
      <c r="B331" s="2" t="inlineStr">
        <is>
          <t>identity</t>
        </is>
      </c>
      <c r="C331" s="2" t="inlineStr">
        <is>
          <t>sites</t>
        </is>
      </c>
      <c r="D331" s="2" t="inlineStr">
        <is>
          <t>Sites / countries of operation</t>
        </is>
      </c>
      <c r="E331" s="2" t="n"/>
      <c r="F331" s="2" t="n"/>
      <c r="G331" s="2" t="n"/>
      <c r="H331" s="3" t="inlineStr">
        <is>
          <t>Markets: Italy, Germany, UK, France, Netherlands, Spain</t>
        </is>
      </c>
      <c r="I331" s="2" t="inlineStr">
        <is>
          <t>S2</t>
        </is>
      </c>
      <c r="J331" s="2" t="n">
        <v>26</v>
      </c>
      <c r="K331" s="3" t="inlineStr">
        <is>
          <t>In 2024, Katjes International was primarily active in the markets of Italy, Germany, the United Kingdom, France, the Netherlands, and Spain through its portfolio companies.</t>
        </is>
      </c>
      <c r="L331" s="2" t="inlineStr">
        <is>
          <t>ok</t>
        </is>
      </c>
      <c r="M331" s="2" t="inlineStr">
        <is>
          <t>demo reviewer</t>
        </is>
      </c>
      <c r="N331" s="2" t="n"/>
      <c r="O331" s="3" t="inlineStr">
        <is>
          <t>https://vanillabonds.com/dossier-data/pdf/katjes/katjes-2024-annual-report.pdf#page=26</t>
        </is>
      </c>
    </row>
    <row r="332">
      <c r="A332" s="2" t="inlineStr">
        <is>
          <t>F331</t>
        </is>
      </c>
      <c r="B332" s="2" t="inlineStr">
        <is>
          <t>identity</t>
        </is>
      </c>
      <c r="C332" s="2" t="inlineStr">
        <is>
          <t>sites</t>
        </is>
      </c>
      <c r="D332" s="2" t="inlineStr">
        <is>
          <t>Sites / countries of operation</t>
        </is>
      </c>
      <c r="E332" s="2" t="n"/>
      <c r="F332" s="2" t="n"/>
      <c r="G332" s="2" t="n"/>
      <c r="H332" s="3" t="inlineStr">
        <is>
          <t>Production and distribution in IT, DE, UK, NL</t>
        </is>
      </c>
      <c r="I332" s="2" t="inlineStr">
        <is>
          <t>S2</t>
        </is>
      </c>
      <c r="J332" s="2" t="n">
        <v>47</v>
      </c>
      <c r="K332" s="3" t="inlineStr">
        <is>
          <t>In the financial year 2024, production and distribution activities were carried out by group companies in Italy, Germany, the Un- ited Kingdom, and the Netherlands.</t>
        </is>
      </c>
      <c r="L332" s="2" t="inlineStr">
        <is>
          <t>ok</t>
        </is>
      </c>
      <c r="M332" s="2" t="inlineStr">
        <is>
          <t>demo reviewer</t>
        </is>
      </c>
      <c r="N332" s="2" t="n"/>
      <c r="O332" s="3" t="inlineStr">
        <is>
          <t>https://vanillabonds.com/dossier-data/pdf/katjes/katjes-2024-annual-report.pdf#page=47</t>
        </is>
      </c>
    </row>
    <row r="333">
      <c r="A333" s="2" t="inlineStr">
        <is>
          <t>F332</t>
        </is>
      </c>
      <c r="B333" s="2" t="inlineStr">
        <is>
          <t>identity</t>
        </is>
      </c>
      <c r="C333" s="2" t="inlineStr">
        <is>
          <t>employees</t>
        </is>
      </c>
      <c r="D333" s="2" t="inlineStr">
        <is>
          <t>Employees (FTE, period end)</t>
        </is>
      </c>
      <c r="E333" s="2" t="inlineStr">
        <is>
          <t>FY2023</t>
        </is>
      </c>
      <c r="F333" s="2" t="n">
        <v>998</v>
      </c>
      <c r="G333" s="2" t="n"/>
      <c r="H333" s="3" t="inlineStr">
        <is>
          <t>Average number of employees in 2023 (not period-end FTE): 998, of which 596 in Germany, 373 in Italy, 15 in the UK, 14 in the Netherlands.</t>
        </is>
      </c>
      <c r="I333" s="2" t="inlineStr">
        <is>
          <t>S2</t>
        </is>
      </c>
      <c r="J333" s="2" t="n">
        <v>47</v>
      </c>
      <c r="K333" s="3" t="inlineStr">
        <is>
          <t>Germany (2023: 596), 374 in Italy (2023: 373), and 17 in the United Kingdom (2023: 15). In the Netherlands, an average of 14 employees were employed during the reporting year (2023: 14).</t>
        </is>
      </c>
      <c r="L333" s="2" t="inlineStr">
        <is>
          <t>ok</t>
        </is>
      </c>
      <c r="M333" s="2" t="inlineStr">
        <is>
          <t>demo reviewer</t>
        </is>
      </c>
      <c r="N333" s="2" t="n"/>
      <c r="O333" s="3" t="inlineStr">
        <is>
          <t>https://vanillabonds.com/dossier-data/pdf/katjes/katjes-2024-annual-report.pdf#page=47</t>
        </is>
      </c>
    </row>
    <row r="334">
      <c r="A334" s="2" t="inlineStr">
        <is>
          <t>F333</t>
        </is>
      </c>
      <c r="B334" s="2" t="inlineStr">
        <is>
          <t>identity</t>
        </is>
      </c>
      <c r="C334" s="2" t="inlineStr">
        <is>
          <t>employees</t>
        </is>
      </c>
      <c r="D334" s="2" t="inlineStr">
        <is>
          <t>Employees (FTE, period end)</t>
        </is>
      </c>
      <c r="E334" s="2" t="inlineStr">
        <is>
          <t>FY2024</t>
        </is>
      </c>
      <c r="F334" s="2" t="n">
        <v>1097</v>
      </c>
      <c r="G334" s="2" t="n"/>
      <c r="H334" s="3" t="inlineStr">
        <is>
          <t>Average number of employees in 2024 (not period-end FTE): 1,097, of which 692 in Germany, 374 in Italy, 17 in the UK, 14 in the Netherlands.</t>
        </is>
      </c>
      <c r="I334" s="2" t="inlineStr">
        <is>
          <t>S2</t>
        </is>
      </c>
      <c r="J334" s="2" t="n">
        <v>47</v>
      </c>
      <c r="K334" s="3" t="inlineStr">
        <is>
          <t>The Group employed an average of 1,097 people during the 2024 financial year (2023: 998), of which 692 were based in</t>
        </is>
      </c>
      <c r="L334" s="2" t="inlineStr">
        <is>
          <t>ok</t>
        </is>
      </c>
      <c r="M334" s="2" t="inlineStr">
        <is>
          <t>demo reviewer</t>
        </is>
      </c>
      <c r="N334" s="2" t="n"/>
      <c r="O334" s="3" t="inlineStr">
        <is>
          <t>https://vanillabonds.com/dossier-data/pdf/katjes/katjes-2024-annual-report.pdf#page=47</t>
        </is>
      </c>
    </row>
    <row r="335">
      <c r="A335" s="2" t="inlineStr">
        <is>
          <t>F334</t>
        </is>
      </c>
      <c r="B335" s="2" t="inlineStr">
        <is>
          <t>identity</t>
        </is>
      </c>
      <c r="C335" s="2" t="inlineStr">
        <is>
          <t>ownership</t>
        </is>
      </c>
      <c r="D335" s="2" t="inlineStr">
        <is>
          <t>Ownership / UBO</t>
        </is>
      </c>
      <c r="E335" s="2" t="n"/>
      <c r="F335" s="2" t="n"/>
      <c r="G335" s="2" t="n"/>
      <c r="H335" s="3" t="inlineStr">
        <is>
          <t>Limited partners B. Fassin (EUR 900k) and T. Bachmüller (EUR 100k)</t>
        </is>
      </c>
      <c r="I335" s="2" t="inlineStr">
        <is>
          <t>S2</t>
        </is>
      </c>
      <c r="J335" s="2" t="n">
        <v>47</v>
      </c>
      <c r="K335" s="3" t="inlineStr">
        <is>
          <t>Bastian Fassin and Tobias Bachmüller are the limited partners, with registered liability amounts of EUR 900 thousand and EUR 100 thousand, respectively.</t>
        </is>
      </c>
      <c r="L335" s="2" t="inlineStr">
        <is>
          <t>ok</t>
        </is>
      </c>
      <c r="M335" s="2" t="inlineStr">
        <is>
          <t>demo reviewer</t>
        </is>
      </c>
      <c r="N335" s="2" t="n"/>
      <c r="O335" s="3" t="inlineStr">
        <is>
          <t>https://vanillabonds.com/dossier-data/pdf/katjes/katjes-2024-annual-report.pdf#page=47</t>
        </is>
      </c>
    </row>
    <row r="336">
      <c r="A336" s="2" t="inlineStr">
        <is>
          <t>F335</t>
        </is>
      </c>
      <c r="B336" s="2" t="inlineStr">
        <is>
          <t>identity</t>
        </is>
      </c>
      <c r="C336" s="2" t="inlineStr">
        <is>
          <t>auditor</t>
        </is>
      </c>
      <c r="D336" s="2" t="inlineStr">
        <is>
          <t>Auditor</t>
        </is>
      </c>
      <c r="E336" s="2" t="n"/>
      <c r="F336" s="2" t="n"/>
      <c r="G336" s="2" t="n"/>
      <c r="H336" s="3" t="inlineStr">
        <is>
          <t>EY GmbH &amp; Co. KG Wirtschaftsprüfungsgesellschaft, Düsseldorf</t>
        </is>
      </c>
      <c r="I336" s="2" t="inlineStr">
        <is>
          <t>S2</t>
        </is>
      </c>
      <c r="J336" s="2" t="n">
        <v>90</v>
      </c>
      <c r="K336" s="3" t="inlineStr">
        <is>
          <t>Dusseldorf, 9th April 2025 EY GmbH &amp; Co. KG Wirtschaftsprüfungsgesellschaft</t>
        </is>
      </c>
      <c r="L336" s="2" t="inlineStr">
        <is>
          <t>ok</t>
        </is>
      </c>
      <c r="M336" s="2" t="inlineStr">
        <is>
          <t>demo reviewer</t>
        </is>
      </c>
      <c r="N336" s="2" t="n"/>
      <c r="O336" s="3" t="inlineStr">
        <is>
          <t>https://vanillabonds.com/dossier-data/pdf/katjes/katjes-2024-annual-report.pdf#page=90</t>
        </is>
      </c>
    </row>
    <row r="337">
      <c r="A337" s="2" t="inlineStr">
        <is>
          <t>F336</t>
        </is>
      </c>
      <c r="B337" s="2" t="inlineStr">
        <is>
          <t>identity</t>
        </is>
      </c>
      <c r="C337" s="2" t="inlineStr">
        <is>
          <t>audit_opinion</t>
        </is>
      </c>
      <c r="D337" s="2" t="inlineStr">
        <is>
          <t>Audit opinion</t>
        </is>
      </c>
      <c r="E337" s="2" t="inlineStr">
        <is>
          <t>FY2024</t>
        </is>
      </c>
      <c r="F337" s="2" t="n"/>
      <c r="G337" s="2" t="n"/>
      <c r="H337" s="3" t="inlineStr">
        <is>
          <t>unqualified; auditor declares the audit 'has not led to any reservations' and reports nothing on the other information; no emphasis of matter.</t>
        </is>
      </c>
      <c r="I337" s="2" t="inlineStr">
        <is>
          <t>S2</t>
        </is>
      </c>
      <c r="J337" s="2" t="n">
        <v>87</v>
      </c>
      <c r="K337" s="3" t="inlineStr">
        <is>
          <t>we declare that our audit has not led to any reservations relating to the legal</t>
        </is>
      </c>
      <c r="L337" s="2" t="inlineStr">
        <is>
          <t>ok</t>
        </is>
      </c>
      <c r="M337" s="2" t="inlineStr">
        <is>
          <t>demo reviewer</t>
        </is>
      </c>
      <c r="N337" s="2" t="n"/>
      <c r="O337" s="3" t="inlineStr">
        <is>
          <t>https://vanillabonds.com/dossier-data/pdf/katjes/katjes-2024-annual-report.pdf#page=87</t>
        </is>
      </c>
    </row>
    <row r="338">
      <c r="A338" s="2" t="inlineStr">
        <is>
          <t>F337</t>
        </is>
      </c>
      <c r="B338" s="2" t="inlineStr">
        <is>
          <t>identity</t>
        </is>
      </c>
      <c r="C338" s="2" t="inlineStr">
        <is>
          <t>accounting_standard</t>
        </is>
      </c>
      <c r="D338" s="2" t="inlineStr">
        <is>
          <t>Accounting standard</t>
        </is>
      </c>
      <c r="E338" s="2" t="n"/>
      <c r="F338" s="2" t="n"/>
      <c r="G338" s="2" t="n"/>
      <c r="H338" s="3" t="inlineStr">
        <is>
          <t>IFRS as adopted by the EU plus § 315e (1) HGB</t>
        </is>
      </c>
      <c r="I338" s="2" t="inlineStr">
        <is>
          <t>S2</t>
        </is>
      </c>
      <c r="J338" s="2" t="n">
        <v>48</v>
      </c>
      <c r="K338" s="3" t="inlineStr">
        <is>
          <t>accordance with the IFRS Accounting Standards (IFRS) as adopted by the European Union, and in compliance with the</t>
        </is>
      </c>
      <c r="L338" s="2" t="inlineStr">
        <is>
          <t>ok</t>
        </is>
      </c>
      <c r="M338" s="2" t="inlineStr">
        <is>
          <t>demo reviewer</t>
        </is>
      </c>
      <c r="N338" s="2" t="n"/>
      <c r="O338" s="3" t="inlineStr">
        <is>
          <t>https://vanillabonds.com/dossier-data/pdf/katjes/katjes-2024-annual-report.pdf#page=48</t>
        </is>
      </c>
    </row>
    <row r="339">
      <c r="A339" s="2" t="inlineStr">
        <is>
          <t>F338</t>
        </is>
      </c>
      <c r="B339" s="2" t="inlineStr">
        <is>
          <t>identity</t>
        </is>
      </c>
      <c r="C339" s="2" t="inlineStr">
        <is>
          <t>fiscal_year_end</t>
        </is>
      </c>
      <c r="D339" s="2" t="inlineStr">
        <is>
          <t>Fiscal year end</t>
        </is>
      </c>
      <c r="E339" s="2" t="n"/>
      <c r="F339" s="2" t="n"/>
      <c r="G339" s="2" t="n"/>
      <c r="H339" s="2" t="inlineStr">
        <is>
          <t>31 December (calendar year)</t>
        </is>
      </c>
      <c r="I339" s="2" t="inlineStr">
        <is>
          <t>S2</t>
        </is>
      </c>
      <c r="J339" s="2" t="n">
        <v>40</v>
      </c>
      <c r="K339" s="2" t="inlineStr">
        <is>
          <t>(from 1 January to 31 December 2024)</t>
        </is>
      </c>
      <c r="L339" s="2" t="inlineStr">
        <is>
          <t>ok</t>
        </is>
      </c>
      <c r="M339" s="2" t="inlineStr">
        <is>
          <t>demo reviewer</t>
        </is>
      </c>
      <c r="N339" s="2" t="n"/>
      <c r="O339" s="3" t="inlineStr">
        <is>
          <t>https://vanillabonds.com/dossier-data/pdf/katjes/katjes-2024-annual-report.pdf#page=40</t>
        </is>
      </c>
    </row>
    <row r="340">
      <c r="A340" s="2" t="inlineStr">
        <is>
          <t>F339</t>
        </is>
      </c>
      <c r="B340" s="2" t="inlineStr">
        <is>
          <t>business</t>
        </is>
      </c>
      <c r="C340" s="2" t="inlineStr">
        <is>
          <t>business_fact</t>
        </is>
      </c>
      <c r="D340" s="2" t="inlineStr">
        <is>
          <t>Business fact</t>
        </is>
      </c>
      <c r="E340" s="2" t="n"/>
      <c r="F340" s="2" t="n"/>
      <c r="G340" s="2" t="n"/>
      <c r="H340" s="3" t="inlineStr">
        <is>
          <t>Katjes International is part of a family-owned group of companies for over 100 years; it bundles the Group’s holdings in established local brands in Europe.</t>
        </is>
      </c>
      <c r="I340" s="2" t="inlineStr">
        <is>
          <t>S2</t>
        </is>
      </c>
      <c r="J340" s="2" t="n">
        <v>9</v>
      </c>
      <c r="K340" s="3" t="inlineStr">
        <is>
          <t>group of companies that has been family-owned for over 100 years</t>
        </is>
      </c>
      <c r="L340" s="2" t="inlineStr">
        <is>
          <t>ok</t>
        </is>
      </c>
      <c r="M340" s="2" t="inlineStr">
        <is>
          <t>demo reviewer</t>
        </is>
      </c>
      <c r="N340" s="2" t="n"/>
      <c r="O340" s="3" t="inlineStr">
        <is>
          <t>https://vanillabonds.com/dossier-data/pdf/katjes/katjes-2024-annual-report.pdf#page=9</t>
        </is>
      </c>
    </row>
    <row r="341">
      <c r="A341" s="2" t="inlineStr">
        <is>
          <t>F340</t>
        </is>
      </c>
      <c r="B341" s="2" t="inlineStr">
        <is>
          <t>business</t>
        </is>
      </c>
      <c r="C341" s="2" t="inlineStr">
        <is>
          <t>business_fact</t>
        </is>
      </c>
      <c r="D341" s="2" t="inlineStr">
        <is>
          <t>Business fact</t>
        </is>
      </c>
      <c r="E341" s="2" t="n"/>
      <c r="F341" s="2" t="n"/>
      <c r="G341" s="2" t="n"/>
      <c r="H341" s="3" t="inlineStr">
        <is>
          <t>Treets vegan peanut dragees developed with Planet A Foods using the cocoa-free chocolate alternative Choviva; launched in Germany and the Netherlands in autumn 2024.</t>
        </is>
      </c>
      <c r="I341" s="2" t="inlineStr">
        <is>
          <t>S2</t>
        </is>
      </c>
      <c r="J341" s="2" t="n">
        <v>12</v>
      </c>
      <c r="K341" s="3" t="inlineStr">
        <is>
          <t>The vegan Peanut Dragees were developed in collaboration with Planet A Foods and their cocoa-free chocolate alternative Choviva.</t>
        </is>
      </c>
      <c r="L341" s="2" t="inlineStr">
        <is>
          <t>ok</t>
        </is>
      </c>
      <c r="M341" s="2" t="inlineStr">
        <is>
          <t>demo reviewer</t>
        </is>
      </c>
      <c r="N341" s="2" t="n"/>
      <c r="O341" s="3" t="inlineStr">
        <is>
          <t>https://vanillabonds.com/dossier-data/pdf/katjes/katjes-2024-annual-report.pdf#page=12</t>
        </is>
      </c>
    </row>
    <row r="342">
      <c r="A342" s="2" t="inlineStr">
        <is>
          <t>F341</t>
        </is>
      </c>
      <c r="B342" s="2" t="inlineStr">
        <is>
          <t>business</t>
        </is>
      </c>
      <c r="C342" s="2" t="inlineStr">
        <is>
          <t>business_fact</t>
        </is>
      </c>
      <c r="D342" s="2" t="inlineStr">
        <is>
          <t>Business fact</t>
        </is>
      </c>
      <c r="E342" s="2" t="n"/>
      <c r="F342" s="2" t="n">
        <v>1.3</v>
      </c>
      <c r="G342" s="2" t="n"/>
      <c r="H342" s="3" t="inlineStr">
        <is>
          <t>Share of profit from the at-equity investment in CPK EUR 1.3m in 2024 (2023: EUR -0.7m), recognised in the financial result.</t>
        </is>
      </c>
      <c r="I342" s="2" t="inlineStr">
        <is>
          <t>S2</t>
        </is>
      </c>
      <c r="J342" s="2" t="n">
        <v>29</v>
      </c>
      <c r="K342" s="3" t="inlineStr">
        <is>
          <t>profit from the at-equity investment in CPK in the amount of EUR 1.3 million (previous year: EUR -0.7 million)</t>
        </is>
      </c>
      <c r="L342" s="2" t="inlineStr">
        <is>
          <t>ok</t>
        </is>
      </c>
      <c r="M342" s="2" t="inlineStr">
        <is>
          <t>demo reviewer</t>
        </is>
      </c>
      <c r="N342" s="2" t="n"/>
      <c r="O342" s="3" t="inlineStr">
        <is>
          <t>https://vanillabonds.com/dossier-data/pdf/katjes/katjes-2024-annual-report.pdf#page=29</t>
        </is>
      </c>
    </row>
    <row r="343">
      <c r="A343" s="2" t="inlineStr">
        <is>
          <t>F342</t>
        </is>
      </c>
      <c r="B343" s="2" t="inlineStr">
        <is>
          <t>business</t>
        </is>
      </c>
      <c r="C343" s="2" t="inlineStr">
        <is>
          <t>business_fact</t>
        </is>
      </c>
      <c r="D343" s="2" t="inlineStr">
        <is>
          <t>Business fact</t>
        </is>
      </c>
      <c r="E343" s="2" t="n"/>
      <c r="F343" s="2" t="n">
        <v>35.9</v>
      </c>
      <c r="G343" s="2" t="n"/>
      <c r="H343" s="3" t="inlineStr">
        <is>
          <t>Equity ratio 35.9% at 31 Dec 2024 (2023: 36.9%), described by management as 'stable'; equity attributable to shareholders 175.0 (173.0).</t>
        </is>
      </c>
      <c r="I343" s="2" t="inlineStr">
        <is>
          <t>S2</t>
        </is>
      </c>
      <c r="J343" s="2" t="n">
        <v>31</v>
      </c>
      <c r="K343" s="3" t="inlineStr">
        <is>
          <t>remained stable at 35.9% (December 31, 2023: 36.9%). Equity attributable to the shareholders of Katjes International amoun</t>
        </is>
      </c>
      <c r="L343" s="2" t="inlineStr">
        <is>
          <t>ok</t>
        </is>
      </c>
      <c r="M343" s="2" t="inlineStr">
        <is>
          <t>demo reviewer</t>
        </is>
      </c>
      <c r="N343" s="2" t="n"/>
      <c r="O343" s="3" t="inlineStr">
        <is>
          <t>https://vanillabonds.com/dossier-data/pdf/katjes/katjes-2024-annual-report.pdf#page=31</t>
        </is>
      </c>
    </row>
    <row r="344">
      <c r="A344" s="2" t="inlineStr">
        <is>
          <t>F343</t>
        </is>
      </c>
      <c r="B344" s="2" t="inlineStr">
        <is>
          <t>business</t>
        </is>
      </c>
      <c r="C344" s="2" t="inlineStr">
        <is>
          <t>business_fact</t>
        </is>
      </c>
      <c r="D344" s="2" t="inlineStr">
        <is>
          <t>Business fact</t>
        </is>
      </c>
      <c r="E344" s="2" t="n"/>
      <c r="F344" s="2" t="n"/>
      <c r="G344" s="2" t="n"/>
      <c r="H344" s="3" t="inlineStr">
        <is>
          <t>Brand portfolio: Piasten/Treets, Dallmann’s, Bübchen, oral care (Theramed, Vademecum, Antica Erboristeria, Licor del Polo, Denivit), Sperlari, Dulcioliva, Paluani, Candy Kittens, Harlekĳntjes, N.A.E., Barnängen.</t>
        </is>
      </c>
      <c r="I344" s="2" t="inlineStr">
        <is>
          <t>S2</t>
        </is>
      </c>
      <c r="J344" s="2" t="n">
        <v>32</v>
      </c>
      <c r="K344" s="3" t="inlineStr">
        <is>
          <t>Katjes International holds a portfolio of well-known and establis- hed brands.</t>
        </is>
      </c>
      <c r="L344" s="2" t="inlineStr">
        <is>
          <t>ok</t>
        </is>
      </c>
      <c r="M344" s="2" t="inlineStr">
        <is>
          <t>demo reviewer</t>
        </is>
      </c>
      <c r="N344" s="2" t="n"/>
      <c r="O344" s="3" t="inlineStr">
        <is>
          <t>https://vanillabonds.com/dossier-data/pdf/katjes/katjes-2024-annual-report.pdf#page=32</t>
        </is>
      </c>
    </row>
    <row r="345">
      <c r="A345" s="2" t="inlineStr">
        <is>
          <t>F344</t>
        </is>
      </c>
      <c r="B345" s="2" t="inlineStr">
        <is>
          <t>business</t>
        </is>
      </c>
      <c r="C345" s="2" t="inlineStr">
        <is>
          <t>business_fact</t>
        </is>
      </c>
      <c r="D345" s="2" t="inlineStr">
        <is>
          <t>Business fact</t>
        </is>
      </c>
      <c r="E345" s="2" t="n"/>
      <c r="F345" s="2" t="n">
        <v>99</v>
      </c>
      <c r="G345" s="2" t="n"/>
      <c r="H345" s="3" t="inlineStr">
        <is>
          <t>Gross profit EUR 99.0m in 2024 (2023: 81.9), gross margin 25.2% (21.7%); cost of sales 293.6 (295.5), 74.8% of revenue.</t>
        </is>
      </c>
      <c r="I345" s="2" t="inlineStr">
        <is>
          <t>S2</t>
        </is>
      </c>
      <c r="J345" s="2" t="n">
        <v>40</v>
      </c>
      <c r="K345" s="2" t="inlineStr">
        <is>
          <t>Gross profit on sales 99.0 81.9</t>
        </is>
      </c>
      <c r="L345" s="2" t="inlineStr">
        <is>
          <t>ok</t>
        </is>
      </c>
      <c r="M345" s="2" t="inlineStr">
        <is>
          <t>demo reviewer</t>
        </is>
      </c>
      <c r="N345" s="2" t="n"/>
      <c r="O345" s="3" t="inlineStr">
        <is>
          <t>https://vanillabonds.com/dossier-data/pdf/katjes/katjes-2024-annual-report.pdf#page=40</t>
        </is>
      </c>
    </row>
    <row r="346">
      <c r="A346" s="2" t="inlineStr">
        <is>
          <t>F345</t>
        </is>
      </c>
      <c r="B346" s="2" t="inlineStr">
        <is>
          <t>business</t>
        </is>
      </c>
      <c r="C346" s="2" t="inlineStr">
        <is>
          <t>business_fact</t>
        </is>
      </c>
      <c r="D346" s="2" t="inlineStr">
        <is>
          <t>Business fact</t>
        </is>
      </c>
      <c r="E346" s="2" t="n"/>
      <c r="F346" s="2" t="n">
        <v>65</v>
      </c>
      <c r="G346" s="2" t="n"/>
      <c r="H346" s="3" t="inlineStr">
        <is>
          <t>At-equity investments carried at EUR 65.0m at 31 Dec 2024 (2023: 63.7), essentially the ~23% stake in CPK S.A.S., Paris.</t>
        </is>
      </c>
      <c r="I346" s="2" t="inlineStr">
        <is>
          <t>S2</t>
        </is>
      </c>
      <c r="J346" s="2" t="n">
        <v>42</v>
      </c>
      <c r="K346" s="2" t="inlineStr">
        <is>
          <t>At-equity investments 3 65.0 63.7</t>
        </is>
      </c>
      <c r="L346" s="2" t="inlineStr">
        <is>
          <t>ok</t>
        </is>
      </c>
      <c r="M346" s="2" t="inlineStr">
        <is>
          <t>demo reviewer</t>
        </is>
      </c>
      <c r="N346" s="2" t="n"/>
      <c r="O346" s="3" t="inlineStr">
        <is>
          <t>https://vanillabonds.com/dossier-data/pdf/katjes/katjes-2024-annual-report.pdf#page=42</t>
        </is>
      </c>
    </row>
    <row r="347">
      <c r="A347" s="2" t="inlineStr">
        <is>
          <t>F346</t>
        </is>
      </c>
      <c r="B347" s="2" t="inlineStr">
        <is>
          <t>business</t>
        </is>
      </c>
      <c r="C347" s="2" t="inlineStr">
        <is>
          <t>business_fact</t>
        </is>
      </c>
      <c r="D347" s="2" t="inlineStr">
        <is>
          <t>Business fact</t>
        </is>
      </c>
      <c r="E347" s="2" t="n"/>
      <c r="F347" s="2" t="n">
        <v>113.1</v>
      </c>
      <c r="G347" s="2" t="n"/>
      <c r="H347" s="3" t="inlineStr">
        <is>
          <t>Intangible assets EUR 113.1m at 31 Dec 2024 (2023: 112.4), mainly capitalised brands (111.7) plus goodwill 0.3; PP&amp;E 125.1 (122.4); right-of-use assets 13.0 (6.7).</t>
        </is>
      </c>
      <c r="I347" s="2" t="inlineStr">
        <is>
          <t>S2</t>
        </is>
      </c>
      <c r="J347" s="2" t="n">
        <v>42</v>
      </c>
      <c r="K347" s="2" t="inlineStr">
        <is>
          <t>Intangible assets 6.1 113.1 112.4</t>
        </is>
      </c>
      <c r="L347" s="2" t="inlineStr">
        <is>
          <t>ok</t>
        </is>
      </c>
      <c r="M347" s="2" t="inlineStr">
        <is>
          <t>demo reviewer</t>
        </is>
      </c>
      <c r="N347" s="2" t="n"/>
      <c r="O347" s="3" t="inlineStr">
        <is>
          <t>https://vanillabonds.com/dossier-data/pdf/katjes/katjes-2024-annual-report.pdf#page=42</t>
        </is>
      </c>
    </row>
    <row r="348">
      <c r="A348" s="2" t="inlineStr">
        <is>
          <t>F347</t>
        </is>
      </c>
      <c r="B348" s="2" t="inlineStr">
        <is>
          <t>business</t>
        </is>
      </c>
      <c r="C348" s="2" t="inlineStr">
        <is>
          <t>business_fact</t>
        </is>
      </c>
      <c r="D348" s="2" t="inlineStr">
        <is>
          <t>Business fact</t>
        </is>
      </c>
      <c r="E348" s="2" t="n"/>
      <c r="F348" s="2" t="n">
        <v>-25.3</v>
      </c>
      <c r="G348" s="2" t="n"/>
      <c r="H348" s="3" t="inlineStr">
        <is>
          <t>Cash flow from financing activities EUR -25.3m in 2024 (2023: +5.7): loan repayments net -7.7 (2023: +16.9 new borrowings), lease payments -4.8, interest paid -12.8; cash fell 4.4 to 54.0.</t>
        </is>
      </c>
      <c r="I348" s="2" t="inlineStr">
        <is>
          <t>S2</t>
        </is>
      </c>
      <c r="J348" s="2" t="n">
        <v>45</v>
      </c>
      <c r="K348" s="3" t="inlineStr">
        <is>
          <t>Cash flow from financing activities -25.3 5.7</t>
        </is>
      </c>
      <c r="L348" s="2" t="inlineStr">
        <is>
          <t>ok</t>
        </is>
      </c>
      <c r="M348" s="2" t="inlineStr">
        <is>
          <t>demo reviewer</t>
        </is>
      </c>
      <c r="N348" s="2" t="n"/>
      <c r="O348" s="3" t="inlineStr">
        <is>
          <t>https://vanillabonds.com/dossier-data/pdf/katjes/katjes-2024-annual-report.pdf#page=45</t>
        </is>
      </c>
    </row>
    <row r="349">
      <c r="A349" s="2" t="inlineStr">
        <is>
          <t>F348</t>
        </is>
      </c>
      <c r="B349" s="2" t="inlineStr">
        <is>
          <t>business</t>
        </is>
      </c>
      <c r="C349" s="2" t="inlineStr">
        <is>
          <t>business_fact</t>
        </is>
      </c>
      <c r="D349" s="2" t="inlineStr">
        <is>
          <t>Business fact</t>
        </is>
      </c>
      <c r="E349" s="2" t="n"/>
      <c r="F349" s="2" t="n">
        <v>-24.7</v>
      </c>
      <c r="G349" s="2" t="n"/>
      <c r="H349" s="3" t="inlineStr">
        <is>
          <t>Cash flow from investing activities EUR -24.7m in 2024 (2023: -14.6), incl. 6.8 for Candy Kittens minorities and the Barnängen brand purchase.</t>
        </is>
      </c>
      <c r="I349" s="2" t="inlineStr">
        <is>
          <t>S2</t>
        </is>
      </c>
      <c r="J349" s="2" t="n">
        <v>45</v>
      </c>
      <c r="K349" s="3" t="inlineStr">
        <is>
          <t>Cash flow from investing activities -24.7 -14.6</t>
        </is>
      </c>
      <c r="L349" s="2" t="inlineStr">
        <is>
          <t>ok</t>
        </is>
      </c>
      <c r="M349" s="2" t="inlineStr">
        <is>
          <t>demo reviewer</t>
        </is>
      </c>
      <c r="N349" s="2" t="n"/>
      <c r="O349" s="3" t="inlineStr">
        <is>
          <t>https://vanillabonds.com/dossier-data/pdf/katjes/katjes-2024-annual-report.pdf#page=45</t>
        </is>
      </c>
    </row>
    <row r="350">
      <c r="A350" s="2" t="inlineStr">
        <is>
          <t>F349</t>
        </is>
      </c>
      <c r="B350" s="2" t="inlineStr">
        <is>
          <t>business</t>
        </is>
      </c>
      <c r="C350" s="2" t="inlineStr">
        <is>
          <t>business_fact</t>
        </is>
      </c>
      <c r="D350" s="2" t="inlineStr">
        <is>
          <t>Business fact</t>
        </is>
      </c>
      <c r="E350" s="2" t="n"/>
      <c r="F350" s="2" t="n"/>
      <c r="G350" s="2" t="n"/>
      <c r="H350" s="3" t="inlineStr">
        <is>
          <t>Katjes International provides management services to its subsidiaries and supports them in financing where appropriate for the Group.</t>
        </is>
      </c>
      <c r="I350" s="2" t="inlineStr">
        <is>
          <t>S2</t>
        </is>
      </c>
      <c r="J350" s="2" t="n">
        <v>47</v>
      </c>
      <c r="K350" s="3" t="inlineStr">
        <is>
          <t>Katjes International also provides management services to its subsidiaries.</t>
        </is>
      </c>
      <c r="L350" s="2" t="inlineStr">
        <is>
          <t>ok</t>
        </is>
      </c>
      <c r="M350" s="2" t="inlineStr">
        <is>
          <t>demo reviewer</t>
        </is>
      </c>
      <c r="N350" s="2" t="n"/>
      <c r="O350" s="3" t="inlineStr">
        <is>
          <t>https://vanillabonds.com/dossier-data/pdf/katjes/katjes-2024-annual-report.pdf#page=47</t>
        </is>
      </c>
    </row>
    <row r="351">
      <c r="A351" s="2" t="inlineStr">
        <is>
          <t>F350</t>
        </is>
      </c>
      <c r="B351" s="2" t="inlineStr">
        <is>
          <t>business</t>
        </is>
      </c>
      <c r="C351" s="2" t="inlineStr">
        <is>
          <t>business_fact</t>
        </is>
      </c>
      <c r="D351" s="2" t="inlineStr">
        <is>
          <t>Business fact</t>
        </is>
      </c>
      <c r="E351" s="2" t="n"/>
      <c r="F351" s="2" t="n"/>
      <c r="G351" s="2" t="n"/>
      <c r="H351" s="3" t="inlineStr">
        <is>
          <t>Scope of consolidation: 32 fully consolidated entities at end-2024 (23 in Germany, 9 in other countries; 2023: 31).</t>
        </is>
      </c>
      <c r="I351" s="2" t="inlineStr">
        <is>
          <t>S2</t>
        </is>
      </c>
      <c r="J351" s="2" t="n">
        <v>49</v>
      </c>
      <c r="K351" s="3" t="inlineStr">
        <is>
          <t>Germany 23 22 Other countries 9 9 Total 32 31</t>
        </is>
      </c>
      <c r="L351" s="2" t="inlineStr">
        <is>
          <t>ok</t>
        </is>
      </c>
      <c r="M351" s="2" t="inlineStr">
        <is>
          <t>demo reviewer</t>
        </is>
      </c>
      <c r="N351" s="2" t="n"/>
      <c r="O351" s="3" t="inlineStr">
        <is>
          <t>https://vanillabonds.com/dossier-data/pdf/katjes/katjes-2024-annual-report.pdf#page=49</t>
        </is>
      </c>
    </row>
    <row r="352">
      <c r="A352" s="2" t="inlineStr">
        <is>
          <t>F351</t>
        </is>
      </c>
      <c r="B352" s="2" t="inlineStr">
        <is>
          <t>business</t>
        </is>
      </c>
      <c r="C352" s="2" t="inlineStr">
        <is>
          <t>business_fact</t>
        </is>
      </c>
      <c r="D352" s="2" t="inlineStr">
        <is>
          <t>Business fact</t>
        </is>
      </c>
      <c r="E352" s="2" t="n"/>
      <c r="F352" s="2" t="n">
        <v>1.3</v>
      </c>
      <c r="G352" s="2" t="n"/>
      <c r="H352" s="3" t="inlineStr">
        <is>
          <t>Liability of EUR 1.3m recognised for the call option on the remaining 25% of Dulcioliva (measured at fair value through profit or loss); exercise still expected at 31 Dec 2024.</t>
        </is>
      </c>
      <c r="I352" s="2" t="inlineStr">
        <is>
          <t>S2</t>
        </is>
      </c>
      <c r="J352" s="2" t="n">
        <v>60</v>
      </c>
      <c r="K352" s="3" t="inlineStr">
        <is>
          <t>Also included is a liability arising from the exercise of the call option for the remaining 25% stake in Dulcioliva</t>
        </is>
      </c>
      <c r="L352" s="2" t="inlineStr">
        <is>
          <t>ok</t>
        </is>
      </c>
      <c r="M352" s="2" t="inlineStr">
        <is>
          <t>demo reviewer</t>
        </is>
      </c>
      <c r="N352" s="2" t="n"/>
      <c r="O352" s="3" t="inlineStr">
        <is>
          <t>https://vanillabonds.com/dossier-data/pdf/katjes/katjes-2024-annual-report.pdf#page=60</t>
        </is>
      </c>
    </row>
    <row r="353">
      <c r="A353" s="2" t="inlineStr">
        <is>
          <t>F352</t>
        </is>
      </c>
      <c r="B353" s="2" t="inlineStr">
        <is>
          <t>business</t>
        </is>
      </c>
      <c r="C353" s="2" t="inlineStr">
        <is>
          <t>business_fact</t>
        </is>
      </c>
      <c r="D353" s="2" t="inlineStr">
        <is>
          <t>Business fact</t>
        </is>
      </c>
      <c r="E353" s="2" t="n"/>
      <c r="F353" s="2" t="n"/>
      <c r="G353" s="2" t="n"/>
      <c r="H353" s="3" t="inlineStr">
        <is>
          <t>N.A.E. and Barnängen brands recognised at cost at acquisition; acquired trademarks with finite lives are amortised straight-line over 40 years, indefinite-life brands tested annually.</t>
        </is>
      </c>
      <c r="I353" s="2" t="inlineStr">
        <is>
          <t>S2</t>
        </is>
      </c>
      <c r="J353" s="2" t="n">
        <v>63</v>
      </c>
      <c r="K353" s="3" t="inlineStr">
        <is>
          <t>The brand „Barnängen“ was recognised at cost at the time of acquisition.</t>
        </is>
      </c>
      <c r="L353" s="2" t="inlineStr">
        <is>
          <t>ok</t>
        </is>
      </c>
      <c r="M353" s="2" t="inlineStr">
        <is>
          <t>demo reviewer</t>
        </is>
      </c>
      <c r="N353" s="2" t="n"/>
      <c r="O353" s="3" t="inlineStr">
        <is>
          <t>https://vanillabonds.com/dossier-data/pdf/katjes/katjes-2024-annual-report.pdf#page=63</t>
        </is>
      </c>
    </row>
    <row r="354">
      <c r="A354" s="2" t="inlineStr">
        <is>
          <t>F353</t>
        </is>
      </c>
      <c r="B354" s="2" t="inlineStr">
        <is>
          <t>business</t>
        </is>
      </c>
      <c r="C354" s="2" t="inlineStr">
        <is>
          <t>business_fact</t>
        </is>
      </c>
      <c r="D354" s="2" t="inlineStr">
        <is>
          <t>Business fact</t>
        </is>
      </c>
      <c r="E354" s="2" t="n"/>
      <c r="F354" s="2" t="n">
        <v>62</v>
      </c>
      <c r="G354" s="2" t="n"/>
      <c r="H354" s="3" t="inlineStr">
        <is>
          <t>Trade payables and other liabilities EUR 62.0m at 31 Dec 2024 (2023: 56.7), of which trade payables 48.2 (43.5).</t>
        </is>
      </c>
      <c r="I354" s="2" t="inlineStr">
        <is>
          <t>S2</t>
        </is>
      </c>
      <c r="J354" s="2" t="n">
        <v>69</v>
      </c>
      <c r="K354" s="2" t="inlineStr">
        <is>
          <t>Trade payables 48.2 43.5</t>
        </is>
      </c>
      <c r="L354" s="2" t="inlineStr">
        <is>
          <t>ok</t>
        </is>
      </c>
      <c r="M354" s="2" t="inlineStr">
        <is>
          <t>demo reviewer</t>
        </is>
      </c>
      <c r="N354" s="2" t="n"/>
      <c r="O354" s="3" t="inlineStr">
        <is>
          <t>https://vanillabonds.com/dossier-data/pdf/katjes/katjes-2024-annual-report.pdf#page=69</t>
        </is>
      </c>
    </row>
    <row r="355">
      <c r="A355" s="2" t="inlineStr">
        <is>
          <t>F354</t>
        </is>
      </c>
      <c r="B355" s="2" t="inlineStr">
        <is>
          <t>business</t>
        </is>
      </c>
      <c r="C355" s="2" t="inlineStr">
        <is>
          <t>business_fact</t>
        </is>
      </c>
      <c r="D355" s="2" t="inlineStr">
        <is>
          <t>Business fact</t>
        </is>
      </c>
      <c r="E355" s="2" t="n"/>
      <c r="F355" s="2" t="n"/>
      <c r="G355" s="2" t="n"/>
      <c r="H355" s="3" t="inlineStr">
        <is>
          <t>Pension assumptions 2024: discount rate 3.0%–3.6%, inflation 0.0%–1.8%, salary increases 0.0%–3.0%, pension increases 0.0%–2.0%; defined benefit plans in Germany and Italy, partly funded since 2020.</t>
        </is>
      </c>
      <c r="I355" s="2" t="inlineStr">
        <is>
          <t>S2</t>
        </is>
      </c>
      <c r="J355" s="2" t="n">
        <v>71</v>
      </c>
      <c r="K355" s="2" t="inlineStr">
        <is>
          <t>Discount rate 3.0%-3.6% 3.2%-3.6%</t>
        </is>
      </c>
      <c r="L355" s="2" t="inlineStr">
        <is>
          <t>ok</t>
        </is>
      </c>
      <c r="M355" s="2" t="inlineStr">
        <is>
          <t>demo reviewer</t>
        </is>
      </c>
      <c r="N355" s="2" t="n"/>
      <c r="O355" s="3" t="inlineStr">
        <is>
          <t>https://vanillabonds.com/dossier-data/pdf/katjes/katjes-2024-annual-report.pdf#page=71</t>
        </is>
      </c>
    </row>
    <row r="356">
      <c r="A356" s="2" t="inlineStr">
        <is>
          <t>F355</t>
        </is>
      </c>
      <c r="B356" s="2" t="inlineStr">
        <is>
          <t>business</t>
        </is>
      </c>
      <c r="C356" s="2" t="inlineStr">
        <is>
          <t>business_fact</t>
        </is>
      </c>
      <c r="D356" s="2" t="inlineStr">
        <is>
          <t>Business fact</t>
        </is>
      </c>
      <c r="E356" s="2" t="n"/>
      <c r="F356" s="2" t="n">
        <v>19.1</v>
      </c>
      <c r="G356" s="2" t="n"/>
      <c r="H356" s="3" t="inlineStr">
        <is>
          <t>Current provisions EUR 19.1m at 31 Dec 2024 (2023: 16.7): personnel 3.3, returns 5.5, outstanding invoices 6.3, other 4.0; non-current provisions 0.9 (long-service bonuses 0.8).</t>
        </is>
      </c>
      <c r="I356" s="2" t="inlineStr">
        <is>
          <t>S2</t>
        </is>
      </c>
      <c r="J356" s="2" t="n">
        <v>73</v>
      </c>
      <c r="K356" s="3" t="inlineStr">
        <is>
          <t>Provision for returns 5.4 -5.4 5.5 0.0 5.5</t>
        </is>
      </c>
      <c r="L356" s="2" t="inlineStr">
        <is>
          <t>ok</t>
        </is>
      </c>
      <c r="M356" s="2" t="inlineStr">
        <is>
          <t>demo reviewer</t>
        </is>
      </c>
      <c r="N356" s="2" t="n"/>
      <c r="O356" s="3" t="inlineStr">
        <is>
          <t>https://vanillabonds.com/dossier-data/pdf/katjes/katjes-2024-annual-report.pdf#page=73</t>
        </is>
      </c>
    </row>
    <row r="357">
      <c r="A357" s="2" t="inlineStr">
        <is>
          <t>F356</t>
        </is>
      </c>
      <c r="B357" s="2" t="inlineStr">
        <is>
          <t>business</t>
        </is>
      </c>
      <c r="C357" s="2" t="inlineStr">
        <is>
          <t>business_fact</t>
        </is>
      </c>
      <c r="D357" s="2" t="inlineStr">
        <is>
          <t>Business fact</t>
        </is>
      </c>
      <c r="E357" s="2" t="n"/>
      <c r="F357" s="2" t="n">
        <v>73.8</v>
      </c>
      <c r="G357" s="2" t="n"/>
      <c r="H357" s="3" t="inlineStr">
        <is>
          <t>Personnel expenses EUR 73.8m in 2024 (2023: 65.1), driven i.a. by the takeover of the Viersen oral care site on 1 Jan 2024; wages and salaries 57.9, social security 13.1.</t>
        </is>
      </c>
      <c r="I357" s="2" t="inlineStr">
        <is>
          <t>S2</t>
        </is>
      </c>
      <c r="J357" s="2" t="n">
        <v>74</v>
      </c>
      <c r="K357" s="2" t="inlineStr">
        <is>
          <t>Personnel expenses 73.8 65.1</t>
        </is>
      </c>
      <c r="L357" s="2" t="inlineStr">
        <is>
          <t>ok</t>
        </is>
      </c>
      <c r="M357" s="2" t="inlineStr">
        <is>
          <t>demo reviewer</t>
        </is>
      </c>
      <c r="N357" s="2" t="n"/>
      <c r="O357" s="3" t="inlineStr">
        <is>
          <t>https://vanillabonds.com/dossier-data/pdf/katjes/katjes-2024-annual-report.pdf#page=74</t>
        </is>
      </c>
    </row>
    <row r="358">
      <c r="A358" s="2" t="inlineStr">
        <is>
          <t>F357</t>
        </is>
      </c>
      <c r="B358" s="2" t="inlineStr">
        <is>
          <t>business</t>
        </is>
      </c>
      <c r="C358" s="2" t="inlineStr">
        <is>
          <t>business_fact</t>
        </is>
      </c>
      <c r="D358" s="2" t="inlineStr">
        <is>
          <t>Business fact</t>
        </is>
      </c>
      <c r="E358" s="2" t="n"/>
      <c r="F358" s="2" t="n">
        <v>7.3</v>
      </c>
      <c r="G358" s="2" t="n"/>
      <c r="H358" s="3" t="inlineStr">
        <is>
          <t>Contributions to statutory pension insurance about EUR 7.3m in 2024 (2023: 6.5); average workforce 717 blue-collar, 358 salaried, 22 other.</t>
        </is>
      </c>
      <c r="I358" s="2" t="inlineStr">
        <is>
          <t>S2</t>
        </is>
      </c>
      <c r="J358" s="2" t="n">
        <v>74</v>
      </c>
      <c r="K358" s="3" t="inlineStr">
        <is>
          <t>In the reporting year, contributions to the statutory pension ins- urance system amounted to approximately EUR 7.3 million (2023: EUR 6.5 million).</t>
        </is>
      </c>
      <c r="L358" s="2" t="inlineStr">
        <is>
          <t>ok</t>
        </is>
      </c>
      <c r="M358" s="2" t="inlineStr">
        <is>
          <t>demo reviewer</t>
        </is>
      </c>
      <c r="N358" s="2" t="n"/>
      <c r="O358" s="3" t="inlineStr">
        <is>
          <t>https://vanillabonds.com/dossier-data/pdf/katjes/katjes-2024-annual-report.pdf#page=74</t>
        </is>
      </c>
    </row>
    <row r="359">
      <c r="A359" s="2" t="inlineStr">
        <is>
          <t>F358</t>
        </is>
      </c>
      <c r="B359" s="2" t="inlineStr">
        <is>
          <t>business</t>
        </is>
      </c>
      <c r="C359" s="2" t="inlineStr">
        <is>
          <t>business_fact</t>
        </is>
      </c>
      <c r="D359" s="2" t="inlineStr">
        <is>
          <t>Business fact</t>
        </is>
      </c>
      <c r="E359" s="2" t="n"/>
      <c r="F359" s="2" t="n">
        <v>0.5</v>
      </c>
      <c r="G359" s="2" t="n"/>
      <c r="H359" s="3" t="inlineStr">
        <is>
          <t>Auditor’s fees 2024: audit services EUR 0.5m (0.2 for foreign subsidiaries), tax consultancy 0.0, other 0.0 (2023 total 0.6).</t>
        </is>
      </c>
      <c r="I359" s="2" t="inlineStr">
        <is>
          <t>S2</t>
        </is>
      </c>
      <c r="J359" s="2" t="n">
        <v>75</v>
      </c>
      <c r="K359" s="3" t="inlineStr">
        <is>
          <t>Fees for audit services 0.5 0.5 Tax consultancy services 0.0 0.1</t>
        </is>
      </c>
      <c r="L359" s="2" t="inlineStr">
        <is>
          <t>ok</t>
        </is>
      </c>
      <c r="M359" s="2" t="inlineStr">
        <is>
          <t>demo reviewer</t>
        </is>
      </c>
      <c r="N359" s="2" t="n"/>
      <c r="O359" s="3" t="inlineStr">
        <is>
          <t>https://vanillabonds.com/dossier-data/pdf/katjes/katjes-2024-annual-report.pdf#page=75</t>
        </is>
      </c>
    </row>
    <row r="360">
      <c r="A360" s="2" t="inlineStr">
        <is>
          <t>F359</t>
        </is>
      </c>
      <c r="B360" s="2" t="inlineStr">
        <is>
          <t>business</t>
        </is>
      </c>
      <c r="C360" s="2" t="inlineStr">
        <is>
          <t>business_fact</t>
        </is>
      </c>
      <c r="D360" s="2" t="inlineStr">
        <is>
          <t>Business fact</t>
        </is>
      </c>
      <c r="E360" s="2" t="n"/>
      <c r="F360" s="2" t="n">
        <v>7.8</v>
      </c>
      <c r="G360" s="2" t="n"/>
      <c r="H360" s="3" t="inlineStr">
        <is>
          <t>Interest expense on the corporate bond EUR 7.8m in 2024 (2023: 6.5); bank interest 4.2 (3.6); leasing 0.2, hire purchase 0.3; total financial expenses 13.2 (12.0); interest paid 12.8 (10.2).</t>
        </is>
      </c>
      <c r="I360" s="2" t="inlineStr">
        <is>
          <t>S2</t>
        </is>
      </c>
      <c r="J360" s="2" t="n">
        <v>75</v>
      </c>
      <c r="K360" s="3" t="inlineStr">
        <is>
          <t>Interest expenses corporate bond 7.8 6.5 Interest expenses banks 4.2 3.6</t>
        </is>
      </c>
      <c r="L360" s="2" t="inlineStr">
        <is>
          <t>ok</t>
        </is>
      </c>
      <c r="M360" s="2" t="inlineStr">
        <is>
          <t>demo reviewer</t>
        </is>
      </c>
      <c r="N360" s="2" t="n"/>
      <c r="O360" s="3" t="inlineStr">
        <is>
          <t>https://vanillabonds.com/dossier-data/pdf/katjes/katjes-2024-annual-report.pdf#page=75</t>
        </is>
      </c>
    </row>
    <row r="361">
      <c r="A361" s="2" t="inlineStr">
        <is>
          <t>F360</t>
        </is>
      </c>
      <c r="B361" s="2" t="inlineStr">
        <is>
          <t>business</t>
        </is>
      </c>
      <c r="C361" s="2" t="inlineStr">
        <is>
          <t>business_fact</t>
        </is>
      </c>
      <c r="D361" s="2" t="inlineStr">
        <is>
          <t>Business fact</t>
        </is>
      </c>
      <c r="E361" s="2" t="n"/>
      <c r="F361" s="2" t="n"/>
      <c r="G361" s="2" t="n"/>
      <c r="H361" s="3" t="inlineStr">
        <is>
          <t>Internal reporting and management are based on the single segment 'FMCG'; the general partner is the chief operating decision maker and EBITDA the key performance indicator.</t>
        </is>
      </c>
      <c r="I361" s="2" t="inlineStr">
        <is>
          <t>S2</t>
        </is>
      </c>
      <c r="J361" s="2" t="n">
        <v>77</v>
      </c>
      <c r="K361" s="3" t="inlineStr">
        <is>
          <t>Internal reporting and management are ba- sed on the single segment “FMCG”.</t>
        </is>
      </c>
      <c r="L361" s="2" t="inlineStr">
        <is>
          <t>ok</t>
        </is>
      </c>
      <c r="M361" s="2" t="inlineStr">
        <is>
          <t>demo reviewer</t>
        </is>
      </c>
      <c r="N361" s="2" t="n"/>
      <c r="O361" s="3" t="inlineStr">
        <is>
          <t>https://vanillabonds.com/dossier-data/pdf/katjes/katjes-2024-annual-report.pdf#page=77</t>
        </is>
      </c>
    </row>
    <row r="362">
      <c r="A362" s="2" t="inlineStr">
        <is>
          <t>F361</t>
        </is>
      </c>
      <c r="B362" s="2" t="inlineStr">
        <is>
          <t>business</t>
        </is>
      </c>
      <c r="C362" s="2" t="inlineStr">
        <is>
          <t>business_fact</t>
        </is>
      </c>
      <c r="D362" s="2" t="inlineStr">
        <is>
          <t>Business fact</t>
        </is>
      </c>
      <c r="E362" s="2" t="n"/>
      <c r="F362" s="2" t="n"/>
      <c r="G362" s="2" t="n"/>
      <c r="H362" s="3" t="inlineStr">
        <is>
          <t>The 2024 report is a translation from the German language; the introduction is 'other information', not part of the audited financial statements or management report.</t>
        </is>
      </c>
      <c r="I362" s="2" t="inlineStr">
        <is>
          <t>S2</t>
        </is>
      </c>
      <c r="J362" s="2" t="n">
        <v>88</v>
      </c>
      <c r="K362" s="3" t="inlineStr">
        <is>
          <t>the introduction to the annual report, but not the consolidated financial statements, not the group ma- nagement report disclosures whose content is audited</t>
        </is>
      </c>
      <c r="L362" s="2" t="inlineStr">
        <is>
          <t>ok</t>
        </is>
      </c>
      <c r="M362" s="2" t="inlineStr">
        <is>
          <t>demo reviewer</t>
        </is>
      </c>
      <c r="N362" s="3" t="inlineStr">
        <is>
          <t>text: company wording put in quotation marks (reviewer, 20 Oct 2026)</t>
        </is>
      </c>
      <c r="O362" s="3" t="inlineStr">
        <is>
          <t>https://vanillabonds.com/dossier-data/pdf/katjes/katjes-2024-annual-report.pdf#page=88</t>
        </is>
      </c>
    </row>
    <row r="363">
      <c r="A363" s="2" t="inlineStr">
        <is>
          <t>F362</t>
        </is>
      </c>
      <c r="B363" s="2" t="inlineStr">
        <is>
          <t>business</t>
        </is>
      </c>
      <c r="C363" s="2" t="inlineStr">
        <is>
          <t>key_event</t>
        </is>
      </c>
      <c r="D363" s="2" t="inlineStr">
        <is>
          <t>Key event (M&amp;A, financing, strategy)</t>
        </is>
      </c>
      <c r="E363" s="2" t="n"/>
      <c r="F363" s="2" t="n"/>
      <c r="G363" s="2" t="n"/>
      <c r="H363" s="3" t="inlineStr">
        <is>
          <t>The partnership exercised the corporate income tax option (Körperschaftsteuer-Option) effective 1 January 2025.</t>
        </is>
      </c>
      <c r="I363" s="2" t="inlineStr">
        <is>
          <t>S2</t>
        </is>
      </c>
      <c r="J363" s="2" t="n">
        <v>28</v>
      </c>
      <c r="K363" s="3" t="inlineStr">
        <is>
          <t>As a partnership, Katjes International exercised the so-called corporate income tax option effective January 1, 2025</t>
        </is>
      </c>
      <c r="L363" s="2" t="inlineStr">
        <is>
          <t>ok</t>
        </is>
      </c>
      <c r="M363" s="2" t="inlineStr">
        <is>
          <t>demo reviewer</t>
        </is>
      </c>
      <c r="N363" s="2" t="n"/>
      <c r="O363" s="3" t="inlineStr">
        <is>
          <t>https://vanillabonds.com/dossier-data/pdf/katjes/katjes-2024-annual-report.pdf#page=28</t>
        </is>
      </c>
    </row>
    <row r="364">
      <c r="A364" s="2" t="inlineStr">
        <is>
          <t>F363</t>
        </is>
      </c>
      <c r="B364" s="2" t="inlineStr">
        <is>
          <t>business</t>
        </is>
      </c>
      <c r="C364" s="2" t="inlineStr">
        <is>
          <t>key_event</t>
        </is>
      </c>
      <c r="D364" s="2" t="inlineStr">
        <is>
          <t>Key event (M&amp;A, financing, strategy)</t>
        </is>
      </c>
      <c r="E364" s="2" t="n"/>
      <c r="F364" s="2" t="n"/>
      <c r="G364" s="2" t="n"/>
      <c r="H364" s="3" t="inlineStr">
        <is>
          <t>Joint venture with entrepreneur Shirin David established in 2024 (Shirin Beauty GmbH, 50%); body care line to launch in Q2 2025.</t>
        </is>
      </c>
      <c r="I364" s="2" t="inlineStr">
        <is>
          <t>S2</t>
        </is>
      </c>
      <c r="J364" s="2" t="n">
        <v>55</v>
      </c>
      <c r="K364" s="3" t="inlineStr">
        <is>
          <t>In the financial year 2024 Katjes International established a joint venture together with the German pop icon Shirin David.</t>
        </is>
      </c>
      <c r="L364" s="2" t="inlineStr">
        <is>
          <t>ok</t>
        </is>
      </c>
      <c r="M364" s="2" t="inlineStr">
        <is>
          <t>demo reviewer</t>
        </is>
      </c>
      <c r="N364" s="2" t="n"/>
      <c r="O364" s="3" t="inlineStr">
        <is>
          <t>https://vanillabonds.com/dossier-data/pdf/katjes/katjes-2024-annual-report.pdf#page=55</t>
        </is>
      </c>
    </row>
    <row r="365">
      <c r="A365" s="2" t="inlineStr">
        <is>
          <t>F364</t>
        </is>
      </c>
      <c r="B365" s="2" t="inlineStr">
        <is>
          <t>business</t>
        </is>
      </c>
      <c r="C365" s="2" t="inlineStr">
        <is>
          <t>key_event</t>
        </is>
      </c>
      <c r="D365" s="2" t="inlineStr">
        <is>
          <t>Key event (M&amp;A, financing, strategy)</t>
        </is>
      </c>
      <c r="E365" s="2" t="n"/>
      <c r="F365" s="2" t="n"/>
      <c r="G365" s="2" t="n"/>
      <c r="H365" s="3" t="inlineStr">
        <is>
          <t>No events of particular significance after the 31 Dec 2024 reporting date, per management.</t>
        </is>
      </c>
      <c r="I365" s="2" t="inlineStr">
        <is>
          <t>S2</t>
        </is>
      </c>
      <c r="J365" s="2" t="n">
        <v>81</v>
      </c>
      <c r="K365" s="3" t="inlineStr">
        <is>
          <t>No events of particular significance or with a material impact on the financial position, cash flows or results of operations</t>
        </is>
      </c>
      <c r="L365" s="2" t="inlineStr">
        <is>
          <t>ok</t>
        </is>
      </c>
      <c r="M365" s="2" t="inlineStr">
        <is>
          <t>demo reviewer</t>
        </is>
      </c>
      <c r="N365" s="2" t="n"/>
      <c r="O365" s="3" t="inlineStr">
        <is>
          <t>https://vanillabonds.com/dossier-data/pdf/katjes/katjes-2024-annual-report.pdf#page=81</t>
        </is>
      </c>
    </row>
    <row r="366">
      <c r="A366" s="2" t="inlineStr">
        <is>
          <t>F365</t>
        </is>
      </c>
      <c r="B366" s="2" t="inlineStr">
        <is>
          <t>financials</t>
        </is>
      </c>
      <c r="C366" s="2" t="inlineStr">
        <is>
          <t>revenue</t>
        </is>
      </c>
      <c r="D366" s="2" t="inlineStr">
        <is>
          <t>Revenue</t>
        </is>
      </c>
      <c r="E366" s="2" t="inlineStr">
        <is>
          <t>FY2023</t>
        </is>
      </c>
      <c r="F366" s="2" t="n">
        <v>377.4</v>
      </c>
      <c r="G366" s="2" t="inlineStr">
        <is>
          <t>EUR m</t>
        </is>
      </c>
      <c r="H366" s="2" t="inlineStr">
        <is>
          <t>Consolidated revenue 2023.</t>
        </is>
      </c>
      <c r="I366" s="2" t="inlineStr">
        <is>
          <t>S2</t>
        </is>
      </c>
      <c r="J366" s="2" t="n">
        <v>40</v>
      </c>
      <c r="K366" s="2" t="inlineStr">
        <is>
          <t>Revenue 392.6 377.4</t>
        </is>
      </c>
      <c r="L366" s="2" t="inlineStr">
        <is>
          <t>ok</t>
        </is>
      </c>
      <c r="M366" s="2" t="inlineStr">
        <is>
          <t>demo reviewer</t>
        </is>
      </c>
      <c r="N366" s="2" t="n"/>
      <c r="O366" s="3" t="inlineStr">
        <is>
          <t>https://vanillabonds.com/dossier-data/pdf/katjes/katjes-2024-annual-report.pdf#page=40</t>
        </is>
      </c>
    </row>
    <row r="367">
      <c r="A367" s="2" t="inlineStr">
        <is>
          <t>F366</t>
        </is>
      </c>
      <c r="B367" s="2" t="inlineStr">
        <is>
          <t>financials</t>
        </is>
      </c>
      <c r="C367" s="2" t="inlineStr">
        <is>
          <t>revenue</t>
        </is>
      </c>
      <c r="D367" s="2" t="inlineStr">
        <is>
          <t>Revenue</t>
        </is>
      </c>
      <c r="E367" s="2" t="inlineStr">
        <is>
          <t>FY2024</t>
        </is>
      </c>
      <c r="F367" s="2" t="n">
        <v>392.6</v>
      </c>
      <c r="G367" s="2" t="inlineStr">
        <is>
          <t>EUR m</t>
        </is>
      </c>
      <c r="H367" s="2" t="inlineStr">
        <is>
          <t>Consolidated revenue 2024.</t>
        </is>
      </c>
      <c r="I367" s="2" t="inlineStr">
        <is>
          <t>S2</t>
        </is>
      </c>
      <c r="J367" s="2" t="n">
        <v>40</v>
      </c>
      <c r="K367" s="2" t="inlineStr">
        <is>
          <t>Revenue 392.6 377.4</t>
        </is>
      </c>
      <c r="L367" s="2" t="inlineStr">
        <is>
          <t>ok</t>
        </is>
      </c>
      <c r="M367" s="2" t="inlineStr">
        <is>
          <t>demo reviewer</t>
        </is>
      </c>
      <c r="N367" s="2" t="n"/>
      <c r="O367" s="3" t="inlineStr">
        <is>
          <t>https://vanillabonds.com/dossier-data/pdf/katjes/katjes-2024-annual-report.pdf#page=40</t>
        </is>
      </c>
    </row>
    <row r="368">
      <c r="A368" s="2" t="inlineStr">
        <is>
          <t>F367</t>
        </is>
      </c>
      <c r="B368" s="2" t="inlineStr">
        <is>
          <t>financials</t>
        </is>
      </c>
      <c r="C368" s="2" t="inlineStr">
        <is>
          <t>revenue</t>
        </is>
      </c>
      <c r="D368" s="2" t="inlineStr">
        <is>
          <t>Revenue</t>
        </is>
      </c>
      <c r="E368" s="2" t="inlineStr">
        <is>
          <t>FY2025E</t>
        </is>
      </c>
      <c r="F368" s="2" t="n">
        <v>400</v>
      </c>
      <c r="G368" s="2" t="inlineStr">
        <is>
          <t>EUR m</t>
        </is>
      </c>
      <c r="H368" s="3" t="inlineStr">
        <is>
          <t>Management guidance for 2025: consolidated revenue of at least EUR 400m.</t>
        </is>
      </c>
      <c r="I368" s="2" t="inlineStr">
        <is>
          <t>S2</t>
        </is>
      </c>
      <c r="J368" s="2" t="n">
        <v>38</v>
      </c>
      <c r="K368" s="3" t="inlineStr">
        <is>
          <t>For the financial year 2025, the Company expects revenues of at least EUR 400 million.</t>
        </is>
      </c>
      <c r="L368" s="2" t="inlineStr">
        <is>
          <t>ok</t>
        </is>
      </c>
      <c r="M368" s="2" t="inlineStr">
        <is>
          <t>demo reviewer</t>
        </is>
      </c>
      <c r="N368" s="2" t="n"/>
      <c r="O368" s="3" t="inlineStr">
        <is>
          <t>https://vanillabonds.com/dossier-data/pdf/katjes/katjes-2024-annual-report.pdf#page=38</t>
        </is>
      </c>
    </row>
    <row r="369">
      <c r="A369" s="2" t="inlineStr">
        <is>
          <t>F368</t>
        </is>
      </c>
      <c r="B369" s="2" t="inlineStr">
        <is>
          <t>financials</t>
        </is>
      </c>
      <c r="C369" s="2" t="inlineStr">
        <is>
          <t>ebitda</t>
        </is>
      </c>
      <c r="D369" s="2" t="inlineStr">
        <is>
          <t>EBITDA (as reported)</t>
        </is>
      </c>
      <c r="E369" s="2" t="inlineStr">
        <is>
          <t>FY2023</t>
        </is>
      </c>
      <c r="F369" s="2" t="n">
        <v>40.8</v>
      </c>
      <c r="G369" s="2" t="inlineStr">
        <is>
          <t>EUR m</t>
        </is>
      </c>
      <c r="H369" s="3" t="inlineStr">
        <is>
          <t>EBITDA as reported by the company; EBITDA margin 10.8%.</t>
        </is>
      </c>
      <c r="I369" s="2" t="inlineStr">
        <is>
          <t>S2</t>
        </is>
      </c>
      <c r="J369" s="2" t="n">
        <v>29</v>
      </c>
      <c r="K369" s="3" t="inlineStr">
        <is>
          <t>The operating result (EBITDA) amounted to EUR 44.8 million in the financial year 2024 (2023: EUR 40.8 million).</t>
        </is>
      </c>
      <c r="L369" s="2" t="inlineStr">
        <is>
          <t>pend</t>
        </is>
      </c>
      <c r="M369" s="2" t="n"/>
      <c r="N369" s="3" t="inlineStr">
        <is>
          <t>conflict: S1·p32 40.8 vs S2·p29 40.8 vs S3·p7 23.0; primary per fact agent: S2 p29 - S2 is the later audited report carrying FY2023 and its comparative equals S1 p32; S3 carries no FY2023 statement, and its 23.0 is a chart bar from p7 assigned to FY2023.</t>
        </is>
      </c>
      <c r="O369" s="3" t="inlineStr">
        <is>
          <t>https://vanillabonds.com/dossier-data/pdf/katjes/katjes-2024-annual-report.pdf#page=29</t>
        </is>
      </c>
    </row>
    <row r="370">
      <c r="A370" s="2" t="inlineStr">
        <is>
          <t>F369</t>
        </is>
      </c>
      <c r="B370" s="2" t="inlineStr">
        <is>
          <t>financials</t>
        </is>
      </c>
      <c r="C370" s="2" t="inlineStr">
        <is>
          <t>ebitda</t>
        </is>
      </c>
      <c r="D370" s="2" t="inlineStr">
        <is>
          <t>EBITDA (as reported)</t>
        </is>
      </c>
      <c r="E370" s="2" t="inlineStr">
        <is>
          <t>FY2024</t>
        </is>
      </c>
      <c r="F370" s="2" t="n">
        <v>44.8</v>
      </c>
      <c r="G370" s="2" t="inlineStr">
        <is>
          <t>EUR m</t>
        </is>
      </c>
      <c r="H370" s="3" t="inlineStr">
        <is>
          <t>EBITDA as reported by the company (operating result 25.0 plus D&amp;A 19.8); EBITDA margin 11.4%.</t>
        </is>
      </c>
      <c r="I370" s="2" t="inlineStr">
        <is>
          <t>S2</t>
        </is>
      </c>
      <c r="J370" s="2" t="n">
        <v>29</v>
      </c>
      <c r="K370" s="3" t="inlineStr">
        <is>
          <t>The operating result (EBITDA) amounted to EUR 44.8 million in the financial year 2024 (2023: EUR 40.8 million).</t>
        </is>
      </c>
      <c r="L370" s="2" t="inlineStr">
        <is>
          <t>ok</t>
        </is>
      </c>
      <c r="M370" s="2" t="inlineStr">
        <is>
          <t>demo reviewer</t>
        </is>
      </c>
      <c r="N370" s="2" t="n"/>
      <c r="O370" s="3" t="inlineStr">
        <is>
          <t>https://vanillabonds.com/dossier-data/pdf/katjes/katjes-2024-annual-report.pdf#page=29</t>
        </is>
      </c>
    </row>
    <row r="371">
      <c r="A371" s="2" t="inlineStr">
        <is>
          <t>F370</t>
        </is>
      </c>
      <c r="B371" s="2" t="inlineStr">
        <is>
          <t>financials</t>
        </is>
      </c>
      <c r="C371" s="2" t="inlineStr">
        <is>
          <t>ebit</t>
        </is>
      </c>
      <c r="D371" s="2" t="inlineStr">
        <is>
          <t>EBIT / operating result</t>
        </is>
      </c>
      <c r="E371" s="2" t="inlineStr">
        <is>
          <t>FY2023</t>
        </is>
      </c>
      <c r="F371" s="2" t="n">
        <v>22.5</v>
      </c>
      <c r="G371" s="2" t="inlineStr">
        <is>
          <t>EUR m</t>
        </is>
      </c>
      <c r="H371" s="2" t="inlineStr">
        <is>
          <t>Operating result 2023.</t>
        </is>
      </c>
      <c r="I371" s="2" t="inlineStr">
        <is>
          <t>S2</t>
        </is>
      </c>
      <c r="J371" s="2" t="n">
        <v>40</v>
      </c>
      <c r="K371" s="2" t="inlineStr">
        <is>
          <t>Operating result 25.0 22.5</t>
        </is>
      </c>
      <c r="L371" s="2" t="inlineStr">
        <is>
          <t>ok</t>
        </is>
      </c>
      <c r="M371" s="2" t="inlineStr">
        <is>
          <t>demo reviewer</t>
        </is>
      </c>
      <c r="N371" s="2" t="n"/>
      <c r="O371" s="3" t="inlineStr">
        <is>
          <t>https://vanillabonds.com/dossier-data/pdf/katjes/katjes-2024-annual-report.pdf#page=40</t>
        </is>
      </c>
    </row>
    <row r="372">
      <c r="A372" s="2" t="inlineStr">
        <is>
          <t>F371</t>
        </is>
      </c>
      <c r="B372" s="2" t="inlineStr">
        <is>
          <t>financials</t>
        </is>
      </c>
      <c r="C372" s="2" t="inlineStr">
        <is>
          <t>ebit</t>
        </is>
      </c>
      <c r="D372" s="2" t="inlineStr">
        <is>
          <t>EBIT / operating result</t>
        </is>
      </c>
      <c r="E372" s="2" t="inlineStr">
        <is>
          <t>FY2024</t>
        </is>
      </c>
      <c r="F372" s="2" t="n">
        <v>25</v>
      </c>
      <c r="G372" s="2" t="inlineStr">
        <is>
          <t>EUR m</t>
        </is>
      </c>
      <c r="H372" s="2" t="inlineStr">
        <is>
          <t>Operating result 2024.</t>
        </is>
      </c>
      <c r="I372" s="2" t="inlineStr">
        <is>
          <t>S2</t>
        </is>
      </c>
      <c r="J372" s="2" t="n">
        <v>40</v>
      </c>
      <c r="K372" s="2" t="inlineStr">
        <is>
          <t>Operating result 25.0 22.5</t>
        </is>
      </c>
      <c r="L372" s="2" t="inlineStr">
        <is>
          <t>ok</t>
        </is>
      </c>
      <c r="M372" s="2" t="inlineStr">
        <is>
          <t>demo reviewer</t>
        </is>
      </c>
      <c r="N372" s="2" t="n"/>
      <c r="O372" s="3" t="inlineStr">
        <is>
          <t>https://vanillabonds.com/dossier-data/pdf/katjes/katjes-2024-annual-report.pdf#page=40</t>
        </is>
      </c>
    </row>
    <row r="373">
      <c r="A373" s="2" t="inlineStr">
        <is>
          <t>F372</t>
        </is>
      </c>
      <c r="B373" s="2" t="inlineStr">
        <is>
          <t>financials</t>
        </is>
      </c>
      <c r="C373" s="2" t="inlineStr">
        <is>
          <t>net_income</t>
        </is>
      </c>
      <c r="D373" s="2" t="inlineStr">
        <is>
          <t>Net result</t>
        </is>
      </c>
      <c r="E373" s="2" t="inlineStr">
        <is>
          <t>FY2023</t>
        </is>
      </c>
      <c r="F373" s="2" t="n">
        <v>10.2</v>
      </c>
      <c r="G373" s="2" t="inlineStr">
        <is>
          <t>EUR m</t>
        </is>
      </c>
      <c r="H373" s="3" t="inlineStr">
        <is>
          <t>Earnings after tax 2023; attributable to Katjes International 10.1, non-controlling interests 0.1.</t>
        </is>
      </c>
      <c r="I373" s="2" t="inlineStr">
        <is>
          <t>S2</t>
        </is>
      </c>
      <c r="J373" s="2" t="n">
        <v>40</v>
      </c>
      <c r="K373" s="2" t="inlineStr">
        <is>
          <t>Earnings after tax 3.2 10.2</t>
        </is>
      </c>
      <c r="L373" s="2" t="inlineStr">
        <is>
          <t>ok</t>
        </is>
      </c>
      <c r="M373" s="2" t="inlineStr">
        <is>
          <t>demo reviewer</t>
        </is>
      </c>
      <c r="N373" s="2" t="n"/>
      <c r="O373" s="3" t="inlineStr">
        <is>
          <t>https://vanillabonds.com/dossier-data/pdf/katjes/katjes-2024-annual-report.pdf#page=40</t>
        </is>
      </c>
    </row>
    <row r="374">
      <c r="A374" s="2" t="inlineStr">
        <is>
          <t>F373</t>
        </is>
      </c>
      <c r="B374" s="2" t="inlineStr">
        <is>
          <t>financials</t>
        </is>
      </c>
      <c r="C374" s="2" t="inlineStr">
        <is>
          <t>net_income</t>
        </is>
      </c>
      <c r="D374" s="2" t="inlineStr">
        <is>
          <t>Net result</t>
        </is>
      </c>
      <c r="E374" s="2" t="inlineStr">
        <is>
          <t>FY2024</t>
        </is>
      </c>
      <c r="F374" s="2" t="n">
        <v>3.2</v>
      </c>
      <c r="G374" s="2" t="inlineStr">
        <is>
          <t>EUR m</t>
        </is>
      </c>
      <c r="H374" s="3" t="inlineStr">
        <is>
          <t>Earnings after tax 2024; attributable to Katjes International 3.2, non-controlling interests 0.0; includes non-recurring deferred tax expense of EUR -6.9m.</t>
        </is>
      </c>
      <c r="I374" s="2" t="inlineStr">
        <is>
          <t>S2</t>
        </is>
      </c>
      <c r="J374" s="2" t="n">
        <v>40</v>
      </c>
      <c r="K374" s="2" t="inlineStr">
        <is>
          <t>Earnings after tax 3.2 10.2</t>
        </is>
      </c>
      <c r="L374" s="2" t="inlineStr">
        <is>
          <t>ok</t>
        </is>
      </c>
      <c r="M374" s="2" t="inlineStr">
        <is>
          <t>demo reviewer</t>
        </is>
      </c>
      <c r="N374" s="2" t="n"/>
      <c r="O374" s="3" t="inlineStr">
        <is>
          <t>https://vanillabonds.com/dossier-data/pdf/katjes/katjes-2024-annual-report.pdf#page=40</t>
        </is>
      </c>
    </row>
    <row r="375">
      <c r="A375" s="2" t="inlineStr">
        <is>
          <t>F374</t>
        </is>
      </c>
      <c r="B375" s="2" t="inlineStr">
        <is>
          <t>financials</t>
        </is>
      </c>
      <c r="C375" s="2" t="inlineStr">
        <is>
          <t>da</t>
        </is>
      </c>
      <c r="D375" s="2" t="inlineStr">
        <is>
          <t>Depreciation &amp; amortisation</t>
        </is>
      </c>
      <c r="E375" s="2" t="inlineStr">
        <is>
          <t>FY2023</t>
        </is>
      </c>
      <c r="F375" s="2" t="n">
        <v>18.1</v>
      </c>
      <c r="G375" s="2" t="inlineStr">
        <is>
          <t>EUR m</t>
        </is>
      </c>
      <c r="H375" s="3" t="inlineStr">
        <is>
          <t>Depreciation and amortisation 2023 (note 7.2).</t>
        </is>
      </c>
      <c r="I375" s="2" t="inlineStr">
        <is>
          <t>S2</t>
        </is>
      </c>
      <c r="J375" s="2" t="n">
        <v>74</v>
      </c>
      <c r="K375" s="2" t="inlineStr">
        <is>
          <t>Depreciation and amortisation 19.8 18.1</t>
        </is>
      </c>
      <c r="L375" s="2" t="inlineStr">
        <is>
          <t>ok</t>
        </is>
      </c>
      <c r="M375" s="2" t="inlineStr">
        <is>
          <t>demo reviewer</t>
        </is>
      </c>
      <c r="N375" s="2" t="n"/>
      <c r="O375" s="3" t="inlineStr">
        <is>
          <t>https://vanillabonds.com/dossier-data/pdf/katjes/katjes-2024-annual-report.pdf#page=74</t>
        </is>
      </c>
    </row>
    <row r="376">
      <c r="A376" s="2" t="inlineStr">
        <is>
          <t>F375</t>
        </is>
      </c>
      <c r="B376" s="2" t="inlineStr">
        <is>
          <t>financials</t>
        </is>
      </c>
      <c r="C376" s="2" t="inlineStr">
        <is>
          <t>da</t>
        </is>
      </c>
      <c r="D376" s="2" t="inlineStr">
        <is>
          <t>Depreciation &amp; amortisation</t>
        </is>
      </c>
      <c r="E376" s="2" t="inlineStr">
        <is>
          <t>FY2024</t>
        </is>
      </c>
      <c r="F376" s="2" t="n">
        <v>19.8</v>
      </c>
      <c r="G376" s="2" t="inlineStr">
        <is>
          <t>EUR m</t>
        </is>
      </c>
      <c r="H376" s="3" t="inlineStr">
        <is>
          <t>Depreciation and amortisation 2024 (note 7.2); cash flow statement: PP&amp;E 10.4, right-of-use 4.8, intangibles 4.6.</t>
        </is>
      </c>
      <c r="I376" s="2" t="inlineStr">
        <is>
          <t>S2</t>
        </is>
      </c>
      <c r="J376" s="2" t="n">
        <v>74</v>
      </c>
      <c r="K376" s="2" t="inlineStr">
        <is>
          <t>Depreciation and amortisation 19.8 18.1</t>
        </is>
      </c>
      <c r="L376" s="2" t="inlineStr">
        <is>
          <t>pend</t>
        </is>
      </c>
      <c r="M376" s="2" t="n"/>
      <c r="N376" s="3" t="inlineStr">
        <is>
          <t>conflict: S2·p74 19.8 vs S3·p86 20.8; primary per fact agent: S2 p74 - S3 does not restate FY2024: its 2024 cash flow lines on p42 (10.4, 4.8, 4.6) are the same as S2's, S3 shows no labelled D&amp;A total for 2024, and its 20.8 is the fixed-asset schedule column on p86, a different line; S2's labelled total of 19.8 stands.</t>
        </is>
      </c>
      <c r="O376" s="3" t="inlineStr">
        <is>
          <t>https://vanillabonds.com/dossier-data/pdf/katjes/katjes-2024-annual-report.pdf#page=74</t>
        </is>
      </c>
    </row>
    <row r="377">
      <c r="A377" s="2" t="inlineStr">
        <is>
          <t>F376</t>
        </is>
      </c>
      <c r="B377" s="2" t="inlineStr">
        <is>
          <t>financials</t>
        </is>
      </c>
      <c r="C377" s="2" t="inlineStr">
        <is>
          <t>net_interest</t>
        </is>
      </c>
      <c r="D377" s="2" t="inlineStr">
        <is>
          <t>Net finance cost</t>
        </is>
      </c>
      <c r="E377" s="2" t="inlineStr">
        <is>
          <t>FY2023</t>
        </is>
      </c>
      <c r="F377" s="2" t="n">
        <v>11.4</v>
      </c>
      <c r="G377" s="2" t="inlineStr">
        <is>
          <t>EUR m</t>
        </is>
      </c>
      <c r="H377" s="3" t="inlineStr">
        <is>
          <t>Financial result EUR -11.4m, reported as net finance cost; includes the at-equity result from CPK of -0.7; financial expenses 12.0.</t>
        </is>
      </c>
      <c r="I377" s="2" t="inlineStr">
        <is>
          <t>S2</t>
        </is>
      </c>
      <c r="J377" s="2" t="n">
        <v>40</v>
      </c>
      <c r="K377" s="2" t="inlineStr">
        <is>
          <t>Financial result -11.6 -11.4</t>
        </is>
      </c>
      <c r="L377" s="2" t="inlineStr">
        <is>
          <t>ok</t>
        </is>
      </c>
      <c r="M377" s="2" t="inlineStr">
        <is>
          <t>demo reviewer</t>
        </is>
      </c>
      <c r="N377" s="2" t="n"/>
      <c r="O377" s="3" t="inlineStr">
        <is>
          <t>https://vanillabonds.com/dossier-data/pdf/katjes/katjes-2024-annual-report.pdf#page=40</t>
        </is>
      </c>
    </row>
    <row r="378">
      <c r="A378" s="2" t="inlineStr">
        <is>
          <t>F377</t>
        </is>
      </c>
      <c r="B378" s="2" t="inlineStr">
        <is>
          <t>financials</t>
        </is>
      </c>
      <c r="C378" s="2" t="inlineStr">
        <is>
          <t>net_interest</t>
        </is>
      </c>
      <c r="D378" s="2" t="inlineStr">
        <is>
          <t>Net finance cost</t>
        </is>
      </c>
      <c r="E378" s="2" t="inlineStr">
        <is>
          <t>FY2024</t>
        </is>
      </c>
      <c r="F378" s="2" t="n">
        <v>11.6</v>
      </c>
      <c r="G378" s="2" t="inlineStr">
        <is>
          <t>EUR m</t>
        </is>
      </c>
      <c r="H378" s="3" t="inlineStr">
        <is>
          <t>Financial result EUR -11.6m, reported as net finance cost; includes the at-equity result from CPK of +1.3; financial expenses 13.2 (bond interest 7.8, bank interest 4.2).</t>
        </is>
      </c>
      <c r="I378" s="2" t="inlineStr">
        <is>
          <t>S2</t>
        </is>
      </c>
      <c r="J378" s="2" t="n">
        <v>40</v>
      </c>
      <c r="K378" s="2" t="inlineStr">
        <is>
          <t>Financial result -11.6 -11.4</t>
        </is>
      </c>
      <c r="L378" s="2" t="inlineStr">
        <is>
          <t>ok</t>
        </is>
      </c>
      <c r="M378" s="2" t="inlineStr">
        <is>
          <t>demo reviewer</t>
        </is>
      </c>
      <c r="N378" s="2" t="n"/>
      <c r="O378" s="3" t="inlineStr">
        <is>
          <t>https://vanillabonds.com/dossier-data/pdf/katjes/katjes-2024-annual-report.pdf#page=40</t>
        </is>
      </c>
    </row>
    <row r="379">
      <c r="A379" s="2" t="inlineStr">
        <is>
          <t>F378</t>
        </is>
      </c>
      <c r="B379" s="2" t="inlineStr">
        <is>
          <t>financials</t>
        </is>
      </c>
      <c r="C379" s="2" t="inlineStr">
        <is>
          <t>cfo</t>
        </is>
      </c>
      <c r="D379" s="2" t="inlineStr">
        <is>
          <t>Cash flow from operating activities</t>
        </is>
      </c>
      <c r="E379" s="2" t="inlineStr">
        <is>
          <t>FY2023</t>
        </is>
      </c>
      <c r="F379" s="2" t="n">
        <v>31.8</v>
      </c>
      <c r="G379" s="2" t="inlineStr">
        <is>
          <t>EUR m</t>
        </is>
      </c>
      <c r="H379" s="3" t="inlineStr">
        <is>
          <t>Cash flow from operating activities 2023.</t>
        </is>
      </c>
      <c r="I379" s="2" t="inlineStr">
        <is>
          <t>S2</t>
        </is>
      </c>
      <c r="J379" s="2" t="n">
        <v>45</v>
      </c>
      <c r="K379" s="3" t="inlineStr">
        <is>
          <t>Cash flow from operating activities 45.6 31.8</t>
        </is>
      </c>
      <c r="L379" s="2" t="inlineStr">
        <is>
          <t>ok</t>
        </is>
      </c>
      <c r="M379" s="2" t="inlineStr">
        <is>
          <t>demo reviewer</t>
        </is>
      </c>
      <c r="N379" s="2" t="n"/>
      <c r="O379" s="3" t="inlineStr">
        <is>
          <t>https://vanillabonds.com/dossier-data/pdf/katjes/katjes-2024-annual-report.pdf#page=45</t>
        </is>
      </c>
    </row>
    <row r="380">
      <c r="A380" s="2" t="inlineStr">
        <is>
          <t>F379</t>
        </is>
      </c>
      <c r="B380" s="2" t="inlineStr">
        <is>
          <t>financials</t>
        </is>
      </c>
      <c r="C380" s="2" t="inlineStr">
        <is>
          <t>cfo</t>
        </is>
      </c>
      <c r="D380" s="2" t="inlineStr">
        <is>
          <t>Cash flow from operating activities</t>
        </is>
      </c>
      <c r="E380" s="2" t="inlineStr">
        <is>
          <t>FY2024</t>
        </is>
      </c>
      <c r="F380" s="2" t="n">
        <v>45.6</v>
      </c>
      <c r="G380" s="2" t="inlineStr">
        <is>
          <t>EUR m</t>
        </is>
      </c>
      <c r="H380" s="3" t="inlineStr">
        <is>
          <t>Cash flow from operating activities 2024.</t>
        </is>
      </c>
      <c r="I380" s="2" t="inlineStr">
        <is>
          <t>S2</t>
        </is>
      </c>
      <c r="J380" s="2" t="n">
        <v>45</v>
      </c>
      <c r="K380" s="3" t="inlineStr">
        <is>
          <t>Cash flow from operating activities 45.6 31.8</t>
        </is>
      </c>
      <c r="L380" s="2" t="inlineStr">
        <is>
          <t>ok</t>
        </is>
      </c>
      <c r="M380" s="2" t="inlineStr">
        <is>
          <t>demo reviewer</t>
        </is>
      </c>
      <c r="N380" s="2" t="n"/>
      <c r="O380" s="3" t="inlineStr">
        <is>
          <t>https://vanillabonds.com/dossier-data/pdf/katjes/katjes-2024-annual-report.pdf#page=45</t>
        </is>
      </c>
    </row>
    <row r="381">
      <c r="A381" s="2" t="inlineStr">
        <is>
          <t>F380</t>
        </is>
      </c>
      <c r="B381" s="2" t="inlineStr">
        <is>
          <t>financials</t>
        </is>
      </c>
      <c r="C381" s="2" t="inlineStr">
        <is>
          <t>capex</t>
        </is>
      </c>
      <c r="D381" s="2" t="inlineStr">
        <is>
          <t>Capex (PP&amp;E + intangibles)</t>
        </is>
      </c>
      <c r="E381" s="2" t="inlineStr">
        <is>
          <t>FY2023</t>
        </is>
      </c>
      <c r="F381" s="2" t="n">
        <v>14.6</v>
      </c>
      <c r="G381" s="2" t="inlineStr">
        <is>
          <t>EUR m</t>
        </is>
      </c>
      <c r="H381" s="3" t="inlineStr">
        <is>
          <t>Sum of the two cash flow lines: acquisition of PP&amp;E 7.4 plus acquisition of intangible assets 7.2.</t>
        </is>
      </c>
      <c r="I381" s="2" t="inlineStr">
        <is>
          <t>S2</t>
        </is>
      </c>
      <c r="J381" s="2" t="n">
        <v>45</v>
      </c>
      <c r="K381" s="3" t="inlineStr">
        <is>
          <t>Acquisition of property, plant and equipment 6.1 -13.0 -7.4 Acquisition of intangible assets 6.1 -4.9 -7.2</t>
        </is>
      </c>
      <c r="L381" s="2" t="inlineStr">
        <is>
          <t>pend</t>
        </is>
      </c>
      <c r="M381" s="2" t="n"/>
      <c r="N381" s="3" t="inlineStr">
        <is>
          <t>conflict: S1·p88 14.3 vs S2·p45 14.6; primary per fact agent: S2 p45 - S2 is the later audited report; its 2023 cash flow lines (-7.4 and -7.2) are the same lines S1's own cash flow statement shows, and S1's 14.3 is the fixed-asset schedule additions, a different line, not a restatement.</t>
        </is>
      </c>
      <c r="O381" s="3" t="inlineStr">
        <is>
          <t>https://vanillabonds.com/dossier-data/pdf/katjes/katjes-2024-annual-report.pdf#page=45</t>
        </is>
      </c>
    </row>
    <row r="382">
      <c r="A382" s="2" t="inlineStr">
        <is>
          <t>F381</t>
        </is>
      </c>
      <c r="B382" s="2" t="inlineStr">
        <is>
          <t>financials</t>
        </is>
      </c>
      <c r="C382" s="2" t="inlineStr">
        <is>
          <t>capex</t>
        </is>
      </c>
      <c r="D382" s="2" t="inlineStr">
        <is>
          <t>Capex (PP&amp;E + intangibles)</t>
        </is>
      </c>
      <c r="E382" s="2" t="inlineStr">
        <is>
          <t>FY2024</t>
        </is>
      </c>
      <c r="F382" s="2" t="n">
        <v>17.9</v>
      </c>
      <c r="G382" s="2" t="inlineStr">
        <is>
          <t>EUR m</t>
        </is>
      </c>
      <c r="H382" s="3" t="inlineStr">
        <is>
          <t>Sum of the two cash flow lines: acquisition of PP&amp;E 13.0 plus acquisition of intangible assets 4.9 (the latter includes the Barnängen brand).</t>
        </is>
      </c>
      <c r="I382" s="2" t="inlineStr">
        <is>
          <t>S2</t>
        </is>
      </c>
      <c r="J382" s="2" t="n">
        <v>45</v>
      </c>
      <c r="K382" s="3" t="inlineStr">
        <is>
          <t>Acquisition of property, plant and equipment 6.1 -13.0 -7.4 Acquisition of intangible assets 6.1 -4.9 -7.2</t>
        </is>
      </c>
      <c r="L382" s="2" t="inlineStr">
        <is>
          <t>pend</t>
        </is>
      </c>
      <c r="M382" s="2" t="n"/>
      <c r="N382" s="3" t="inlineStr">
        <is>
          <t>conflict: S2·p45 17.9 vs S3·p86 18.8; primary per fact agent: S3 p42 - S3 is the later audited report; its FY2024 cash flow comparatives (-13.0 and -4.9) are the same lines as S2's, so S2's 17.9 on the cash flow basis stands, and S3's 18.8 is the fixed-asset schedule additions on p86, a different line.</t>
        </is>
      </c>
      <c r="O382" s="3" t="inlineStr">
        <is>
          <t>https://vanillabonds.com/dossier-data/pdf/katjes/katjes-2024-annual-report.pdf#page=45</t>
        </is>
      </c>
    </row>
    <row r="383">
      <c r="A383" s="2" t="inlineStr">
        <is>
          <t>F382</t>
        </is>
      </c>
      <c r="B383" s="2" t="inlineStr">
        <is>
          <t>financials</t>
        </is>
      </c>
      <c r="C383" s="2" t="inlineStr">
        <is>
          <t>cash</t>
        </is>
      </c>
      <c r="D383" s="2" t="inlineStr">
        <is>
          <t>Cash &amp; equivalents</t>
        </is>
      </c>
      <c r="E383" s="2" t="inlineStr">
        <is>
          <t>FY2023</t>
        </is>
      </c>
      <c r="F383" s="2" t="n">
        <v>58.4</v>
      </c>
      <c r="G383" s="2" t="inlineStr">
        <is>
          <t>EUR m</t>
        </is>
      </c>
      <c r="H383" s="3" t="inlineStr">
        <is>
          <t>Cash and cash equivalents at 31 Dec 2023.</t>
        </is>
      </c>
      <c r="I383" s="2" t="inlineStr">
        <is>
          <t>S2</t>
        </is>
      </c>
      <c r="J383" s="2" t="n">
        <v>42</v>
      </c>
      <c r="K383" s="2" t="inlineStr">
        <is>
          <t>Cash and cash equivalents 6.7 54.0 58.4</t>
        </is>
      </c>
      <c r="L383" s="2" t="inlineStr">
        <is>
          <t>ok</t>
        </is>
      </c>
      <c r="M383" s="2" t="inlineStr">
        <is>
          <t>demo reviewer</t>
        </is>
      </c>
      <c r="N383" s="2" t="n"/>
      <c r="O383" s="3" t="inlineStr">
        <is>
          <t>https://vanillabonds.com/dossier-data/pdf/katjes/katjes-2024-annual-report.pdf#page=42</t>
        </is>
      </c>
    </row>
    <row r="384">
      <c r="A384" s="2" t="inlineStr">
        <is>
          <t>F383</t>
        </is>
      </c>
      <c r="B384" s="2" t="inlineStr">
        <is>
          <t>financials</t>
        </is>
      </c>
      <c r="C384" s="2" t="inlineStr">
        <is>
          <t>cash</t>
        </is>
      </c>
      <c r="D384" s="2" t="inlineStr">
        <is>
          <t>Cash &amp; equivalents</t>
        </is>
      </c>
      <c r="E384" s="2" t="inlineStr">
        <is>
          <t>FY2024</t>
        </is>
      </c>
      <c r="F384" s="2" t="n">
        <v>54</v>
      </c>
      <c r="G384" s="2" t="inlineStr">
        <is>
          <t>EUR m</t>
        </is>
      </c>
      <c r="H384" s="3" t="inlineStr">
        <is>
          <t>Cash and cash equivalents at 31 Dec 2024.</t>
        </is>
      </c>
      <c r="I384" s="2" t="inlineStr">
        <is>
          <t>S2</t>
        </is>
      </c>
      <c r="J384" s="2" t="n">
        <v>42</v>
      </c>
      <c r="K384" s="2" t="inlineStr">
        <is>
          <t>Cash and cash equivalents 6.7 54.0 58.4</t>
        </is>
      </c>
      <c r="L384" s="2" t="inlineStr">
        <is>
          <t>ok</t>
        </is>
      </c>
      <c r="M384" s="2" t="inlineStr">
        <is>
          <t>demo reviewer</t>
        </is>
      </c>
      <c r="N384" s="2" t="n"/>
      <c r="O384" s="3" t="inlineStr">
        <is>
          <t>https://vanillabonds.com/dossier-data/pdf/katjes/katjes-2024-annual-report.pdf#page=42</t>
        </is>
      </c>
    </row>
    <row r="385">
      <c r="A385" s="2" t="inlineStr">
        <is>
          <t>F384</t>
        </is>
      </c>
      <c r="B385" s="2" t="inlineStr">
        <is>
          <t>financials</t>
        </is>
      </c>
      <c r="C385" s="2" t="inlineStr">
        <is>
          <t>gross_debt</t>
        </is>
      </c>
      <c r="D385" s="3" t="inlineStr">
        <is>
          <t>Gross financial debt (bonds + loans, excl. leases)</t>
        </is>
      </c>
      <c r="E385" s="2" t="inlineStr">
        <is>
          <t>FY2023</t>
        </is>
      </c>
      <c r="F385" s="2" t="n">
        <v>185.1</v>
      </c>
      <c r="G385" s="2" t="inlineStr">
        <is>
          <t>EUR m</t>
        </is>
      </c>
      <c r="H385" s="3" t="inlineStr">
        <is>
          <t>Financial liabilities per note 6.9 of 191.9 less lease liabilities 6.8: bond 115.0, banks and other 37.7 non-current + 30.2 current, interest liabilities 2.1 (incl. EUR 6.4m purchase-price liability for the Viersen site).</t>
        </is>
      </c>
      <c r="I385" s="2" t="inlineStr">
        <is>
          <t>S2</t>
        </is>
      </c>
      <c r="J385" s="2" t="n">
        <v>68</v>
      </c>
      <c r="K385" s="3" t="inlineStr">
        <is>
          <t>Total current liabilities 37.4 35.2 Total 189.4 191.9</t>
        </is>
      </c>
      <c r="L385" s="2" t="inlineStr">
        <is>
          <t>pend</t>
        </is>
      </c>
      <c r="M385" s="2" t="n"/>
      <c r="N385" s="3" t="inlineStr">
        <is>
          <t>conflict: S1·p72 191.9 vs S2·p68 185.1; primary per fact agent: S2 p68 - No restatement: S2 shows the same FY2023 total of 191.9 as S1 p72; the S1 fact keeps the 6.8 lease liabilities inside, which the field excludes, so the S2 fact of 185.1 applies, a subtraction the reviewer confirms (it includes the 6.4 Viersen site liability).</t>
        </is>
      </c>
      <c r="O385" s="3" t="inlineStr">
        <is>
          <t>https://vanillabonds.com/dossier-data/pdf/katjes/katjes-2024-annual-report.pdf#page=68</t>
        </is>
      </c>
    </row>
    <row r="386">
      <c r="A386" s="2" t="inlineStr">
        <is>
          <t>F385</t>
        </is>
      </c>
      <c r="B386" s="2" t="inlineStr">
        <is>
          <t>financials</t>
        </is>
      </c>
      <c r="C386" s="2" t="inlineStr">
        <is>
          <t>gross_debt</t>
        </is>
      </c>
      <c r="D386" s="3" t="inlineStr">
        <is>
          <t>Gross financial debt (bonds + loans, excl. leases)</t>
        </is>
      </c>
      <c r="E386" s="2" t="inlineStr">
        <is>
          <t>FY2024</t>
        </is>
      </c>
      <c r="F386" s="2" t="n">
        <v>176.2</v>
      </c>
      <c r="G386" s="2" t="inlineStr">
        <is>
          <t>EUR m</t>
        </is>
      </c>
      <c r="H386" s="3" t="inlineStr">
        <is>
          <t>Financial liabilities per note 6.9 of 189.4 less lease liabilities 13.2: bond 115.0, banks and other financial liabilities 27.5 non-current + 31.2 current, interest liabilities 2.5.</t>
        </is>
      </c>
      <c r="I386" s="2" t="inlineStr">
        <is>
          <t>S2</t>
        </is>
      </c>
      <c r="J386" s="2" t="n">
        <v>68</v>
      </c>
      <c r="K386" s="3" t="inlineStr">
        <is>
          <t>Total current liabilities 37.4 35.2 Total 189.4 191.9</t>
        </is>
      </c>
      <c r="L386" s="2" t="inlineStr">
        <is>
          <t>ok</t>
        </is>
      </c>
      <c r="M386" s="2" t="inlineStr">
        <is>
          <t>demo reviewer</t>
        </is>
      </c>
      <c r="N386" s="2" t="n"/>
      <c r="O386" s="3" t="inlineStr">
        <is>
          <t>https://vanillabonds.com/dossier-data/pdf/katjes/katjes-2024-annual-report.pdf#page=68</t>
        </is>
      </c>
    </row>
    <row r="387">
      <c r="A387" s="2" t="inlineStr">
        <is>
          <t>F386</t>
        </is>
      </c>
      <c r="B387" s="2" t="inlineStr">
        <is>
          <t>financials</t>
        </is>
      </c>
      <c r="C387" s="2" t="inlineStr">
        <is>
          <t>lease_liabilities</t>
        </is>
      </c>
      <c r="D387" s="2" t="inlineStr">
        <is>
          <t>Lease liabilities</t>
        </is>
      </c>
      <c r="E387" s="2" t="inlineStr">
        <is>
          <t>FY2023</t>
        </is>
      </c>
      <c r="F387" s="2" t="n">
        <v>6.8</v>
      </c>
      <c r="G387" s="2" t="inlineStr">
        <is>
          <t>EUR m</t>
        </is>
      </c>
      <c r="H387" s="3" t="inlineStr">
        <is>
          <t>IFRS 16 lease liabilities at 31 Dec 2023: 2.9 current, 4.0 non-current.</t>
        </is>
      </c>
      <c r="I387" s="2" t="inlineStr">
        <is>
          <t>S2</t>
        </is>
      </c>
      <c r="J387" s="2" t="n">
        <v>69</v>
      </c>
      <c r="K387" s="3" t="inlineStr">
        <is>
          <t>More than five years 0.4 0.1 Total 13.2 6.8</t>
        </is>
      </c>
      <c r="L387" s="2" t="inlineStr">
        <is>
          <t>ok</t>
        </is>
      </c>
      <c r="M387" s="2" t="inlineStr">
        <is>
          <t>demo reviewer</t>
        </is>
      </c>
      <c r="N387" s="2" t="n"/>
      <c r="O387" s="3" t="inlineStr">
        <is>
          <t>https://vanillabonds.com/dossier-data/pdf/katjes/katjes-2024-annual-report.pdf#page=69</t>
        </is>
      </c>
    </row>
    <row r="388">
      <c r="A388" s="2" t="inlineStr">
        <is>
          <t>F387</t>
        </is>
      </c>
      <c r="B388" s="2" t="inlineStr">
        <is>
          <t>financials</t>
        </is>
      </c>
      <c r="C388" s="2" t="inlineStr">
        <is>
          <t>lease_liabilities</t>
        </is>
      </c>
      <c r="D388" s="2" t="inlineStr">
        <is>
          <t>Lease liabilities</t>
        </is>
      </c>
      <c r="E388" s="2" t="inlineStr">
        <is>
          <t>FY2024</t>
        </is>
      </c>
      <c r="F388" s="2" t="n">
        <v>13.2</v>
      </c>
      <c r="G388" s="2" t="inlineStr">
        <is>
          <t>EUR m</t>
        </is>
      </c>
      <c r="H388" s="3" t="inlineStr">
        <is>
          <t>IFRS 16 lease liabilities at 31 Dec 2024: 3.7 current, 9.5 non-current.</t>
        </is>
      </c>
      <c r="I388" s="2" t="inlineStr">
        <is>
          <t>S2</t>
        </is>
      </c>
      <c r="J388" s="2" t="n">
        <v>69</v>
      </c>
      <c r="K388" s="3" t="inlineStr">
        <is>
          <t>More than five years 0.4 0.1 Total 13.2 6.8</t>
        </is>
      </c>
      <c r="L388" s="2" t="inlineStr">
        <is>
          <t>ok</t>
        </is>
      </c>
      <c r="M388" s="2" t="inlineStr">
        <is>
          <t>demo reviewer</t>
        </is>
      </c>
      <c r="N388" s="2" t="n"/>
      <c r="O388" s="3" t="inlineStr">
        <is>
          <t>https://vanillabonds.com/dossier-data/pdf/katjes/katjes-2024-annual-report.pdf#page=69</t>
        </is>
      </c>
    </row>
    <row r="389">
      <c r="A389" s="2" t="inlineStr">
        <is>
          <t>F388</t>
        </is>
      </c>
      <c r="B389" s="2" t="inlineStr">
        <is>
          <t>financials</t>
        </is>
      </c>
      <c r="C389" s="2" t="inlineStr">
        <is>
          <t>net_debt</t>
        </is>
      </c>
      <c r="D389" s="2" t="inlineStr">
        <is>
          <t>Net debt (as reported)</t>
        </is>
      </c>
      <c r="E389" s="2" t="inlineStr">
        <is>
          <t>FY2023</t>
        </is>
      </c>
      <c r="F389" s="2" t="n">
        <v>133.5</v>
      </c>
      <c r="G389" s="2" t="inlineStr">
        <is>
          <t>EUR m</t>
        </is>
      </c>
      <c r="H389" s="3" t="inlineStr">
        <is>
          <t>Net debt as reported (financial liabilities 191.9 incl. leases, less cash 58.4); leverage ratio 43%.</t>
        </is>
      </c>
      <c r="I389" s="2" t="inlineStr">
        <is>
          <t>S2</t>
        </is>
      </c>
      <c r="J389" s="2" t="n">
        <v>60</v>
      </c>
      <c r="K389" s="2" t="inlineStr">
        <is>
          <t>Net debt 135.4 133.5</t>
        </is>
      </c>
      <c r="L389" s="2" t="inlineStr">
        <is>
          <t>ok</t>
        </is>
      </c>
      <c r="M389" s="2" t="inlineStr">
        <is>
          <t>demo reviewer</t>
        </is>
      </c>
      <c r="N389" s="2" t="n"/>
      <c r="O389" s="3" t="inlineStr">
        <is>
          <t>https://vanillabonds.com/dossier-data/pdf/katjes/katjes-2024-annual-report.pdf#page=60</t>
        </is>
      </c>
    </row>
    <row r="390">
      <c r="A390" s="2" t="inlineStr">
        <is>
          <t>F389</t>
        </is>
      </c>
      <c r="B390" s="2" t="inlineStr">
        <is>
          <t>financials</t>
        </is>
      </c>
      <c r="C390" s="2" t="inlineStr">
        <is>
          <t>net_debt</t>
        </is>
      </c>
      <c r="D390" s="2" t="inlineStr">
        <is>
          <t>Net debt (as reported)</t>
        </is>
      </c>
      <c r="E390" s="2" t="inlineStr">
        <is>
          <t>FY2024</t>
        </is>
      </c>
      <c r="F390" s="2" t="n">
        <v>135.4</v>
      </c>
      <c r="G390" s="2" t="inlineStr">
        <is>
          <t>EUR m</t>
        </is>
      </c>
      <c r="H390" s="3" t="inlineStr">
        <is>
          <t>Net debt as reported (total financial liabilities 189.4 incl. leases, less cash 54.0); leverage ratio net debt / total capital 43%.</t>
        </is>
      </c>
      <c r="I390" s="2" t="inlineStr">
        <is>
          <t>S2</t>
        </is>
      </c>
      <c r="J390" s="2" t="n">
        <v>60</v>
      </c>
      <c r="K390" s="2" t="inlineStr">
        <is>
          <t>Net debt 135.4 133.5</t>
        </is>
      </c>
      <c r="L390" s="2" t="inlineStr">
        <is>
          <t>ok</t>
        </is>
      </c>
      <c r="M390" s="2" t="inlineStr">
        <is>
          <t>demo reviewer</t>
        </is>
      </c>
      <c r="N390" s="2" t="n"/>
      <c r="O390" s="3" t="inlineStr">
        <is>
          <t>https://vanillabonds.com/dossier-data/pdf/katjes/katjes-2024-annual-report.pdf#page=60</t>
        </is>
      </c>
    </row>
    <row r="391">
      <c r="A391" s="2" t="inlineStr">
        <is>
          <t>F390</t>
        </is>
      </c>
      <c r="B391" s="2" t="inlineStr">
        <is>
          <t>financials</t>
        </is>
      </c>
      <c r="C391" s="2" t="inlineStr">
        <is>
          <t>equity</t>
        </is>
      </c>
      <c r="D391" s="2" t="inlineStr">
        <is>
          <t>Total equity</t>
        </is>
      </c>
      <c r="E391" s="2" t="inlineStr">
        <is>
          <t>FY2023</t>
        </is>
      </c>
      <c r="F391" s="2" t="n">
        <v>176</v>
      </c>
      <c r="G391" s="2" t="inlineStr">
        <is>
          <t>EUR m</t>
        </is>
      </c>
      <c r="H391" s="3" t="inlineStr">
        <is>
          <t>Total equity at 31 Dec 2023; shareholders' equity 173.0, non-controlling interests 3.0; equity ratio 36.9%.</t>
        </is>
      </c>
      <c r="I391" s="2" t="inlineStr">
        <is>
          <t>S2</t>
        </is>
      </c>
      <c r="J391" s="2" t="n">
        <v>43</v>
      </c>
      <c r="K391" s="2" t="inlineStr">
        <is>
          <t>Total equity 6.8 176.2 176.0</t>
        </is>
      </c>
      <c r="L391" s="2" t="inlineStr">
        <is>
          <t>ok</t>
        </is>
      </c>
      <c r="M391" s="2" t="inlineStr">
        <is>
          <t>demo reviewer</t>
        </is>
      </c>
      <c r="N391" s="2" t="n"/>
      <c r="O391" s="3" t="inlineStr">
        <is>
          <t>https://vanillabonds.com/dossier-data/pdf/katjes/katjes-2024-annual-report.pdf#page=43</t>
        </is>
      </c>
    </row>
    <row r="392">
      <c r="A392" s="2" t="inlineStr">
        <is>
          <t>F391</t>
        </is>
      </c>
      <c r="B392" s="2" t="inlineStr">
        <is>
          <t>financials</t>
        </is>
      </c>
      <c r="C392" s="2" t="inlineStr">
        <is>
          <t>equity</t>
        </is>
      </c>
      <c r="D392" s="2" t="inlineStr">
        <is>
          <t>Total equity</t>
        </is>
      </c>
      <c r="E392" s="2" t="inlineStr">
        <is>
          <t>FY2024</t>
        </is>
      </c>
      <c r="F392" s="2" t="n">
        <v>176.2</v>
      </c>
      <c r="G392" s="2" t="inlineStr">
        <is>
          <t>EUR m</t>
        </is>
      </c>
      <c r="H392" s="3" t="inlineStr">
        <is>
          <t>Total equity at 31 Dec 2024; shareholders' equity 175.0, non-controlling interests 1.2; equity ratio 35.9%.</t>
        </is>
      </c>
      <c r="I392" s="2" t="inlineStr">
        <is>
          <t>S2</t>
        </is>
      </c>
      <c r="J392" s="2" t="n">
        <v>43</v>
      </c>
      <c r="K392" s="2" t="inlineStr">
        <is>
          <t>Total equity 6.8 176.2 176.0</t>
        </is>
      </c>
      <c r="L392" s="2" t="inlineStr">
        <is>
          <t>ok</t>
        </is>
      </c>
      <c r="M392" s="2" t="inlineStr">
        <is>
          <t>demo reviewer</t>
        </is>
      </c>
      <c r="N392" s="2" t="n"/>
      <c r="O392" s="3" t="inlineStr">
        <is>
          <t>https://vanillabonds.com/dossier-data/pdf/katjes/katjes-2024-annual-report.pdf#page=43</t>
        </is>
      </c>
    </row>
    <row r="393">
      <c r="A393" s="2" t="inlineStr">
        <is>
          <t>F392</t>
        </is>
      </c>
      <c r="B393" s="2" t="inlineStr">
        <is>
          <t>financials</t>
        </is>
      </c>
      <c r="C393" s="2" t="inlineStr">
        <is>
          <t>total_assets</t>
        </is>
      </c>
      <c r="D393" s="2" t="inlineStr">
        <is>
          <t>Total assets</t>
        </is>
      </c>
      <c r="E393" s="2" t="inlineStr">
        <is>
          <t>FY2023</t>
        </is>
      </c>
      <c r="F393" s="2" t="n">
        <v>477.6</v>
      </c>
      <c r="G393" s="2" t="inlineStr">
        <is>
          <t>EUR m</t>
        </is>
      </c>
      <c r="H393" s="3" t="inlineStr">
        <is>
          <t>Total assets at 31 Dec 2023; non-current 313.0, current 164.6.</t>
        </is>
      </c>
      <c r="I393" s="2" t="inlineStr">
        <is>
          <t>S2</t>
        </is>
      </c>
      <c r="J393" s="2" t="n">
        <v>42</v>
      </c>
      <c r="K393" s="2" t="inlineStr">
        <is>
          <t>Total assets 491.7 477.6</t>
        </is>
      </c>
      <c r="L393" s="2" t="inlineStr">
        <is>
          <t>ok</t>
        </is>
      </c>
      <c r="M393" s="2" t="inlineStr">
        <is>
          <t>demo reviewer</t>
        </is>
      </c>
      <c r="N393" s="2" t="n"/>
      <c r="O393" s="3" t="inlineStr">
        <is>
          <t>https://vanillabonds.com/dossier-data/pdf/katjes/katjes-2024-annual-report.pdf#page=42</t>
        </is>
      </c>
    </row>
    <row r="394">
      <c r="A394" s="2" t="inlineStr">
        <is>
          <t>F393</t>
        </is>
      </c>
      <c r="B394" s="2" t="inlineStr">
        <is>
          <t>financials</t>
        </is>
      </c>
      <c r="C394" s="2" t="inlineStr">
        <is>
          <t>total_assets</t>
        </is>
      </c>
      <c r="D394" s="2" t="inlineStr">
        <is>
          <t>Total assets</t>
        </is>
      </c>
      <c r="E394" s="2" t="inlineStr">
        <is>
          <t>FY2024</t>
        </is>
      </c>
      <c r="F394" s="2" t="n">
        <v>491.7</v>
      </c>
      <c r="G394" s="2" t="inlineStr">
        <is>
          <t>EUR m</t>
        </is>
      </c>
      <c r="H394" s="3" t="inlineStr">
        <is>
          <t>Total assets at 31 Dec 2024; non-current 324.8, current 166.9.</t>
        </is>
      </c>
      <c r="I394" s="2" t="inlineStr">
        <is>
          <t>S2</t>
        </is>
      </c>
      <c r="J394" s="2" t="n">
        <v>42</v>
      </c>
      <c r="K394" s="2" t="inlineStr">
        <is>
          <t>Total assets 491.7 477.6</t>
        </is>
      </c>
      <c r="L394" s="2" t="inlineStr">
        <is>
          <t>ok</t>
        </is>
      </c>
      <c r="M394" s="2" t="inlineStr">
        <is>
          <t>demo reviewer</t>
        </is>
      </c>
      <c r="N394" s="2" t="n"/>
      <c r="O394" s="3" t="inlineStr">
        <is>
          <t>https://vanillabonds.com/dossier-data/pdf/katjes/katjes-2024-annual-report.pdf#page=42</t>
        </is>
      </c>
    </row>
    <row r="395">
      <c r="A395" s="2" t="inlineStr">
        <is>
          <t>F394</t>
        </is>
      </c>
      <c r="B395" s="2" t="inlineStr">
        <is>
          <t>debt</t>
        </is>
      </c>
      <c r="C395" s="2" t="inlineStr">
        <is>
          <t>debt_instrument</t>
        </is>
      </c>
      <c r="D395" s="2" t="inlineStr">
        <is>
          <t>Debt instrument</t>
        </is>
      </c>
      <c r="E395" s="2" t="n"/>
      <c r="F395" s="2" t="n">
        <v>6.7</v>
      </c>
      <c r="G395" s="2" t="n"/>
      <c r="H395" s="3" t="inlineStr">
        <is>
          <t>Hire purchase liabilities EUR 6.7m at 31 Dec 2024, of which 5.5 current (2023: 3.0, of which 1.8 current).</t>
        </is>
      </c>
      <c r="I395" s="2" t="inlineStr">
        <is>
          <t>S2</t>
        </is>
      </c>
      <c r="J395" s="2" t="n">
        <v>60</v>
      </c>
      <c r="K395" s="3" t="inlineStr">
        <is>
          <t>liabilities from hire purchase agreements totaling EUR 6.7 million (of which EUR 5.5 million current) are included (2023: EUR 3.0 million</t>
        </is>
      </c>
      <c r="L395" s="2" t="inlineStr">
        <is>
          <t>ok</t>
        </is>
      </c>
      <c r="M395" s="2" t="inlineStr">
        <is>
          <t>demo reviewer</t>
        </is>
      </c>
      <c r="N395" s="2" t="n"/>
      <c r="O395" s="3" t="inlineStr">
        <is>
          <t>https://vanillabonds.com/dossier-data/pdf/katjes/katjes-2024-annual-report.pdf#page=60</t>
        </is>
      </c>
    </row>
    <row r="396">
      <c r="A396" s="2" t="inlineStr">
        <is>
          <t>F395</t>
        </is>
      </c>
      <c r="B396" s="2" t="inlineStr">
        <is>
          <t>debt</t>
        </is>
      </c>
      <c r="C396" s="2" t="inlineStr">
        <is>
          <t>debt_instrument</t>
        </is>
      </c>
      <c r="D396" s="2" t="inlineStr">
        <is>
          <t>Debt instrument</t>
        </is>
      </c>
      <c r="E396" s="2" t="n"/>
      <c r="F396" s="2" t="n">
        <v>50.4</v>
      </c>
      <c r="G396" s="2" t="n"/>
      <c r="H396" s="3" t="inlineStr">
        <is>
          <t>Liabilities to financial institutions EUR 50.4m at 31 Dec 2024 (2023: 56.3); accrued bond interest 2.1 (2023: 2.1).</t>
        </is>
      </c>
      <c r="I396" s="2" t="inlineStr">
        <is>
          <t>S2</t>
        </is>
      </c>
      <c r="J396" s="2" t="n">
        <v>60</v>
      </c>
      <c r="K396" s="3" t="inlineStr">
        <is>
          <t>liabilities to financial institutions amounting to EUR 50.4 million (2023: EUR 56.3 million)</t>
        </is>
      </c>
      <c r="L396" s="2" t="inlineStr">
        <is>
          <t>ok</t>
        </is>
      </c>
      <c r="M396" s="2" t="inlineStr">
        <is>
          <t>demo reviewer</t>
        </is>
      </c>
      <c r="N396" s="2" t="n"/>
      <c r="O396" s="3" t="inlineStr">
        <is>
          <t>https://vanillabonds.com/dossier-data/pdf/katjes/katjes-2024-annual-report.pdf#page=60</t>
        </is>
      </c>
    </row>
    <row r="397">
      <c r="A397" s="2" t="inlineStr">
        <is>
          <t>F396</t>
        </is>
      </c>
      <c r="B397" s="2" t="inlineStr">
        <is>
          <t>debt</t>
        </is>
      </c>
      <c r="C397" s="2" t="inlineStr">
        <is>
          <t>debt_instrument</t>
        </is>
      </c>
      <c r="D397" s="2" t="inlineStr">
        <is>
          <t>Debt instrument</t>
        </is>
      </c>
      <c r="E397" s="2" t="n"/>
      <c r="F397" s="2" t="n">
        <v>115</v>
      </c>
      <c r="G397" s="2" t="n"/>
      <c r="H397" s="3" t="inlineStr">
        <is>
          <t>Corporate bond 2023/2028, EUR 115.0m outstanding at 31 Dec 2024 and 2023, fixed coupon 6.75%, issued September 2023, no security or ranking stated.</t>
        </is>
      </c>
      <c r="I397" s="2" t="inlineStr">
        <is>
          <t>S2</t>
        </is>
      </c>
      <c r="J397" s="2" t="n">
        <v>65</v>
      </c>
      <c r="K397" s="2" t="inlineStr">
        <is>
          <t>Corporate bond 6.75 115.0 115.0</t>
        </is>
      </c>
      <c r="L397" s="2" t="inlineStr">
        <is>
          <t>ok</t>
        </is>
      </c>
      <c r="M397" s="2" t="inlineStr">
        <is>
          <t>demo reviewer</t>
        </is>
      </c>
      <c r="N397" s="2" t="n"/>
      <c r="O397" s="3" t="inlineStr">
        <is>
          <t>https://vanillabonds.com/dossier-data/pdf/katjes/katjes-2024-annual-report.pdf#page=65</t>
        </is>
      </c>
    </row>
    <row r="398">
      <c r="A398" s="2" t="inlineStr">
        <is>
          <t>F397</t>
        </is>
      </c>
      <c r="B398" s="2" t="inlineStr">
        <is>
          <t>debt</t>
        </is>
      </c>
      <c r="C398" s="2" t="inlineStr">
        <is>
          <t>debt_instrument</t>
        </is>
      </c>
      <c r="D398" s="2" t="inlineStr">
        <is>
          <t>Debt instrument</t>
        </is>
      </c>
      <c r="E398" s="2" t="n"/>
      <c r="F398" s="2" t="n">
        <v>20.9</v>
      </c>
      <c r="G398" s="2" t="n"/>
      <c r="H398" s="3" t="inlineStr">
        <is>
          <t>Bank loan with original amount kEUR 24,000, interest 5.6%, EUR 20.9m outstanding at 31 Dec 2024 (2023: 24.0); lender and maturity not named.</t>
        </is>
      </c>
      <c r="I398" s="2" t="inlineStr">
        <is>
          <t>S2</t>
        </is>
      </c>
      <c r="J398" s="2" t="n">
        <v>65</v>
      </c>
      <c r="K398" s="2" t="inlineStr">
        <is>
          <t>Bank loan kEUR 24.000 5.6 20.9 24.0</t>
        </is>
      </c>
      <c r="L398" s="2" t="inlineStr">
        <is>
          <t>ok</t>
        </is>
      </c>
      <c r="M398" s="2" t="inlineStr">
        <is>
          <t>demo reviewer</t>
        </is>
      </c>
      <c r="N398" s="2" t="n"/>
      <c r="O398" s="3" t="inlineStr">
        <is>
          <t>https://vanillabonds.com/dossier-data/pdf/katjes/katjes-2024-annual-report.pdf#page=65</t>
        </is>
      </c>
    </row>
    <row r="399">
      <c r="A399" s="2" t="inlineStr">
        <is>
          <t>F398</t>
        </is>
      </c>
      <c r="B399" s="2" t="inlineStr">
        <is>
          <t>debt</t>
        </is>
      </c>
      <c r="C399" s="2" t="inlineStr">
        <is>
          <t>debt_instrument</t>
        </is>
      </c>
      <c r="D399" s="2" t="inlineStr">
        <is>
          <t>Debt instrument</t>
        </is>
      </c>
      <c r="E399" s="2" t="n"/>
      <c r="F399" s="2" t="n">
        <v>3.7</v>
      </c>
      <c r="G399" s="2" t="n"/>
      <c r="H399" s="3" t="inlineStr">
        <is>
          <t>Bank loan with original amount kEUR 11,700, interest 2.9%, EUR 3.7m outstanding at 31 Dec 2024 (2023: 6.0).</t>
        </is>
      </c>
      <c r="I399" s="2" t="inlineStr">
        <is>
          <t>S2</t>
        </is>
      </c>
      <c r="J399" s="2" t="n">
        <v>65</v>
      </c>
      <c r="K399" s="2" t="inlineStr">
        <is>
          <t>Bank loan kEUR 11.700 2.9 3.7 6.0</t>
        </is>
      </c>
      <c r="L399" s="2" t="inlineStr">
        <is>
          <t>ok</t>
        </is>
      </c>
      <c r="M399" s="2" t="inlineStr">
        <is>
          <t>demo reviewer</t>
        </is>
      </c>
      <c r="N399" s="2" t="n"/>
      <c r="O399" s="3" t="inlineStr">
        <is>
          <t>https://vanillabonds.com/dossier-data/pdf/katjes/katjes-2024-annual-report.pdf#page=65</t>
        </is>
      </c>
    </row>
    <row r="400">
      <c r="A400" s="2" t="inlineStr">
        <is>
          <t>F399</t>
        </is>
      </c>
      <c r="B400" s="2" t="inlineStr">
        <is>
          <t>debt</t>
        </is>
      </c>
      <c r="C400" s="2" t="inlineStr">
        <is>
          <t>debt_instrument</t>
        </is>
      </c>
      <c r="D400" s="2" t="inlineStr">
        <is>
          <t>Debt instrument</t>
        </is>
      </c>
      <c r="E400" s="2" t="n"/>
      <c r="F400" s="2" t="n">
        <v>5</v>
      </c>
      <c r="G400" s="2" t="n"/>
      <c r="H400" s="3" t="inlineStr">
        <is>
          <t>Bank loan with original amount kEUR 5,000, interest 4.98%, EUR 5.0m outstanding at 31 Dec 2024 (2023: 5.0).</t>
        </is>
      </c>
      <c r="I400" s="2" t="inlineStr">
        <is>
          <t>S2</t>
        </is>
      </c>
      <c r="J400" s="2" t="n">
        <v>65</v>
      </c>
      <c r="K400" s="2" t="inlineStr">
        <is>
          <t>Bank loan kEUR 5.000 4.98 5.0 5.0</t>
        </is>
      </c>
      <c r="L400" s="2" t="inlineStr">
        <is>
          <t>ok</t>
        </is>
      </c>
      <c r="M400" s="2" t="inlineStr">
        <is>
          <t>demo reviewer</t>
        </is>
      </c>
      <c r="N400" s="2" t="n"/>
      <c r="O400" s="3" t="inlineStr">
        <is>
          <t>https://vanillabonds.com/dossier-data/pdf/katjes/katjes-2024-annual-report.pdf#page=65</t>
        </is>
      </c>
    </row>
    <row r="401">
      <c r="A401" s="2" t="inlineStr">
        <is>
          <t>F400</t>
        </is>
      </c>
      <c r="B401" s="2" t="inlineStr">
        <is>
          <t>debt</t>
        </is>
      </c>
      <c r="C401" s="2" t="inlineStr">
        <is>
          <t>debt_instrument</t>
        </is>
      </c>
      <c r="D401" s="2" t="inlineStr">
        <is>
          <t>Debt instrument</t>
        </is>
      </c>
      <c r="E401" s="2" t="n"/>
      <c r="F401" s="2" t="n">
        <v>3.1</v>
      </c>
      <c r="G401" s="2" t="n"/>
      <c r="H401" s="3" t="inlineStr">
        <is>
          <t>Bank loan with original amount kEUR 5,000, interest 8.5%, EUR 3.1m outstanding at 31 Dec 2024 (2023: 4.4).</t>
        </is>
      </c>
      <c r="I401" s="2" t="inlineStr">
        <is>
          <t>S2</t>
        </is>
      </c>
      <c r="J401" s="2" t="n">
        <v>65</v>
      </c>
      <c r="K401" s="2" t="inlineStr">
        <is>
          <t>Bank loan kEUR 5.000 8.5 3.1 4.4</t>
        </is>
      </c>
      <c r="L401" s="2" t="inlineStr">
        <is>
          <t>ok</t>
        </is>
      </c>
      <c r="M401" s="2" t="inlineStr">
        <is>
          <t>demo reviewer</t>
        </is>
      </c>
      <c r="N401" s="2" t="n"/>
      <c r="O401" s="3" t="inlineStr">
        <is>
          <t>https://vanillabonds.com/dossier-data/pdf/katjes/katjes-2024-annual-report.pdf#page=65</t>
        </is>
      </c>
    </row>
    <row r="402">
      <c r="A402" s="2" t="inlineStr">
        <is>
          <t>F401</t>
        </is>
      </c>
      <c r="B402" s="2" t="inlineStr">
        <is>
          <t>debt</t>
        </is>
      </c>
      <c r="C402" s="2" t="inlineStr">
        <is>
          <t>debt_instrument</t>
        </is>
      </c>
      <c r="D402" s="2" t="inlineStr">
        <is>
          <t>Debt instrument</t>
        </is>
      </c>
      <c r="E402" s="2" t="n"/>
      <c r="F402" s="2" t="n">
        <v>0</v>
      </c>
      <c r="G402" s="2" t="n"/>
      <c r="H402" s="3" t="inlineStr">
        <is>
          <t>Bank loan with original amount kEUR 5,000, interest 0.7%, fully repaid: EUR 0.0m at 31 Dec 2024 (2023: 1.7).</t>
        </is>
      </c>
      <c r="I402" s="2" t="inlineStr">
        <is>
          <t>S2</t>
        </is>
      </c>
      <c r="J402" s="2" t="n">
        <v>65</v>
      </c>
      <c r="K402" s="2" t="inlineStr">
        <is>
          <t>Bank loan kEUR 5.000 0.7 0.0 1.7</t>
        </is>
      </c>
      <c r="L402" s="2" t="inlineStr">
        <is>
          <t>ok</t>
        </is>
      </c>
      <c r="M402" s="2" t="inlineStr">
        <is>
          <t>demo reviewer</t>
        </is>
      </c>
      <c r="N402" s="2" t="n"/>
      <c r="O402" s="3" t="inlineStr">
        <is>
          <t>https://vanillabonds.com/dossier-data/pdf/katjes/katjes-2024-annual-report.pdf#page=65</t>
        </is>
      </c>
    </row>
    <row r="403">
      <c r="A403" s="2" t="inlineStr">
        <is>
          <t>F402</t>
        </is>
      </c>
      <c r="B403" s="2" t="inlineStr">
        <is>
          <t>debt</t>
        </is>
      </c>
      <c r="C403" s="2" t="inlineStr">
        <is>
          <t>debt_instrument</t>
        </is>
      </c>
      <c r="D403" s="2" t="inlineStr">
        <is>
          <t>Debt instrument</t>
        </is>
      </c>
      <c r="E403" s="2" t="n"/>
      <c r="F403" s="2" t="n">
        <v>0.4</v>
      </c>
      <c r="G403" s="2" t="n"/>
      <c r="H403" s="3" t="inlineStr">
        <is>
          <t>Bank loan with original amount kEUR 3,000, interest 2.0%, EUR 0.4m outstanding at 31 Dec 2024 (2023: 1.1).</t>
        </is>
      </c>
      <c r="I403" s="2" t="inlineStr">
        <is>
          <t>S2</t>
        </is>
      </c>
      <c r="J403" s="2" t="n">
        <v>65</v>
      </c>
      <c r="K403" s="2" t="inlineStr">
        <is>
          <t>Bank loan kEUR 3.000 2.0 0.4 1.1</t>
        </is>
      </c>
      <c r="L403" s="2" t="inlineStr">
        <is>
          <t>ok</t>
        </is>
      </c>
      <c r="M403" s="2" t="inlineStr">
        <is>
          <t>demo reviewer</t>
        </is>
      </c>
      <c r="N403" s="2" t="n"/>
      <c r="O403" s="3" t="inlineStr">
        <is>
          <t>https://vanillabonds.com/dossier-data/pdf/katjes/katjes-2024-annual-report.pdf#page=65</t>
        </is>
      </c>
    </row>
    <row r="404">
      <c r="A404" s="2" t="inlineStr">
        <is>
          <t>F403</t>
        </is>
      </c>
      <c r="B404" s="2" t="inlineStr">
        <is>
          <t>debt</t>
        </is>
      </c>
      <c r="C404" s="2" t="inlineStr">
        <is>
          <t>debt_instrument</t>
        </is>
      </c>
      <c r="D404" s="2" t="inlineStr">
        <is>
          <t>Debt instrument</t>
        </is>
      </c>
      <c r="E404" s="2" t="n"/>
      <c r="F404" s="2" t="n">
        <v>0</v>
      </c>
      <c r="G404" s="2" t="n"/>
      <c r="H404" s="3" t="inlineStr">
        <is>
          <t>Bank loan with original amount kEUR 3,000, interest 1.8%, fully repaid: EUR 0.0m at 31 Dec 2024 (2023: 0.3).</t>
        </is>
      </c>
      <c r="I404" s="2" t="inlineStr">
        <is>
          <t>S2</t>
        </is>
      </c>
      <c r="J404" s="2" t="n">
        <v>65</v>
      </c>
      <c r="K404" s="2" t="inlineStr">
        <is>
          <t>Bank loan kEUR 3.000 1.8 0.0 0.3</t>
        </is>
      </c>
      <c r="L404" s="2" t="inlineStr">
        <is>
          <t>ok</t>
        </is>
      </c>
      <c r="M404" s="2" t="inlineStr">
        <is>
          <t>demo reviewer</t>
        </is>
      </c>
      <c r="N404" s="2" t="n"/>
      <c r="O404" s="3" t="inlineStr">
        <is>
          <t>https://vanillabonds.com/dossier-data/pdf/katjes/katjes-2024-annual-report.pdf#page=65</t>
        </is>
      </c>
    </row>
    <row r="405">
      <c r="A405" s="2" t="inlineStr">
        <is>
          <t>F404</t>
        </is>
      </c>
      <c r="B405" s="2" t="inlineStr">
        <is>
          <t>debt</t>
        </is>
      </c>
      <c r="C405" s="2" t="inlineStr">
        <is>
          <t>debt_instrument</t>
        </is>
      </c>
      <c r="D405" s="2" t="inlineStr">
        <is>
          <t>Debt instrument</t>
        </is>
      </c>
      <c r="E405" s="2" t="n"/>
      <c r="F405" s="2" t="n">
        <v>24</v>
      </c>
      <c r="G405" s="2" t="n"/>
      <c r="H405" s="3" t="inlineStr">
        <is>
          <t>Other loans, variable and fixed rates, EUR 24.0m at 31 Dec 2024 (2023: 16.9).</t>
        </is>
      </c>
      <c r="I405" s="2" t="inlineStr">
        <is>
          <t>S2</t>
        </is>
      </c>
      <c r="J405" s="2" t="n">
        <v>65</v>
      </c>
      <c r="K405" s="2" t="inlineStr">
        <is>
          <t>Other loans Variable and fixed 24.0 16.9</t>
        </is>
      </c>
      <c r="L405" s="2" t="inlineStr">
        <is>
          <t>ok</t>
        </is>
      </c>
      <c r="M405" s="2" t="inlineStr">
        <is>
          <t>demo reviewer</t>
        </is>
      </c>
      <c r="N405" s="2" t="n"/>
      <c r="O405" s="3" t="inlineStr">
        <is>
          <t>https://vanillabonds.com/dossier-data/pdf/katjes/katjes-2024-annual-report.pdf#page=65</t>
        </is>
      </c>
    </row>
    <row r="406">
      <c r="A406" s="2" t="inlineStr">
        <is>
          <t>F405</t>
        </is>
      </c>
      <c r="B406" s="2" t="inlineStr">
        <is>
          <t>debt</t>
        </is>
      </c>
      <c r="C406" s="2" t="inlineStr">
        <is>
          <t>debt_instrument</t>
        </is>
      </c>
      <c r="D406" s="2" t="inlineStr">
        <is>
          <t>Debt instrument</t>
        </is>
      </c>
      <c r="E406" s="2" t="n"/>
      <c r="F406" s="2" t="n">
        <v>14.7</v>
      </c>
      <c r="G406" s="2" t="n"/>
      <c r="H406" s="3" t="inlineStr">
        <is>
          <t>Other financial interest-bearing liabilities, variable and fixed rates, EUR 14.7m at 31 Dec 2024 (2023: 15.3).</t>
        </is>
      </c>
      <c r="I406" s="2" t="inlineStr">
        <is>
          <t>S2</t>
        </is>
      </c>
      <c r="J406" s="2" t="n">
        <v>65</v>
      </c>
      <c r="K406" s="3" t="inlineStr">
        <is>
          <t>Other financial interest-bearing liabilities Variable and fixed 14.7 15.3</t>
        </is>
      </c>
      <c r="L406" s="2" t="inlineStr">
        <is>
          <t>ok</t>
        </is>
      </c>
      <c r="M406" s="2" t="inlineStr">
        <is>
          <t>demo reviewer</t>
        </is>
      </c>
      <c r="N406" s="2" t="n"/>
      <c r="O406" s="3" t="inlineStr">
        <is>
          <t>https://vanillabonds.com/dossier-data/pdf/katjes/katjes-2024-annual-report.pdf#page=65</t>
        </is>
      </c>
    </row>
    <row r="407">
      <c r="A407" s="2" t="inlineStr">
        <is>
          <t>F406</t>
        </is>
      </c>
      <c r="B407" s="2" t="inlineStr">
        <is>
          <t>debt</t>
        </is>
      </c>
      <c r="C407" s="2" t="inlineStr">
        <is>
          <t>debt_instrument</t>
        </is>
      </c>
      <c r="D407" s="2" t="inlineStr">
        <is>
          <t>Debt instrument</t>
        </is>
      </c>
      <c r="E407" s="2" t="n"/>
      <c r="F407" s="2" t="n">
        <v>3</v>
      </c>
      <c r="G407" s="2" t="n"/>
      <c r="H407" s="3" t="inlineStr">
        <is>
          <t>Supplier financing arrangement with a bank: EUR 3.0m recognised as liability to banks at 31 Dec 2024, of which 2.7 already paid out to suppliers; average payment term about 60 to 75 days.</t>
        </is>
      </c>
      <c r="I407" s="2" t="inlineStr">
        <is>
          <t>S2</t>
        </is>
      </c>
      <c r="J407" s="2" t="n">
        <v>69</v>
      </c>
      <c r="K407" s="3" t="inlineStr">
        <is>
          <t>As of 31 December 2024, an amount of EUR 3.0 million is recognized under financial liabilities as a liability to banks, of which EUR 2.7 million had already been paid out to the original suppliers.</t>
        </is>
      </c>
      <c r="L407" s="2" t="inlineStr">
        <is>
          <t>ok</t>
        </is>
      </c>
      <c r="M407" s="2" t="inlineStr">
        <is>
          <t>demo reviewer</t>
        </is>
      </c>
      <c r="N407" s="2" t="n"/>
      <c r="O407" s="3" t="inlineStr">
        <is>
          <t>https://vanillabonds.com/dossier-data/pdf/katjes/katjes-2024-annual-report.pdf#page=69</t>
        </is>
      </c>
    </row>
    <row r="408">
      <c r="A408" s="2" t="inlineStr">
        <is>
          <t>F407</t>
        </is>
      </c>
      <c r="B408" s="2" t="inlineStr">
        <is>
          <t>risk</t>
        </is>
      </c>
      <c r="C408" s="2" t="inlineStr">
        <is>
          <t>risk_fact</t>
        </is>
      </c>
      <c r="D408" s="2" t="inlineStr">
        <is>
          <t>Risk fact</t>
        </is>
      </c>
      <c r="E408" s="2" t="n"/>
      <c r="F408" s="2" t="n"/>
      <c r="G408" s="2" t="n"/>
      <c r="H408" s="3" t="inlineStr">
        <is>
          <t>Seasonality: the confectionery business is subject to seasonal fluctuations (seasonal products 13.9% of 2024 revenue).</t>
        </is>
      </c>
      <c r="I408" s="2" t="inlineStr">
        <is>
          <t>S2</t>
        </is>
      </c>
      <c r="J408" s="2" t="n">
        <v>35</v>
      </c>
      <c r="K408" s="3" t="inlineStr">
        <is>
          <t>The confectionery business is subject to seasonal fluctuati- ons.</t>
        </is>
      </c>
      <c r="L408" s="2" t="inlineStr">
        <is>
          <t>ok</t>
        </is>
      </c>
      <c r="M408" s="2" t="inlineStr">
        <is>
          <t>demo reviewer</t>
        </is>
      </c>
      <c r="N408" s="2" t="n"/>
      <c r="O408" s="3" t="inlineStr">
        <is>
          <t>https://vanillabonds.com/dossier-data/pdf/katjes/katjes-2024-annual-report.pdf#page=35</t>
        </is>
      </c>
    </row>
    <row r="409">
      <c r="A409" s="2" t="inlineStr">
        <is>
          <t>F408</t>
        </is>
      </c>
      <c r="B409" s="2" t="inlineStr">
        <is>
          <t>risk</t>
        </is>
      </c>
      <c r="C409" s="2" t="inlineStr">
        <is>
          <t>risk_fact</t>
        </is>
      </c>
      <c r="D409" s="2" t="inlineStr">
        <is>
          <t>Risk fact</t>
        </is>
      </c>
      <c r="E409" s="2" t="n"/>
      <c r="F409" s="2" t="n"/>
      <c r="G409" s="2" t="n"/>
      <c r="H409" s="3" t="inlineStr">
        <is>
          <t>Input costs: sugar, cocoa, nuts, glucose, panthenol and packaging materials are subject to significant price fluctuations that may not be fully passed on to customers.</t>
        </is>
      </c>
      <c r="I409" s="2" t="inlineStr">
        <is>
          <t>S2</t>
        </is>
      </c>
      <c r="J409" s="2" t="n">
        <v>35</v>
      </c>
      <c r="K409" s="3" t="inlineStr">
        <is>
          <t>Procurement costs for essential raw and auxiliary materials such as sugar, cocoa, nuts, glucose, panthenol, and packa</t>
        </is>
      </c>
      <c r="L409" s="2" t="inlineStr">
        <is>
          <t>ok</t>
        </is>
      </c>
      <c r="M409" s="2" t="inlineStr">
        <is>
          <t>demo reviewer</t>
        </is>
      </c>
      <c r="N409" s="2" t="n"/>
      <c r="O409" s="3" t="inlineStr">
        <is>
          <t>https://vanillabonds.com/dossier-data/pdf/katjes/katjes-2024-annual-report.pdf#page=35</t>
        </is>
      </c>
    </row>
    <row r="410">
      <c r="A410" s="2" t="inlineStr">
        <is>
          <t>F409</t>
        </is>
      </c>
      <c r="B410" s="2" t="inlineStr">
        <is>
          <t>risk</t>
        </is>
      </c>
      <c r="C410" s="2" t="inlineStr">
        <is>
          <t>risk_fact</t>
        </is>
      </c>
      <c r="D410" s="2" t="inlineStr">
        <is>
          <t>Risk fact</t>
        </is>
      </c>
      <c r="E410" s="2" t="n"/>
      <c r="F410" s="2" t="n"/>
      <c r="G410" s="2" t="n"/>
      <c r="H410" s="3" t="inlineStr">
        <is>
          <t>Concentration: structural change and consolidation in retail and wholesale; concentration risks from large key accounts, especially in food retail.</t>
        </is>
      </c>
      <c r="I410" s="2" t="inlineStr">
        <is>
          <t>S2</t>
        </is>
      </c>
      <c r="J410" s="2" t="n">
        <v>35</v>
      </c>
      <c r="K410" s="3" t="inlineStr">
        <is>
          <t>Concentration risks may ari- se from large key accounts, especially in food retail.</t>
        </is>
      </c>
      <c r="L410" s="2" t="inlineStr">
        <is>
          <t>ok</t>
        </is>
      </c>
      <c r="M410" s="2" t="inlineStr">
        <is>
          <t>demo reviewer</t>
        </is>
      </c>
      <c r="N410" s="2" t="n"/>
      <c r="O410" s="3" t="inlineStr">
        <is>
          <t>https://vanillabonds.com/dossier-data/pdf/katjes/katjes-2024-annual-report.pdf#page=35</t>
        </is>
      </c>
    </row>
    <row r="411">
      <c r="A411" s="2" t="inlineStr">
        <is>
          <t>F410</t>
        </is>
      </c>
      <c r="B411" s="2" t="inlineStr">
        <is>
          <t>risk</t>
        </is>
      </c>
      <c r="C411" s="2" t="inlineStr">
        <is>
          <t>risk_fact</t>
        </is>
      </c>
      <c r="D411" s="2" t="inlineStr">
        <is>
          <t>Risk fact</t>
        </is>
      </c>
      <c r="E411" s="2" t="n"/>
      <c r="F411" s="2" t="n"/>
      <c r="G411" s="2" t="n"/>
      <c r="H411" s="3" t="inlineStr">
        <is>
          <t>Supply: reliance on certain suppliers; supply failures or delays may interrupt production.</t>
        </is>
      </c>
      <c r="I411" s="2" t="inlineStr">
        <is>
          <t>S2</t>
        </is>
      </c>
      <c r="J411" s="2" t="n">
        <v>35</v>
      </c>
      <c r="K411" s="3" t="inlineStr">
        <is>
          <t>Katjes International relies on certain suppliers. Supply failures or delivery delays may cause production interruptions.</t>
        </is>
      </c>
      <c r="L411" s="2" t="inlineStr">
        <is>
          <t>ok</t>
        </is>
      </c>
      <c r="M411" s="2" t="inlineStr">
        <is>
          <t>demo reviewer</t>
        </is>
      </c>
      <c r="N411" s="2" t="n"/>
      <c r="O411" s="3" t="inlineStr">
        <is>
          <t>https://vanillabonds.com/dossier-data/pdf/katjes/katjes-2024-annual-report.pdf#page=35</t>
        </is>
      </c>
    </row>
    <row r="412">
      <c r="A412" s="2" t="inlineStr">
        <is>
          <t>F411</t>
        </is>
      </c>
      <c r="B412" s="2" t="inlineStr">
        <is>
          <t>risk</t>
        </is>
      </c>
      <c r="C412" s="2" t="inlineStr">
        <is>
          <t>risk_fact</t>
        </is>
      </c>
      <c r="D412" s="2" t="inlineStr">
        <is>
          <t>Risk fact</t>
        </is>
      </c>
      <c r="E412" s="2" t="n"/>
      <c r="F412" s="2" t="n"/>
      <c r="G412" s="2" t="n"/>
      <c r="H412" s="3" t="inlineStr">
        <is>
          <t>Geopolitics: the war in Ukraine continues to cause volatility in procurement markets; the Middle East conflict is named as a relevant development.</t>
        </is>
      </c>
      <c r="I412" s="2" t="inlineStr">
        <is>
          <t>S2</t>
        </is>
      </c>
      <c r="J412" s="2" t="n">
        <v>35</v>
      </c>
      <c r="K412" s="3" t="inlineStr">
        <is>
          <t>The ongoing war in Ukraine continues to cause i. a. volatility in procurement markets.</t>
        </is>
      </c>
      <c r="L412" s="2" t="inlineStr">
        <is>
          <t>ok</t>
        </is>
      </c>
      <c r="M412" s="2" t="inlineStr">
        <is>
          <t>demo reviewer</t>
        </is>
      </c>
      <c r="N412" s="2" t="n"/>
      <c r="O412" s="3" t="inlineStr">
        <is>
          <t>https://vanillabonds.com/dossier-data/pdf/katjes/katjes-2024-annual-report.pdf#page=35</t>
        </is>
      </c>
    </row>
    <row r="413">
      <c r="A413" s="2" t="inlineStr">
        <is>
          <t>F412</t>
        </is>
      </c>
      <c r="B413" s="2" t="inlineStr">
        <is>
          <t>risk</t>
        </is>
      </c>
      <c r="C413" s="2" t="inlineStr">
        <is>
          <t>risk_fact</t>
        </is>
      </c>
      <c r="D413" s="2" t="inlineStr">
        <is>
          <t>Risk fact</t>
        </is>
      </c>
      <c r="E413" s="2" t="n"/>
      <c r="F413" s="2" t="n"/>
      <c r="G413" s="2" t="n"/>
      <c r="H413" s="3" t="inlineStr">
        <is>
          <t>Subsidies: group companies may be required to repay subsidies or other government grants.</t>
        </is>
      </c>
      <c r="I413" s="2" t="inlineStr">
        <is>
          <t>S2</t>
        </is>
      </c>
      <c r="J413" s="2" t="n">
        <v>35</v>
      </c>
      <c r="K413" s="3" t="inlineStr">
        <is>
          <t>Group companies may be required to repay subsidies or other government grants.</t>
        </is>
      </c>
      <c r="L413" s="2" t="inlineStr">
        <is>
          <t>ok</t>
        </is>
      </c>
      <c r="M413" s="2" t="inlineStr">
        <is>
          <t>demo reviewer</t>
        </is>
      </c>
      <c r="N413" s="2" t="n"/>
      <c r="O413" s="3" t="inlineStr">
        <is>
          <t>https://vanillabonds.com/dossier-data/pdf/katjes/katjes-2024-annual-report.pdf#page=35</t>
        </is>
      </c>
    </row>
    <row r="414">
      <c r="A414" s="2" t="inlineStr">
        <is>
          <t>F413</t>
        </is>
      </c>
      <c r="B414" s="2" t="inlineStr">
        <is>
          <t>risk</t>
        </is>
      </c>
      <c r="C414" s="2" t="inlineStr">
        <is>
          <t>risk_fact</t>
        </is>
      </c>
      <c r="D414" s="2" t="inlineStr">
        <is>
          <t>Risk fact</t>
        </is>
      </c>
      <c r="E414" s="2" t="n"/>
      <c r="F414" s="2" t="n"/>
      <c r="G414" s="2" t="n"/>
      <c r="H414" s="3" t="inlineStr">
        <is>
          <t>Management assesses the overall market and regulatory risk as 'relatively low' and company-specific risks as 'relatively low' due to the risk management system; the profile is described as unchanged versus the prior year.</t>
        </is>
      </c>
      <c r="I414" s="2" t="inlineStr">
        <is>
          <t>S2</t>
        </is>
      </c>
      <c r="J414" s="2" t="n">
        <v>35</v>
      </c>
      <c r="K414" s="3" t="inlineStr">
        <is>
          <t>Katjes International considers the overall risk arising from the aforementioned market and regulatory risks to be relatively low, due to the risk mitigation measures described in section 6.</t>
        </is>
      </c>
      <c r="L414" s="2" t="inlineStr">
        <is>
          <t>ok</t>
        </is>
      </c>
      <c r="M414" s="2" t="inlineStr">
        <is>
          <t>demo reviewer</t>
        </is>
      </c>
      <c r="N414" s="2" t="n"/>
      <c r="O414" s="3" t="inlineStr">
        <is>
          <t>https://vanillabonds.com/dossier-data/pdf/katjes/katjes-2024-annual-report.pdf#page=35</t>
        </is>
      </c>
    </row>
    <row r="415">
      <c r="A415" s="2" t="inlineStr">
        <is>
          <t>F414</t>
        </is>
      </c>
      <c r="B415" s="2" t="inlineStr">
        <is>
          <t>risk</t>
        </is>
      </c>
      <c r="C415" s="2" t="inlineStr">
        <is>
          <t>risk_fact</t>
        </is>
      </c>
      <c r="D415" s="2" t="inlineStr">
        <is>
          <t>Risk fact</t>
        </is>
      </c>
      <c r="E415" s="2" t="n"/>
      <c r="F415" s="2" t="n"/>
      <c r="G415" s="2" t="n"/>
      <c r="H415" s="3" t="inlineStr">
        <is>
          <t>Structural: as a strategic holding company Katjes International earns service income and its earnings largely depend on the performance of subsidiaries and investments (bond issued at holding level).</t>
        </is>
      </c>
      <c r="I415" s="2" t="inlineStr">
        <is>
          <t>S2</t>
        </is>
      </c>
      <c r="J415" s="2" t="n">
        <v>36</v>
      </c>
      <c r="K415" s="3" t="inlineStr">
        <is>
          <t>As a strategic holding company, Katjes International operates on a service basis for its subsidiaries and investments.</t>
        </is>
      </c>
      <c r="L415" s="2" t="inlineStr">
        <is>
          <t>ok</t>
        </is>
      </c>
      <c r="M415" s="2" t="inlineStr">
        <is>
          <t>demo reviewer</t>
        </is>
      </c>
      <c r="N415" s="2" t="n"/>
      <c r="O415" s="3" t="inlineStr">
        <is>
          <t>https://vanillabonds.com/dossier-data/pdf/katjes/katjes-2024-annual-report.pdf#page=36</t>
        </is>
      </c>
    </row>
    <row r="416">
      <c r="A416" s="2" t="inlineStr">
        <is>
          <t>F415</t>
        </is>
      </c>
      <c r="B416" s="2" t="inlineStr">
        <is>
          <t>risk</t>
        </is>
      </c>
      <c r="C416" s="2" t="inlineStr">
        <is>
          <t>risk_fact</t>
        </is>
      </c>
      <c r="D416" s="2" t="inlineStr">
        <is>
          <t>Risk fact</t>
        </is>
      </c>
      <c r="E416" s="2" t="n"/>
      <c r="F416" s="2" t="n"/>
      <c r="G416" s="2" t="n"/>
      <c r="H416" s="3" t="inlineStr">
        <is>
          <t>Cyber: the threat of cyberattacks (hacking, phishing) is growing; a single attack could cause operational disruption or data loss.</t>
        </is>
      </c>
      <c r="I416" s="2" t="inlineStr">
        <is>
          <t>S2</t>
        </is>
      </c>
      <c r="J416" s="2" t="n">
        <v>36</v>
      </c>
      <c r="K416" s="3" t="inlineStr">
        <is>
          <t>The threat of cyberattacks (e.g., hacking, phishing) is growing.</t>
        </is>
      </c>
      <c r="L416" s="2" t="inlineStr">
        <is>
          <t>ok</t>
        </is>
      </c>
      <c r="M416" s="2" t="inlineStr">
        <is>
          <t>demo reviewer</t>
        </is>
      </c>
      <c r="N416" s="2" t="n"/>
      <c r="O416" s="3" t="inlineStr">
        <is>
          <t>https://vanillabonds.com/dossier-data/pdf/katjes/katjes-2024-annual-report.pdf#page=36</t>
        </is>
      </c>
    </row>
    <row r="417">
      <c r="A417" s="2" t="inlineStr">
        <is>
          <t>F416</t>
        </is>
      </c>
      <c r="B417" s="2" t="inlineStr">
        <is>
          <t>risk</t>
        </is>
      </c>
      <c r="C417" s="2" t="inlineStr">
        <is>
          <t>risk_fact</t>
        </is>
      </c>
      <c r="D417" s="2" t="inlineStr">
        <is>
          <t>Risk fact</t>
        </is>
      </c>
      <c r="E417" s="2" t="n"/>
      <c r="F417" s="2" t="n">
        <v>0.4</v>
      </c>
      <c r="G417" s="2" t="n"/>
      <c r="H417" s="3" t="inlineStr">
        <is>
          <t>A 1% move in the 2- and 3-month EURIBOR would change post-tax profit 2024 by EUR 0.4m (2023: EUR 0.8m), per the factoring interest sensitivity.</t>
        </is>
      </c>
      <c r="I417" s="2" t="inlineStr">
        <is>
          <t>S2</t>
        </is>
      </c>
      <c r="J417" s="2" t="n">
        <v>57</v>
      </c>
      <c r="K417" s="3" t="inlineStr">
        <is>
          <t>EUR 0.4 million lower or EUR 0.4 million higher, respectively (2023: EUR 0.8 million lower / EUR 0.8 million higher).</t>
        </is>
      </c>
      <c r="L417" s="2" t="inlineStr">
        <is>
          <t>ok</t>
        </is>
      </c>
      <c r="M417" s="2" t="inlineStr">
        <is>
          <t>demo reviewer</t>
        </is>
      </c>
      <c r="N417" s="2" t="n"/>
      <c r="O417" s="3" t="inlineStr">
        <is>
          <t>https://vanillabonds.com/dossier-data/pdf/katjes/katjes-2024-annual-report.pdf#page=57</t>
        </is>
      </c>
    </row>
    <row r="418">
      <c r="A418" s="2" t="inlineStr">
        <is>
          <t>F417</t>
        </is>
      </c>
      <c r="B418" s="2" t="inlineStr">
        <is>
          <t>risk</t>
        </is>
      </c>
      <c r="C418" s="2" t="inlineStr">
        <is>
          <t>risk_fact</t>
        </is>
      </c>
      <c r="D418" s="2" t="inlineStr">
        <is>
          <t>Risk fact</t>
        </is>
      </c>
      <c r="E418" s="2" t="n"/>
      <c r="F418" s="2" t="n"/>
      <c r="G418" s="2" t="n"/>
      <c r="H418" s="3" t="inlineStr">
        <is>
          <t>FX: the Group operates mainly in the EU with the vast majority of transactions in euro; no hedging instruments for FX risk at 31 Dec 2024; Candy Kittens and Longaim report in GBP (closing rate 1.21, average 1.18).</t>
        </is>
      </c>
      <c r="I418" s="2" t="inlineStr">
        <is>
          <t>S2</t>
        </is>
      </c>
      <c r="J418" s="2" t="n">
        <v>57</v>
      </c>
      <c r="K418" s="3" t="inlineStr">
        <is>
          <t>As at 31 December 2024, no hedging instruments were in place to mitigate foreign currency risk.</t>
        </is>
      </c>
      <c r="L418" s="2" t="inlineStr">
        <is>
          <t>ok</t>
        </is>
      </c>
      <c r="M418" s="2" t="inlineStr">
        <is>
          <t>demo reviewer</t>
        </is>
      </c>
      <c r="N418" s="2" t="n"/>
      <c r="O418" s="3" t="inlineStr">
        <is>
          <t>https://vanillabonds.com/dossier-data/pdf/katjes/katjes-2024-annual-report.pdf#page=57</t>
        </is>
      </c>
    </row>
    <row r="419">
      <c r="A419" s="2" t="inlineStr">
        <is>
          <t>F418</t>
        </is>
      </c>
      <c r="B419" s="2" t="inlineStr">
        <is>
          <t>risk</t>
        </is>
      </c>
      <c r="C419" s="2" t="inlineStr">
        <is>
          <t>risk_fact</t>
        </is>
      </c>
      <c r="D419" s="2" t="inlineStr">
        <is>
          <t>Risk fact</t>
        </is>
      </c>
      <c r="E419" s="2" t="n"/>
      <c r="F419" s="2" t="n">
        <v>59.2</v>
      </c>
      <c r="G419" s="2" t="n"/>
      <c r="H419" s="3" t="inlineStr">
        <is>
          <t>Credit: maximum credit exposure equals the carrying amount of trade and other receivables EUR 59.2m (2023: 57.3); no material concentrations of credit risk identified; no collateral received.</t>
        </is>
      </c>
      <c r="I419" s="2" t="inlineStr">
        <is>
          <t>S2</t>
        </is>
      </c>
      <c r="J419" s="2" t="n">
        <v>57</v>
      </c>
      <c r="K419" s="3" t="inlineStr">
        <is>
          <t>The maximum exposure to credit risk is limited to the carrying amount (EUR 59.2 million; 2023: EUR 57.3 million).</t>
        </is>
      </c>
      <c r="L419" s="2" t="inlineStr">
        <is>
          <t>ok</t>
        </is>
      </c>
      <c r="M419" s="2" t="inlineStr">
        <is>
          <t>demo reviewer</t>
        </is>
      </c>
      <c r="N419" s="2" t="n"/>
      <c r="O419" s="3" t="inlineStr">
        <is>
          <t>https://vanillabonds.com/dossier-data/pdf/katjes/katjes-2024-annual-report.pdf#page=57</t>
        </is>
      </c>
    </row>
    <row r="420">
      <c r="A420" s="2" t="inlineStr">
        <is>
          <t>F419</t>
        </is>
      </c>
      <c r="B420" s="2" t="inlineStr">
        <is>
          <t>risk</t>
        </is>
      </c>
      <c r="C420" s="2" t="inlineStr">
        <is>
          <t>risk_fact</t>
        </is>
      </c>
      <c r="D420" s="2" t="inlineStr">
        <is>
          <t>Risk fact</t>
        </is>
      </c>
      <c r="E420" s="2" t="n"/>
      <c r="F420" s="2" t="n"/>
      <c r="G420" s="2" t="n"/>
      <c r="H420" s="3" t="inlineStr">
        <is>
          <t>Refinancing: EUR 136.0m of financial liabilities (incl. the EUR 115m bond 2023/2028) fall due in two to five years from 31 Dec 2024; cash 54.0 at year end.</t>
        </is>
      </c>
      <c r="I420" s="2" t="inlineStr">
        <is>
          <t>S2</t>
        </is>
      </c>
      <c r="J420" s="2" t="n">
        <v>59</v>
      </c>
      <c r="K420" s="3" t="inlineStr">
        <is>
          <t>Maturity groups financial liabilities (duration as of balance sheet date)</t>
        </is>
      </c>
      <c r="L420" s="2" t="inlineStr">
        <is>
          <t>ok</t>
        </is>
      </c>
      <c r="M420" s="2" t="inlineStr">
        <is>
          <t>demo reviewer</t>
        </is>
      </c>
      <c r="N420" s="2" t="n"/>
      <c r="O420" s="3" t="inlineStr">
        <is>
          <t>https://vanillabonds.com/dossier-data/pdf/katjes/katjes-2024-annual-report.pdf#page=59</t>
        </is>
      </c>
    </row>
    <row r="421">
      <c r="A421" s="2" t="inlineStr">
        <is>
          <t>F420</t>
        </is>
      </c>
      <c r="B421" s="2" t="inlineStr">
        <is>
          <t>risk</t>
        </is>
      </c>
      <c r="C421" s="2" t="inlineStr">
        <is>
          <t>risk_fact</t>
        </is>
      </c>
      <c r="D421" s="2" t="inlineStr">
        <is>
          <t>Risk fact</t>
        </is>
      </c>
      <c r="E421" s="2" t="n"/>
      <c r="F421" s="2" t="n">
        <v>0.5</v>
      </c>
      <c r="G421" s="2" t="n"/>
      <c r="H421" s="3" t="inlineStr">
        <is>
          <t>Receivables: EUR 0.5m of trade receivables more than six months overdue at 31 Dec 2024, fully impaired; impairment allowance 0.7 (2023: 0.4); gross trade receivables 39.0 (2023: 42.4).</t>
        </is>
      </c>
      <c r="I421" s="2" t="inlineStr">
        <is>
          <t>S2</t>
        </is>
      </c>
      <c r="J421" s="2" t="n">
        <v>66</v>
      </c>
      <c r="K421" s="3" t="inlineStr">
        <is>
          <t>As at the reporting date, trade receivables of EUR 0.5 million were more than six months overdue and were fully impaired in the amount of EUR 0.5 million.</t>
        </is>
      </c>
      <c r="L421" s="2" t="inlineStr">
        <is>
          <t>ok</t>
        </is>
      </c>
      <c r="M421" s="2" t="inlineStr">
        <is>
          <t>demo reviewer</t>
        </is>
      </c>
      <c r="N421" s="2" t="n"/>
      <c r="O421" s="3" t="inlineStr">
        <is>
          <t>https://vanillabonds.com/dossier-data/pdf/katjes/katjes-2024-annual-report.pdf#page=66</t>
        </is>
      </c>
    </row>
    <row r="422">
      <c r="A422" s="2" t="inlineStr">
        <is>
          <t>F421</t>
        </is>
      </c>
      <c r="B422" s="2" t="inlineStr">
        <is>
          <t>risk</t>
        </is>
      </c>
      <c r="C422" s="2" t="inlineStr">
        <is>
          <t>risk_fact</t>
        </is>
      </c>
      <c r="D422" s="2" t="inlineStr">
        <is>
          <t>Risk fact</t>
        </is>
      </c>
      <c r="E422" s="2" t="n"/>
      <c r="F422" s="2" t="n">
        <v>1.5</v>
      </c>
      <c r="G422" s="2" t="n"/>
      <c r="H422" s="3" t="inlineStr">
        <is>
          <t>Inventories EUR 51.3m at 31 Dec 2024 (2023: 46.4); inventory write-downs of EUR 1.5m in 2024 (2023: 0.9).</t>
        </is>
      </c>
      <c r="I422" s="2" t="inlineStr">
        <is>
          <t>S2</t>
        </is>
      </c>
      <c r="J422" s="2" t="n">
        <v>66</v>
      </c>
      <c r="K422" s="3" t="inlineStr">
        <is>
          <t>Inventory write-downs were recognized in the amount of EUR 1.5 million (2023: EUR 0.9 million).</t>
        </is>
      </c>
      <c r="L422" s="2" t="inlineStr">
        <is>
          <t>ok</t>
        </is>
      </c>
      <c r="M422" s="2" t="inlineStr">
        <is>
          <t>demo reviewer</t>
        </is>
      </c>
      <c r="N422" s="2" t="n"/>
      <c r="O422" s="3" t="inlineStr">
        <is>
          <t>https://vanillabonds.com/dossier-data/pdf/katjes/katjes-2024-annual-report.pdf#page=66</t>
        </is>
      </c>
    </row>
    <row r="423">
      <c r="A423" s="2" t="inlineStr">
        <is>
          <t>F422</t>
        </is>
      </c>
      <c r="B423" s="2" t="inlineStr">
        <is>
          <t>management</t>
        </is>
      </c>
      <c r="C423" s="2" t="inlineStr">
        <is>
          <t>mgmt_person</t>
        </is>
      </c>
      <c r="D423" s="3" t="inlineStr">
        <is>
          <t>Executive: name, role, since, prior roles (register / report)</t>
        </is>
      </c>
      <c r="E423" s="2" t="n"/>
      <c r="F423" s="2" t="n"/>
      <c r="G423" s="2" t="n"/>
      <c r="H423" s="3" t="inlineStr">
        <is>
          <t>Stephan Milde, CFO and Managing Director since 2012; previously several years in investment banking at Deutsche Bank and Citigroup in London.</t>
        </is>
      </c>
      <c r="I423" s="2" t="inlineStr">
        <is>
          <t>S2</t>
        </is>
      </c>
      <c r="J423" s="2" t="n">
        <v>6</v>
      </c>
      <c r="K423" s="3" t="inlineStr">
        <is>
          <t>Since 2012 – CFO Katjes International Before several years in Investment Banking at Deutsche Bank and Citigroup in London</t>
        </is>
      </c>
      <c r="L423" s="2" t="inlineStr">
        <is>
          <t>ok</t>
        </is>
      </c>
      <c r="M423" s="2" t="inlineStr">
        <is>
          <t>demo reviewer</t>
        </is>
      </c>
      <c r="N423" s="2" t="n"/>
      <c r="O423" s="3" t="inlineStr">
        <is>
          <t>https://vanillabonds.com/dossier-data/pdf/katjes/katjes-2024-annual-report.pdf#page=6</t>
        </is>
      </c>
    </row>
    <row r="424">
      <c r="A424" s="2" t="inlineStr">
        <is>
          <t>F423</t>
        </is>
      </c>
      <c r="B424" s="2" t="inlineStr">
        <is>
          <t>management</t>
        </is>
      </c>
      <c r="C424" s="2" t="inlineStr">
        <is>
          <t>mgmt_person</t>
        </is>
      </c>
      <c r="D424" s="3" t="inlineStr">
        <is>
          <t>Executive: name, role, since, prior roles (register / report)</t>
        </is>
      </c>
      <c r="E424" s="2" t="n"/>
      <c r="F424" s="2" t="n"/>
      <c r="G424" s="2" t="n"/>
      <c r="H424" s="3" t="inlineStr">
        <is>
          <t>Bastian Fassin, Managing Shareholder since 2004; until 2003 Marketing and Sales at Kraft Foods, until 2000 Roland Berger Strategy Consultants.</t>
        </is>
      </c>
      <c r="I424" s="2" t="inlineStr">
        <is>
          <t>S2</t>
        </is>
      </c>
      <c r="J424" s="2" t="n">
        <v>6</v>
      </c>
      <c r="K424" s="3" t="inlineStr">
        <is>
          <t>until 2003 – Marketing and Sales, Kraft Foods until 2000 – Roland Berger Strategy Consultants</t>
        </is>
      </c>
      <c r="L424" s="2" t="inlineStr">
        <is>
          <t>ok</t>
        </is>
      </c>
      <c r="M424" s="2" t="inlineStr">
        <is>
          <t>demo reviewer</t>
        </is>
      </c>
      <c r="N424" s="2" t="n"/>
      <c r="O424" s="3" t="inlineStr">
        <is>
          <t>https://vanillabonds.com/dossier-data/pdf/katjes/katjes-2024-annual-report.pdf#page=6</t>
        </is>
      </c>
    </row>
    <row r="425">
      <c r="A425" s="2" t="inlineStr">
        <is>
          <t>F424</t>
        </is>
      </c>
      <c r="B425" s="2" t="inlineStr">
        <is>
          <t>management</t>
        </is>
      </c>
      <c r="C425" s="2" t="inlineStr">
        <is>
          <t>mgmt_person</t>
        </is>
      </c>
      <c r="D425" s="3" t="inlineStr">
        <is>
          <t>Executive: name, role, since, prior roles (register / report)</t>
        </is>
      </c>
      <c r="E425" s="2" t="n"/>
      <c r="F425" s="2" t="n"/>
      <c r="G425" s="2" t="n"/>
      <c r="H425" s="3" t="inlineStr">
        <is>
          <t>Tobias Bachmüller, Managing Shareholder since 1996; until 1995 General Manager Kraft Foods (Milka), until 1992 Principal at The Boston Consulting Group.</t>
        </is>
      </c>
      <c r="I425" s="2" t="inlineStr">
        <is>
          <t>S2</t>
        </is>
      </c>
      <c r="J425" s="2" t="n">
        <v>6</v>
      </c>
      <c r="K425" s="3" t="inlineStr">
        <is>
          <t>until 1995 – General Manager, Kraft Foods (Milka) until 1992 – Principal, The Boston Consulting Group</t>
        </is>
      </c>
      <c r="L425" s="2" t="inlineStr">
        <is>
          <t>ok</t>
        </is>
      </c>
      <c r="M425" s="2" t="inlineStr">
        <is>
          <t>demo reviewer</t>
        </is>
      </c>
      <c r="N425" s="2" t="n"/>
      <c r="O425" s="3" t="inlineStr">
        <is>
          <t>https://vanillabonds.com/dossier-data/pdf/katjes/katjes-2024-annual-report.pdf#page=6</t>
        </is>
      </c>
    </row>
    <row r="426">
      <c r="A426" s="2" t="inlineStr">
        <is>
          <t>F425</t>
        </is>
      </c>
      <c r="B426" s="2" t="inlineStr">
        <is>
          <t>management</t>
        </is>
      </c>
      <c r="C426" s="2" t="inlineStr">
        <is>
          <t>revenue_budget</t>
        </is>
      </c>
      <c r="D426" s="3" t="inlineStr">
        <is>
          <t>Revenue as budgeted for that year (management plan at the time)</t>
        </is>
      </c>
      <c r="E426" s="2" t="inlineStr">
        <is>
          <t>FY2024</t>
        </is>
      </c>
      <c r="F426" s="2" t="n"/>
      <c r="G426" s="2" t="inlineStr">
        <is>
          <t>EUR m</t>
        </is>
      </c>
      <c r="H426" s="3" t="inlineStr">
        <is>
          <t>Guidance issued for 2024: consolidated revenues between EUR 390m and EUR 420m; actual 392.6.</t>
        </is>
      </c>
      <c r="I426" s="2" t="inlineStr">
        <is>
          <t>S2</t>
        </is>
      </c>
      <c r="J426" s="2" t="n">
        <v>38</v>
      </c>
      <c r="K426" s="3" t="inlineStr">
        <is>
          <t>In its financial reporting, the Company had issued guidance for consolidated revenues between EUR 390 million and EUR 420 million for the financial year 2024.</t>
        </is>
      </c>
      <c r="L426" s="2" t="inlineStr">
        <is>
          <t>ok</t>
        </is>
      </c>
      <c r="M426" s="2" t="inlineStr">
        <is>
          <t>demo reviewer</t>
        </is>
      </c>
      <c r="N426" s="2" t="n"/>
      <c r="O426" s="3" t="inlineStr">
        <is>
          <t>https://vanillabonds.com/dossier-data/pdf/katjes/katjes-2024-annual-report.pdf#page=38</t>
        </is>
      </c>
    </row>
    <row r="427">
      <c r="A427" s="2" t="inlineStr">
        <is>
          <t>F426</t>
        </is>
      </c>
      <c r="B427" s="2" t="inlineStr">
        <is>
          <t>management</t>
        </is>
      </c>
      <c r="C427" s="2" t="inlineStr">
        <is>
          <t>ebitda_budget</t>
        </is>
      </c>
      <c r="D427" s="3" t="inlineStr">
        <is>
          <t>EBITDA as budgeted for that year (management plan at the time)</t>
        </is>
      </c>
      <c r="E427" s="2" t="inlineStr">
        <is>
          <t>FY2024</t>
        </is>
      </c>
      <c r="F427" s="2" t="n"/>
      <c r="G427" s="2" t="inlineStr">
        <is>
          <t>EUR m</t>
        </is>
      </c>
      <c r="H427" s="3" t="inlineStr">
        <is>
          <t>Guidance for 2024: EBITDA margin forecast at 10% (upper end of the range, half-year 2024 report); actual margin 11.4%.</t>
        </is>
      </c>
      <c r="I427" s="2" t="inlineStr">
        <is>
          <t>S2</t>
        </is>
      </c>
      <c r="J427" s="2" t="n">
        <v>4</v>
      </c>
      <c r="K427" s="3" t="inlineStr">
        <is>
          <t>even exceeded the EBITDA guidance, which was specified at the upper end of the previously indicated range during the course of the year.</t>
        </is>
      </c>
      <c r="L427" s="2" t="inlineStr">
        <is>
          <t>ok</t>
        </is>
      </c>
      <c r="M427" s="2" t="inlineStr">
        <is>
          <t>demo reviewer</t>
        </is>
      </c>
      <c r="N427" s="2" t="n"/>
      <c r="O427" s="3" t="inlineStr">
        <is>
          <t>https://vanillabonds.com/dossier-data/pdf/katjes/katjes-2024-annual-report.pdf#page=4</t>
        </is>
      </c>
    </row>
    <row r="428">
      <c r="A428" s="2" t="inlineStr">
        <is>
          <t>F427</t>
        </is>
      </c>
      <c r="B428" s="2" t="inlineStr">
        <is>
          <t>management</t>
        </is>
      </c>
      <c r="C428" s="2" t="inlineStr">
        <is>
          <t>acquisition</t>
        </is>
      </c>
      <c r="D428" s="3" t="inlineStr">
        <is>
          <t>Acquisition / disposal: target, year, price, funding, outcome vs case</t>
        </is>
      </c>
      <c r="E428" s="2" t="n"/>
      <c r="F428" s="2" t="n"/>
      <c r="G428" s="2" t="n"/>
      <c r="H428" s="3" t="inlineStr">
        <is>
          <t>Paluani: Sperlari acquired the operational business of Paluani S.p.A., Verona, on 1 August 2022.</t>
        </is>
      </c>
      <c r="I428" s="2" t="inlineStr">
        <is>
          <t>S2</t>
        </is>
      </c>
      <c r="J428" s="2" t="n">
        <v>14</v>
      </c>
      <c r="K428" s="3" t="inlineStr">
        <is>
          <t>On August 1, 2022, Sperlari laid the foundation to further strengthen its leadership in the seasonal confectionery market: the company acquired the operational business of Paluani S.p.A.</t>
        </is>
      </c>
      <c r="L428" s="2" t="inlineStr">
        <is>
          <t>ok</t>
        </is>
      </c>
      <c r="M428" s="2" t="inlineStr">
        <is>
          <t>demo reviewer</t>
        </is>
      </c>
      <c r="N428" s="2" t="n"/>
      <c r="O428" s="3" t="inlineStr">
        <is>
          <t>https://vanillabonds.com/dossier-data/pdf/katjes/katjes-2024-annual-report.pdf#page=14</t>
        </is>
      </c>
    </row>
    <row r="429">
      <c r="A429" s="2" t="inlineStr">
        <is>
          <t>F428</t>
        </is>
      </c>
      <c r="B429" s="2" t="inlineStr">
        <is>
          <t>management</t>
        </is>
      </c>
      <c r="C429" s="2" t="inlineStr">
        <is>
          <t>acquisition</t>
        </is>
      </c>
      <c r="D429" s="3" t="inlineStr">
        <is>
          <t>Acquisition / disposal: target, year, price, funding, outcome vs case</t>
        </is>
      </c>
      <c r="E429" s="2" t="n"/>
      <c r="F429" s="2" t="n"/>
      <c r="G429" s="2" t="n"/>
      <c r="H429" s="3" t="inlineStr">
        <is>
          <t>Oral care production site in Viersen with around 50 employees acquired in January 2024; purchase price (EUR 6.4m liability at end-2023) paid in 2024.</t>
        </is>
      </c>
      <c r="I429" s="2" t="inlineStr">
        <is>
          <t>S2</t>
        </is>
      </c>
      <c r="J429" s="2" t="n">
        <v>18</v>
      </c>
      <c r="K429" s="3" t="inlineStr">
        <is>
          <t>In January 2024, the entire production site in Viersen, including around 50 employees, was acquired.</t>
        </is>
      </c>
      <c r="L429" s="2" t="inlineStr">
        <is>
          <t>ok</t>
        </is>
      </c>
      <c r="M429" s="2" t="inlineStr">
        <is>
          <t>demo reviewer</t>
        </is>
      </c>
      <c r="N429" s="2" t="n"/>
      <c r="O429" s="3" t="inlineStr">
        <is>
          <t>https://vanillabonds.com/dossier-data/pdf/katjes/katjes-2024-annual-report.pdf#page=18</t>
        </is>
      </c>
    </row>
    <row r="430">
      <c r="A430" s="2" t="inlineStr">
        <is>
          <t>F429</t>
        </is>
      </c>
      <c r="B430" s="2" t="inlineStr">
        <is>
          <t>management</t>
        </is>
      </c>
      <c r="C430" s="2" t="inlineStr">
        <is>
          <t>acquisition</t>
        </is>
      </c>
      <c r="D430" s="3" t="inlineStr">
        <is>
          <t>Acquisition / disposal: target, year, price, funding, outcome vs case</t>
        </is>
      </c>
      <c r="E430" s="2" t="n"/>
      <c r="F430" s="2" t="n"/>
      <c r="G430" s="2" t="n"/>
      <c r="H430" s="3" t="inlineStr">
        <is>
          <t>Contribution: at end-2018 Katjes International contributed its French subsidiary Lutti and Continental Sweets Belgium to CPK in exchange for approx. 23% of CPK.</t>
        </is>
      </c>
      <c r="I430" s="2" t="inlineStr">
        <is>
          <t>S2</t>
        </is>
      </c>
      <c r="J430" s="2" t="n">
        <v>21</v>
      </c>
      <c r="K430" s="3" t="inlineStr">
        <is>
          <t>A major milestone was reached at the end of 2018, when Katjes International contributed its French subsidiary Lutti</t>
        </is>
      </c>
      <c r="L430" s="2" t="inlineStr">
        <is>
          <t>ok</t>
        </is>
      </c>
      <c r="M430" s="2" t="inlineStr">
        <is>
          <t>demo reviewer</t>
        </is>
      </c>
      <c r="N430" s="2" t="n"/>
      <c r="O430" s="3" t="inlineStr">
        <is>
          <t>https://vanillabonds.com/dossier-data/pdf/katjes/katjes-2024-annual-report.pdf#page=21</t>
        </is>
      </c>
    </row>
    <row r="431">
      <c r="A431" s="2" t="inlineStr">
        <is>
          <t>F430</t>
        </is>
      </c>
      <c r="B431" s="2" t="inlineStr">
        <is>
          <t>management</t>
        </is>
      </c>
      <c r="C431" s="2" t="inlineStr">
        <is>
          <t>acquisition</t>
        </is>
      </c>
      <c r="D431" s="3" t="inlineStr">
        <is>
          <t>Acquisition / disposal: target, year, price, funding, outcome vs case</t>
        </is>
      </c>
      <c r="E431" s="2" t="n"/>
      <c r="F431" s="2" t="n"/>
      <c r="G431" s="2" t="n"/>
      <c r="H431" s="3" t="inlineStr">
        <is>
          <t>Bübchen: acquired from Nestlé/Galderma, part of the Group since May 2020.</t>
        </is>
      </c>
      <c r="I431" s="2" t="inlineStr">
        <is>
          <t>S2</t>
        </is>
      </c>
      <c r="J431" s="2" t="n">
        <v>24</v>
      </c>
      <c r="K431" s="3" t="inlineStr">
        <is>
          <t>Since May 2020 Bübchen, the market leader in the baby &amp; kids</t>
        </is>
      </c>
      <c r="L431" s="2" t="inlineStr">
        <is>
          <t>ok</t>
        </is>
      </c>
      <c r="M431" s="2" t="inlineStr">
        <is>
          <t>demo reviewer</t>
        </is>
      </c>
      <c r="N431" s="2" t="n"/>
      <c r="O431" s="3" t="inlineStr">
        <is>
          <t>https://vanillabonds.com/dossier-data/pdf/katjes/katjes-2024-annual-report.pdf#page=24</t>
        </is>
      </c>
    </row>
    <row r="432">
      <c r="A432" s="2" t="inlineStr">
        <is>
          <t>F431</t>
        </is>
      </c>
      <c r="B432" s="2" t="inlineStr">
        <is>
          <t>management</t>
        </is>
      </c>
      <c r="C432" s="2" t="inlineStr">
        <is>
          <t>acquisition</t>
        </is>
      </c>
      <c r="D432" s="3" t="inlineStr">
        <is>
          <t>Acquisition / disposal: target, year, price, funding, outcome vs case</t>
        </is>
      </c>
      <c r="E432" s="2" t="n"/>
      <c r="F432" s="2" t="n"/>
      <c r="G432" s="2" t="n"/>
      <c r="H432" s="3" t="inlineStr">
        <is>
          <t>Oral care business (Theramed, Vademecum, Licor del Polo, Antica Erboristeria, Denivit) acquired from Henkel AG &amp; Co. KGaA, part of the Group since December 2022.</t>
        </is>
      </c>
      <c r="I432" s="2" t="inlineStr">
        <is>
          <t>S2</t>
        </is>
      </c>
      <c r="J432" s="2" t="n">
        <v>24</v>
      </c>
      <c r="K432" s="3" t="inlineStr">
        <is>
          <t>the brand rights for Theramed, Vademecum, Licor del Polo, Antica Erboristeria and Denivit, has been part of Katjes Inter</t>
        </is>
      </c>
      <c r="L432" s="2" t="inlineStr">
        <is>
          <t>ok</t>
        </is>
      </c>
      <c r="M432" s="2" t="inlineStr">
        <is>
          <t>demo reviewer</t>
        </is>
      </c>
      <c r="N432" s="2" t="n"/>
      <c r="O432" s="3" t="inlineStr">
        <is>
          <t>https://vanillabonds.com/dossier-data/pdf/katjes/katjes-2024-annual-report.pdf#page=24</t>
        </is>
      </c>
    </row>
    <row r="433">
      <c r="A433" s="2" t="inlineStr">
        <is>
          <t>F432</t>
        </is>
      </c>
      <c r="B433" s="2" t="inlineStr">
        <is>
          <t>management</t>
        </is>
      </c>
      <c r="C433" s="2" t="inlineStr">
        <is>
          <t>acquisition</t>
        </is>
      </c>
      <c r="D433" s="3" t="inlineStr">
        <is>
          <t>Acquisition / disposal: target, year, price, funding, outcome vs case</t>
        </is>
      </c>
      <c r="E433" s="2" t="n"/>
      <c r="F433" s="2" t="n"/>
      <c r="G433" s="2" t="n"/>
      <c r="H433" s="3" t="inlineStr">
        <is>
          <t>N.A.E. (Naturale Antica Erboristeria), certified organic body care, acquired November 2023; brand recognised at cost.</t>
        </is>
      </c>
      <c r="I433" s="2" t="inlineStr">
        <is>
          <t>S2</t>
        </is>
      </c>
      <c r="J433" s="2" t="n">
        <v>24</v>
      </c>
      <c r="K433" s="3" t="inlineStr">
        <is>
          <t>In November 2023, Naturale Antica Erboristeria (N.A.E) beca- me part of Katjes International, another brand from the body care sector.</t>
        </is>
      </c>
      <c r="L433" s="2" t="inlineStr">
        <is>
          <t>ok</t>
        </is>
      </c>
      <c r="M433" s="2" t="inlineStr">
        <is>
          <t>demo reviewer</t>
        </is>
      </c>
      <c r="N433" s="2" t="n"/>
      <c r="O433" s="3" t="inlineStr">
        <is>
          <t>https://vanillabonds.com/dossier-data/pdf/katjes/katjes-2024-annual-report.pdf#page=24</t>
        </is>
      </c>
    </row>
    <row r="434">
      <c r="A434" s="2" t="inlineStr">
        <is>
          <t>F433</t>
        </is>
      </c>
      <c r="B434" s="2" t="inlineStr">
        <is>
          <t>management</t>
        </is>
      </c>
      <c r="C434" s="2" t="inlineStr">
        <is>
          <t>acquisition</t>
        </is>
      </c>
      <c r="D434" s="3" t="inlineStr">
        <is>
          <t>Acquisition / disposal: target, year, price, funding, outcome vs case</t>
        </is>
      </c>
      <c r="E434" s="2" t="n"/>
      <c r="F434" s="2" t="n"/>
      <c r="G434" s="2" t="n"/>
      <c r="H434" s="3" t="inlineStr">
        <is>
          <t>Dulcioliva (Cuneesi pralines, Piedmont): 75% acquired 30 June 2021 with an option on the remaining 25%.</t>
        </is>
      </c>
      <c r="I434" s="2" t="inlineStr">
        <is>
          <t>S2</t>
        </is>
      </c>
      <c r="J434" s="2" t="n">
        <v>24</v>
      </c>
      <c r="K434" s="3" t="inlineStr">
        <is>
          <t>Dulcioliva, new to Katjes International since 30 June 2021, is one of the leading producer of ‘Cuneesi’ pralines</t>
        </is>
      </c>
      <c r="L434" s="2" t="inlineStr">
        <is>
          <t>ok</t>
        </is>
      </c>
      <c r="M434" s="2" t="inlineStr">
        <is>
          <t>demo reviewer</t>
        </is>
      </c>
      <c r="N434" s="2" t="n"/>
      <c r="O434" s="3" t="inlineStr">
        <is>
          <t>https://vanillabonds.com/dossier-data/pdf/katjes/katjes-2024-annual-report.pdf#page=24</t>
        </is>
      </c>
    </row>
    <row r="435">
      <c r="A435" s="2" t="inlineStr">
        <is>
          <t>F434</t>
        </is>
      </c>
      <c r="B435" s="2" t="inlineStr">
        <is>
          <t>management</t>
        </is>
      </c>
      <c r="C435" s="2" t="inlineStr">
        <is>
          <t>acquisition</t>
        </is>
      </c>
      <c r="D435" s="3" t="inlineStr">
        <is>
          <t>Acquisition / disposal: target, year, price, funding, outcome vs case</t>
        </is>
      </c>
      <c r="E435" s="2" t="n"/>
      <c r="F435" s="2" t="n"/>
      <c r="G435" s="2" t="n"/>
      <c r="H435" s="3" t="inlineStr">
        <is>
          <t>Sperlari (Cremona, Italy) part of the Group since 2017.</t>
        </is>
      </c>
      <c r="I435" s="2" t="inlineStr">
        <is>
          <t>S2</t>
        </is>
      </c>
      <c r="J435" s="2" t="n">
        <v>24</v>
      </c>
      <c r="K435" s="3" t="inlineStr">
        <is>
          <t>In Italy, Sperlari has been part of Katjes International since 2017.</t>
        </is>
      </c>
      <c r="L435" s="2" t="inlineStr">
        <is>
          <t>ok</t>
        </is>
      </c>
      <c r="M435" s="2" t="inlineStr">
        <is>
          <t>demo reviewer</t>
        </is>
      </c>
      <c r="N435" s="2" t="n"/>
      <c r="O435" s="3" t="inlineStr">
        <is>
          <t>https://vanillabonds.com/dossier-data/pdf/katjes/katjes-2024-annual-report.pdf#page=24</t>
        </is>
      </c>
    </row>
    <row r="436">
      <c r="A436" s="2" t="inlineStr">
        <is>
          <t>F435</t>
        </is>
      </c>
      <c r="B436" s="2" t="inlineStr">
        <is>
          <t>management</t>
        </is>
      </c>
      <c r="C436" s="2" t="inlineStr">
        <is>
          <t>acquisition</t>
        </is>
      </c>
      <c r="D436" s="3" t="inlineStr">
        <is>
          <t>Acquisition / disposal: target, year, price, funding, outcome vs case</t>
        </is>
      </c>
      <c r="E436" s="2" t="n"/>
      <c r="F436" s="2" t="n"/>
      <c r="G436" s="2" t="n"/>
      <c r="H436" s="3" t="inlineStr">
        <is>
          <t>Harlekĳntjes (Nĳkerk, NL): all shares held since 2016.</t>
        </is>
      </c>
      <c r="I436" s="2" t="inlineStr">
        <is>
          <t>S2</t>
        </is>
      </c>
      <c r="J436" s="2" t="n">
        <v>24</v>
      </c>
      <c r="K436" s="3" t="inlineStr">
        <is>
          <t>Since 2016, Katjes International has held all shares in the Dutch company Harlekĳntjes</t>
        </is>
      </c>
      <c r="L436" s="2" t="inlineStr">
        <is>
          <t>ok</t>
        </is>
      </c>
      <c r="M436" s="2" t="inlineStr">
        <is>
          <t>demo reviewer</t>
        </is>
      </c>
      <c r="N436" s="2" t="n"/>
      <c r="O436" s="3" t="inlineStr">
        <is>
          <t>https://vanillabonds.com/dossier-data/pdf/katjes/katjes-2024-annual-report.pdf#page=24</t>
        </is>
      </c>
    </row>
    <row r="437">
      <c r="A437" s="2" t="inlineStr">
        <is>
          <t>F436</t>
        </is>
      </c>
      <c r="B437" s="2" t="inlineStr">
        <is>
          <t>management</t>
        </is>
      </c>
      <c r="C437" s="2" t="inlineStr">
        <is>
          <t>acquisition</t>
        </is>
      </c>
      <c r="D437" s="3" t="inlineStr">
        <is>
          <t>Acquisition / disposal: target, year, price, funding, outcome vs case</t>
        </is>
      </c>
      <c r="E437" s="2" t="n"/>
      <c r="F437" s="2" t="n"/>
      <c r="G437" s="2" t="n"/>
      <c r="H437" s="3" t="inlineStr">
        <is>
          <t>Piasten (Forchheim) part of the portfolio since 2014; Dallmann’s Pharma Candy since 2012.</t>
        </is>
      </c>
      <c r="I437" s="2" t="inlineStr">
        <is>
          <t>S2</t>
        </is>
      </c>
      <c r="J437" s="2" t="n">
        <v>24</v>
      </c>
      <c r="K437" s="3" t="inlineStr">
        <is>
          <t>In Germany, Piasten has been part of Katjes International’s portfolio of holdings since 2014.</t>
        </is>
      </c>
      <c r="L437" s="2" t="inlineStr">
        <is>
          <t>ok</t>
        </is>
      </c>
      <c r="M437" s="2" t="inlineStr">
        <is>
          <t>demo reviewer</t>
        </is>
      </c>
      <c r="N437" s="2" t="n"/>
      <c r="O437" s="3" t="inlineStr">
        <is>
          <t>https://vanillabonds.com/dossier-data/pdf/katjes/katjes-2024-annual-report.pdf#page=24</t>
        </is>
      </c>
    </row>
    <row r="438">
      <c r="A438" s="2" t="inlineStr">
        <is>
          <t>F437</t>
        </is>
      </c>
      <c r="B438" s="2" t="inlineStr">
        <is>
          <t>management</t>
        </is>
      </c>
      <c r="C438" s="2" t="inlineStr">
        <is>
          <t>acquisition</t>
        </is>
      </c>
      <c r="D438" s="3" t="inlineStr">
        <is>
          <t>Acquisition / disposal: target, year, price, funding, outcome vs case</t>
        </is>
      </c>
      <c r="E438" s="2" t="n"/>
      <c r="F438" s="2" t="n">
        <v>6.8</v>
      </c>
      <c r="G438" s="2" t="n"/>
      <c r="H438" s="3" t="inlineStr">
        <is>
          <t>Candy Kittens: a further 31.5% of the shares bought from minority shareholders in 2024 for EUR 6.8m (cash, equity transaction under IFRS 10), stake up to about 88%.</t>
        </is>
      </c>
      <c r="I438" s="2" t="inlineStr">
        <is>
          <t>S2</t>
        </is>
      </c>
      <c r="J438" s="2" t="n">
        <v>55</v>
      </c>
      <c r="K438" s="3" t="inlineStr">
        <is>
          <t>The transactions were completed for a total consideration of EUR 6.8 million and accounted for as equity transactions</t>
        </is>
      </c>
      <c r="L438" s="2" t="inlineStr">
        <is>
          <t>ok</t>
        </is>
      </c>
      <c r="M438" s="2" t="inlineStr">
        <is>
          <t>demo reviewer</t>
        </is>
      </c>
      <c r="N438" s="2" t="n"/>
      <c r="O438" s="3" t="inlineStr">
        <is>
          <t>https://vanillabonds.com/dossier-data/pdf/katjes/katjes-2024-annual-report.pdf#page=55</t>
        </is>
      </c>
    </row>
    <row r="439">
      <c r="A439" s="2" t="inlineStr">
        <is>
          <t>F438</t>
        </is>
      </c>
      <c r="B439" s="2" t="inlineStr">
        <is>
          <t>management</t>
        </is>
      </c>
      <c r="C439" s="2" t="inlineStr">
        <is>
          <t>acquisition</t>
        </is>
      </c>
      <c r="D439" s="3" t="inlineStr">
        <is>
          <t>Acquisition / disposal: target, year, price, funding, outcome vs case</t>
        </is>
      </c>
      <c r="E439" s="2" t="n"/>
      <c r="F439" s="2" t="n"/>
      <c r="G439" s="2" t="n"/>
      <c r="H439" s="3" t="inlineStr">
        <is>
          <t>Barnängen: trademark rights for DE, AT, CZ, CH and HU bought from Henkel in April 2024 via Bübchen Bodycare; price not disclosed; brand recognised at cost.</t>
        </is>
      </c>
      <c r="I439" s="2" t="inlineStr">
        <is>
          <t>S2</t>
        </is>
      </c>
      <c r="J439" s="2" t="n">
        <v>55</v>
      </c>
      <c r="K439" s="3" t="inlineStr">
        <is>
          <t>in April 2024, the trademark rights to the Swedish heritage brand “Barnängen” were acquired from Henkel via the Group’s subsidiary Bübchen Bodycare</t>
        </is>
      </c>
      <c r="L439" s="2" t="inlineStr">
        <is>
          <t>ok</t>
        </is>
      </c>
      <c r="M439" s="2" t="inlineStr">
        <is>
          <t>demo reviewer</t>
        </is>
      </c>
      <c r="N439" s="2" t="n"/>
      <c r="O439" s="3" t="inlineStr">
        <is>
          <t>https://vanillabonds.com/dossier-data/pdf/katjes/katjes-2024-annual-report.pdf#page=55</t>
        </is>
      </c>
    </row>
    <row r="440">
      <c r="A440" s="2" t="inlineStr">
        <is>
          <t>F439</t>
        </is>
      </c>
      <c r="B440" s="2" t="inlineStr">
        <is>
          <t>management</t>
        </is>
      </c>
      <c r="C440" s="2" t="inlineStr">
        <is>
          <t>succession</t>
        </is>
      </c>
      <c r="D440" s="3" t="inlineStr">
        <is>
          <t>Succession: plan, last change of CEO / CFO, who decides</t>
        </is>
      </c>
      <c r="E440" s="2" t="n"/>
      <c r="F440" s="2" t="n"/>
      <c r="G440" s="2" t="n"/>
      <c r="H440" s="3" t="inlineStr">
        <is>
          <t>CFO Stephan Milde in role since 2012; managing shareholders in role since 1996 and 2004; the report names no succession plan.</t>
        </is>
      </c>
      <c r="I440" s="2" t="inlineStr">
        <is>
          <t>S2</t>
        </is>
      </c>
      <c r="J440" s="2" t="n">
        <v>6</v>
      </c>
      <c r="K440" s="2" t="inlineStr">
        <is>
          <t>Since 2012 – CFO Katjes International</t>
        </is>
      </c>
      <c r="L440" s="2" t="inlineStr">
        <is>
          <t>ok</t>
        </is>
      </c>
      <c r="M440" s="2" t="inlineStr">
        <is>
          <t>demo reviewer</t>
        </is>
      </c>
      <c r="N440" s="2" t="n"/>
      <c r="O440" s="3" t="inlineStr">
        <is>
          <t>https://vanillabonds.com/dossier-data/pdf/katjes/katjes-2024-annual-report.pdf#page=6</t>
        </is>
      </c>
    </row>
    <row r="441">
      <c r="A441" s="2" t="inlineStr">
        <is>
          <t>F440</t>
        </is>
      </c>
      <c r="B441" s="2" t="inlineStr">
        <is>
          <t>management</t>
        </is>
      </c>
      <c r="C441" s="2" t="inlineStr">
        <is>
          <t>governance</t>
        </is>
      </c>
      <c r="D441" s="3" t="inlineStr">
        <is>
          <t>Board, independent members, group structure, related-party flows, dividends</t>
        </is>
      </c>
      <c r="E441" s="2" t="n"/>
      <c r="F441" s="2" t="n"/>
      <c r="G441" s="2" t="n"/>
      <c r="H441" s="3" t="inlineStr">
        <is>
          <t>A voluntary external advisory board of experienced specialists advises and oversees management under the articles of association and meets several times a year; members are not named.</t>
        </is>
      </c>
      <c r="I441" s="2" t="inlineStr">
        <is>
          <t>S2</t>
        </is>
      </c>
      <c r="J441" s="2" t="n">
        <v>37</v>
      </c>
      <c r="K441" s="3" t="inlineStr">
        <is>
          <t>In addition, Katjes International has established a voluntary ex- ternal advisory board composed of experienced specialists.</t>
        </is>
      </c>
      <c r="L441" s="2" t="inlineStr">
        <is>
          <t>ok</t>
        </is>
      </c>
      <c r="M441" s="2" t="inlineStr">
        <is>
          <t>demo reviewer</t>
        </is>
      </c>
      <c r="N441" s="2" t="n"/>
      <c r="O441" s="3" t="inlineStr">
        <is>
          <t>https://vanillabonds.com/dossier-data/pdf/katjes/katjes-2024-annual-report.pdf#page=37</t>
        </is>
      </c>
    </row>
    <row r="442">
      <c r="A442" s="2" t="inlineStr">
        <is>
          <t>F441</t>
        </is>
      </c>
      <c r="B442" s="2" t="inlineStr">
        <is>
          <t>management</t>
        </is>
      </c>
      <c r="C442" s="2" t="inlineStr">
        <is>
          <t>governance</t>
        </is>
      </c>
      <c r="D442" s="3" t="inlineStr">
        <is>
          <t>Board, independent members, group structure, related-party flows, dividends</t>
        </is>
      </c>
      <c r="E442" s="2" t="n"/>
      <c r="F442" s="2" t="n">
        <v>4.6</v>
      </c>
      <c r="G442" s="2" t="n"/>
      <c r="H442" s="3" t="inlineStr">
        <is>
          <t>Capital increases of EUR 4.6m in 2024 (subscribed capital +0.4 to 1.0, retained earnings +4.2) following the exercise of the corporate income tax option; no dividend or distribution line is shown in the statement of changes in equity.</t>
        </is>
      </c>
      <c r="I442" s="2" t="inlineStr">
        <is>
          <t>S2</t>
        </is>
      </c>
      <c r="J442" s="2" t="n">
        <v>44</v>
      </c>
      <c r="K442" s="3" t="inlineStr">
        <is>
          <t>Capital increases 0.4 0.0 4.2 0.0 0.0 0.0 0.0 0.0 4.6 0.0 4.6</t>
        </is>
      </c>
      <c r="L442" s="2" t="inlineStr">
        <is>
          <t>ok</t>
        </is>
      </c>
      <c r="M442" s="2" t="inlineStr">
        <is>
          <t>demo reviewer</t>
        </is>
      </c>
      <c r="N442" s="2" t="n"/>
      <c r="O442" s="3" t="inlineStr">
        <is>
          <t>https://vanillabonds.com/dossier-data/pdf/katjes/katjes-2024-annual-report.pdf#page=44</t>
        </is>
      </c>
    </row>
    <row r="443">
      <c r="A443" s="2" t="inlineStr">
        <is>
          <t>F442</t>
        </is>
      </c>
      <c r="B443" s="2" t="inlineStr">
        <is>
          <t>management</t>
        </is>
      </c>
      <c r="C443" s="2" t="inlineStr">
        <is>
          <t>governance</t>
        </is>
      </c>
      <c r="D443" s="3" t="inlineStr">
        <is>
          <t>Board, independent members, group structure, related-party flows, dividends</t>
        </is>
      </c>
      <c r="E443" s="2" t="n"/>
      <c r="F443" s="2" t="n"/>
      <c r="G443" s="2" t="n"/>
      <c r="H443" s="3" t="inlineStr">
        <is>
          <t>Stephan Milde is appointed managing director of the general partner alongside the two shareholders; the general partner GmbH holds no capital interest in the KG.</t>
        </is>
      </c>
      <c r="I443" s="2" t="inlineStr">
        <is>
          <t>S2</t>
        </is>
      </c>
      <c r="J443" s="2" t="n">
        <v>47</v>
      </c>
      <c r="K443" s="3" t="inlineStr">
        <is>
          <t>In addition to the two shareholders, Stephan Milde is also appointed as managing director. The GmbH does not hold any capital interest in Katjes International GmbH &amp; Co. KG.</t>
        </is>
      </c>
      <c r="L443" s="2" t="inlineStr">
        <is>
          <t>ok</t>
        </is>
      </c>
      <c r="M443" s="2" t="inlineStr">
        <is>
          <t>demo reviewer</t>
        </is>
      </c>
      <c r="N443" s="2" t="n"/>
      <c r="O443" s="3" t="inlineStr">
        <is>
          <t>https://vanillabonds.com/dossier-data/pdf/katjes/katjes-2024-annual-report.pdf#page=47</t>
        </is>
      </c>
    </row>
    <row r="444">
      <c r="A444" s="2" t="inlineStr">
        <is>
          <t>F443</t>
        </is>
      </c>
      <c r="B444" s="2" t="inlineStr">
        <is>
          <t>management</t>
        </is>
      </c>
      <c r="C444" s="2" t="inlineStr">
        <is>
          <t>governance</t>
        </is>
      </c>
      <c r="D444" s="3" t="inlineStr">
        <is>
          <t>Board, independent members, group structure, related-party flows, dividends</t>
        </is>
      </c>
      <c r="E444" s="2" t="n"/>
      <c r="F444" s="2" t="n"/>
      <c r="G444" s="2" t="n"/>
      <c r="H444" s="3" t="inlineStr">
        <is>
          <t>Non-controlling interests (EUR 1.2m at 31 Dec 2024, 2023: 3.0) relate to minority holders in Candy Kittens, its subsidiary Longaim, and Tuckshop.</t>
        </is>
      </c>
      <c r="I444" s="2" t="inlineStr">
        <is>
          <t>S2</t>
        </is>
      </c>
      <c r="J444" s="2" t="n">
        <v>67</v>
      </c>
      <c r="K444" s="3" t="inlineStr">
        <is>
          <t>The line item “non-controlling interests” reflects the minority in- terests in Candy Kittens and its subsidiary Longaim, as well as in Tuckshop.</t>
        </is>
      </c>
      <c r="L444" s="2" t="inlineStr">
        <is>
          <t>ok</t>
        </is>
      </c>
      <c r="M444" s="2" t="inlineStr">
        <is>
          <t>demo reviewer</t>
        </is>
      </c>
      <c r="N444" s="2" t="n"/>
      <c r="O444" s="3" t="inlineStr">
        <is>
          <t>https://vanillabonds.com/dossier-data/pdf/katjes/katjes-2024-annual-report.pdf#page=67</t>
        </is>
      </c>
    </row>
    <row r="445">
      <c r="A445" s="2" t="inlineStr">
        <is>
          <t>F444</t>
        </is>
      </c>
      <c r="B445" s="2" t="inlineStr">
        <is>
          <t>management</t>
        </is>
      </c>
      <c r="C445" s="2" t="inlineStr">
        <is>
          <t>governance</t>
        </is>
      </c>
      <c r="D445" s="3" t="inlineStr">
        <is>
          <t>Board, independent members, group structure, related-party flows, dividends</t>
        </is>
      </c>
      <c r="E445" s="2" t="n"/>
      <c r="F445" s="2" t="n"/>
      <c r="G445" s="2" t="n"/>
      <c r="H445" s="3" t="inlineStr">
        <is>
          <t>The general partner acts as chief operating decision maker, allocating resources and assessing performance at Group level.</t>
        </is>
      </c>
      <c r="I445" s="2" t="inlineStr">
        <is>
          <t>S2</t>
        </is>
      </c>
      <c r="J445" s="2" t="n">
        <v>77</v>
      </c>
      <c r="K445" s="3" t="inlineStr">
        <is>
          <t>The general partner of Katjes International GmbH &amp; Co. KG acts as the chief operating decision maker across the Group</t>
        </is>
      </c>
      <c r="L445" s="2" t="inlineStr">
        <is>
          <t>ok</t>
        </is>
      </c>
      <c r="M445" s="2" t="inlineStr">
        <is>
          <t>demo reviewer</t>
        </is>
      </c>
      <c r="N445" s="2" t="n"/>
      <c r="O445" s="3" t="inlineStr">
        <is>
          <t>https://vanillabonds.com/dossier-data/pdf/katjes/katjes-2024-annual-report.pdf#page=77</t>
        </is>
      </c>
    </row>
    <row r="446">
      <c r="A446" s="2" t="inlineStr">
        <is>
          <t>F445</t>
        </is>
      </c>
      <c r="B446" s="2" t="inlineStr">
        <is>
          <t>management</t>
        </is>
      </c>
      <c r="C446" s="2" t="inlineStr">
        <is>
          <t>governance</t>
        </is>
      </c>
      <c r="D446" s="3" t="inlineStr">
        <is>
          <t>Board, independent members, group structure, related-party flows, dividends</t>
        </is>
      </c>
      <c r="E446" s="2" t="n"/>
      <c r="F446" s="2" t="n"/>
      <c r="G446" s="2" t="n"/>
      <c r="H446" s="3" t="inlineStr">
        <is>
          <t>The general partner is Xaver Fassin International GmbH, whose shareholders Bastian Fassin and Tobias Bachmüller are also the limited partners of Katjes International; the GmbH holds no capital interest.</t>
        </is>
      </c>
      <c r="I446" s="2" t="inlineStr">
        <is>
          <t>S2</t>
        </is>
      </c>
      <c r="J446" s="2" t="n">
        <v>80</v>
      </c>
      <c r="K446" s="3" t="inlineStr">
        <is>
          <t>The parent company is managed by the general partner Xaver Fassin International GmbH, whose shareholders are Mr Bastian Fassin and Mr Tobias Bachmüller. These individuals are also the limited partners</t>
        </is>
      </c>
      <c r="L446" s="2" t="inlineStr">
        <is>
          <t>ok</t>
        </is>
      </c>
      <c r="M446" s="2" t="inlineStr">
        <is>
          <t>demo reviewer</t>
        </is>
      </c>
      <c r="N446" s="2" t="n"/>
      <c r="O446" s="3" t="inlineStr">
        <is>
          <t>https://vanillabonds.com/dossier-data/pdf/katjes/katjes-2024-annual-report.pdf#page=80</t>
        </is>
      </c>
    </row>
    <row r="447">
      <c r="A447" s="2" t="inlineStr">
        <is>
          <t>F446</t>
        </is>
      </c>
      <c r="B447" s="2" t="inlineStr">
        <is>
          <t>management</t>
        </is>
      </c>
      <c r="C447" s="2" t="inlineStr">
        <is>
          <t>governance</t>
        </is>
      </c>
      <c r="D447" s="3" t="inlineStr">
        <is>
          <t>Board, independent members, group structure, related-party flows, dividends</t>
        </is>
      </c>
      <c r="E447" s="2" t="n"/>
      <c r="F447" s="2" t="n"/>
      <c r="G447" s="2" t="n"/>
      <c r="H447" s="3" t="inlineStr">
        <is>
          <t>All related-party business relationships are stated to be at arm’s length and not collateralised.</t>
        </is>
      </c>
      <c r="I447" s="2" t="inlineStr">
        <is>
          <t>S2</t>
        </is>
      </c>
      <c r="J447" s="2" t="n">
        <v>80</v>
      </c>
      <c r="K447" s="3" t="inlineStr">
        <is>
          <t>All business relationships are conducted at arm’s length and are not collateralised.</t>
        </is>
      </c>
      <c r="L447" s="2" t="inlineStr">
        <is>
          <t>ok</t>
        </is>
      </c>
      <c r="M447" s="2" t="inlineStr">
        <is>
          <t>demo reviewer</t>
        </is>
      </c>
      <c r="N447" s="2" t="n"/>
      <c r="O447" s="3" t="inlineStr">
        <is>
          <t>https://vanillabonds.com/dossier-data/pdf/katjes/katjes-2024-annual-report.pdf#page=80</t>
        </is>
      </c>
    </row>
    <row r="448">
      <c r="A448" s="2" t="inlineStr">
        <is>
          <t>F447</t>
        </is>
      </c>
      <c r="B448" s="2" t="inlineStr">
        <is>
          <t>management</t>
        </is>
      </c>
      <c r="C448" s="2" t="inlineStr">
        <is>
          <t>governance</t>
        </is>
      </c>
      <c r="D448" s="3" t="inlineStr">
        <is>
          <t>Board, independent members, group structure, related-party flows, dividends</t>
        </is>
      </c>
      <c r="E448" s="2" t="n"/>
      <c r="F448" s="2" t="n"/>
      <c r="G448" s="2" t="n"/>
      <c r="H448" s="3" t="inlineStr">
        <is>
          <t>Five German subsidiaries (Piasten GmbH, Dallmann’s Pharma Candy GmbH, Katjes 24 GmbH, Bübchen Skincare GmbH, Bübchen-Werk Ewald Hermes) use the section 264 (3) HGB exemption from separate audit and publication.</t>
        </is>
      </c>
      <c r="I448" s="2" t="inlineStr">
        <is>
          <t>S2</t>
        </is>
      </c>
      <c r="J448" s="2" t="n">
        <v>81</v>
      </c>
      <c r="K448" s="3" t="inlineStr">
        <is>
          <t>make use of the exemption from certain regulations on the preparation, auditing and publication of the annual financial statements/management report pursuant to section 264 (3) HGB</t>
        </is>
      </c>
      <c r="L448" s="2" t="inlineStr">
        <is>
          <t>ok</t>
        </is>
      </c>
      <c r="M448" s="2" t="inlineStr">
        <is>
          <t>demo reviewer</t>
        </is>
      </c>
      <c r="N448" s="2" t="n"/>
      <c r="O448" s="3" t="inlineStr">
        <is>
          <t>https://vanillabonds.com/dossier-data/pdf/katjes/katjes-2024-annual-report.pdf#page=81</t>
        </is>
      </c>
    </row>
    <row r="449">
      <c r="A449" s="2" t="inlineStr">
        <is>
          <t>F448</t>
        </is>
      </c>
      <c r="B449" s="2" t="inlineStr">
        <is>
          <t>management</t>
        </is>
      </c>
      <c r="C449" s="2" t="inlineStr">
        <is>
          <t>reporting_practice</t>
        </is>
      </c>
      <c r="D449" s="3" t="inlineStr">
        <is>
          <t>Monitoring: KPI reporting, frequency, budget process, controlling</t>
        </is>
      </c>
      <c r="E449" s="2" t="n"/>
      <c r="F449" s="2" t="n"/>
      <c r="G449" s="2" t="n"/>
      <c r="H449" s="3" t="inlineStr">
        <is>
          <t>Key performance indicators are financial: revenue (growth) and EBITDA (profitability), inside an internal management and control system combining strategic planning with value-oriented business development.</t>
        </is>
      </c>
      <c r="I449" s="2" t="inlineStr">
        <is>
          <t>S2</t>
        </is>
      </c>
      <c r="J449" s="2" t="n">
        <v>25</v>
      </c>
      <c r="K449" s="3" t="inlineStr">
        <is>
          <t>The key performance indicators are financial in nature and in- clude revenue as an indicator of business growth and EBITDA</t>
        </is>
      </c>
      <c r="L449" s="2" t="inlineStr">
        <is>
          <t>ok</t>
        </is>
      </c>
      <c r="M449" s="2" t="inlineStr">
        <is>
          <t>demo reviewer</t>
        </is>
      </c>
      <c r="N449" s="2" t="n"/>
      <c r="O449" s="3" t="inlineStr">
        <is>
          <t>https://vanillabonds.com/dossier-data/pdf/katjes/katjes-2024-annual-report.pdf#page=25</t>
        </is>
      </c>
    </row>
    <row r="450">
      <c r="A450" s="2" t="inlineStr">
        <is>
          <t>F449</t>
        </is>
      </c>
      <c r="B450" s="2" t="inlineStr">
        <is>
          <t>management</t>
        </is>
      </c>
      <c r="C450" s="2" t="inlineStr">
        <is>
          <t>reporting_practice</t>
        </is>
      </c>
      <c r="D450" s="3" t="inlineStr">
        <is>
          <t>Monitoring: KPI reporting, frequency, budget process, controlling</t>
        </is>
      </c>
      <c r="E450" s="2" t="n"/>
      <c r="F450" s="2" t="n"/>
      <c r="G450" s="2" t="n"/>
      <c r="H450" s="3" t="inlineStr">
        <is>
          <t>Risk management: coordinated risk management and control systems with an internal reporting system and regular management meetings; the advisory board also meets several times a year.</t>
        </is>
      </c>
      <c r="I450" s="2" t="inlineStr">
        <is>
          <t>S2</t>
        </is>
      </c>
      <c r="J450" s="2" t="n">
        <v>37</v>
      </c>
      <c r="K450" s="3" t="inlineStr">
        <is>
          <t>To address the aforementioned risks, Katjes International has established a set of coordinated risk management and control systems.</t>
        </is>
      </c>
      <c r="L450" s="2" t="inlineStr">
        <is>
          <t>ok</t>
        </is>
      </c>
      <c r="M450" s="2" t="inlineStr">
        <is>
          <t>demo reviewer</t>
        </is>
      </c>
      <c r="N450" s="2" t="n"/>
      <c r="O450" s="3" t="inlineStr">
        <is>
          <t>https://vanillabonds.com/dossier-data/pdf/katjes/katjes-2024-annual-report.pdf#page=37</t>
        </is>
      </c>
    </row>
    <row r="451">
      <c r="A451" s="2" t="inlineStr">
        <is>
          <t>F450</t>
        </is>
      </c>
      <c r="B451" s="2" t="inlineStr">
        <is>
          <t>management</t>
        </is>
      </c>
      <c r="C451" s="2" t="inlineStr">
        <is>
          <t>reporting_practice</t>
        </is>
      </c>
      <c r="D451" s="3" t="inlineStr">
        <is>
          <t>Monitoring: KPI reporting, frequency, budget process, controlling</t>
        </is>
      </c>
      <c r="E451" s="2" t="n"/>
      <c r="F451" s="2" t="n"/>
      <c r="G451" s="2" t="n"/>
      <c r="H451" s="3" t="inlineStr">
        <is>
          <t>A half-year 2024 financial report was published in which the EBITDA margin guidance was set at 10%; annual statements authorised for issue by management on 9 April 2025.</t>
        </is>
      </c>
      <c r="I451" s="2" t="inlineStr">
        <is>
          <t>S2</t>
        </is>
      </c>
      <c r="J451" s="2" t="n">
        <v>38</v>
      </c>
      <c r="K451" s="3" t="inlineStr">
        <is>
          <t>The EBITDA margin, which had been forecast at 10% i.e. at the upper end of the margin in the half-year 2024 financial report, exceeded expectations with an actual margin of 11.4%.</t>
        </is>
      </c>
      <c r="L451" s="2" t="inlineStr">
        <is>
          <t>ok</t>
        </is>
      </c>
      <c r="M451" s="2" t="inlineStr">
        <is>
          <t>demo reviewer</t>
        </is>
      </c>
      <c r="N451" s="2" t="n"/>
      <c r="O451" s="3" t="inlineStr">
        <is>
          <t>https://vanillabonds.com/dossier-data/pdf/katjes/katjes-2024-annual-report.pdf#page=38</t>
        </is>
      </c>
    </row>
    <row r="452">
      <c r="A452" s="2" t="inlineStr">
        <is>
          <t>F451</t>
        </is>
      </c>
      <c r="B452" s="2" t="inlineStr">
        <is>
          <t>management</t>
        </is>
      </c>
      <c r="C452" s="2" t="inlineStr">
        <is>
          <t>reporting_practice</t>
        </is>
      </c>
      <c r="D452" s="3" t="inlineStr">
        <is>
          <t>Monitoring: KPI reporting, frequency, budget process, controlling</t>
        </is>
      </c>
      <c r="E452" s="2" t="n"/>
      <c r="F452" s="2" t="n"/>
      <c r="G452" s="2" t="n"/>
      <c r="H452" s="3" t="inlineStr">
        <is>
          <t>Liquidity: cash planning is monitored and updated regularly, matching long-term assets with long-term financing and keeping credit lines for short-term needs.</t>
        </is>
      </c>
      <c r="I452" s="2" t="inlineStr">
        <is>
          <t>S2</t>
        </is>
      </c>
      <c r="J452" s="2" t="n">
        <v>58</v>
      </c>
      <c r="K452" s="3" t="inlineStr">
        <is>
          <t>The Group regularly monitors and updates its cash planning.</t>
        </is>
      </c>
      <c r="L452" s="2" t="inlineStr">
        <is>
          <t>ok</t>
        </is>
      </c>
      <c r="M452" s="2" t="inlineStr">
        <is>
          <t>demo reviewer</t>
        </is>
      </c>
      <c r="N452" s="2" t="n"/>
      <c r="O452" s="3" t="inlineStr">
        <is>
          <t>https://vanillabonds.com/dossier-data/pdf/katjes/katjes-2024-annual-report.pdf#page=58</t>
        </is>
      </c>
    </row>
    <row r="453">
      <c r="A453" s="2" t="inlineStr">
        <is>
          <t>F452</t>
        </is>
      </c>
      <c r="B453" s="2" t="inlineStr">
        <is>
          <t>market</t>
        </is>
      </c>
      <c r="C453" s="2" t="inlineStr">
        <is>
          <t>market_fact</t>
        </is>
      </c>
      <c r="D453" s="3" t="inlineStr">
        <is>
          <t>Market: size, growth, share, competitor capacity, regulation (source named)</t>
        </is>
      </c>
      <c r="E453" s="2" t="n"/>
      <c r="F453" s="2" t="n"/>
      <c r="G453" s="2" t="n"/>
      <c r="H453" s="3" t="inlineStr">
        <is>
          <t>company statement: Sperlari is the second largest provider in the Italian sugar confectionery market and market leader in sugar-free candies, seasonal products and sweeteners.</t>
        </is>
      </c>
      <c r="I453" s="2" t="inlineStr">
        <is>
          <t>S2</t>
        </is>
      </c>
      <c r="J453" s="2" t="n">
        <v>24</v>
      </c>
      <c r="K453" s="3" t="inlineStr">
        <is>
          <t>Sperlari is the second largest provider in the Italian su- gar confectionery market, and the market leader in the seg- ment for sugar-free candies, seasonal products and sweete- ners.</t>
        </is>
      </c>
      <c r="L453" s="2" t="inlineStr">
        <is>
          <t>ok</t>
        </is>
      </c>
      <c r="M453" s="2" t="inlineStr">
        <is>
          <t>demo reviewer</t>
        </is>
      </c>
      <c r="N453" s="2" t="n"/>
      <c r="O453" s="3" t="inlineStr">
        <is>
          <t>https://vanillabonds.com/dossier-data/pdf/katjes/katjes-2024-annual-report.pdf#page=24</t>
        </is>
      </c>
    </row>
    <row r="454">
      <c r="A454" s="2" t="inlineStr">
        <is>
          <t>F453</t>
        </is>
      </c>
      <c r="B454" s="2" t="inlineStr">
        <is>
          <t>market</t>
        </is>
      </c>
      <c r="C454" s="2" t="inlineStr">
        <is>
          <t>market_fact</t>
        </is>
      </c>
      <c r="D454" s="3" t="inlineStr">
        <is>
          <t>Market: size, growth, share, competitor capacity, regulation (source named)</t>
        </is>
      </c>
      <c r="E454" s="2" t="n"/>
      <c r="F454" s="2" t="n"/>
      <c r="G454" s="2" t="n"/>
      <c r="H454" s="3" t="inlineStr">
        <is>
          <t>company statement: Dallmann’s sage cough drops lead German pharmacies by number of bags sold.</t>
        </is>
      </c>
      <c r="I454" s="2" t="inlineStr">
        <is>
          <t>S2</t>
        </is>
      </c>
      <c r="J454" s="2" t="n">
        <v>24</v>
      </c>
      <c r="K454" s="3" t="inlineStr">
        <is>
          <t>With its Dallmann’s sage cough drops, the Germany-based company Dallmann’s Pharma Candy (part of Katjes Internati</t>
        </is>
      </c>
      <c r="L454" s="2" t="inlineStr">
        <is>
          <t>ok</t>
        </is>
      </c>
      <c r="M454" s="2" t="inlineStr">
        <is>
          <t>demo reviewer</t>
        </is>
      </c>
      <c r="N454" s="2" t="n"/>
      <c r="O454" s="3" t="inlineStr">
        <is>
          <t>https://vanillabonds.com/dossier-data/pdf/katjes/katjes-2024-annual-report.pdf#page=24</t>
        </is>
      </c>
    </row>
    <row r="455">
      <c r="A455" s="2" t="inlineStr">
        <is>
          <t>F454</t>
        </is>
      </c>
      <c r="B455" s="2" t="inlineStr">
        <is>
          <t>market</t>
        </is>
      </c>
      <c r="C455" s="2" t="inlineStr">
        <is>
          <t>market_fact</t>
        </is>
      </c>
      <c r="D455" s="3" t="inlineStr">
        <is>
          <t>Market: size, growth, share, competitor capacity, regulation (source named)</t>
        </is>
      </c>
      <c r="E455" s="2" t="n"/>
      <c r="F455" s="2" t="n"/>
      <c r="G455" s="2" t="n"/>
      <c r="H455" s="3" t="inlineStr">
        <is>
          <t>company statement: Bübchen is the market leader in the baby &amp; kids body care segment in Germany; Harlekĳntjes makes the Netherlands’ best-selling liquorice product.</t>
        </is>
      </c>
      <c r="I455" s="2" t="inlineStr">
        <is>
          <t>S2</t>
        </is>
      </c>
      <c r="J455" s="2" t="n">
        <v>24</v>
      </c>
      <c r="K455" s="3" t="inlineStr">
        <is>
          <t>Since May 2020 Bübchen, the market leader in the baby &amp; kids body care segment in Germany, is part of the Katjes Internati</t>
        </is>
      </c>
      <c r="L455" s="2" t="inlineStr">
        <is>
          <t>ok</t>
        </is>
      </c>
      <c r="M455" s="2" t="inlineStr">
        <is>
          <t>demo reviewer</t>
        </is>
      </c>
      <c r="N455" s="2" t="n"/>
      <c r="O455" s="3" t="inlineStr">
        <is>
          <t>https://vanillabonds.com/dossier-data/pdf/katjes/katjes-2024-annual-report.pdf#page=24</t>
        </is>
      </c>
    </row>
    <row r="456">
      <c r="A456" s="2" t="inlineStr">
        <is>
          <t>F455</t>
        </is>
      </c>
      <c r="B456" s="2" t="inlineStr">
        <is>
          <t>market</t>
        </is>
      </c>
      <c r="C456" s="2" t="inlineStr">
        <is>
          <t>market_fact</t>
        </is>
      </c>
      <c r="D456" s="3" t="inlineStr">
        <is>
          <t>Market: size, growth, share, competitor capacity, regulation (source named)</t>
        </is>
      </c>
      <c r="E456" s="2" t="n"/>
      <c r="F456" s="2" t="n"/>
      <c r="G456" s="2" t="n"/>
      <c r="H456" s="3" t="inlineStr">
        <is>
          <t>company statement: Vademecum is by volume the leading organic toothpaste in France; Piasten is one of the largest German producers of chocolate dragees.</t>
        </is>
      </c>
      <c r="I456" s="2" t="inlineStr">
        <is>
          <t>S2</t>
        </is>
      </c>
      <c r="J456" s="2" t="n">
        <v>24</v>
      </c>
      <c r="K456" s="3" t="inlineStr">
        <is>
          <t>For instance, Vademecum is based on volume the leading or- ganic toothpaste in France.</t>
        </is>
      </c>
      <c r="L456" s="2" t="inlineStr">
        <is>
          <t>ok</t>
        </is>
      </c>
      <c r="M456" s="2" t="inlineStr">
        <is>
          <t>demo reviewer</t>
        </is>
      </c>
      <c r="N456" s="2" t="n"/>
      <c r="O456" s="3" t="inlineStr">
        <is>
          <t>https://vanillabonds.com/dossier-data/pdf/katjes/katjes-2024-annual-report.pdf#page=24</t>
        </is>
      </c>
    </row>
    <row r="457">
      <c r="A457" s="2" t="inlineStr">
        <is>
          <t>F456</t>
        </is>
      </c>
      <c r="B457" s="2" t="inlineStr">
        <is>
          <t>market</t>
        </is>
      </c>
      <c r="C457" s="2" t="inlineStr">
        <is>
          <t>market_fact</t>
        </is>
      </c>
      <c r="D457" s="3" t="inlineStr">
        <is>
          <t>Market: size, growth, share, competitor capacity, regulation (source named)</t>
        </is>
      </c>
      <c r="E457" s="2" t="n"/>
      <c r="F457" s="2" t="n"/>
      <c r="G457" s="2" t="n"/>
      <c r="H457" s="3" t="inlineStr">
        <is>
          <t>cites Euromonitor International (expert forecasts): the European confectionery market (sugar and chocolate) is expected to reach nearly EUR 100 billion by 2029.</t>
        </is>
      </c>
      <c r="I457" s="2" t="inlineStr">
        <is>
          <t>S2</t>
        </is>
      </c>
      <c r="J457" s="2" t="n">
        <v>26</v>
      </c>
      <c r="K457" s="3" t="inlineStr">
        <is>
          <t>According to expert forecasts (i. a. Euromonitor International), the European confectionery market (sugar and chocolate pro- ducts) is expected to grow to nearly EUR 100 billion by 2029.</t>
        </is>
      </c>
      <c r="L457" s="2" t="inlineStr">
        <is>
          <t>ok</t>
        </is>
      </c>
      <c r="M457" s="2" t="inlineStr">
        <is>
          <t>demo reviewer</t>
        </is>
      </c>
      <c r="N457" s="2" t="n"/>
      <c r="O457" s="3" t="inlineStr">
        <is>
          <t>https://vanillabonds.com/dossier-data/pdf/katjes/katjes-2024-annual-report.pdf#page=26</t>
        </is>
      </c>
    </row>
    <row r="458">
      <c r="A458" s="2" t="inlineStr">
        <is>
          <t>F457</t>
        </is>
      </c>
      <c r="B458" s="2" t="inlineStr">
        <is>
          <t>market</t>
        </is>
      </c>
      <c r="C458" s="2" t="inlineStr">
        <is>
          <t>market_fact</t>
        </is>
      </c>
      <c r="D458" s="3" t="inlineStr">
        <is>
          <t>Market: size, growth, share, competitor capacity, regulation (source named)</t>
        </is>
      </c>
      <c r="E458" s="2" t="n"/>
      <c r="F458" s="2" t="n"/>
      <c r="G458" s="2" t="n"/>
      <c r="H458" s="3" t="inlineStr">
        <is>
          <t>company statement: FMCG sales markets show low cyclicality and high economic resilience, confirmed by 2024 figures.</t>
        </is>
      </c>
      <c r="I458" s="2" t="inlineStr">
        <is>
          <t>S2</t>
        </is>
      </c>
      <c r="J458" s="2" t="n">
        <v>26</v>
      </c>
      <c r="K458" s="3" t="inlineStr">
        <is>
          <t>The Group’s key sales markets for fast-moving consumer goods (FMCG) are generally characterized by low cyclicality and high economic resilience</t>
        </is>
      </c>
      <c r="L458" s="2" t="inlineStr">
        <is>
          <t>ok</t>
        </is>
      </c>
      <c r="M458" s="2" t="inlineStr">
        <is>
          <t>demo reviewer</t>
        </is>
      </c>
      <c r="N458" s="2" t="n"/>
      <c r="O458" s="3" t="inlineStr">
        <is>
          <t>https://vanillabonds.com/dossier-data/pdf/katjes/katjes-2024-annual-report.pdf#page=26</t>
        </is>
      </c>
    </row>
    <row r="459">
      <c r="A459" s="2" t="inlineStr">
        <is>
          <t>F458</t>
        </is>
      </c>
      <c r="B459" s="2" t="inlineStr">
        <is>
          <t>market</t>
        </is>
      </c>
      <c r="C459" s="2" t="inlineStr">
        <is>
          <t>market_fact</t>
        </is>
      </c>
      <c r="D459" s="3" t="inlineStr">
        <is>
          <t>Market: size, growth, share, competitor capacity, regulation (source named)</t>
        </is>
      </c>
      <c r="E459" s="2" t="n"/>
      <c r="F459" s="2" t="n"/>
      <c r="G459" s="2" t="n"/>
      <c r="H459" s="3" t="inlineStr">
        <is>
          <t>company statement: sugar prices stabilised over 2024 while cocoa prices rose significantly; raw material prices remained volatile.</t>
        </is>
      </c>
      <c r="I459" s="2" t="inlineStr">
        <is>
          <t>S2</t>
        </is>
      </c>
      <c r="J459" s="2" t="n">
        <v>26</v>
      </c>
      <c r="K459" s="3" t="inlineStr">
        <is>
          <t>Volatile raw material prices continued to pose challenges in 2024. Although sugar prices stabilized over the course of the year, cocoa prices rose significantly.</t>
        </is>
      </c>
      <c r="L459" s="2" t="inlineStr">
        <is>
          <t>ok</t>
        </is>
      </c>
      <c r="M459" s="2" t="inlineStr">
        <is>
          <t>demo reviewer</t>
        </is>
      </c>
      <c r="N459" s="2" t="n"/>
      <c r="O459" s="3" t="inlineStr">
        <is>
          <t>https://vanillabonds.com/dossier-data/pdf/katjes/katjes-2024-annual-report.pdf#page=26</t>
        </is>
      </c>
    </row>
    <row r="460">
      <c r="A460" s="2" t="inlineStr">
        <is>
          <t>F459</t>
        </is>
      </c>
      <c r="B460" s="2" t="inlineStr">
        <is>
          <t>market</t>
        </is>
      </c>
      <c r="C460" s="2" t="inlineStr">
        <is>
          <t>market_fact</t>
        </is>
      </c>
      <c r="D460" s="3" t="inlineStr">
        <is>
          <t>Market: size, growth, share, competitor capacity, regulation (source named)</t>
        </is>
      </c>
      <c r="E460" s="2" t="n"/>
      <c r="F460" s="2" t="n"/>
      <c r="G460" s="2" t="n"/>
      <c r="H460" s="3" t="inlineStr">
        <is>
          <t>company statement: CPK (approx. 23% held) is the number two in the French sugar confectionery market; its revenues are not consolidated.</t>
        </is>
      </c>
      <c r="I460" s="2" t="inlineStr">
        <is>
          <t>S2</t>
        </is>
      </c>
      <c r="J460" s="2" t="n">
        <v>29</v>
      </c>
      <c r="K460" s="3" t="inlineStr">
        <is>
          <t>The approximately 23% stake in CPK, the number two in the French sugar confectionery market, is accounted for using the equity method.</t>
        </is>
      </c>
      <c r="L460" s="2" t="inlineStr">
        <is>
          <t>ok</t>
        </is>
      </c>
      <c r="M460" s="2" t="inlineStr">
        <is>
          <t>demo reviewer</t>
        </is>
      </c>
      <c r="N460" s="2" t="n"/>
      <c r="O460" s="3" t="inlineStr">
        <is>
          <t>https://vanillabonds.com/dossier-data/pdf/katjes/katjes-2024-annual-report.pdf#page=29</t>
        </is>
      </c>
    </row>
    <row r="461">
      <c r="A461" s="2" t="inlineStr">
        <is>
          <t>F460</t>
        </is>
      </c>
      <c r="B461" s="2" t="inlineStr">
        <is>
          <t>market</t>
        </is>
      </c>
      <c r="C461" s="2" t="inlineStr">
        <is>
          <t>concentration</t>
        </is>
      </c>
      <c r="D461" s="3" t="inlineStr">
        <is>
          <t>Concentration: top customers / suppliers share, key contracts, sites</t>
        </is>
      </c>
      <c r="E461" s="2" t="n"/>
      <c r="F461" s="2" t="n"/>
      <c r="G461" s="2" t="n"/>
      <c r="H461" s="3" t="inlineStr">
        <is>
          <t>Sites: Sperlari headquarters and production in Cremona plus three other production sites in Italy; Paluani in Verona.</t>
        </is>
      </c>
      <c r="I461" s="2" t="inlineStr">
        <is>
          <t>S2</t>
        </is>
      </c>
      <c r="J461" s="2" t="n">
        <v>13</v>
      </c>
      <c r="K461" s="3" t="inlineStr">
        <is>
          <t>Cremona, Italy, and three other production sites in Italy</t>
        </is>
      </c>
      <c r="L461" s="2" t="inlineStr">
        <is>
          <t>ok</t>
        </is>
      </c>
      <c r="M461" s="2" t="inlineStr">
        <is>
          <t>demo reviewer</t>
        </is>
      </c>
      <c r="N461" s="2" t="n"/>
      <c r="O461" s="3" t="inlineStr">
        <is>
          <t>https://vanillabonds.com/dossier-data/pdf/katjes/katjes-2024-annual-report.pdf#page=13</t>
        </is>
      </c>
    </row>
    <row r="462">
      <c r="A462" s="2" t="inlineStr">
        <is>
          <t>F461</t>
        </is>
      </c>
      <c r="B462" s="2" t="inlineStr">
        <is>
          <t>market</t>
        </is>
      </c>
      <c r="C462" s="2" t="inlineStr">
        <is>
          <t>concentration</t>
        </is>
      </c>
      <c r="D462" s="3" t="inlineStr">
        <is>
          <t>Concentration: top customers / suppliers share, key contracts, sites</t>
        </is>
      </c>
      <c r="E462" s="2" t="n"/>
      <c r="F462" s="2" t="n"/>
      <c r="G462" s="2" t="n"/>
      <c r="H462" s="3" t="inlineStr">
        <is>
          <t>Sites: Piasten in Forchheim (Bavaria); Dallmann’s in Hofheim am Taunus; Bübchen body care in Soest; oral care in Dusseldorf / Viersen; Harlekĳntjes in Nĳkerk; Candy Kittens in London.</t>
        </is>
      </c>
      <c r="I462" s="2" t="inlineStr">
        <is>
          <t>S2</t>
        </is>
      </c>
      <c r="J462" s="2" t="n">
        <v>18</v>
      </c>
      <c r="K462" s="2" t="inlineStr">
        <is>
          <t>Dusseldorf / Viersen, Germany</t>
        </is>
      </c>
      <c r="L462" s="2" t="inlineStr">
        <is>
          <t>ok</t>
        </is>
      </c>
      <c r="M462" s="2" t="inlineStr">
        <is>
          <t>demo reviewer</t>
        </is>
      </c>
      <c r="N462" s="2" t="n"/>
      <c r="O462" s="3" t="inlineStr">
        <is>
          <t>https://vanillabonds.com/dossier-data/pdf/katjes/katjes-2024-annual-report.pdf#page=18</t>
        </is>
      </c>
    </row>
    <row r="463">
      <c r="A463" s="2" t="inlineStr">
        <is>
          <t>F462</t>
        </is>
      </c>
      <c r="B463" s="2" t="inlineStr">
        <is>
          <t>market</t>
        </is>
      </c>
      <c r="C463" s="2" t="inlineStr">
        <is>
          <t>concentration</t>
        </is>
      </c>
      <c r="D463" s="3" t="inlineStr">
        <is>
          <t>Concentration: top customers / suppliers share, key contracts, sites</t>
        </is>
      </c>
      <c r="E463" s="2" t="n"/>
      <c r="F463" s="2" t="n"/>
      <c r="G463" s="2" t="n"/>
      <c r="H463" s="3" t="inlineStr">
        <is>
          <t>Revenue by country 2024: Italy 31.3%, Germany 27.2%, UK 4.8%, Netherlands 4.1%, other EU and Switzerland 27.4%, outside the EU 5.3% (2023: 30.6 / 27.7 / 4.0 / 4.4 / 28.6 / 4.8).</t>
        </is>
      </c>
      <c r="I463" s="2" t="inlineStr">
        <is>
          <t>S2</t>
        </is>
      </c>
      <c r="J463" s="2" t="n">
        <v>29</v>
      </c>
      <c r="K463" s="3" t="inlineStr">
        <is>
          <t>Katjes International generated 31.3% (previous year: 30.6%) of its revenues in Italy and 27.2% (previous year: 27.7%) in Ger</t>
        </is>
      </c>
      <c r="L463" s="2" t="inlineStr">
        <is>
          <t>ok</t>
        </is>
      </c>
      <c r="M463" s="2" t="inlineStr">
        <is>
          <t>demo reviewer</t>
        </is>
      </c>
      <c r="N463" s="2" t="n"/>
      <c r="O463" s="3" t="inlineStr">
        <is>
          <t>https://vanillabonds.com/dossier-data/pdf/katjes/katjes-2024-annual-report.pdf#page=29</t>
        </is>
      </c>
    </row>
    <row r="464">
      <c r="A464" s="2" t="inlineStr">
        <is>
          <t>F463</t>
        </is>
      </c>
      <c r="B464" s="2" t="inlineStr">
        <is>
          <t>market</t>
        </is>
      </c>
      <c r="C464" s="2" t="inlineStr">
        <is>
          <t>concentration</t>
        </is>
      </c>
      <c r="D464" s="3" t="inlineStr">
        <is>
          <t>Concentration: top customers / suppliers share, key contracts, sites</t>
        </is>
      </c>
      <c r="E464" s="2" t="n"/>
      <c r="F464" s="2" t="n"/>
      <c r="G464" s="2" t="n"/>
      <c r="H464" s="3" t="inlineStr">
        <is>
          <t>Product groups 2024: sugar confectionery 40.8%, body care 23.0%, chocolate 14.7%, seasonal products 13.9% of revenue.</t>
        </is>
      </c>
      <c r="I464" s="2" t="inlineStr">
        <is>
          <t>S2</t>
        </is>
      </c>
      <c r="J464" s="2" t="n">
        <v>29</v>
      </c>
      <c r="K464" s="3" t="inlineStr">
        <is>
          <t>pany generated 40.8% (previous year: 41.4%) of its revenues from sugar confectionery, followed by body care products with 23.0% (previous year: 23.1%).</t>
        </is>
      </c>
      <c r="L464" s="2" t="inlineStr">
        <is>
          <t>ok</t>
        </is>
      </c>
      <c r="M464" s="2" t="inlineStr">
        <is>
          <t>demo reviewer</t>
        </is>
      </c>
      <c r="N464" s="2" t="n"/>
      <c r="O464" s="3" t="inlineStr">
        <is>
          <t>https://vanillabonds.com/dossier-data/pdf/katjes/katjes-2024-annual-report.pdf#page=29</t>
        </is>
      </c>
    </row>
    <row r="465">
      <c r="A465" s="2" t="inlineStr">
        <is>
          <t>F464</t>
        </is>
      </c>
      <c r="B465" s="2" t="inlineStr">
        <is>
          <t>market</t>
        </is>
      </c>
      <c r="C465" s="2" t="inlineStr">
        <is>
          <t>concentration</t>
        </is>
      </c>
      <c r="D465" s="3" t="inlineStr">
        <is>
          <t>Concentration: top customers / suppliers share, key contracts, sites</t>
        </is>
      </c>
      <c r="E465" s="2" t="n"/>
      <c r="F465" s="2" t="n"/>
      <c r="G465" s="2" t="n"/>
      <c r="H465" s="3" t="inlineStr">
        <is>
          <t>Workforce 2024: about 63% in Germany, 34% in Italy, 2% in the UK, 1% in the Netherlands (average 1,097).</t>
        </is>
      </c>
      <c r="I465" s="2" t="inlineStr">
        <is>
          <t>S2</t>
        </is>
      </c>
      <c r="J465" s="2" t="n">
        <v>32</v>
      </c>
      <c r="K465" s="3" t="inlineStr">
        <is>
          <t>these, approximately 63% were employed in Germany, followed by around 34% in Italy and roughly 2% in the United Kingdom.</t>
        </is>
      </c>
      <c r="L465" s="2" t="inlineStr">
        <is>
          <t>ok</t>
        </is>
      </c>
      <c r="M465" s="2" t="inlineStr">
        <is>
          <t>demo reviewer</t>
        </is>
      </c>
      <c r="N465" s="2" t="n"/>
      <c r="O465" s="3" t="inlineStr">
        <is>
          <t>https://vanillabonds.com/dossier-data/pdf/katjes/katjes-2024-annual-report.pdf#page=32</t>
        </is>
      </c>
    </row>
    <row r="466">
      <c r="A466" s="2" t="inlineStr">
        <is>
          <t>F465</t>
        </is>
      </c>
      <c r="B466" s="2" t="inlineStr">
        <is>
          <t>market</t>
        </is>
      </c>
      <c r="C466" s="2" t="inlineStr">
        <is>
          <t>concentration</t>
        </is>
      </c>
      <c r="D466" s="3" t="inlineStr">
        <is>
          <t>Concentration: top customers / suppliers share, key contracts, sites</t>
        </is>
      </c>
      <c r="E466" s="2" t="n"/>
      <c r="F466" s="2" t="n"/>
      <c r="G466" s="2" t="n"/>
      <c r="H466" s="3" t="inlineStr">
        <is>
          <t>Sales channels: primarily food retailers and drugstores; company flags concentration risk from large key accounts in food retail.</t>
        </is>
      </c>
      <c r="I466" s="2" t="inlineStr">
        <is>
          <t>S2</t>
        </is>
      </c>
      <c r="J466" s="2" t="n">
        <v>77</v>
      </c>
      <c r="K466" s="3" t="inlineStr">
        <is>
          <t>Sales are primarily generated through food retailers and drugstores.</t>
        </is>
      </c>
      <c r="L466" s="2" t="inlineStr">
        <is>
          <t>ok</t>
        </is>
      </c>
      <c r="M466" s="2" t="inlineStr">
        <is>
          <t>demo reviewer</t>
        </is>
      </c>
      <c r="N466" s="2" t="n"/>
      <c r="O466" s="3" t="inlineStr">
        <is>
          <t>https://vanillabonds.com/dossier-data/pdf/katjes/katjes-2024-annual-report.pdf#page=77</t>
        </is>
      </c>
    </row>
    <row r="467">
      <c r="A467" s="2" t="inlineStr">
        <is>
          <t>F466</t>
        </is>
      </c>
      <c r="B467" s="2" t="inlineStr">
        <is>
          <t>plan</t>
        </is>
      </c>
      <c r="C467" s="2" t="inlineStr">
        <is>
          <t>plan_item</t>
        </is>
      </c>
      <c r="D467" s="3" t="inlineStr">
        <is>
          <t>Investment plan item: what, amount, timing, contracted / ordered / planned</t>
        </is>
      </c>
      <c r="E467" s="2" t="n"/>
      <c r="F467" s="2" t="n"/>
      <c r="G467" s="2" t="n"/>
      <c r="H467" s="3" t="inlineStr">
        <is>
          <t>Barnängen DACH online campaign produced December 2024, live February 2025, aiming at more than 16 million people; Barnängen production moved to the Bübchen plant in Soest end-2024.</t>
        </is>
      </c>
      <c r="I467" s="2" t="inlineStr">
        <is>
          <t>S2</t>
        </is>
      </c>
      <c r="J467" s="2" t="n">
        <v>17</v>
      </c>
      <c r="K467" s="3" t="inlineStr">
        <is>
          <t>Set to go live in February 2025, the campaign aims to reach over 16 million people and further boost brand awareness.</t>
        </is>
      </c>
      <c r="L467" s="2" t="inlineStr">
        <is>
          <t>ok</t>
        </is>
      </c>
      <c r="M467" s="2" t="inlineStr">
        <is>
          <t>demo reviewer</t>
        </is>
      </c>
      <c r="N467" s="2" t="n"/>
      <c r="O467" s="3" t="inlineStr">
        <is>
          <t>https://vanillabonds.com/dossier-data/pdf/katjes/katjes-2024-annual-report.pdf#page=17</t>
        </is>
      </c>
    </row>
    <row r="468">
      <c r="A468" s="2" t="inlineStr">
        <is>
          <t>F467</t>
        </is>
      </c>
      <c r="B468" s="2" t="inlineStr">
        <is>
          <t>plan</t>
        </is>
      </c>
      <c r="C468" s="2" t="inlineStr">
        <is>
          <t>plan_item</t>
        </is>
      </c>
      <c r="D468" s="3" t="inlineStr">
        <is>
          <t>Investment plan item: what, amount, timing, contracted / ordered / planned</t>
        </is>
      </c>
      <c r="E468" s="2" t="n"/>
      <c r="F468" s="2" t="n"/>
      <c r="G468" s="2" t="n"/>
      <c r="H468" s="3" t="inlineStr">
        <is>
          <t>Exercise of the option on the remaining 25% of Dulcioliva continues to be expected as of 31 Dec 2024 (liability EUR 1.3m recognised).</t>
        </is>
      </c>
      <c r="I468" s="2" t="inlineStr">
        <is>
          <t>S2</t>
        </is>
      </c>
      <c r="J468" s="2" t="n">
        <v>24</v>
      </c>
      <c r="K468" s="3" t="inlineStr">
        <is>
          <t>and 75% of the Italian company Dulcioliva, with the option to acquire the remaining 25%. As of December 31, 2024, the exer</t>
        </is>
      </c>
      <c r="L468" s="2" t="inlineStr">
        <is>
          <t>ok</t>
        </is>
      </c>
      <c r="M468" s="2" t="inlineStr">
        <is>
          <t>demo reviewer</t>
        </is>
      </c>
      <c r="N468" s="2" t="n"/>
      <c r="O468" s="3" t="inlineStr">
        <is>
          <t>https://vanillabonds.com/dossier-data/pdf/katjes/katjes-2024-annual-report.pdf#page=24</t>
        </is>
      </c>
    </row>
    <row r="469">
      <c r="A469" s="2" t="inlineStr">
        <is>
          <t>F468</t>
        </is>
      </c>
      <c r="B469" s="2" t="inlineStr">
        <is>
          <t>plan</t>
        </is>
      </c>
      <c r="C469" s="2" t="inlineStr">
        <is>
          <t>plan_item</t>
        </is>
      </c>
      <c r="D469" s="3" t="inlineStr">
        <is>
          <t>Investment plan item: what, amount, timing, contracted / ordered / planned</t>
        </is>
      </c>
      <c r="E469" s="2" t="n"/>
      <c r="F469" s="2" t="n"/>
      <c r="G469" s="2" t="n"/>
      <c r="H469" s="3" t="inlineStr">
        <is>
          <t>Launch of the jointly developed Shirin David body care line, scheduled for Q2 2025.</t>
        </is>
      </c>
      <c r="I469" s="2" t="inlineStr">
        <is>
          <t>S2</t>
        </is>
      </c>
      <c r="J469" s="2" t="n">
        <v>55</v>
      </c>
      <c r="K469" s="3" t="inlineStr">
        <is>
          <t>The jointly developed body care line is scheduled to launch in the second quarter of 2025.</t>
        </is>
      </c>
      <c r="L469" s="2" t="inlineStr">
        <is>
          <t>ok</t>
        </is>
      </c>
      <c r="M469" s="2" t="inlineStr">
        <is>
          <t>demo reviewer</t>
        </is>
      </c>
      <c r="N469" s="2" t="n"/>
      <c r="O469" s="3" t="inlineStr">
        <is>
          <t>https://vanillabonds.com/dossier-data/pdf/katjes/katjes-2024-annual-report.pdf#page=55</t>
        </is>
      </c>
    </row>
    <row r="470">
      <c r="A470" s="2" t="inlineStr">
        <is>
          <t>F469</t>
        </is>
      </c>
      <c r="B470" s="2" t="inlineStr">
        <is>
          <t>plan</t>
        </is>
      </c>
      <c r="C470" s="2" t="inlineStr">
        <is>
          <t>plan_item</t>
        </is>
      </c>
      <c r="D470" s="3" t="inlineStr">
        <is>
          <t>Investment plan item: what, amount, timing, contracted / ordered / planned</t>
        </is>
      </c>
      <c r="E470" s="2" t="n"/>
      <c r="F470" s="2" t="n">
        <v>9.699999999999999</v>
      </c>
      <c r="G470" s="2" t="n"/>
      <c r="H470" s="3" t="inlineStr">
        <is>
          <t>Prepayments and assets under construction (PP&amp;E) of EUR 9.7m at 31 Dec 2024 (2023: 2.7) after additions of 7.5 in the year.</t>
        </is>
      </c>
      <c r="I470" s="2" t="inlineStr">
        <is>
          <t>S2</t>
        </is>
      </c>
      <c r="J470" s="2" t="n">
        <v>84</v>
      </c>
      <c r="K470" s="3" t="inlineStr">
        <is>
          <t>6. Prepayments and assets under construction 2.7 7.5 -0.5 0.0 9.7</t>
        </is>
      </c>
      <c r="L470" s="2" t="inlineStr">
        <is>
          <t>ok</t>
        </is>
      </c>
      <c r="M470" s="2" t="inlineStr">
        <is>
          <t>demo reviewer</t>
        </is>
      </c>
      <c r="N470" s="2" t="n"/>
      <c r="O470" s="3" t="inlineStr">
        <is>
          <t>https://vanillabonds.com/dossier-data/pdf/katjes/katjes-2024-annual-report.pdf#page=84</t>
        </is>
      </c>
    </row>
    <row r="471">
      <c r="A471" s="2" t="inlineStr">
        <is>
          <t>F470</t>
        </is>
      </c>
      <c r="B471" s="2" t="inlineStr">
        <is>
          <t>plan</t>
        </is>
      </c>
      <c r="C471" s="2" t="inlineStr">
        <is>
          <t>debt_maturing</t>
        </is>
      </c>
      <c r="D471" s="2" t="inlineStr">
        <is>
          <t>Debt principal falling due in the period</t>
        </is>
      </c>
      <c r="E471" s="2" t="inlineStr">
        <is>
          <t>FY2024</t>
        </is>
      </c>
      <c r="F471" s="2" t="n">
        <v>35.2</v>
      </c>
      <c r="G471" s="2" t="inlineStr">
        <is>
          <t>EUR m</t>
        </is>
      </c>
      <c r="H471" s="3" t="inlineStr">
        <is>
          <t>Current financial liabilities (incl. 2.9 lease liabilities) due within one year as at 31 Dec 2023, undiscounted contractual cash flows.</t>
        </is>
      </c>
      <c r="I471" s="2" t="inlineStr">
        <is>
          <t>S2</t>
        </is>
      </c>
      <c r="J471" s="2" t="n">
        <v>59</v>
      </c>
      <c r="K471" s="3" t="inlineStr">
        <is>
          <t>Current financial liabilities (incl. liabilities from leases) 35.2 0.0 0.0 0.0 35.2 35.2</t>
        </is>
      </c>
      <c r="L471" s="2" t="inlineStr">
        <is>
          <t>ok</t>
        </is>
      </c>
      <c r="M471" s="2" t="inlineStr">
        <is>
          <t>demo reviewer</t>
        </is>
      </c>
      <c r="N471" s="2" t="n"/>
      <c r="O471" s="3" t="inlineStr">
        <is>
          <t>https://vanillabonds.com/dossier-data/pdf/katjes/katjes-2024-annual-report.pdf#page=59</t>
        </is>
      </c>
    </row>
    <row r="472">
      <c r="A472" s="2" t="inlineStr">
        <is>
          <t>F471</t>
        </is>
      </c>
      <c r="B472" s="2" t="inlineStr">
        <is>
          <t>plan</t>
        </is>
      </c>
      <c r="C472" s="2" t="inlineStr">
        <is>
          <t>debt_maturing</t>
        </is>
      </c>
      <c r="D472" s="2" t="inlineStr">
        <is>
          <t>Debt principal falling due in the period</t>
        </is>
      </c>
      <c r="E472" s="2" t="inlineStr">
        <is>
          <t>FY2025E</t>
        </is>
      </c>
      <c r="F472" s="2" t="n">
        <v>37.4</v>
      </c>
      <c r="G472" s="2" t="inlineStr">
        <is>
          <t>EUR m</t>
        </is>
      </c>
      <c r="H472" s="3" t="inlineStr">
        <is>
          <t>Financial liabilities due within one year as at 31 Dec 2024, incl. 3.7 lease liabilities (undiscounted contractual maturities).</t>
        </is>
      </c>
      <c r="I472" s="2" t="inlineStr">
        <is>
          <t>S2</t>
        </is>
      </c>
      <c r="J472" s="2" t="n">
        <v>59</v>
      </c>
      <c r="K472" s="3" t="inlineStr">
        <is>
          <t>Current financial liabilities (incl. liabilities from leases) 37.4 0.0 0.0 0.0 37.4 37.4</t>
        </is>
      </c>
      <c r="L472" s="2" t="inlineStr">
        <is>
          <t>pend</t>
        </is>
      </c>
      <c r="M472" s="2" t="n"/>
      <c r="N472" s="3" t="inlineStr">
        <is>
          <t>conflict: S1·p63 15.1 vs S2·p59 37.4; primary per fact agent: S2 p59 - S2's maturity table at 31 Dec 2024 is the later audited measurement of amounts due in 2025; S1's 15.1 is the one-to-two-year band at 31 Dec 2023.</t>
        </is>
      </c>
      <c r="O472" s="3" t="inlineStr">
        <is>
          <t>https://vanillabonds.com/dossier-data/pdf/katjes/katjes-2024-annual-report.pdf#page=59</t>
        </is>
      </c>
    </row>
    <row r="473">
      <c r="A473" s="2" t="inlineStr">
        <is>
          <t>F472</t>
        </is>
      </c>
      <c r="B473" s="2" t="inlineStr">
        <is>
          <t>plan</t>
        </is>
      </c>
      <c r="C473" s="2" t="inlineStr">
        <is>
          <t>debt_maturing</t>
        </is>
      </c>
      <c r="D473" s="2" t="inlineStr">
        <is>
          <t>Debt principal falling due in the period</t>
        </is>
      </c>
      <c r="E473" s="2" t="inlineStr">
        <is>
          <t>FY2026E</t>
        </is>
      </c>
      <c r="F473" s="2" t="n">
        <v>12.3</v>
      </c>
      <c r="G473" s="2" t="inlineStr">
        <is>
          <t>EUR m</t>
        </is>
      </c>
      <c r="H473" s="3" t="inlineStr">
        <is>
          <t>Non-current financial liabilities due in one to two years as at 31 Dec 2024, incl. 3.6 lease liabilities.</t>
        </is>
      </c>
      <c r="I473" s="2" t="inlineStr">
        <is>
          <t>S2</t>
        </is>
      </c>
      <c r="J473" s="2" t="n">
        <v>59</v>
      </c>
      <c r="K473" s="3" t="inlineStr">
        <is>
          <t>As of 31 Dec 2024 Non-current financial liabilities (incl. liabilities from leases) 0.0 12.3 136.0 3.7 152.0 152.0</t>
        </is>
      </c>
      <c r="L473" s="2" t="inlineStr">
        <is>
          <t>pend</t>
        </is>
      </c>
      <c r="M473" s="2" t="n"/>
      <c r="N473" s="3" t="inlineStr">
        <is>
          <t>conflict: S2·p59 12.3 vs S3·p57 74.3; primary per fact agent: S3 p57 - S3's maturity table at 31 Dec 2025 is the later audited measurement of amounts due in 2026; S2's 12.3 is the one-to-two-year band at 31 Dec 2024.</t>
        </is>
      </c>
      <c r="O473" s="3" t="inlineStr">
        <is>
          <t>https://vanillabonds.com/dossier-data/pdf/katjes/katjes-2024-annual-report.pdf#page=59</t>
        </is>
      </c>
    </row>
    <row r="474">
      <c r="A474" s="2" t="inlineStr">
        <is>
          <t>F473</t>
        </is>
      </c>
      <c r="B474" s="2" t="inlineStr">
        <is>
          <t>plan</t>
        </is>
      </c>
      <c r="C474" s="2" t="inlineStr">
        <is>
          <t>debt_maturing</t>
        </is>
      </c>
      <c r="D474" s="2" t="inlineStr">
        <is>
          <t>Debt principal falling due in the period</t>
        </is>
      </c>
      <c r="E474" s="2" t="inlineStr">
        <is>
          <t>FY2027E-FY2029E</t>
        </is>
      </c>
      <c r="F474" s="2" t="n">
        <v>136</v>
      </c>
      <c r="G474" s="2" t="inlineStr">
        <is>
          <t>EUR m</t>
        </is>
      </c>
      <c r="H474" s="3" t="inlineStr">
        <is>
          <t>Non-current financial liabilities due in two to five years as at 31 Dec 2024 (band, incl. 5.5 lease liabilities and the EUR 115m bond 2023/2028); a further 3.7 falls due after more than five years.</t>
        </is>
      </c>
      <c r="I474" s="2" t="inlineStr">
        <is>
          <t>S2</t>
        </is>
      </c>
      <c r="J474" s="2" t="n">
        <v>59</v>
      </c>
      <c r="K474" s="3" t="inlineStr">
        <is>
          <t>As of 31 Dec 2024 Non-current financial liabilities (incl. liabilities from leases) 0.0 12.3 136.0 3.7 152.0 152.0</t>
        </is>
      </c>
      <c r="L474" s="2" t="inlineStr">
        <is>
          <t>ok</t>
        </is>
      </c>
      <c r="M474" s="2" t="inlineStr">
        <is>
          <t>demo reviewer</t>
        </is>
      </c>
      <c r="N474" s="2" t="n"/>
      <c r="O474" s="3" t="inlineStr">
        <is>
          <t>https://vanillabonds.com/dossier-data/pdf/katjes/katjes-2024-annual-report.pdf#page=59</t>
        </is>
      </c>
    </row>
    <row r="475">
      <c r="A475" s="2" t="inlineStr">
        <is>
          <t>F474</t>
        </is>
      </c>
      <c r="B475" s="2" t="inlineStr">
        <is>
          <t>plan</t>
        </is>
      </c>
      <c r="C475" s="2" t="inlineStr">
        <is>
          <t>issue_cost</t>
        </is>
      </c>
      <c r="D475" s="3" t="inlineStr">
        <is>
          <t>Issue cost item: item (notary, trustee, listing, legal, VAT); amount; source</t>
        </is>
      </c>
      <c r="E475" s="2" t="inlineStr">
        <is>
          <t>FY2023</t>
        </is>
      </c>
      <c r="F475" s="2" t="n">
        <v>2.8</v>
      </c>
      <c r="G475" s="2" t="n"/>
      <c r="H475" s="3" t="inlineStr">
        <is>
          <t>item: incidental costs of the 2023/2028 bond; amount: 2.8; source: cash flow statement 2023</t>
        </is>
      </c>
      <c r="I475" s="2" t="inlineStr">
        <is>
          <t>S2</t>
        </is>
      </c>
      <c r="J475" s="2" t="n">
        <v>45</v>
      </c>
      <c r="K475" s="2" t="inlineStr">
        <is>
          <t>Incidental costs of the bond 0.0 -2.8</t>
        </is>
      </c>
      <c r="L475" s="2" t="inlineStr">
        <is>
          <t>ok</t>
        </is>
      </c>
      <c r="M475" s="2" t="inlineStr">
        <is>
          <t>demo reviewer</t>
        </is>
      </c>
      <c r="N475" s="2" t="n"/>
      <c r="O475" s="3" t="inlineStr">
        <is>
          <t>https://vanillabonds.com/dossier-data/pdf/katjes/katjes-2024-annual-report.pdf#page=45</t>
        </is>
      </c>
    </row>
    <row r="476">
      <c r="A476" s="2" t="inlineStr">
        <is>
          <t>F475</t>
        </is>
      </c>
      <c r="B476" s="2" t="inlineStr">
        <is>
          <t>governance</t>
        </is>
      </c>
      <c r="C476" s="2" t="inlineStr">
        <is>
          <t>group_entity</t>
        </is>
      </c>
      <c r="D476" s="3" t="inlineStr">
        <is>
          <t>Group entity: entity; jurisdiction; revenue; ebitda; assets; debt; guarantor (yes / no)</t>
        </is>
      </c>
      <c r="E476" s="2" t="n"/>
      <c r="F476" s="2" t="n"/>
      <c r="G476" s="2" t="n"/>
      <c r="H476" s="3" t="inlineStr">
        <is>
          <t>entity: CPK S.A.S., Paris (approx. 23%, associate at equity, carrying amount 65.0); jurisdiction: FR; revenue: 1.2 (2023: 1.4); assets: 268.3 non-current + 9.2 current; debt: 5.1 current liabilities, 0.0 non-current</t>
        </is>
      </c>
      <c r="I476" s="2" t="inlineStr">
        <is>
          <t>S2</t>
        </is>
      </c>
      <c r="J476" s="2" t="n">
        <v>56</v>
      </c>
      <c r="K476" s="3" t="inlineStr">
        <is>
          <t>Current assets 9.2 4.5 Non-current assets 268.3 268.5 Current liabilities 5.1 6.1 Non-current liabilities 0.0 0.0</t>
        </is>
      </c>
      <c r="L476" s="2" t="inlineStr">
        <is>
          <t>ok</t>
        </is>
      </c>
      <c r="M476" s="2" t="inlineStr">
        <is>
          <t>demo reviewer</t>
        </is>
      </c>
      <c r="N476" s="2" t="n"/>
      <c r="O476" s="3" t="inlineStr">
        <is>
          <t>https://vanillabonds.com/dossier-data/pdf/katjes/katjes-2024-annual-report.pdf#page=56</t>
        </is>
      </c>
    </row>
    <row r="477">
      <c r="A477" s="2" t="inlineStr">
        <is>
          <t>F476</t>
        </is>
      </c>
      <c r="B477" s="2" t="inlineStr">
        <is>
          <t>governance</t>
        </is>
      </c>
      <c r="C477" s="2" t="inlineStr">
        <is>
          <t>group_entity</t>
        </is>
      </c>
      <c r="D477" s="3" t="inlineStr">
        <is>
          <t>Group entity: entity; jurisdiction; revenue; ebitda; assets; debt; guarantor (yes / no)</t>
        </is>
      </c>
      <c r="E477" s="2" t="n"/>
      <c r="F477" s="2" t="n"/>
      <c r="G477" s="2" t="n"/>
      <c r="H477" s="3" t="inlineStr">
        <is>
          <t>entity: Piasten GmbH, Forchheim (100%, fully consolidated); jurisdiction: DE</t>
        </is>
      </c>
      <c r="I477" s="2" t="inlineStr">
        <is>
          <t>S2</t>
        </is>
      </c>
      <c r="J477" s="2" t="n">
        <v>83</v>
      </c>
      <c r="K477" s="2" t="inlineStr">
        <is>
          <t>Piasten GmbH, Forchheim 100 A 100 A</t>
        </is>
      </c>
      <c r="L477" s="2" t="inlineStr">
        <is>
          <t>ok</t>
        </is>
      </c>
      <c r="M477" s="2" t="inlineStr">
        <is>
          <t>demo reviewer</t>
        </is>
      </c>
      <c r="N477" s="2" t="n"/>
      <c r="O477" s="3" t="inlineStr">
        <is>
          <t>https://vanillabonds.com/dossier-data/pdf/katjes/katjes-2024-annual-report.pdf#page=83</t>
        </is>
      </c>
    </row>
    <row r="478">
      <c r="A478" s="2" t="inlineStr">
        <is>
          <t>F477</t>
        </is>
      </c>
      <c r="B478" s="2" t="inlineStr">
        <is>
          <t>governance</t>
        </is>
      </c>
      <c r="C478" s="2" t="inlineStr">
        <is>
          <t>group_entity</t>
        </is>
      </c>
      <c r="D478" s="3" t="inlineStr">
        <is>
          <t>Group entity: entity; jurisdiction; revenue; ebitda; assets; debt; guarantor (yes / no)</t>
        </is>
      </c>
      <c r="E478" s="2" t="n"/>
      <c r="F478" s="2" t="n"/>
      <c r="G478" s="2" t="n"/>
      <c r="H478" s="3" t="inlineStr">
        <is>
          <t>entity: Dallmann’s Pharma Candy GmbH, Hofheim am Taunus (100%, fully consolidated); jurisdiction: DE</t>
        </is>
      </c>
      <c r="I478" s="2" t="inlineStr">
        <is>
          <t>S2</t>
        </is>
      </c>
      <c r="J478" s="2" t="n">
        <v>83</v>
      </c>
      <c r="K478" s="3" t="inlineStr">
        <is>
          <t>Dallmann’s Pharma Candy GmbH, Hofheim am Taunus 100 A 100 A</t>
        </is>
      </c>
      <c r="L478" s="2" t="inlineStr">
        <is>
          <t>ok</t>
        </is>
      </c>
      <c r="M478" s="2" t="inlineStr">
        <is>
          <t>demo reviewer</t>
        </is>
      </c>
      <c r="N478" s="2" t="n"/>
      <c r="O478" s="3" t="inlineStr">
        <is>
          <t>https://vanillabonds.com/dossier-data/pdf/katjes/katjes-2024-annual-report.pdf#page=83</t>
        </is>
      </c>
    </row>
    <row r="479">
      <c r="A479" s="2" t="inlineStr">
        <is>
          <t>F478</t>
        </is>
      </c>
      <c r="B479" s="2" t="inlineStr">
        <is>
          <t>governance</t>
        </is>
      </c>
      <c r="C479" s="2" t="inlineStr">
        <is>
          <t>group_entity</t>
        </is>
      </c>
      <c r="D479" s="3" t="inlineStr">
        <is>
          <t>Group entity: entity; jurisdiction; revenue; ebitda; assets; debt; guarantor (yes / no)</t>
        </is>
      </c>
      <c r="E479" s="2" t="n"/>
      <c r="F479" s="2" t="n"/>
      <c r="G479" s="2" t="n"/>
      <c r="H479" s="3" t="inlineStr">
        <is>
          <t>entity: Bübchen-Werk Ewald Hermes Pharmazeutische Fabrik GmbH, Soest (100%, fully consolidated); jurisdiction: DE</t>
        </is>
      </c>
      <c r="I479" s="2" t="inlineStr">
        <is>
          <t>S2</t>
        </is>
      </c>
      <c r="J479" s="2" t="n">
        <v>83</v>
      </c>
      <c r="K479" s="3" t="inlineStr">
        <is>
          <t>Bübchen-Werk Ewald Hermes Pharmazeutische Fabrik GmbH, Soest 100 A 100 A</t>
        </is>
      </c>
      <c r="L479" s="2" t="inlineStr">
        <is>
          <t>ok</t>
        </is>
      </c>
      <c r="M479" s="2" t="inlineStr">
        <is>
          <t>demo reviewer</t>
        </is>
      </c>
      <c r="N479" s="2" t="n"/>
      <c r="O479" s="3" t="inlineStr">
        <is>
          <t>https://vanillabonds.com/dossier-data/pdf/katjes/katjes-2024-annual-report.pdf#page=83</t>
        </is>
      </c>
    </row>
    <row r="480">
      <c r="A480" s="2" t="inlineStr">
        <is>
          <t>F479</t>
        </is>
      </c>
      <c r="B480" s="2" t="inlineStr">
        <is>
          <t>governance</t>
        </is>
      </c>
      <c r="C480" s="2" t="inlineStr">
        <is>
          <t>group_entity</t>
        </is>
      </c>
      <c r="D480" s="3" t="inlineStr">
        <is>
          <t>Group entity: entity; jurisdiction; revenue; ebitda; assets; debt; guarantor (yes / no)</t>
        </is>
      </c>
      <c r="E480" s="2" t="n"/>
      <c r="F480" s="2" t="n"/>
      <c r="G480" s="2" t="n"/>
      <c r="H480" s="3" t="inlineStr">
        <is>
          <t>entity: Bübchen Bodycare GmbH, Dusseldorf (100%, fully consolidated; oral care brands, Viersen site); jurisdiction: DE</t>
        </is>
      </c>
      <c r="I480" s="2" t="inlineStr">
        <is>
          <t>S2</t>
        </is>
      </c>
      <c r="J480" s="2" t="n">
        <v>83</v>
      </c>
      <c r="K480" s="3" t="inlineStr">
        <is>
          <t>Bübchen Bodycare GmbH, Dusseldorf 100 A 100 A</t>
        </is>
      </c>
      <c r="L480" s="2" t="inlineStr">
        <is>
          <t>ok</t>
        </is>
      </c>
      <c r="M480" s="2" t="inlineStr">
        <is>
          <t>demo reviewer</t>
        </is>
      </c>
      <c r="N480" s="2" t="n"/>
      <c r="O480" s="3" t="inlineStr">
        <is>
          <t>https://vanillabonds.com/dossier-data/pdf/katjes/katjes-2024-annual-report.pdf#page=83</t>
        </is>
      </c>
    </row>
    <row r="481">
      <c r="A481" s="2" t="inlineStr">
        <is>
          <t>F480</t>
        </is>
      </c>
      <c r="B481" s="2" t="inlineStr">
        <is>
          <t>governance</t>
        </is>
      </c>
      <c r="C481" s="2" t="inlineStr">
        <is>
          <t>group_entity</t>
        </is>
      </c>
      <c r="D481" s="3" t="inlineStr">
        <is>
          <t>Group entity: entity; jurisdiction; revenue; ebitda; assets; debt; guarantor (yes / no)</t>
        </is>
      </c>
      <c r="E481" s="2" t="n"/>
      <c r="F481" s="2" t="n"/>
      <c r="G481" s="2" t="n"/>
      <c r="H481" s="3" t="inlineStr">
        <is>
          <t>entity: Katjes 24 GmbH, Emmerich (100%, intermediate holding, fully consolidated); jurisdiction: DE</t>
        </is>
      </c>
      <c r="I481" s="2" t="inlineStr">
        <is>
          <t>S2</t>
        </is>
      </c>
      <c r="J481" s="2" t="n">
        <v>83</v>
      </c>
      <c r="K481" s="2" t="inlineStr">
        <is>
          <t>Katjes 24 GmbH, Emmerich 100 A 100 A</t>
        </is>
      </c>
      <c r="L481" s="2" t="inlineStr">
        <is>
          <t>ok</t>
        </is>
      </c>
      <c r="M481" s="2" t="inlineStr">
        <is>
          <t>demo reviewer</t>
        </is>
      </c>
      <c r="N481" s="2" t="n"/>
      <c r="O481" s="3" t="inlineStr">
        <is>
          <t>https://vanillabonds.com/dossier-data/pdf/katjes/katjes-2024-annual-report.pdf#page=83</t>
        </is>
      </c>
    </row>
    <row r="482">
      <c r="A482" s="2" t="inlineStr">
        <is>
          <t>F481</t>
        </is>
      </c>
      <c r="B482" s="2" t="inlineStr">
        <is>
          <t>governance</t>
        </is>
      </c>
      <c r="C482" s="2" t="inlineStr">
        <is>
          <t>group_entity</t>
        </is>
      </c>
      <c r="D482" s="3" t="inlineStr">
        <is>
          <t>Group entity: entity; jurisdiction; revenue; ebitda; assets; debt; guarantor (yes / no)</t>
        </is>
      </c>
      <c r="E482" s="2" t="n"/>
      <c r="F482" s="2" t="n"/>
      <c r="G482" s="2" t="n"/>
      <c r="H482" s="3" t="inlineStr">
        <is>
          <t>entity: Pharma Candy GmbH &amp; Co. KG, Emmerich (99.9%, fully consolidated); jurisdiction: DE</t>
        </is>
      </c>
      <c r="I482" s="2" t="inlineStr">
        <is>
          <t>S2</t>
        </is>
      </c>
      <c r="J482" s="2" t="n">
        <v>83</v>
      </c>
      <c r="K482" s="3" t="inlineStr">
        <is>
          <t>Pharma Candy GmbH &amp; Co. KG, Emmerich 99.9 A 99.9 A</t>
        </is>
      </c>
      <c r="L482" s="2" t="inlineStr">
        <is>
          <t>ok</t>
        </is>
      </c>
      <c r="M482" s="2" t="inlineStr">
        <is>
          <t>demo reviewer</t>
        </is>
      </c>
      <c r="N482" s="2" t="n"/>
      <c r="O482" s="3" t="inlineStr">
        <is>
          <t>https://vanillabonds.com/dossier-data/pdf/katjes/katjes-2024-annual-report.pdf#page=83</t>
        </is>
      </c>
    </row>
    <row r="483">
      <c r="A483" s="2" t="inlineStr">
        <is>
          <t>F482</t>
        </is>
      </c>
      <c r="B483" s="2" t="inlineStr">
        <is>
          <t>governance</t>
        </is>
      </c>
      <c r="C483" s="2" t="inlineStr">
        <is>
          <t>group_entity</t>
        </is>
      </c>
      <c r="D483" s="3" t="inlineStr">
        <is>
          <t>Group entity: entity; jurisdiction; revenue; ebitda; assets; debt; guarantor (yes / no)</t>
        </is>
      </c>
      <c r="E483" s="2" t="n"/>
      <c r="F483" s="2" t="n"/>
      <c r="G483" s="2" t="n"/>
      <c r="H483" s="3" t="inlineStr">
        <is>
          <t>entity: Shirin Beauty GmbH, Dusseldorf (50%, joint venture at equity, new in 2024); jurisdiction: DE</t>
        </is>
      </c>
      <c r="I483" s="2" t="inlineStr">
        <is>
          <t>S2</t>
        </is>
      </c>
      <c r="J483" s="2" t="n">
        <v>83</v>
      </c>
      <c r="K483" s="2" t="inlineStr">
        <is>
          <t>Shirin Beauty GmbH, Dusseldorf 50 B — —</t>
        </is>
      </c>
      <c r="L483" s="2" t="inlineStr">
        <is>
          <t>ok</t>
        </is>
      </c>
      <c r="M483" s="2" t="inlineStr">
        <is>
          <t>demo reviewer</t>
        </is>
      </c>
      <c r="N483" s="2" t="n"/>
      <c r="O483" s="3" t="inlineStr">
        <is>
          <t>https://vanillabonds.com/dossier-data/pdf/katjes/katjes-2024-annual-report.pdf#page=83</t>
        </is>
      </c>
    </row>
    <row r="484">
      <c r="A484" s="2" t="inlineStr">
        <is>
          <t>F483</t>
        </is>
      </c>
      <c r="B484" s="2" t="inlineStr">
        <is>
          <t>governance</t>
        </is>
      </c>
      <c r="C484" s="2" t="inlineStr">
        <is>
          <t>group_entity</t>
        </is>
      </c>
      <c r="D484" s="3" t="inlineStr">
        <is>
          <t>Group entity: entity; jurisdiction; revenue; ebitda; assets; debt; guarantor (yes / no)</t>
        </is>
      </c>
      <c r="E484" s="2" t="n"/>
      <c r="F484" s="2" t="n"/>
      <c r="G484" s="2" t="n"/>
      <c r="H484" s="3" t="inlineStr">
        <is>
          <t>entity: Blaue Helden GmbH i.L., Bad Homburg (11.1%, in liquidation, not consolidated); jurisdiction: DE</t>
        </is>
      </c>
      <c r="I484" s="2" t="inlineStr">
        <is>
          <t>S2</t>
        </is>
      </c>
      <c r="J484" s="2" t="n">
        <v>83</v>
      </c>
      <c r="K484" s="3" t="inlineStr">
        <is>
          <t>Blaue Helden GmbH i.L., Bad Homburg 11.1 — 11.1 —</t>
        </is>
      </c>
      <c r="L484" s="2" t="inlineStr">
        <is>
          <t>ok</t>
        </is>
      </c>
      <c r="M484" s="2" t="inlineStr">
        <is>
          <t>demo reviewer</t>
        </is>
      </c>
      <c r="N484" s="2" t="n"/>
      <c r="O484" s="3" t="inlineStr">
        <is>
          <t>https://vanillabonds.com/dossier-data/pdf/katjes/katjes-2024-annual-report.pdf#page=83</t>
        </is>
      </c>
    </row>
    <row r="485">
      <c r="A485" s="2" t="inlineStr">
        <is>
          <t>F484</t>
        </is>
      </c>
      <c r="B485" s="2" t="inlineStr">
        <is>
          <t>governance</t>
        </is>
      </c>
      <c r="C485" s="2" t="inlineStr">
        <is>
          <t>group_entity</t>
        </is>
      </c>
      <c r="D485" s="3" t="inlineStr">
        <is>
          <t>Group entity: entity; jurisdiction; revenue; ebitda; assets; debt; guarantor (yes / no)</t>
        </is>
      </c>
      <c r="E485" s="2" t="n"/>
      <c r="F485" s="2" t="n"/>
      <c r="G485" s="2" t="n"/>
      <c r="H485" s="3" t="inlineStr">
        <is>
          <t>entity: Harlekĳntjes B.V., Nĳkerk (100%, fully consolidated); jurisdiction: NL</t>
        </is>
      </c>
      <c r="I485" s="2" t="inlineStr">
        <is>
          <t>S2</t>
        </is>
      </c>
      <c r="J485" s="2" t="n">
        <v>83</v>
      </c>
      <c r="K485" s="3" t="inlineStr">
        <is>
          <t>Harlekĳntjes B.V., Nĳkerk,Netherlands 100 A 100 A</t>
        </is>
      </c>
      <c r="L485" s="2" t="inlineStr">
        <is>
          <t>ok</t>
        </is>
      </c>
      <c r="M485" s="2" t="inlineStr">
        <is>
          <t>demo reviewer</t>
        </is>
      </c>
      <c r="N485" s="2" t="n"/>
      <c r="O485" s="3" t="inlineStr">
        <is>
          <t>https://vanillabonds.com/dossier-data/pdf/katjes/katjes-2024-annual-report.pdf#page=83</t>
        </is>
      </c>
    </row>
    <row r="486">
      <c r="A486" s="2" t="inlineStr">
        <is>
          <t>F485</t>
        </is>
      </c>
      <c r="B486" s="2" t="inlineStr">
        <is>
          <t>governance</t>
        </is>
      </c>
      <c r="C486" s="2" t="inlineStr">
        <is>
          <t>group_entity</t>
        </is>
      </c>
      <c r="D486" s="3" t="inlineStr">
        <is>
          <t>Group entity: entity; jurisdiction; revenue; ebitda; assets; debt; guarantor (yes / no)</t>
        </is>
      </c>
      <c r="E486" s="2" t="n"/>
      <c r="F486" s="2" t="n"/>
      <c r="G486" s="2" t="n"/>
      <c r="H486" s="3" t="inlineStr">
        <is>
          <t>entity: Heel Veel Snoepjes B.V., Nĳkerk (100%, fully consolidated); jurisdiction: NL</t>
        </is>
      </c>
      <c r="I486" s="2" t="inlineStr">
        <is>
          <t>S2</t>
        </is>
      </c>
      <c r="J486" s="2" t="n">
        <v>83</v>
      </c>
      <c r="K486" s="3" t="inlineStr">
        <is>
          <t>Heel Veel Snoepjes B.V., Nĳkerk,Netherlands 100 A 100 A</t>
        </is>
      </c>
      <c r="L486" s="2" t="inlineStr">
        <is>
          <t>ok</t>
        </is>
      </c>
      <c r="M486" s="2" t="inlineStr">
        <is>
          <t>demo reviewer</t>
        </is>
      </c>
      <c r="N486" s="2" t="n"/>
      <c r="O486" s="3" t="inlineStr">
        <is>
          <t>https://vanillabonds.com/dossier-data/pdf/katjes/katjes-2024-annual-report.pdf#page=83</t>
        </is>
      </c>
    </row>
    <row r="487">
      <c r="A487" s="2" t="inlineStr">
        <is>
          <t>F486</t>
        </is>
      </c>
      <c r="B487" s="2" t="inlineStr">
        <is>
          <t>governance</t>
        </is>
      </c>
      <c r="C487" s="2" t="inlineStr">
        <is>
          <t>group_entity</t>
        </is>
      </c>
      <c r="D487" s="3" t="inlineStr">
        <is>
          <t>Group entity: entity; jurisdiction; revenue; ebitda; assets; debt; guarantor (yes / no)</t>
        </is>
      </c>
      <c r="E487" s="2" t="n"/>
      <c r="F487" s="2" t="n"/>
      <c r="G487" s="2" t="n"/>
      <c r="H487" s="3" t="inlineStr">
        <is>
          <t>entity: ÖZW Österreichische Zuckerwaren GmbH, Vienna (100%, fully consolidated); jurisdiction: AT</t>
        </is>
      </c>
      <c r="I487" s="2" t="inlineStr">
        <is>
          <t>S2</t>
        </is>
      </c>
      <c r="J487" s="2" t="n">
        <v>83</v>
      </c>
      <c r="K487" s="3" t="inlineStr">
        <is>
          <t>ÖZW Österreichische Zuckerwaren GmbH, Vienna, Austria 100 A 100 A</t>
        </is>
      </c>
      <c r="L487" s="2" t="inlineStr">
        <is>
          <t>ok</t>
        </is>
      </c>
      <c r="M487" s="2" t="inlineStr">
        <is>
          <t>demo reviewer</t>
        </is>
      </c>
      <c r="N487" s="2" t="n"/>
      <c r="O487" s="3" t="inlineStr">
        <is>
          <t>https://vanillabonds.com/dossier-data/pdf/katjes/katjes-2024-annual-report.pdf#page=83</t>
        </is>
      </c>
    </row>
    <row r="488">
      <c r="A488" s="2" t="inlineStr">
        <is>
          <t>F487</t>
        </is>
      </c>
      <c r="B488" s="2" t="inlineStr">
        <is>
          <t>governance</t>
        </is>
      </c>
      <c r="C488" s="2" t="inlineStr">
        <is>
          <t>group_entity</t>
        </is>
      </c>
      <c r="D488" s="3" t="inlineStr">
        <is>
          <t>Group entity: entity; jurisdiction; revenue; ebitda; assets; debt; guarantor (yes / no)</t>
        </is>
      </c>
      <c r="E488" s="2" t="n"/>
      <c r="F488" s="2" t="n"/>
      <c r="G488" s="2" t="n"/>
      <c r="H488" s="3" t="inlineStr">
        <is>
          <t>entity: Sperlari S.r.l., Cremona (100%, fully consolidated); jurisdiction: IT</t>
        </is>
      </c>
      <c r="I488" s="2" t="inlineStr">
        <is>
          <t>S2</t>
        </is>
      </c>
      <c r="J488" s="2" t="n">
        <v>83</v>
      </c>
      <c r="K488" s="3" t="inlineStr">
        <is>
          <t>Sperlari S.r.l., Cremona, Italy 100 A 100 A</t>
        </is>
      </c>
      <c r="L488" s="2" t="inlineStr">
        <is>
          <t>ok</t>
        </is>
      </c>
      <c r="M488" s="2" t="inlineStr">
        <is>
          <t>demo reviewer</t>
        </is>
      </c>
      <c r="N488" s="2" t="n"/>
      <c r="O488" s="3" t="inlineStr">
        <is>
          <t>https://vanillabonds.com/dossier-data/pdf/katjes/katjes-2024-annual-report.pdf#page=83</t>
        </is>
      </c>
    </row>
    <row r="489">
      <c r="A489" s="2" t="inlineStr">
        <is>
          <t>F488</t>
        </is>
      </c>
      <c r="B489" s="2" t="inlineStr">
        <is>
          <t>governance</t>
        </is>
      </c>
      <c r="C489" s="2" t="inlineStr">
        <is>
          <t>group_entity</t>
        </is>
      </c>
      <c r="D489" s="3" t="inlineStr">
        <is>
          <t>Group entity: entity; jurisdiction; revenue; ebitda; assets; debt; guarantor (yes / no)</t>
        </is>
      </c>
      <c r="E489" s="2" t="n"/>
      <c r="F489" s="2" t="n"/>
      <c r="G489" s="2" t="n"/>
      <c r="H489" s="3" t="inlineStr">
        <is>
          <t>entity: Dulcioliva S.r.l., Borgo San Dalmazzo (75%, fully consolidated, option on remaining 25%); jurisdiction: IT</t>
        </is>
      </c>
      <c r="I489" s="2" t="inlineStr">
        <is>
          <t>S2</t>
        </is>
      </c>
      <c r="J489" s="2" t="n">
        <v>83</v>
      </c>
      <c r="K489" s="3" t="inlineStr">
        <is>
          <t>Dulcioliva S.r.l., Borgo San Dalmazzo, Italy 75 A 75 A</t>
        </is>
      </c>
      <c r="L489" s="2" t="inlineStr">
        <is>
          <t>ok</t>
        </is>
      </c>
      <c r="M489" s="2" t="inlineStr">
        <is>
          <t>demo reviewer</t>
        </is>
      </c>
      <c r="N489" s="2" t="n"/>
      <c r="O489" s="3" t="inlineStr">
        <is>
          <t>https://vanillabonds.com/dossier-data/pdf/katjes/katjes-2024-annual-report.pdf#page=83</t>
        </is>
      </c>
    </row>
    <row r="490">
      <c r="A490" s="2" t="inlineStr">
        <is>
          <t>F489</t>
        </is>
      </c>
      <c r="B490" s="2" t="inlineStr">
        <is>
          <t>governance</t>
        </is>
      </c>
      <c r="C490" s="2" t="inlineStr">
        <is>
          <t>group_entity</t>
        </is>
      </c>
      <c r="D490" s="3" t="inlineStr">
        <is>
          <t>Group entity: entity; jurisdiction; revenue; ebitda; assets; debt; guarantor (yes / no)</t>
        </is>
      </c>
      <c r="E490" s="2" t="n"/>
      <c r="F490" s="2" t="n"/>
      <c r="G490" s="2" t="n"/>
      <c r="H490" s="3" t="inlineStr">
        <is>
          <t>entity: Paluani 1921 S.r.l., Verona (100%, fully consolidated); jurisdiction: IT</t>
        </is>
      </c>
      <c r="I490" s="2" t="inlineStr">
        <is>
          <t>S2</t>
        </is>
      </c>
      <c r="J490" s="2" t="n">
        <v>83</v>
      </c>
      <c r="K490" s="3" t="inlineStr">
        <is>
          <t>Paluani 1921 S.r.l., Verona, Italy 100 A 100 A</t>
        </is>
      </c>
      <c r="L490" s="2" t="inlineStr">
        <is>
          <t>ok</t>
        </is>
      </c>
      <c r="M490" s="2" t="inlineStr">
        <is>
          <t>demo reviewer</t>
        </is>
      </c>
      <c r="N490" s="2" t="n"/>
      <c r="O490" s="3" t="inlineStr">
        <is>
          <t>https://vanillabonds.com/dossier-data/pdf/katjes/katjes-2024-annual-report.pdf#page=83</t>
        </is>
      </c>
    </row>
    <row r="491">
      <c r="A491" s="2" t="inlineStr">
        <is>
          <t>F490</t>
        </is>
      </c>
      <c r="B491" s="2" t="inlineStr">
        <is>
          <t>governance</t>
        </is>
      </c>
      <c r="C491" s="2" t="inlineStr">
        <is>
          <t>group_entity</t>
        </is>
      </c>
      <c r="D491" s="3" t="inlineStr">
        <is>
          <t>Group entity: entity; jurisdiction; revenue; ebitda; assets; debt; guarantor (yes / no)</t>
        </is>
      </c>
      <c r="E491" s="2" t="n"/>
      <c r="F491" s="2" t="n"/>
      <c r="G491" s="2" t="n"/>
      <c r="H491" s="3" t="inlineStr">
        <is>
          <t>entity: Candy Kittens Ltd., London (88% at 31 Dec 2024, 56.5% in 2023, fully consolidated); jurisdiction: GB</t>
        </is>
      </c>
      <c r="I491" s="2" t="inlineStr">
        <is>
          <t>S2</t>
        </is>
      </c>
      <c r="J491" s="2" t="n">
        <v>83</v>
      </c>
      <c r="K491" s="3" t="inlineStr">
        <is>
          <t>Candy Kittens Ltd., London, UK 88 A 56.5 A</t>
        </is>
      </c>
      <c r="L491" s="2" t="inlineStr">
        <is>
          <t>ok</t>
        </is>
      </c>
      <c r="M491" s="2" t="inlineStr">
        <is>
          <t>demo reviewer</t>
        </is>
      </c>
      <c r="N491" s="2" t="n"/>
      <c r="O491" s="3" t="inlineStr">
        <is>
          <t>https://vanillabonds.com/dossier-data/pdf/katjes/katjes-2024-annual-report.pdf#page=83</t>
        </is>
      </c>
    </row>
    <row r="492">
      <c r="A492" s="2" t="inlineStr">
        <is>
          <t>F491</t>
        </is>
      </c>
      <c r="B492" s="2" t="inlineStr">
        <is>
          <t>governance</t>
        </is>
      </c>
      <c r="C492" s="2" t="inlineStr">
        <is>
          <t>group_entity</t>
        </is>
      </c>
      <c r="D492" s="3" t="inlineStr">
        <is>
          <t>Group entity: entity; jurisdiction; revenue; ebitda; assets; debt; guarantor (yes / no)</t>
        </is>
      </c>
      <c r="E492" s="2" t="n"/>
      <c r="F492" s="2" t="n"/>
      <c r="G492" s="2" t="n"/>
      <c r="H492" s="3" t="inlineStr">
        <is>
          <t>entity: Longaim Ltd, London (88%, 2023: 56.5%, subsidiary of Candy Kittens, fully consolidated); jurisdiction: GB</t>
        </is>
      </c>
      <c r="I492" s="2" t="inlineStr">
        <is>
          <t>S2</t>
        </is>
      </c>
      <c r="J492" s="2" t="n">
        <v>83</v>
      </c>
      <c r="K492" s="2" t="inlineStr">
        <is>
          <t>Longaim Ltd, London, UK 88 A 56.5 A</t>
        </is>
      </c>
      <c r="L492" s="2" t="inlineStr">
        <is>
          <t>ok</t>
        </is>
      </c>
      <c r="M492" s="2" t="inlineStr">
        <is>
          <t>demo reviewer</t>
        </is>
      </c>
      <c r="N492" s="2" t="n"/>
      <c r="O492" s="3" t="inlineStr">
        <is>
          <t>https://vanillabonds.com/dossier-data/pdf/katjes/katjes-2024-annual-report.pdf#page=83</t>
        </is>
      </c>
    </row>
    <row r="493">
      <c r="A493" s="2" t="inlineStr">
        <is>
          <t>F492</t>
        </is>
      </c>
      <c r="B493" s="2" t="inlineStr">
        <is>
          <t>governance</t>
        </is>
      </c>
      <c r="C493" s="2" t="inlineStr">
        <is>
          <t>group_entity</t>
        </is>
      </c>
      <c r="D493" s="3" t="inlineStr">
        <is>
          <t>Group entity: entity; jurisdiction; revenue; ebitda; assets; debt; guarantor (yes / no)</t>
        </is>
      </c>
      <c r="E493" s="2" t="n"/>
      <c r="F493" s="2" t="n"/>
      <c r="G493" s="2" t="n"/>
      <c r="H493" s="3" t="inlineStr">
        <is>
          <t>entity: Tuckshop Ltd, London (75%, fully consolidated); jurisdiction: GB</t>
        </is>
      </c>
      <c r="I493" s="2" t="inlineStr">
        <is>
          <t>S2</t>
        </is>
      </c>
      <c r="J493" s="2" t="n">
        <v>83</v>
      </c>
      <c r="K493" s="2" t="inlineStr">
        <is>
          <t>Tuckshop Ltd, London, UK 75 A 75 A</t>
        </is>
      </c>
      <c r="L493" s="2" t="inlineStr">
        <is>
          <t>ok</t>
        </is>
      </c>
      <c r="M493" s="2" t="inlineStr">
        <is>
          <t>demo reviewer</t>
        </is>
      </c>
      <c r="N493" s="2" t="n"/>
      <c r="O493" s="3" t="inlineStr">
        <is>
          <t>https://vanillabonds.com/dossier-data/pdf/katjes/katjes-2024-annual-report.pdf#page=83</t>
        </is>
      </c>
    </row>
    <row r="494">
      <c r="A494" s="2" t="inlineStr">
        <is>
          <t>F493</t>
        </is>
      </c>
      <c r="B494" s="2" t="inlineStr">
        <is>
          <t>governance</t>
        </is>
      </c>
      <c r="C494" s="2" t="inlineStr">
        <is>
          <t>group_entity</t>
        </is>
      </c>
      <c r="D494" s="3" t="inlineStr">
        <is>
          <t>Group entity: entity; jurisdiction; revenue; ebitda; assets; debt; guarantor (yes / no)</t>
        </is>
      </c>
      <c r="E494" s="2" t="n"/>
      <c r="F494" s="2" t="n"/>
      <c r="G494" s="2" t="n"/>
      <c r="H494" s="3" t="inlineStr">
        <is>
          <t>entity: Nuud Snacks Ltd, London (8%, 2023: 10%, not consolidated); jurisdiction: GB</t>
        </is>
      </c>
      <c r="I494" s="2" t="inlineStr">
        <is>
          <t>S2</t>
        </is>
      </c>
      <c r="J494" s="2" t="n">
        <v>83</v>
      </c>
      <c r="K494" s="2" t="inlineStr">
        <is>
          <t>Nuud Snacks Ltd, London ,UK 8 —</t>
        </is>
      </c>
      <c r="L494" s="2" t="inlineStr">
        <is>
          <t>ok</t>
        </is>
      </c>
      <c r="M494" s="2" t="inlineStr">
        <is>
          <t>demo reviewer</t>
        </is>
      </c>
      <c r="N494" s="2" t="n"/>
      <c r="O494" s="3" t="inlineStr">
        <is>
          <t>https://vanillabonds.com/dossier-data/pdf/katjes/katjes-2024-annual-report.pdf#page=83</t>
        </is>
      </c>
    </row>
    <row r="495">
      <c r="A495" s="2" t="inlineStr">
        <is>
          <t>F494</t>
        </is>
      </c>
      <c r="B495" s="2" t="inlineStr">
        <is>
          <t>governance</t>
        </is>
      </c>
      <c r="C495" s="2" t="inlineStr">
        <is>
          <t>board_member</t>
        </is>
      </c>
      <c r="D495" s="3" t="inlineStr">
        <is>
          <t>Board member: name; body (management / supervisory); role; since; independent (yes / no); committees</t>
        </is>
      </c>
      <c r="E495" s="2" t="n"/>
      <c r="F495" s="2" t="n"/>
      <c r="G495" s="2" t="n"/>
      <c r="H495" s="3" t="inlineStr">
        <is>
          <t>name: Bastian Fassin; body: management; role: Managing Shareholder; since: 2004; independent: no</t>
        </is>
      </c>
      <c r="I495" s="2" t="inlineStr">
        <is>
          <t>S2</t>
        </is>
      </c>
      <c r="J495" s="2" t="n">
        <v>6</v>
      </c>
      <c r="K495" s="3" t="inlineStr">
        <is>
          <t>BASTIAN FASSIN Managing Shareholder of Katjes International Career Since 2004 – Managing Shareholder of Katjes International</t>
        </is>
      </c>
      <c r="L495" s="2" t="inlineStr">
        <is>
          <t>ok</t>
        </is>
      </c>
      <c r="M495" s="2" t="inlineStr">
        <is>
          <t>demo reviewer</t>
        </is>
      </c>
      <c r="N495" s="2" t="n"/>
      <c r="O495" s="3" t="inlineStr">
        <is>
          <t>https://vanillabonds.com/dossier-data/pdf/katjes/katjes-2024-annual-report.pdf#page=6</t>
        </is>
      </c>
    </row>
    <row r="496">
      <c r="A496" s="2" t="inlineStr">
        <is>
          <t>F495</t>
        </is>
      </c>
      <c r="B496" s="2" t="inlineStr">
        <is>
          <t>governance</t>
        </is>
      </c>
      <c r="C496" s="2" t="inlineStr">
        <is>
          <t>board_member</t>
        </is>
      </c>
      <c r="D496" s="3" t="inlineStr">
        <is>
          <t>Board member: name; body (management / supervisory); role; since; independent (yes / no); committees</t>
        </is>
      </c>
      <c r="E496" s="2" t="n"/>
      <c r="F496" s="2" t="n"/>
      <c r="G496" s="2" t="n"/>
      <c r="H496" s="3" t="inlineStr">
        <is>
          <t>name: Tobias Bachmüller; body: management; role: Managing Shareholder; since: 1996; independent: no</t>
        </is>
      </c>
      <c r="I496" s="2" t="inlineStr">
        <is>
          <t>S2</t>
        </is>
      </c>
      <c r="J496" s="2" t="n">
        <v>6</v>
      </c>
      <c r="K496" s="3" t="inlineStr">
        <is>
          <t>TOBIAS BACHMÜLLER Managing Shareholder of Katjes International Career since 1996 – Managing Shareholder of Katjes International</t>
        </is>
      </c>
      <c r="L496" s="2" t="inlineStr">
        <is>
          <t>ok</t>
        </is>
      </c>
      <c r="M496" s="2" t="inlineStr">
        <is>
          <t>demo reviewer</t>
        </is>
      </c>
      <c r="N496" s="2" t="n"/>
      <c r="O496" s="3" t="inlineStr">
        <is>
          <t>https://vanillabonds.com/dossier-data/pdf/katjes/katjes-2024-annual-report.pdf#page=6</t>
        </is>
      </c>
    </row>
    <row r="497">
      <c r="A497" s="2" t="inlineStr">
        <is>
          <t>F496</t>
        </is>
      </c>
      <c r="B497" s="2" t="inlineStr">
        <is>
          <t>governance</t>
        </is>
      </c>
      <c r="C497" s="2" t="inlineStr">
        <is>
          <t>board_member</t>
        </is>
      </c>
      <c r="D497" s="3" t="inlineStr">
        <is>
          <t>Board member: name; body (management / supervisory); role; since; independent (yes / no); committees</t>
        </is>
      </c>
      <c r="E497" s="2" t="n"/>
      <c r="F497" s="2" t="n"/>
      <c r="G497" s="2" t="n"/>
      <c r="H497" s="3" t="inlineStr">
        <is>
          <t>name: Stephan Milde; body: management; role: Managing Director (CFO); since: 2012</t>
        </is>
      </c>
      <c r="I497" s="2" t="inlineStr">
        <is>
          <t>S2</t>
        </is>
      </c>
      <c r="J497" s="2" t="n">
        <v>6</v>
      </c>
      <c r="K497" s="3" t="inlineStr">
        <is>
          <t>STEPHAN MILDE Managing Director (CFO) of Katjes International Career Since 2012 – CFO Katjes International</t>
        </is>
      </c>
      <c r="L497" s="2" t="inlineStr">
        <is>
          <t>ok</t>
        </is>
      </c>
      <c r="M497" s="2" t="inlineStr">
        <is>
          <t>demo reviewer</t>
        </is>
      </c>
      <c r="N497" s="2" t="n"/>
      <c r="O497" s="3" t="inlineStr">
        <is>
          <t>https://vanillabonds.com/dossier-data/pdf/katjes/katjes-2024-annual-report.pdf#page=6</t>
        </is>
      </c>
    </row>
    <row r="498">
      <c r="A498" s="2" t="inlineStr">
        <is>
          <t>F497</t>
        </is>
      </c>
      <c r="B498" s="2" t="inlineStr">
        <is>
          <t>governance</t>
        </is>
      </c>
      <c r="C498" s="2" t="inlineStr">
        <is>
          <t>related_party_flow</t>
        </is>
      </c>
      <c r="D498" s="3" t="inlineStr">
        <is>
          <t>Related-party flow: counterparty; kind (fee, rent, dividend, buyback, loan); amount; year; terms</t>
        </is>
      </c>
      <c r="E498" s="2" t="n"/>
      <c r="F498" s="2" t="n">
        <v>13.1</v>
      </c>
      <c r="G498" s="2" t="n"/>
      <c r="H498" s="3" t="inlineStr">
        <is>
          <t>counterparty: Katjes Germany (Katjes Fassin GmbH + Co. KG, sister company); kind: purchase of goods and services; amount: 13.1; year: 2024 (2023: 14.7); terms: arm’s length, not collateralised</t>
        </is>
      </c>
      <c r="I498" s="2" t="inlineStr">
        <is>
          <t>S2</t>
        </is>
      </c>
      <c r="J498" s="2" t="n">
        <v>80</v>
      </c>
      <c r="K498" s="3" t="inlineStr">
        <is>
          <t>Purchase of goods and services from Katjes Germany 13.1 14.7</t>
        </is>
      </c>
      <c r="L498" s="2" t="inlineStr">
        <is>
          <t>ok</t>
        </is>
      </c>
      <c r="M498" s="2" t="inlineStr">
        <is>
          <t>demo reviewer</t>
        </is>
      </c>
      <c r="N498" s="2" t="n"/>
      <c r="O498" s="3" t="inlineStr">
        <is>
          <t>https://vanillabonds.com/dossier-data/pdf/katjes/katjes-2024-annual-report.pdf#page=80</t>
        </is>
      </c>
    </row>
    <row r="499">
      <c r="A499" s="2" t="inlineStr">
        <is>
          <t>F498</t>
        </is>
      </c>
      <c r="B499" s="2" t="inlineStr">
        <is>
          <t>governance</t>
        </is>
      </c>
      <c r="C499" s="2" t="inlineStr">
        <is>
          <t>related_party_flow</t>
        </is>
      </c>
      <c r="D499" s="3" t="inlineStr">
        <is>
          <t>Related-party flow: counterparty; kind (fee, rent, dividend, buyback, loan); amount; year; terms</t>
        </is>
      </c>
      <c r="E499" s="2" t="n"/>
      <c r="F499" s="2" t="n">
        <v>2.7</v>
      </c>
      <c r="G499" s="2" t="n"/>
      <c r="H499" s="3" t="inlineStr">
        <is>
          <t>counterparty: Katjes Germany; kind: trade payable for goods and services at year end; amount: 2.7; year: 2024 (2023: 2.0)</t>
        </is>
      </c>
      <c r="I499" s="2" t="inlineStr">
        <is>
          <t>S2</t>
        </is>
      </c>
      <c r="J499" s="2" t="n">
        <v>80</v>
      </c>
      <c r="K499" s="3" t="inlineStr">
        <is>
          <t>Trade payable for goods and services to Katjes Germany 2.7 2.0</t>
        </is>
      </c>
      <c r="L499" s="2" t="inlineStr">
        <is>
          <t>ok</t>
        </is>
      </c>
      <c r="M499" s="2" t="inlineStr">
        <is>
          <t>demo reviewer</t>
        </is>
      </c>
      <c r="N499" s="2" t="n"/>
      <c r="O499" s="3" t="inlineStr">
        <is>
          <t>https://vanillabonds.com/dossier-data/pdf/katjes/katjes-2024-annual-report.pdf#page=80</t>
        </is>
      </c>
    </row>
    <row r="500">
      <c r="A500" s="2" t="inlineStr">
        <is>
          <t>F499</t>
        </is>
      </c>
      <c r="B500" s="2" t="inlineStr">
        <is>
          <t>governance</t>
        </is>
      </c>
      <c r="C500" s="2" t="inlineStr">
        <is>
          <t>related_party_flow</t>
        </is>
      </c>
      <c r="D500" s="3" t="inlineStr">
        <is>
          <t>Related-party flow: counterparty; kind (fee, rent, dividend, buyback, loan); amount; year; terms</t>
        </is>
      </c>
      <c r="E500" s="2" t="n"/>
      <c r="F500" s="2" t="n">
        <v>0</v>
      </c>
      <c r="G500" s="2" t="n"/>
      <c r="H500" s="3" t="inlineStr">
        <is>
          <t>counterparty: Katjes Germany; kind: sale of goods; amount: 0.0; year: 2024 (2023: 0.3)</t>
        </is>
      </c>
      <c r="I500" s="2" t="inlineStr">
        <is>
          <t>S2</t>
        </is>
      </c>
      <c r="J500" s="2" t="n">
        <v>80</v>
      </c>
      <c r="K500" s="2" t="inlineStr">
        <is>
          <t>Sale of goods to Katjes Germany 0.0 0.3</t>
        </is>
      </c>
      <c r="L500" s="2" t="inlineStr">
        <is>
          <t>ok</t>
        </is>
      </c>
      <c r="M500" s="2" t="inlineStr">
        <is>
          <t>demo reviewer</t>
        </is>
      </c>
      <c r="N500" s="2" t="n"/>
      <c r="O500" s="3" t="inlineStr">
        <is>
          <t>https://vanillabonds.com/dossier-data/pdf/katjes/katjes-2024-annual-report.pdf#page=80</t>
        </is>
      </c>
    </row>
    <row r="501">
      <c r="A501" s="2" t="inlineStr">
        <is>
          <t>F500</t>
        </is>
      </c>
      <c r="B501" s="2" t="inlineStr">
        <is>
          <t>governance</t>
        </is>
      </c>
      <c r="C501" s="2" t="inlineStr">
        <is>
          <t>related_party_flow</t>
        </is>
      </c>
      <c r="D501" s="3" t="inlineStr">
        <is>
          <t>Related-party flow: counterparty; kind (fee, rent, dividend, buyback, loan); amount; year; terms</t>
        </is>
      </c>
      <c r="E501" s="2" t="n"/>
      <c r="F501" s="2" t="n">
        <v>4.2</v>
      </c>
      <c r="G501" s="2" t="n"/>
      <c r="H501" s="3" t="inlineStr">
        <is>
          <t>counterparty: related companies; kind: loan (granted by the Group); amount: 4.2; year: 2024 (2023: 1.8); terms: interest income 0.1 (2023: 0.1), arm’s length, not collateralised</t>
        </is>
      </c>
      <c r="I501" s="2" t="inlineStr">
        <is>
          <t>S2</t>
        </is>
      </c>
      <c r="J501" s="2" t="n">
        <v>80</v>
      </c>
      <c r="K501" s="2" t="inlineStr">
        <is>
          <t>Loans to related companies 4.2 1.8</t>
        </is>
      </c>
      <c r="L501" s="2" t="inlineStr">
        <is>
          <t>ok</t>
        </is>
      </c>
      <c r="M501" s="2" t="inlineStr">
        <is>
          <t>demo reviewer</t>
        </is>
      </c>
      <c r="N501" s="2" t="n"/>
      <c r="O501" s="3" t="inlineStr">
        <is>
          <t>https://vanillabonds.com/dossier-data/pdf/katjes/katjes-2024-annual-report.pdf#page=80</t>
        </is>
      </c>
    </row>
    <row r="502">
      <c r="A502" s="2" t="inlineStr">
        <is>
          <t>F501</t>
        </is>
      </c>
      <c r="B502" s="2" t="inlineStr">
        <is>
          <t>governance</t>
        </is>
      </c>
      <c r="C502" s="2" t="inlineStr">
        <is>
          <t>related_party_flow</t>
        </is>
      </c>
      <c r="D502" s="3" t="inlineStr">
        <is>
          <t>Related-party flow: counterparty; kind (fee, rent, dividend, buyback, loan); amount; year; terms</t>
        </is>
      </c>
      <c r="E502" s="2" t="n"/>
      <c r="F502" s="2" t="n">
        <v>7.7</v>
      </c>
      <c r="G502" s="2" t="n"/>
      <c r="H502" s="3" t="inlineStr">
        <is>
          <t>counterparty: related parties; kind: other income; amount: 7.7; year: 2023 (2024: 0.0)</t>
        </is>
      </c>
      <c r="I502" s="2" t="inlineStr">
        <is>
          <t>S2</t>
        </is>
      </c>
      <c r="J502" s="2" t="n">
        <v>80</v>
      </c>
      <c r="K502" s="2" t="inlineStr">
        <is>
          <t>Other income 0.0 7.7</t>
        </is>
      </c>
      <c r="L502" s="2" t="inlineStr">
        <is>
          <t>ok</t>
        </is>
      </c>
      <c r="M502" s="2" t="inlineStr">
        <is>
          <t>demo reviewer</t>
        </is>
      </c>
      <c r="N502" s="2" t="n"/>
      <c r="O502" s="3" t="inlineStr">
        <is>
          <t>https://vanillabonds.com/dossier-data/pdf/katjes/katjes-2024-annual-report.pdf#page=80</t>
        </is>
      </c>
    </row>
    <row r="503">
      <c r="A503" s="2" t="inlineStr">
        <is>
          <t>F502</t>
        </is>
      </c>
      <c r="B503" s="2" t="inlineStr">
        <is>
          <t>governance</t>
        </is>
      </c>
      <c r="C503" s="2" t="inlineStr">
        <is>
          <t>shareholder_loan</t>
        </is>
      </c>
      <c r="D503" s="3" t="inlineStr">
        <is>
          <t>Shareholder loan: lender; amount; rate; maturity; subordinated (yes / no)</t>
        </is>
      </c>
      <c r="E503" s="2" t="n"/>
      <c r="F503" s="2" t="n">
        <v>0</v>
      </c>
      <c r="G503" s="2" t="n"/>
      <c r="H503" s="3" t="inlineStr">
        <is>
          <t>lender: limited partners (interest-bearing clearing accounts); amount: 0.0 at 31 Dec 2024 (2023: 0.5); rate: 5.0% (2023: 5.0%)</t>
        </is>
      </c>
      <c r="I503" s="2" t="inlineStr">
        <is>
          <t>S2</t>
        </is>
      </c>
      <c r="J503" s="2" t="n">
        <v>80</v>
      </c>
      <c r="K503" s="3" t="inlineStr">
        <is>
          <t>The interest-bearing clearing accounts of the limited partners bear interest at a rate of 5.0% (2023: 5.0%).</t>
        </is>
      </c>
      <c r="L503" s="2" t="inlineStr">
        <is>
          <t>ok</t>
        </is>
      </c>
      <c r="M503" s="2" t="inlineStr">
        <is>
          <t>demo reviewer</t>
        </is>
      </c>
      <c r="N503" s="2" t="n"/>
      <c r="O503" s="3" t="inlineStr">
        <is>
          <t>https://vanillabonds.com/dossier-data/pdf/katjes/katjes-2024-annual-report.pdf#page=80</t>
        </is>
      </c>
    </row>
    <row r="504">
      <c r="A504" s="2" t="inlineStr">
        <is>
          <t>F503</t>
        </is>
      </c>
      <c r="B504" s="2" t="inlineStr">
        <is>
          <t>governance</t>
        </is>
      </c>
      <c r="C504" s="2" t="inlineStr">
        <is>
          <t>owner_stake</t>
        </is>
      </c>
      <c r="D504" s="3" t="inlineStr">
        <is>
          <t>Owner's stake as stated: personal guarantee, pledged shares, family charter</t>
        </is>
      </c>
      <c r="E504" s="2" t="n"/>
      <c r="F504" s="2" t="n">
        <v>1</v>
      </c>
      <c r="G504" s="2" t="n"/>
      <c r="H504" s="3" t="inlineStr">
        <is>
          <t>Limited partnership capital EUR 1.0m: fixed capital shares Bastian Fassin 0.9 (2023: 0.5) and Tobias Bachmüller 0.1 (0.1); no personal guarantee, share pledge or family charter is mentioned.</t>
        </is>
      </c>
      <c r="I504" s="2" t="inlineStr">
        <is>
          <t>S2</t>
        </is>
      </c>
      <c r="J504" s="2" t="n">
        <v>67</v>
      </c>
      <c r="K504" s="3" t="inlineStr">
        <is>
          <t>Limited partner Bastian Fassin 0.9 0.5 Limited partner Tobias Bachmüller 0.1 0.1</t>
        </is>
      </c>
      <c r="L504" s="2" t="inlineStr">
        <is>
          <t>ok</t>
        </is>
      </c>
      <c r="M504" s="2" t="inlineStr">
        <is>
          <t>demo reviewer</t>
        </is>
      </c>
      <c r="N504" s="2" t="n"/>
      <c r="O504" s="3" t="inlineStr">
        <is>
          <t>https://vanillabonds.com/dossier-data/pdf/katjes/katjes-2024-annual-report.pdf#page=67</t>
        </is>
      </c>
    </row>
    <row r="505">
      <c r="A505" s="2" t="inlineStr">
        <is>
          <t>F504</t>
        </is>
      </c>
      <c r="B505" s="2" t="inlineStr">
        <is>
          <t>market</t>
        </is>
      </c>
      <c r="C505" s="2" t="inlineStr">
        <is>
          <t>market_series</t>
        </is>
      </c>
      <c r="D505" s="3" t="inlineStr">
        <is>
          <t>Market variable: variable; year; value; unit; source (a distribution adds n; median; spread; p10; p25; p75; p90)</t>
        </is>
      </c>
      <c r="E505" s="2" t="n"/>
      <c r="F505" s="2" t="n">
        <v>7.8</v>
      </c>
      <c r="G505" s="2" t="n"/>
      <c r="H505" s="3" t="inlineStr">
        <is>
          <t>variable: confectionery market growth Western Europe; year: 2024; value: 7.8; unit: % y/y; source: management report (Euromonitor International cited for the market table)</t>
        </is>
      </c>
      <c r="I505" s="2" t="inlineStr">
        <is>
          <t>S2</t>
        </is>
      </c>
      <c r="J505" s="2" t="n">
        <v>26</v>
      </c>
      <c r="K505" s="3" t="inlineStr">
        <is>
          <t>Western Europe recorded an increase of 7.8% compared to the previous year, while Eastern Europe saw a growth rate of 5.8%.</t>
        </is>
      </c>
      <c r="L505" s="2" t="inlineStr">
        <is>
          <t>ok</t>
        </is>
      </c>
      <c r="M505" s="2" t="inlineStr">
        <is>
          <t>demo reviewer</t>
        </is>
      </c>
      <c r="N505" s="2" t="n"/>
      <c r="O505" s="3" t="inlineStr">
        <is>
          <t>https://vanillabonds.com/dossier-data/pdf/katjes/katjes-2024-annual-report.pdf#page=26</t>
        </is>
      </c>
    </row>
    <row r="506">
      <c r="A506" s="2" t="inlineStr">
        <is>
          <t>F505</t>
        </is>
      </c>
      <c r="B506" s="2" t="inlineStr">
        <is>
          <t>market</t>
        </is>
      </c>
      <c r="C506" s="2" t="inlineStr">
        <is>
          <t>market_series</t>
        </is>
      </c>
      <c r="D506" s="3" t="inlineStr">
        <is>
          <t>Market variable: variable; year; value; unit; source (a distribution adds n; median; spread; p10; p25; p75; p90)</t>
        </is>
      </c>
      <c r="E506" s="2" t="n"/>
      <c r="F506" s="2" t="n">
        <v>5.8</v>
      </c>
      <c r="G506" s="2" t="n"/>
      <c r="H506" s="3" t="inlineStr">
        <is>
          <t>variable: confectionery market growth Eastern Europe; year: 2024; value: 5.8; unit: % y/y; source: management report</t>
        </is>
      </c>
      <c r="I506" s="2" t="inlineStr">
        <is>
          <t>S2</t>
        </is>
      </c>
      <c r="J506" s="2" t="n">
        <v>26</v>
      </c>
      <c r="K506" s="3" t="inlineStr">
        <is>
          <t>Western Europe recorded an increase of 7.8% compared to the previous year, while Eastern Europe saw a growth rate of 5.8%.</t>
        </is>
      </c>
      <c r="L506" s="2" t="inlineStr">
        <is>
          <t>ok</t>
        </is>
      </c>
      <c r="M506" s="2" t="inlineStr">
        <is>
          <t>demo reviewer</t>
        </is>
      </c>
      <c r="N506" s="2" t="n"/>
      <c r="O506" s="3" t="inlineStr">
        <is>
          <t>https://vanillabonds.com/dossier-data/pdf/katjes/katjes-2024-annual-report.pdf#page=26</t>
        </is>
      </c>
    </row>
    <row r="507">
      <c r="A507" s="2" t="inlineStr">
        <is>
          <t>F506</t>
        </is>
      </c>
      <c r="B507" s="2" t="inlineStr">
        <is>
          <t>market</t>
        </is>
      </c>
      <c r="C507" s="2" t="inlineStr">
        <is>
          <t>market_series</t>
        </is>
      </c>
      <c r="D507" s="3" t="inlineStr">
        <is>
          <t>Market variable: variable; year; value; unit; source (a distribution adds n; median; spread; p10; p25; p75; p90)</t>
        </is>
      </c>
      <c r="E507" s="2" t="n"/>
      <c r="F507" s="2" t="n">
        <v>0.7</v>
      </c>
      <c r="G507" s="2" t="n"/>
      <c r="H507" s="3" t="inlineStr">
        <is>
          <t>variable: euro area GDP growth; year: 2024; value: 0.7; unit: % (2023: 0.5); source: OECD Economic Outlook Dec 2024 / Mar 2025</t>
        </is>
      </c>
      <c r="I507" s="2" t="inlineStr">
        <is>
          <t>S2</t>
        </is>
      </c>
      <c r="J507" s="2" t="n">
        <v>26</v>
      </c>
      <c r="K507" s="3" t="inlineStr">
        <is>
          <t>In 2024, the gross domestic product (GDP) grew by only 0.7% (2023: 0.5%)</t>
        </is>
      </c>
      <c r="L507" s="2" t="inlineStr">
        <is>
          <t>ok</t>
        </is>
      </c>
      <c r="M507" s="2" t="inlineStr">
        <is>
          <t>demo reviewer</t>
        </is>
      </c>
      <c r="N507" s="2" t="n"/>
      <c r="O507" s="3" t="inlineStr">
        <is>
          <t>https://vanillabonds.com/dossier-data/pdf/katjes/katjes-2024-annual-report.pdf#page=26</t>
        </is>
      </c>
    </row>
    <row r="508">
      <c r="A508" s="2" t="inlineStr">
        <is>
          <t>F507</t>
        </is>
      </c>
      <c r="B508" s="2" t="inlineStr">
        <is>
          <t>market</t>
        </is>
      </c>
      <c r="C508" s="2" t="inlineStr">
        <is>
          <t>market_series</t>
        </is>
      </c>
      <c r="D508" s="3" t="inlineStr">
        <is>
          <t>Market variable: variable; year; value; unit; source (a distribution adds n; median; spread; p10; p25; p75; p90)</t>
        </is>
      </c>
      <c r="E508" s="2" t="n"/>
      <c r="F508" s="2" t="n">
        <v>13.3</v>
      </c>
      <c r="G508" s="2" t="n"/>
      <c r="H508" s="3" t="inlineStr">
        <is>
          <t>variable: confectionery market volume Germany; year: 2024; value: 13.3; unit: EUR bn; source: Euromonitor International</t>
        </is>
      </c>
      <c r="I508" s="2" t="inlineStr">
        <is>
          <t>S2</t>
        </is>
      </c>
      <c r="J508" s="2" t="n">
        <v>27</v>
      </c>
      <c r="K508" s="2" t="inlineStr">
        <is>
          <t>Germany 12.7 13.3</t>
        </is>
      </c>
      <c r="L508" s="2" t="inlineStr">
        <is>
          <t>ok</t>
        </is>
      </c>
      <c r="M508" s="2" t="inlineStr">
        <is>
          <t>demo reviewer</t>
        </is>
      </c>
      <c r="N508" s="2" t="n"/>
      <c r="O508" s="3" t="inlineStr">
        <is>
          <t>https://vanillabonds.com/dossier-data/pdf/katjes/katjes-2024-annual-report.pdf#page=27</t>
        </is>
      </c>
    </row>
    <row r="509">
      <c r="A509" s="2" t="inlineStr">
        <is>
          <t>F508</t>
        </is>
      </c>
      <c r="B509" s="2" t="inlineStr">
        <is>
          <t>market</t>
        </is>
      </c>
      <c r="C509" s="2" t="inlineStr">
        <is>
          <t>market_series</t>
        </is>
      </c>
      <c r="D509" s="3" t="inlineStr">
        <is>
          <t>Market variable: variable; year; value; unit; source (a distribution adds n; median; spread; p10; p25; p75; p90)</t>
        </is>
      </c>
      <c r="E509" s="2" t="n"/>
      <c r="F509" s="2" t="n">
        <v>12.7</v>
      </c>
      <c r="G509" s="2" t="n"/>
      <c r="H509" s="3" t="inlineStr">
        <is>
          <t>variable: confectionery market volume Germany; year: 2023; value: 12.7; unit: EUR bn; source: Euromonitor International</t>
        </is>
      </c>
      <c r="I509" s="2" t="inlineStr">
        <is>
          <t>S2</t>
        </is>
      </c>
      <c r="J509" s="2" t="n">
        <v>27</v>
      </c>
      <c r="K509" s="2" t="inlineStr">
        <is>
          <t>Germany 12.7 13.3</t>
        </is>
      </c>
      <c r="L509" s="2" t="inlineStr">
        <is>
          <t>ok</t>
        </is>
      </c>
      <c r="M509" s="2" t="inlineStr">
        <is>
          <t>demo reviewer</t>
        </is>
      </c>
      <c r="N509" s="2" t="n"/>
      <c r="O509" s="3" t="inlineStr">
        <is>
          <t>https://vanillabonds.com/dossier-data/pdf/katjes/katjes-2024-annual-report.pdf#page=27</t>
        </is>
      </c>
    </row>
    <row r="510">
      <c r="A510" s="2" t="inlineStr">
        <is>
          <t>F509</t>
        </is>
      </c>
      <c r="B510" s="2" t="inlineStr">
        <is>
          <t>market</t>
        </is>
      </c>
      <c r="C510" s="2" t="inlineStr">
        <is>
          <t>market_series</t>
        </is>
      </c>
      <c r="D510" s="3" t="inlineStr">
        <is>
          <t>Market variable: variable; year; value; unit; source (a distribution adds n; median; spread; p10; p25; p75; p90)</t>
        </is>
      </c>
      <c r="E510" s="2" t="n"/>
      <c r="F510" s="2" t="n">
        <v>10.5</v>
      </c>
      <c r="G510" s="2" t="n"/>
      <c r="H510" s="3" t="inlineStr">
        <is>
          <t>variable: confectionery market volume United Kingdom; year: 2024; value: 10.5; unit: EUR bn; source: Euromonitor International</t>
        </is>
      </c>
      <c r="I510" s="2" t="inlineStr">
        <is>
          <t>S2</t>
        </is>
      </c>
      <c r="J510" s="2" t="n">
        <v>27</v>
      </c>
      <c r="K510" s="2" t="inlineStr">
        <is>
          <t>United Kingdom 9.7 10.5</t>
        </is>
      </c>
      <c r="L510" s="2" t="inlineStr">
        <is>
          <t>ok</t>
        </is>
      </c>
      <c r="M510" s="2" t="inlineStr">
        <is>
          <t>demo reviewer</t>
        </is>
      </c>
      <c r="N510" s="2" t="n"/>
      <c r="O510" s="3" t="inlineStr">
        <is>
          <t>https://vanillabonds.com/dossier-data/pdf/katjes/katjes-2024-annual-report.pdf#page=27</t>
        </is>
      </c>
    </row>
    <row r="511">
      <c r="A511" s="2" t="inlineStr">
        <is>
          <t>F510</t>
        </is>
      </c>
      <c r="B511" s="2" t="inlineStr">
        <is>
          <t>market</t>
        </is>
      </c>
      <c r="C511" s="2" t="inlineStr">
        <is>
          <t>market_series</t>
        </is>
      </c>
      <c r="D511" s="3" t="inlineStr">
        <is>
          <t>Market variable: variable; year; value; unit; source (a distribution adds n; median; spread; p10; p25; p75; p90)</t>
        </is>
      </c>
      <c r="E511" s="2" t="n"/>
      <c r="F511" s="2" t="n">
        <v>9.699999999999999</v>
      </c>
      <c r="G511" s="2" t="n"/>
      <c r="H511" s="3" t="inlineStr">
        <is>
          <t>variable: confectionery market volume United Kingdom; year: 2023; value: 9.7; unit: EUR bn; source: Euromonitor International</t>
        </is>
      </c>
      <c r="I511" s="2" t="inlineStr">
        <is>
          <t>S2</t>
        </is>
      </c>
      <c r="J511" s="2" t="n">
        <v>27</v>
      </c>
      <c r="K511" s="2" t="inlineStr">
        <is>
          <t>United Kingdom 9.7 10.5</t>
        </is>
      </c>
      <c r="L511" s="2" t="inlineStr">
        <is>
          <t>ok</t>
        </is>
      </c>
      <c r="M511" s="2" t="inlineStr">
        <is>
          <t>demo reviewer</t>
        </is>
      </c>
      <c r="N511" s="2" t="n"/>
      <c r="O511" s="3" t="inlineStr">
        <is>
          <t>https://vanillabonds.com/dossier-data/pdf/katjes/katjes-2024-annual-report.pdf#page=27</t>
        </is>
      </c>
    </row>
    <row r="512">
      <c r="A512" s="2" t="inlineStr">
        <is>
          <t>F511</t>
        </is>
      </c>
      <c r="B512" s="2" t="inlineStr">
        <is>
          <t>market</t>
        </is>
      </c>
      <c r="C512" s="2" t="inlineStr">
        <is>
          <t>market_series</t>
        </is>
      </c>
      <c r="D512" s="3" t="inlineStr">
        <is>
          <t>Market variable: variable; year; value; unit; source (a distribution adds n; median; spread; p10; p25; p75; p90)</t>
        </is>
      </c>
      <c r="E512" s="2" t="n"/>
      <c r="F512" s="2" t="n">
        <v>7.8</v>
      </c>
      <c r="G512" s="2" t="n"/>
      <c r="H512" s="3" t="inlineStr">
        <is>
          <t>variable: confectionery market volume France; year: 2024; value: 7.8; unit: EUR bn; source: Euromonitor International</t>
        </is>
      </c>
      <c r="I512" s="2" t="inlineStr">
        <is>
          <t>S2</t>
        </is>
      </c>
      <c r="J512" s="2" t="n">
        <v>27</v>
      </c>
      <c r="K512" s="2" t="inlineStr">
        <is>
          <t>France 7.2 7.8</t>
        </is>
      </c>
      <c r="L512" s="2" t="inlineStr">
        <is>
          <t>ok</t>
        </is>
      </c>
      <c r="M512" s="2" t="inlineStr">
        <is>
          <t>demo reviewer</t>
        </is>
      </c>
      <c r="N512" s="2" t="n"/>
      <c r="O512" s="3" t="inlineStr">
        <is>
          <t>https://vanillabonds.com/dossier-data/pdf/katjes/katjes-2024-annual-report.pdf#page=27</t>
        </is>
      </c>
    </row>
    <row r="513">
      <c r="A513" s="2" t="inlineStr">
        <is>
          <t>F512</t>
        </is>
      </c>
      <c r="B513" s="2" t="inlineStr">
        <is>
          <t>market</t>
        </is>
      </c>
      <c r="C513" s="2" t="inlineStr">
        <is>
          <t>market_series</t>
        </is>
      </c>
      <c r="D513" s="3" t="inlineStr">
        <is>
          <t>Market variable: variable; year; value; unit; source (a distribution adds n; median; spread; p10; p25; p75; p90)</t>
        </is>
      </c>
      <c r="E513" s="2" t="n"/>
      <c r="F513" s="2" t="n">
        <v>7.2</v>
      </c>
      <c r="G513" s="2" t="n"/>
      <c r="H513" s="3" t="inlineStr">
        <is>
          <t>variable: confectionery market volume France; year: 2023; value: 7.2; unit: EUR bn; source: Euromonitor International</t>
        </is>
      </c>
      <c r="I513" s="2" t="inlineStr">
        <is>
          <t>S2</t>
        </is>
      </c>
      <c r="J513" s="2" t="n">
        <v>27</v>
      </c>
      <c r="K513" s="2" t="inlineStr">
        <is>
          <t>France 7.2 7.8</t>
        </is>
      </c>
      <c r="L513" s="2" t="inlineStr">
        <is>
          <t>ok</t>
        </is>
      </c>
      <c r="M513" s="2" t="inlineStr">
        <is>
          <t>demo reviewer</t>
        </is>
      </c>
      <c r="N513" s="2" t="n"/>
      <c r="O513" s="3" t="inlineStr">
        <is>
          <t>https://vanillabonds.com/dossier-data/pdf/katjes/katjes-2024-annual-report.pdf#page=27</t>
        </is>
      </c>
    </row>
    <row r="514">
      <c r="A514" s="2" t="inlineStr">
        <is>
          <t>F513</t>
        </is>
      </c>
      <c r="B514" s="2" t="inlineStr">
        <is>
          <t>market</t>
        </is>
      </c>
      <c r="C514" s="2" t="inlineStr">
        <is>
          <t>market_series</t>
        </is>
      </c>
      <c r="D514" s="3" t="inlineStr">
        <is>
          <t>Market variable: variable; year; value; unit; source (a distribution adds n; median; spread; p10; p25; p75; p90)</t>
        </is>
      </c>
      <c r="E514" s="2" t="n"/>
      <c r="F514" s="2" t="n">
        <v>3.8</v>
      </c>
      <c r="G514" s="2" t="n"/>
      <c r="H514" s="3" t="inlineStr">
        <is>
          <t>variable: confectionery market volume Italy; year: 2024; value: 3.8; unit: EUR bn; source: Euromonitor International</t>
        </is>
      </c>
      <c r="I514" s="2" t="inlineStr">
        <is>
          <t>S2</t>
        </is>
      </c>
      <c r="J514" s="2" t="n">
        <v>27</v>
      </c>
      <c r="K514" s="2" t="inlineStr">
        <is>
          <t>Italy 3.6 3.8</t>
        </is>
      </c>
      <c r="L514" s="2" t="inlineStr">
        <is>
          <t>ok</t>
        </is>
      </c>
      <c r="M514" s="2" t="inlineStr">
        <is>
          <t>demo reviewer</t>
        </is>
      </c>
      <c r="N514" s="2" t="n"/>
      <c r="O514" s="3" t="inlineStr">
        <is>
          <t>https://vanillabonds.com/dossier-data/pdf/katjes/katjes-2024-annual-report.pdf#page=27</t>
        </is>
      </c>
    </row>
    <row r="515">
      <c r="A515" s="2" t="inlineStr">
        <is>
          <t>F514</t>
        </is>
      </c>
      <c r="B515" s="2" t="inlineStr">
        <is>
          <t>market</t>
        </is>
      </c>
      <c r="C515" s="2" t="inlineStr">
        <is>
          <t>market_series</t>
        </is>
      </c>
      <c r="D515" s="3" t="inlineStr">
        <is>
          <t>Market variable: variable; year; value; unit; source (a distribution adds n; median; spread; p10; p25; p75; p90)</t>
        </is>
      </c>
      <c r="E515" s="2" t="n"/>
      <c r="F515" s="2" t="n">
        <v>3.6</v>
      </c>
      <c r="G515" s="2" t="n"/>
      <c r="H515" s="3" t="inlineStr">
        <is>
          <t>variable: confectionery market volume Italy; year: 2023; value: 3.6; unit: EUR bn; source: Euromonitor International</t>
        </is>
      </c>
      <c r="I515" s="2" t="inlineStr">
        <is>
          <t>S2</t>
        </is>
      </c>
      <c r="J515" s="2" t="n">
        <v>27</v>
      </c>
      <c r="K515" s="2" t="inlineStr">
        <is>
          <t>Italy 3.6 3.8</t>
        </is>
      </c>
      <c r="L515" s="2" t="inlineStr">
        <is>
          <t>ok</t>
        </is>
      </c>
      <c r="M515" s="2" t="inlineStr">
        <is>
          <t>demo reviewer</t>
        </is>
      </c>
      <c r="N515" s="2" t="n"/>
      <c r="O515" s="3" t="inlineStr">
        <is>
          <t>https://vanillabonds.com/dossier-data/pdf/katjes/katjes-2024-annual-report.pdf#page=27</t>
        </is>
      </c>
    </row>
    <row r="516">
      <c r="A516" s="2" t="inlineStr">
        <is>
          <t>F515</t>
        </is>
      </c>
      <c r="B516" s="2" t="inlineStr">
        <is>
          <t>market</t>
        </is>
      </c>
      <c r="C516" s="2" t="inlineStr">
        <is>
          <t>market_series</t>
        </is>
      </c>
      <c r="D516" s="3" t="inlineStr">
        <is>
          <t>Market variable: variable; year; value; unit; source (a distribution adds n; median; spread; p10; p25; p75; p90)</t>
        </is>
      </c>
      <c r="E516" s="2" t="n"/>
      <c r="F516" s="2" t="n">
        <v>2.1</v>
      </c>
      <c r="G516" s="2" t="n"/>
      <c r="H516" s="3" t="inlineStr">
        <is>
          <t>variable: confectionery market volume Netherlands; year: 2024; value: 2.1; unit: EUR bn; source: Euromonitor International</t>
        </is>
      </c>
      <c r="I516" s="2" t="inlineStr">
        <is>
          <t>S2</t>
        </is>
      </c>
      <c r="J516" s="2" t="n">
        <v>27</v>
      </c>
      <c r="K516" s="2" t="inlineStr">
        <is>
          <t>Netherlands 2.0 2.1</t>
        </is>
      </c>
      <c r="L516" s="2" t="inlineStr">
        <is>
          <t>ok</t>
        </is>
      </c>
      <c r="M516" s="2" t="inlineStr">
        <is>
          <t>demo reviewer</t>
        </is>
      </c>
      <c r="N516" s="2" t="n"/>
      <c r="O516" s="3" t="inlineStr">
        <is>
          <t>https://vanillabonds.com/dossier-data/pdf/katjes/katjes-2024-annual-report.pdf#page=27</t>
        </is>
      </c>
    </row>
    <row r="517">
      <c r="A517" s="2" t="inlineStr">
        <is>
          <t>F516</t>
        </is>
      </c>
      <c r="B517" s="2" t="inlineStr">
        <is>
          <t>market</t>
        </is>
      </c>
      <c r="C517" s="2" t="inlineStr">
        <is>
          <t>market_series</t>
        </is>
      </c>
      <c r="D517" s="3" t="inlineStr">
        <is>
          <t>Market variable: variable; year; value; unit; source (a distribution adds n; median; spread; p10; p25; p75; p90)</t>
        </is>
      </c>
      <c r="E517" s="2" t="n"/>
      <c r="F517" s="2" t="n">
        <v>2</v>
      </c>
      <c r="G517" s="2" t="n"/>
      <c r="H517" s="3" t="inlineStr">
        <is>
          <t>variable: confectionery market volume Netherlands; year: 2023; value: 2.0; unit: EUR bn; source: Euromonitor International</t>
        </is>
      </c>
      <c r="I517" s="2" t="inlineStr">
        <is>
          <t>S2</t>
        </is>
      </c>
      <c r="J517" s="2" t="n">
        <v>27</v>
      </c>
      <c r="K517" s="2" t="inlineStr">
        <is>
          <t>Netherlands 2.0 2.1</t>
        </is>
      </c>
      <c r="L517" s="2" t="inlineStr">
        <is>
          <t>ok</t>
        </is>
      </c>
      <c r="M517" s="2" t="inlineStr">
        <is>
          <t>demo reviewer</t>
        </is>
      </c>
      <c r="N517" s="2" t="n"/>
      <c r="O517" s="3" t="inlineStr">
        <is>
          <t>https://vanillabonds.com/dossier-data/pdf/katjes/katjes-2024-annual-report.pdf#page=27</t>
        </is>
      </c>
    </row>
    <row r="518">
      <c r="A518" s="2" t="inlineStr">
        <is>
          <t>F517</t>
        </is>
      </c>
      <c r="B518" s="2" t="inlineStr">
        <is>
          <t>market</t>
        </is>
      </c>
      <c r="C518" s="2" t="inlineStr">
        <is>
          <t>market_series</t>
        </is>
      </c>
      <c r="D518" s="3" t="inlineStr">
        <is>
          <t>Market variable: variable; year; value; unit; source (a distribution adds n; median; spread; p10; p25; p75; p90)</t>
        </is>
      </c>
      <c r="E518" s="2" t="n"/>
      <c r="F518" s="2" t="n">
        <v>561</v>
      </c>
      <c r="G518" s="2" t="n"/>
      <c r="H518" s="3" t="inlineStr">
        <is>
          <t>variable: baby and child care market volume Germany; year: 2024; value: 561; unit: EUR m (+1.3% value, +1.6% volume); source: Nielsen</t>
        </is>
      </c>
      <c r="I518" s="2" t="inlineStr">
        <is>
          <t>S2</t>
        </is>
      </c>
      <c r="J518" s="2" t="n">
        <v>27</v>
      </c>
      <c r="K518" s="3" t="inlineStr">
        <is>
          <t>According to Nielsen data, the market volume in Germany reached EUR 561 million in 2024, representing an increase of 1.3%.</t>
        </is>
      </c>
      <c r="L518" s="2" t="inlineStr">
        <is>
          <t>ok</t>
        </is>
      </c>
      <c r="M518" s="2" t="inlineStr">
        <is>
          <t>demo reviewer</t>
        </is>
      </c>
      <c r="N518" s="2" t="n"/>
      <c r="O518" s="3" t="inlineStr">
        <is>
          <t>https://vanillabonds.com/dossier-data/pdf/katjes/katjes-2024-annual-report.pdf#page=27</t>
        </is>
      </c>
    </row>
    <row r="519">
      <c r="A519" s="2" t="inlineStr">
        <is>
          <t>F518</t>
        </is>
      </c>
      <c r="B519" s="2" t="inlineStr">
        <is>
          <t>market</t>
        </is>
      </c>
      <c r="C519" s="2" t="inlineStr">
        <is>
          <t>market_series</t>
        </is>
      </c>
      <c r="D519" s="3" t="inlineStr">
        <is>
          <t>Market variable: variable; year; value; unit; source (a distribution adds n; median; spread; p10; p25; p75; p90)</t>
        </is>
      </c>
      <c r="E519" s="2" t="n"/>
      <c r="F519" s="2" t="n">
        <v>1980</v>
      </c>
      <c r="G519" s="2" t="n"/>
      <c r="H519" s="3" t="inlineStr">
        <is>
          <t>variable: oral care category sales Germany; year: 2024; value: 1980; unit: EUR m (+10.0% y/y); source: Statista</t>
        </is>
      </c>
      <c r="I519" s="2" t="inlineStr">
        <is>
          <t>S2</t>
        </is>
      </c>
      <c r="J519" s="2" t="n">
        <v>27</v>
      </c>
      <c r="K519" s="3" t="inlineStr">
        <is>
          <t>In 2024, sales in this category amounted to approximately EUR 1.98 billion, represen- ting a year-on-year increase of 10.0%, according to data from Statista.</t>
        </is>
      </c>
      <c r="L519" s="2" t="inlineStr">
        <is>
          <t>ok</t>
        </is>
      </c>
      <c r="M519" s="2" t="inlineStr">
        <is>
          <t>demo reviewer</t>
        </is>
      </c>
      <c r="N519" s="2" t="n"/>
      <c r="O519" s="3" t="inlineStr">
        <is>
          <t>https://vanillabonds.com/dossier-data/pdf/katjes/katjes-2024-annual-report.pdf#page=27</t>
        </is>
      </c>
    </row>
    <row r="520">
      <c r="A520" s="2" t="inlineStr">
        <is>
          <t>F519</t>
        </is>
      </c>
      <c r="B520" s="2" t="inlineStr">
        <is>
          <t>market</t>
        </is>
      </c>
      <c r="C520" s="2" t="inlineStr">
        <is>
          <t>market_series</t>
        </is>
      </c>
      <c r="D520" s="3" t="inlineStr">
        <is>
          <t>Market variable: variable; year; value; unit; source (a distribution adds n; median; spread; p10; p25; p75; p90)</t>
        </is>
      </c>
      <c r="E520" s="2" t="n"/>
      <c r="F520" s="2" t="n">
        <v>7.2</v>
      </c>
      <c r="G520" s="2" t="n"/>
      <c r="H520" s="3" t="inlineStr">
        <is>
          <t>variable: confectionery market growth Western Europe (forecast); year: 2025; value: 7.2; unit: % y/y; source: management report forecast section (Eastern Europe 5.9%)</t>
        </is>
      </c>
      <c r="I520" s="2" t="inlineStr">
        <is>
          <t>S2</t>
        </is>
      </c>
      <c r="J520" s="2" t="n">
        <v>38</v>
      </c>
      <c r="K520" s="3" t="inlineStr">
        <is>
          <t>In the confectionery sector, the market volume in Western Europe is projected to grow by approximately 7.2% in 2025, and by 5.9% in Eastern Europe</t>
        </is>
      </c>
      <c r="L520" s="2" t="inlineStr">
        <is>
          <t>ok</t>
        </is>
      </c>
      <c r="M520" s="2" t="inlineStr">
        <is>
          <t>demo reviewer</t>
        </is>
      </c>
      <c r="N520" s="2" t="n"/>
      <c r="O520" s="3" t="inlineStr">
        <is>
          <t>https://vanillabonds.com/dossier-data/pdf/katjes/katjes-2024-annual-report.pdf#page=38</t>
        </is>
      </c>
    </row>
    <row r="521">
      <c r="A521" s="2" t="inlineStr">
        <is>
          <t>F520</t>
        </is>
      </c>
      <c r="B521" s="2" t="inlineStr">
        <is>
          <t>market</t>
        </is>
      </c>
      <c r="C521" s="2" t="inlineStr">
        <is>
          <t>market_series</t>
        </is>
      </c>
      <c r="D521" s="3" t="inlineStr">
        <is>
          <t>Market variable: variable; year; value; unit; source (a distribution adds n; median; spread; p10; p25; p75; p90)</t>
        </is>
      </c>
      <c r="E521" s="2" t="n"/>
      <c r="F521" s="2" t="n">
        <v>1</v>
      </c>
      <c r="G521" s="2" t="n"/>
      <c r="H521" s="3" t="inlineStr">
        <is>
          <t>variable: euro area GDP growth (forecast); year: 2025; value: 1.0; unit: % (Germany 0.4, Netherlands 1.6, Italy 0.7, France 0.8, UK 1.7); source: OECD Dec 2024 updated Mar 2025</t>
        </is>
      </c>
      <c r="I521" s="2" t="inlineStr">
        <is>
          <t>S2</t>
        </is>
      </c>
      <c r="J521" s="2" t="n">
        <v>38</v>
      </c>
      <c r="K521" s="3" t="inlineStr">
        <is>
          <t>The OECD expects GDP in the euro area to increase by 1.0% in 2025. For the Federal Republic of Germany, growth of 0.4% is forecasted</t>
        </is>
      </c>
      <c r="L521" s="2" t="inlineStr">
        <is>
          <t>ok</t>
        </is>
      </c>
      <c r="M521" s="2" t="inlineStr">
        <is>
          <t>demo reviewer</t>
        </is>
      </c>
      <c r="N521" s="2" t="n"/>
      <c r="O521" s="3" t="inlineStr">
        <is>
          <t>https://vanillabonds.com/dossier-data/pdf/katjes/katjes-2024-annual-report.pdf#page=38</t>
        </is>
      </c>
    </row>
    <row r="522">
      <c r="A522" s="2" t="inlineStr">
        <is>
          <t>F521</t>
        </is>
      </c>
      <c r="B522" s="2" t="inlineStr">
        <is>
          <t>market</t>
        </is>
      </c>
      <c r="C522" s="2" t="inlineStr">
        <is>
          <t>regulation_item</t>
        </is>
      </c>
      <c r="D522" s="3" t="inlineStr">
        <is>
          <t>Regulation: measure; effective; effect on the company as stated; source</t>
        </is>
      </c>
      <c r="E522" s="2" t="n"/>
      <c r="F522" s="2" t="n"/>
      <c r="G522" s="2" t="n"/>
      <c r="H522" s="3" t="inlineStr">
        <is>
          <t>measure: IFRS 18 and IFRS 19; effective: financial years from 1 January 2027; effect on the company as stated: presentation changes only, no material impact; source: note 2.2</t>
        </is>
      </c>
      <c r="I522" s="2" t="inlineStr">
        <is>
          <t>S2</t>
        </is>
      </c>
      <c r="J522" s="2" t="n">
        <v>49</v>
      </c>
      <c r="K522" s="3" t="inlineStr">
        <is>
          <t>IFRS 18 and IFRS 19, which are applicable to financial years beginning on or after 1 January 2027.</t>
        </is>
      </c>
      <c r="L522" s="2" t="inlineStr">
        <is>
          <t>ok</t>
        </is>
      </c>
      <c r="M522" s="2" t="inlineStr">
        <is>
          <t>demo reviewer</t>
        </is>
      </c>
      <c r="N522" s="2" t="n"/>
      <c r="O522" s="3" t="inlineStr">
        <is>
          <t>https://vanillabonds.com/dossier-data/pdf/katjes/katjes-2024-annual-report.pdf#page=49</t>
        </is>
      </c>
    </row>
    <row r="523">
      <c r="A523" s="2" t="inlineStr">
        <is>
          <t>F522</t>
        </is>
      </c>
      <c r="B523" s="2" t="inlineStr">
        <is>
          <t>market</t>
        </is>
      </c>
      <c r="C523" s="2" t="inlineStr">
        <is>
          <t>regulation_item</t>
        </is>
      </c>
      <c r="D523" s="3" t="inlineStr">
        <is>
          <t>Regulation: measure; effective; effect on the company as stated; source</t>
        </is>
      </c>
      <c r="E523" s="2" t="n"/>
      <c r="F523" s="2" t="n"/>
      <c r="G523" s="2" t="n"/>
      <c r="H523" s="3" t="inlineStr">
        <is>
          <t>measure: IAS 1 amendments on classification of liabilities with covenants (from 1 Jan 2024); effective: 2024; effect on the company as stated: no material changes; source: note 2.2</t>
        </is>
      </c>
      <c r="I523" s="2" t="inlineStr">
        <is>
          <t>S2</t>
        </is>
      </c>
      <c r="J523" s="2" t="n">
        <v>49</v>
      </c>
      <c r="K523" s="3" t="inlineStr">
        <is>
          <t>cerning the classification of current and non-current financial li- abilities, as well as non-current liabilities with covenants, did not result in any material changes.</t>
        </is>
      </c>
      <c r="L523" s="2" t="inlineStr">
        <is>
          <t>ok</t>
        </is>
      </c>
      <c r="M523" s="2" t="inlineStr">
        <is>
          <t>demo reviewer</t>
        </is>
      </c>
      <c r="N523" s="2" t="n"/>
      <c r="O523" s="3" t="inlineStr">
        <is>
          <t>https://vanillabonds.com/dossier-data/pdf/katjes/katjes-2024-annual-report.pdf#page=49</t>
        </is>
      </c>
    </row>
    <row r="524">
      <c r="A524" s="2" t="inlineStr">
        <is>
          <t>F523</t>
        </is>
      </c>
      <c r="B524" s="2" t="inlineStr">
        <is>
          <t>market</t>
        </is>
      </c>
      <c r="C524" s="2" t="inlineStr">
        <is>
          <t>regulation_item</t>
        </is>
      </c>
      <c r="D524" s="3" t="inlineStr">
        <is>
          <t>Regulation: measure; effective; effect on the company as stated; source</t>
        </is>
      </c>
      <c r="E524" s="2" t="n"/>
      <c r="F524" s="2" t="n">
        <v>2.4</v>
      </c>
      <c r="G524" s="2" t="n"/>
      <c r="H524" s="3" t="inlineStr">
        <is>
          <t>measure: Electricity Price Reduction Act (Strompreisbremsegesetz, StromPBG); effective: 2023; effect on the company as stated: relief payments of about EUR 2.4m reduced cost of sales in 2023, none material in 2024; source: note 2.3</t>
        </is>
      </c>
      <c r="I524" s="2" t="inlineStr">
        <is>
          <t>S2</t>
        </is>
      </c>
      <c r="J524" s="2" t="n">
        <v>51</v>
      </c>
      <c r="K524" s="3" t="inlineStr">
        <is>
          <t>proximately EUR 2.4 million were recognized as a reduction in cost of sales in connection with the Electricity Price Reduction Act (Strompreisbremsegesetz – StromPBG).</t>
        </is>
      </c>
      <c r="L524" s="2" t="inlineStr">
        <is>
          <t>ok</t>
        </is>
      </c>
      <c r="M524" s="2" t="inlineStr">
        <is>
          <t>demo reviewer</t>
        </is>
      </c>
      <c r="N524" s="2" t="n"/>
      <c r="O524" s="3" t="inlineStr">
        <is>
          <t>https://vanillabonds.com/dossier-data/pdf/katjes/katjes-2024-annual-report.pdf#page=51</t>
        </is>
      </c>
    </row>
    <row r="525">
      <c r="A525" s="2" t="inlineStr">
        <is>
          <t>F524</t>
        </is>
      </c>
      <c r="B525" s="2" t="inlineStr">
        <is>
          <t>market</t>
        </is>
      </c>
      <c r="C525" s="2" t="inlineStr">
        <is>
          <t>contract_term</t>
        </is>
      </c>
      <c r="D525" s="3" t="inlineStr">
        <is>
          <t>Key contract: counterparty; share (of revenue or purchases, 0-1); duration; termination; indexation</t>
        </is>
      </c>
      <c r="E525" s="2" t="n"/>
      <c r="F525" s="2" t="n"/>
      <c r="G525" s="2" t="n"/>
      <c r="H525" s="3" t="inlineStr">
        <is>
          <t>counterparty: WICK (brand owner, distribution of WICK cough drops by Dallmann’s in Germany); share, duration, termination and indexation not disclosed</t>
        </is>
      </c>
      <c r="I525" s="2" t="inlineStr">
        <is>
          <t>S2</t>
        </is>
      </c>
      <c r="J525" s="2" t="n">
        <v>15</v>
      </c>
      <c r="K525" s="3" t="inlineStr">
        <is>
          <t>Throat and cough drops / distribution of ‘WICK’ cough drops</t>
        </is>
      </c>
      <c r="L525" s="2" t="inlineStr">
        <is>
          <t>ok</t>
        </is>
      </c>
      <c r="M525" s="2" t="inlineStr">
        <is>
          <t>demo reviewer</t>
        </is>
      </c>
      <c r="N525" s="2" t="n"/>
      <c r="O525" s="3" t="inlineStr">
        <is>
          <t>https://vanillabonds.com/dossier-data/pdf/katjes/katjes-2024-annual-report.pdf#page=15</t>
        </is>
      </c>
    </row>
    <row r="526">
      <c r="A526" s="2" t="inlineStr">
        <is>
          <t>F525</t>
        </is>
      </c>
      <c r="B526" s="2" t="inlineStr">
        <is>
          <t>market</t>
        </is>
      </c>
      <c r="C526" s="2" t="inlineStr">
        <is>
          <t>price_cost_series</t>
        </is>
      </c>
      <c r="D526" s="3" t="inlineStr">
        <is>
          <t>Price or input-cost series: variable; year; value; unit; source</t>
        </is>
      </c>
      <c r="E526" s="2" t="n"/>
      <c r="F526" s="2" t="n">
        <v>192.3</v>
      </c>
      <c r="G526" s="2" t="n"/>
      <c r="H526" s="3" t="inlineStr">
        <is>
          <t>variable: cost of raw materials, consumables, supplies and purchased merchandise; year: 2024; value: 192.3; unit: EUR m; source: note 7.2 (2023: 204.4)</t>
        </is>
      </c>
      <c r="I526" s="2" t="inlineStr">
        <is>
          <t>S2</t>
        </is>
      </c>
      <c r="J526" s="2" t="n">
        <v>74</v>
      </c>
      <c r="K526" s="3" t="inlineStr">
        <is>
          <t>Cost of raw materials, consumables and supplies, and purchased mer- chandise 192.3 204.4</t>
        </is>
      </c>
      <c r="L526" s="2" t="inlineStr">
        <is>
          <t>ok</t>
        </is>
      </c>
      <c r="M526" s="2" t="inlineStr">
        <is>
          <t>demo reviewer</t>
        </is>
      </c>
      <c r="N526" s="2" t="n"/>
      <c r="O526" s="3" t="inlineStr">
        <is>
          <t>https://vanillabonds.com/dossier-data/pdf/katjes/katjes-2024-annual-report.pdf#page=74</t>
        </is>
      </c>
    </row>
    <row r="527">
      <c r="A527" s="2" t="inlineStr">
        <is>
          <t>F526</t>
        </is>
      </c>
      <c r="B527" s="2" t="inlineStr">
        <is>
          <t>market</t>
        </is>
      </c>
      <c r="C527" s="2" t="inlineStr">
        <is>
          <t>price_cost_series</t>
        </is>
      </c>
      <c r="D527" s="3" t="inlineStr">
        <is>
          <t>Price or input-cost series: variable; year; value; unit; source</t>
        </is>
      </c>
      <c r="E527" s="2" t="n"/>
      <c r="F527" s="2" t="n">
        <v>13.3</v>
      </c>
      <c r="G527" s="2" t="n"/>
      <c r="H527" s="3" t="inlineStr">
        <is>
          <t>variable: energy cost; year: 2024; value: 13.3; unit: EUR m; source: note 7.2 (2023: 12.6)</t>
        </is>
      </c>
      <c r="I527" s="2" t="inlineStr">
        <is>
          <t>S2</t>
        </is>
      </c>
      <c r="J527" s="2" t="n">
        <v>74</v>
      </c>
      <c r="K527" s="2" t="inlineStr">
        <is>
          <t>Energy 13.3 12.6</t>
        </is>
      </c>
      <c r="L527" s="2" t="inlineStr">
        <is>
          <t>ok</t>
        </is>
      </c>
      <c r="M527" s="2" t="inlineStr">
        <is>
          <t>demo reviewer</t>
        </is>
      </c>
      <c r="N527" s="2" t="n"/>
      <c r="O527" s="3" t="inlineStr">
        <is>
          <t>https://vanillabonds.com/dossier-data/pdf/katjes/katjes-2024-annual-report.pdf#page=74</t>
        </is>
      </c>
    </row>
    <row r="528">
      <c r="A528" s="2" t="inlineStr">
        <is>
          <t>F527</t>
        </is>
      </c>
      <c r="B528" s="2" t="inlineStr">
        <is>
          <t>market</t>
        </is>
      </c>
      <c r="C528" s="2" t="inlineStr">
        <is>
          <t>price_cost_series</t>
        </is>
      </c>
      <c r="D528" s="3" t="inlineStr">
        <is>
          <t>Price or input-cost series: variable; year; value; unit; source</t>
        </is>
      </c>
      <c r="E528" s="2" t="n"/>
      <c r="F528" s="2" t="n">
        <v>16</v>
      </c>
      <c r="G528" s="2" t="n"/>
      <c r="H528" s="3" t="inlineStr">
        <is>
          <t>variable: advertising costs; year: 2024; value: 16.0; unit: EUR m; source: note 7.2 (2023: 12.2)</t>
        </is>
      </c>
      <c r="I528" s="2" t="inlineStr">
        <is>
          <t>S2</t>
        </is>
      </c>
      <c r="J528" s="2" t="n">
        <v>74</v>
      </c>
      <c r="K528" s="2" t="inlineStr">
        <is>
          <t>Advertising costs 16.0 12.2</t>
        </is>
      </c>
      <c r="L528" s="2" t="inlineStr">
        <is>
          <t>ok</t>
        </is>
      </c>
      <c r="M528" s="2" t="inlineStr">
        <is>
          <t>demo reviewer</t>
        </is>
      </c>
      <c r="N528" s="2" t="n"/>
      <c r="O528" s="3" t="inlineStr">
        <is>
          <t>https://vanillabonds.com/dossier-data/pdf/katjes/katjes-2024-annual-report.pdf#page=74</t>
        </is>
      </c>
    </row>
    <row r="529">
      <c r="A529" s="2" t="inlineStr">
        <is>
          <t>F528</t>
        </is>
      </c>
      <c r="B529" s="2" t="inlineStr">
        <is>
          <t>market</t>
        </is>
      </c>
      <c r="C529" s="2" t="inlineStr">
        <is>
          <t>permit</t>
        </is>
      </c>
      <c r="D529" s="3" t="inlineStr">
        <is>
          <t>Certification, licence, permit or patent: item; issuer; expiry; register</t>
        </is>
      </c>
      <c r="E529" s="2" t="n"/>
      <c r="F529" s="2" t="n"/>
      <c r="G529" s="2" t="n"/>
      <c r="H529" s="3" t="inlineStr">
        <is>
          <t>item: B Corp certification (Candy Kittens, implied by 'fellow B Corp brands'); issuer: B Lab</t>
        </is>
      </c>
      <c r="I529" s="2" t="inlineStr">
        <is>
          <t>S2</t>
        </is>
      </c>
      <c r="J529" s="2" t="n">
        <v>20</v>
      </c>
      <c r="K529" s="3" t="inlineStr">
        <is>
          <t>with fellow B Corp brands to ensure design and sustainability remained integral.</t>
        </is>
      </c>
      <c r="L529" s="2" t="inlineStr">
        <is>
          <t>ok</t>
        </is>
      </c>
      <c r="M529" s="2" t="inlineStr">
        <is>
          <t>demo reviewer</t>
        </is>
      </c>
      <c r="N529" s="2" t="n"/>
      <c r="O529" s="3" t="inlineStr">
        <is>
          <t>https://vanillabonds.com/dossier-data/pdf/katjes/katjes-2024-annual-report.pdf#page=20</t>
        </is>
      </c>
    </row>
    <row r="530">
      <c r="A530" s="2" t="inlineStr">
        <is>
          <t>F529</t>
        </is>
      </c>
      <c r="B530" s="2" t="inlineStr">
        <is>
          <t>market</t>
        </is>
      </c>
      <c r="C530" s="2" t="inlineStr">
        <is>
          <t>permit</t>
        </is>
      </c>
      <c r="D530" s="3" t="inlineStr">
        <is>
          <t>Certification, licence, permit or patent: item; issuer; expiry; register</t>
        </is>
      </c>
      <c r="E530" s="2" t="n"/>
      <c r="F530" s="2" t="n"/>
      <c r="G530" s="2" t="n"/>
      <c r="H530" s="3" t="inlineStr">
        <is>
          <t>item: certified organic body care products (N.A.E.); issuer: not named</t>
        </is>
      </c>
      <c r="I530" s="2" t="inlineStr">
        <is>
          <t>S2</t>
        </is>
      </c>
      <c r="J530" s="2" t="n">
        <v>24</v>
      </c>
      <c r="K530" s="3" t="inlineStr">
        <is>
          <t>N.A.E specialises in certified organic body care products, particularly in the French market.</t>
        </is>
      </c>
      <c r="L530" s="2" t="inlineStr">
        <is>
          <t>ok</t>
        </is>
      </c>
      <c r="M530" s="2" t="inlineStr">
        <is>
          <t>demo reviewer</t>
        </is>
      </c>
      <c r="N530" s="2" t="n"/>
      <c r="O530" s="3" t="inlineStr">
        <is>
          <t>https://vanillabonds.com/dossier-data/pdf/katjes/katjes-2024-annual-report.pdf#page=24</t>
        </is>
      </c>
    </row>
    <row r="531">
      <c r="A531" s="2" t="inlineStr">
        <is>
          <t>F530</t>
        </is>
      </c>
      <c r="B531" s="2" t="inlineStr">
        <is>
          <t>market</t>
        </is>
      </c>
      <c r="C531" s="2" t="inlineStr">
        <is>
          <t>permit</t>
        </is>
      </c>
      <c r="D531" s="3" t="inlineStr">
        <is>
          <t>Certification, licence, permit or patent: item; issuer; expiry; register</t>
        </is>
      </c>
      <c r="E531" s="2" t="n"/>
      <c r="F531" s="2" t="n"/>
      <c r="G531" s="2" t="n"/>
      <c r="H531" s="3" t="inlineStr">
        <is>
          <t>item: IFS (International Featured Standards) food-safety certification of key portfolio companies; issuer: IFS; expiry: not stated</t>
        </is>
      </c>
      <c r="I531" s="2" t="inlineStr">
        <is>
          <t>S2</t>
        </is>
      </c>
      <c r="J531" s="2" t="n">
        <v>32</v>
      </c>
      <c r="K531" s="3" t="inlineStr">
        <is>
          <t>are certified, among others, in accordance with the International Featured Standards (IFS) or the British Retail Consortium (BRC) standards for food production.</t>
        </is>
      </c>
      <c r="L531" s="2" t="inlineStr">
        <is>
          <t>ok</t>
        </is>
      </c>
      <c r="M531" s="2" t="inlineStr">
        <is>
          <t>demo reviewer</t>
        </is>
      </c>
      <c r="N531" s="2" t="n"/>
      <c r="O531" s="3" t="inlineStr">
        <is>
          <t>https://vanillabonds.com/dossier-data/pdf/katjes/katjes-2024-annual-report.pdf#page=32</t>
        </is>
      </c>
    </row>
    <row r="532">
      <c r="A532" s="2" t="inlineStr">
        <is>
          <t>F531</t>
        </is>
      </c>
      <c r="B532" s="2" t="inlineStr">
        <is>
          <t>market</t>
        </is>
      </c>
      <c r="C532" s="2" t="inlineStr">
        <is>
          <t>permit</t>
        </is>
      </c>
      <c r="D532" s="3" t="inlineStr">
        <is>
          <t>Certification, licence, permit or patent: item; issuer; expiry; register</t>
        </is>
      </c>
      <c r="E532" s="2" t="n"/>
      <c r="F532" s="2" t="n"/>
      <c r="G532" s="2" t="n"/>
      <c r="H532" s="3" t="inlineStr">
        <is>
          <t>item: BRC (British Retail Consortium) food-production standard certification; issuer: BRC; expiry: not stated</t>
        </is>
      </c>
      <c r="I532" s="2" t="inlineStr">
        <is>
          <t>S2</t>
        </is>
      </c>
      <c r="J532" s="2" t="n">
        <v>32</v>
      </c>
      <c r="K532" s="3" t="inlineStr">
        <is>
          <t>are certified, among others, in accordance with the International Featured Standards (IFS) or the British Retail Consortium (BRC) standards for food production.</t>
        </is>
      </c>
      <c r="L532" s="2" t="inlineStr">
        <is>
          <t>ok</t>
        </is>
      </c>
      <c r="M532" s="2" t="inlineStr">
        <is>
          <t>demo reviewer</t>
        </is>
      </c>
      <c r="N532" s="2" t="n"/>
      <c r="O532" s="3" t="inlineStr">
        <is>
          <t>https://vanillabonds.com/dossier-data/pdf/katjes/katjes-2024-annual-report.pdf#page=32</t>
        </is>
      </c>
    </row>
    <row r="533">
      <c r="A533" s="2" t="inlineStr">
        <is>
          <t>F532</t>
        </is>
      </c>
      <c r="B533" s="2" t="inlineStr">
        <is>
          <t>financials</t>
        </is>
      </c>
      <c r="C533" s="2" t="inlineStr">
        <is>
          <t>one_off</t>
        </is>
      </c>
      <c r="D533" s="3" t="inlineStr">
        <is>
          <t>One-off item: item; amount; recurrence (years in which it recurred)</t>
        </is>
      </c>
      <c r="E533" s="2" t="inlineStr">
        <is>
          <t>FY2023</t>
        </is>
      </c>
      <c r="F533" s="2" t="n">
        <v>2.4</v>
      </c>
      <c r="G533" s="2" t="n"/>
      <c r="H533" s="3" t="inlineStr">
        <is>
          <t>item: government relief payments under the Electricity Price Reduction Act (StromPBG) recognised as reduction of cost of sales; amount: 2.4; recurrence: none in 2024</t>
        </is>
      </c>
      <c r="I533" s="2" t="inlineStr">
        <is>
          <t>S2</t>
        </is>
      </c>
      <c r="J533" s="2" t="n">
        <v>51</v>
      </c>
      <c r="K533" s="3" t="inlineStr">
        <is>
          <t>cost of sales in connection with the Electricity Price Reduction Act (Strompreisbremsegesetz – StromPBG).</t>
        </is>
      </c>
      <c r="L533" s="2" t="inlineStr">
        <is>
          <t>ok</t>
        </is>
      </c>
      <c r="M533" s="2" t="inlineStr">
        <is>
          <t>demo reviewer</t>
        </is>
      </c>
      <c r="N533" s="2" t="n"/>
      <c r="O533" s="3" t="inlineStr">
        <is>
          <t>https://vanillabonds.com/dossier-data/pdf/katjes/katjes-2024-annual-report.pdf#page=51</t>
        </is>
      </c>
    </row>
    <row r="534">
      <c r="A534" s="2" t="inlineStr">
        <is>
          <t>F533</t>
        </is>
      </c>
      <c r="B534" s="2" t="inlineStr">
        <is>
          <t>financials</t>
        </is>
      </c>
      <c r="C534" s="2" t="inlineStr">
        <is>
          <t>one_off</t>
        </is>
      </c>
      <c r="D534" s="3" t="inlineStr">
        <is>
          <t>One-off item: item; amount; recurrence (years in which it recurred)</t>
        </is>
      </c>
      <c r="E534" s="2" t="inlineStr">
        <is>
          <t>FY2023</t>
        </is>
      </c>
      <c r="F534" s="2" t="n">
        <v>7.7</v>
      </c>
      <c r="G534" s="2" t="n"/>
      <c r="H534" s="3" t="inlineStr">
        <is>
          <t>item: other income from related parties; amount: 7.7; recurrence: none in 2024 (0.0)</t>
        </is>
      </c>
      <c r="I534" s="2" t="inlineStr">
        <is>
          <t>S2</t>
        </is>
      </c>
      <c r="J534" s="2" t="n">
        <v>80</v>
      </c>
      <c r="K534" s="2" t="inlineStr">
        <is>
          <t>Other income 0.0 7.7</t>
        </is>
      </c>
      <c r="L534" s="2" t="inlineStr">
        <is>
          <t>ok</t>
        </is>
      </c>
      <c r="M534" s="2" t="inlineStr">
        <is>
          <t>demo reviewer</t>
        </is>
      </c>
      <c r="N534" s="2" t="n"/>
      <c r="O534" s="3" t="inlineStr">
        <is>
          <t>https://vanillabonds.com/dossier-data/pdf/katjes/katjes-2024-annual-report.pdf#page=80</t>
        </is>
      </c>
    </row>
    <row r="535">
      <c r="A535" s="2" t="inlineStr">
        <is>
          <t>F534</t>
        </is>
      </c>
      <c r="B535" s="2" t="inlineStr">
        <is>
          <t>financials</t>
        </is>
      </c>
      <c r="C535" s="2" t="inlineStr">
        <is>
          <t>one_off</t>
        </is>
      </c>
      <c r="D535" s="3" t="inlineStr">
        <is>
          <t>One-off item: item; amount; recurrence (years in which it recurred)</t>
        </is>
      </c>
      <c r="E535" s="2" t="inlineStr">
        <is>
          <t>FY2024</t>
        </is>
      </c>
      <c r="F535" s="2" t="n">
        <v>-6.9</v>
      </c>
      <c r="G535" s="2" t="n"/>
      <c r="H535" s="3" t="inlineStr">
        <is>
          <t>item: non-recurring deferred tax expense from the corporate income tax option; amount: -6.9; recurrence: none (2023: 0.0)</t>
        </is>
      </c>
      <c r="I535" s="2" t="inlineStr">
        <is>
          <t>S2</t>
        </is>
      </c>
      <c r="J535" s="2" t="n">
        <v>40</v>
      </c>
      <c r="K535" s="3" t="inlineStr">
        <is>
          <t>Thereof non-recurring due to the exercise of the corporate income tax option: EUR -6.9 million (previous year: EUR 0.0 million)</t>
        </is>
      </c>
      <c r="L535" s="2" t="inlineStr">
        <is>
          <t>ok</t>
        </is>
      </c>
      <c r="M535" s="2" t="inlineStr">
        <is>
          <t>demo reviewer</t>
        </is>
      </c>
      <c r="N535" s="2" t="n"/>
      <c r="O535" s="3" t="inlineStr">
        <is>
          <t>https://vanillabonds.com/dossier-data/pdf/katjes/katjes-2024-annual-report.pdf#page=40</t>
        </is>
      </c>
    </row>
    <row r="536">
      <c r="A536" s="2" t="inlineStr">
        <is>
          <t>F535</t>
        </is>
      </c>
      <c r="B536" s="2" t="inlineStr">
        <is>
          <t>financials</t>
        </is>
      </c>
      <c r="C536" s="2" t="inlineStr">
        <is>
          <t>one_off</t>
        </is>
      </c>
      <c r="D536" s="3" t="inlineStr">
        <is>
          <t>One-off item: item; amount; recurrence (years in which it recurred)</t>
        </is>
      </c>
      <c r="E536" s="2" t="inlineStr">
        <is>
          <t>FY2024</t>
        </is>
      </c>
      <c r="F536" s="2" t="n"/>
      <c r="G536" s="2" t="n"/>
      <c r="H536" s="3" t="inlineStr">
        <is>
          <t>item: income from a legal case decided in the Group’s favour, within other operating income (total other operating result 6.7, 2023: 8.0); amount: not stated separately; recurrence: none stated</t>
        </is>
      </c>
      <c r="I536" s="2" t="inlineStr">
        <is>
          <t>S2</t>
        </is>
      </c>
      <c r="J536" s="2" t="n">
        <v>75</v>
      </c>
      <c r="K536" s="3" t="inlineStr">
        <is>
          <t>it also includes income from a legal case that was decided in the Group’s favor.</t>
        </is>
      </c>
      <c r="L536" s="2" t="inlineStr">
        <is>
          <t>ok</t>
        </is>
      </c>
      <c r="M536" s="2" t="inlineStr">
        <is>
          <t>demo reviewer</t>
        </is>
      </c>
      <c r="N536" s="2" t="n"/>
      <c r="O536" s="3" t="inlineStr">
        <is>
          <t>https://vanillabonds.com/dossier-data/pdf/katjes/katjes-2024-annual-report.pdf#page=75</t>
        </is>
      </c>
    </row>
    <row r="537">
      <c r="A537" s="2" t="inlineStr">
        <is>
          <t>F536</t>
        </is>
      </c>
      <c r="B537" s="2" t="inlineStr">
        <is>
          <t>financials</t>
        </is>
      </c>
      <c r="C537" s="2" t="inlineStr">
        <is>
          <t>one_off</t>
        </is>
      </c>
      <c r="D537" s="3" t="inlineStr">
        <is>
          <t>One-off item: item; amount; recurrence (years in which it recurred)</t>
        </is>
      </c>
      <c r="E537" s="2" t="inlineStr">
        <is>
          <t>FY2024</t>
        </is>
      </c>
      <c r="F537" s="2" t="n">
        <v>1.6</v>
      </c>
      <c r="G537" s="2" t="n"/>
      <c r="H537" s="3" t="inlineStr">
        <is>
          <t>item: income from the reversal of provisions; amount: 1.6; recurrence: 2023 (0.5)</t>
        </is>
      </c>
      <c r="I537" s="2" t="inlineStr">
        <is>
          <t>S2</t>
        </is>
      </c>
      <c r="J537" s="2" t="n">
        <v>75</v>
      </c>
      <c r="K537" s="3" t="inlineStr">
        <is>
          <t>Income from the reversal of provisi- ons 1.6 0.5</t>
        </is>
      </c>
      <c r="L537" s="2" t="inlineStr">
        <is>
          <t>ok</t>
        </is>
      </c>
      <c r="M537" s="2" t="inlineStr">
        <is>
          <t>demo reviewer</t>
        </is>
      </c>
      <c r="N537" s="2" t="n"/>
      <c r="O537" s="3" t="inlineStr">
        <is>
          <t>https://vanillabonds.com/dossier-data/pdf/katjes/katjes-2024-annual-report.pdf#page=75</t>
        </is>
      </c>
    </row>
    <row r="538">
      <c r="A538" s="2" t="inlineStr">
        <is>
          <t>F537</t>
        </is>
      </c>
      <c r="B538" s="2" t="inlineStr">
        <is>
          <t>financials</t>
        </is>
      </c>
      <c r="C538" s="2" t="inlineStr">
        <is>
          <t>one_off</t>
        </is>
      </c>
      <c r="D538" s="3" t="inlineStr">
        <is>
          <t>One-off item: item; amount; recurrence (years in which it recurred)</t>
        </is>
      </c>
      <c r="E538" s="2" t="inlineStr">
        <is>
          <t>FY2024</t>
        </is>
      </c>
      <c r="F538" s="2" t="n">
        <v>0.8</v>
      </c>
      <c r="G538" s="2" t="n"/>
      <c r="H538" s="3" t="inlineStr">
        <is>
          <t>item: severance payments; amount: 0.8; recurrence: 2023 (0.2)</t>
        </is>
      </c>
      <c r="I538" s="2" t="inlineStr">
        <is>
          <t>S2</t>
        </is>
      </c>
      <c r="J538" s="2" t="n">
        <v>75</v>
      </c>
      <c r="K538" s="3" t="inlineStr">
        <is>
          <t>In the financial year 2024, total expenses for severance pay- ments amounted to EUR 0.8 million (2023: EUR 0.2 million).</t>
        </is>
      </c>
      <c r="L538" s="2" t="inlineStr">
        <is>
          <t>ok</t>
        </is>
      </c>
      <c r="M538" s="2" t="inlineStr">
        <is>
          <t>demo reviewer</t>
        </is>
      </c>
      <c r="N538" s="2" t="n"/>
      <c r="O538" s="3" t="inlineStr">
        <is>
          <t>https://vanillabonds.com/dossier-data/pdf/katjes/katjes-2024-annual-report.pdf#page=75</t>
        </is>
      </c>
    </row>
    <row r="539">
      <c r="A539" s="2" t="inlineStr">
        <is>
          <t>F538</t>
        </is>
      </c>
      <c r="B539" s="2" t="inlineStr">
        <is>
          <t>financials</t>
        </is>
      </c>
      <c r="C539" s="2" t="inlineStr">
        <is>
          <t>offbalance_item</t>
        </is>
      </c>
      <c r="D539" s="3" t="inlineStr">
        <is>
          <t>Off-balance item: kind (lease, factoring, guarantee given, pension deficit, earn-out, litigation provision); amount; counterparty</t>
        </is>
      </c>
      <c r="E539" s="2" t="inlineStr">
        <is>
          <t>FY2023</t>
        </is>
      </c>
      <c r="F539" s="2" t="n">
        <v>9.6</v>
      </c>
      <c r="G539" s="2" t="n"/>
      <c r="H539" s="3" t="inlineStr">
        <is>
          <t>kind: pension deficit (provisions for pensions and similar obligations); amount: 9.6; counterparty: employees</t>
        </is>
      </c>
      <c r="I539" s="2" t="inlineStr">
        <is>
          <t>S2</t>
        </is>
      </c>
      <c r="J539" s="2" t="n">
        <v>43</v>
      </c>
      <c r="K539" s="3" t="inlineStr">
        <is>
          <t>Provisions for pensions and similar obligations 6.12 8.9 9.6</t>
        </is>
      </c>
      <c r="L539" s="2" t="inlineStr">
        <is>
          <t>ok</t>
        </is>
      </c>
      <c r="M539" s="2" t="inlineStr">
        <is>
          <t>demo reviewer</t>
        </is>
      </c>
      <c r="N539" s="2" t="n"/>
      <c r="O539" s="3" t="inlineStr">
        <is>
          <t>https://vanillabonds.com/dossier-data/pdf/katjes/katjes-2024-annual-report.pdf#page=43</t>
        </is>
      </c>
    </row>
    <row r="540">
      <c r="A540" s="2" t="inlineStr">
        <is>
          <t>F539</t>
        </is>
      </c>
      <c r="B540" s="2" t="inlineStr">
        <is>
          <t>financials</t>
        </is>
      </c>
      <c r="C540" s="2" t="inlineStr">
        <is>
          <t>offbalance_item</t>
        </is>
      </c>
      <c r="D540" s="3" t="inlineStr">
        <is>
          <t>Off-balance item: kind (lease, factoring, guarantee given, pension deficit, earn-out, litigation provision); amount; counterparty</t>
        </is>
      </c>
      <c r="E540" s="2" t="inlineStr">
        <is>
          <t>FY2024</t>
        </is>
      </c>
      <c r="F540" s="2" t="n">
        <v>8.9</v>
      </c>
      <c r="G540" s="2" t="n"/>
      <c r="H540" s="3" t="inlineStr">
        <is>
          <t>kind: pension deficit (provisions for pensions and similar obligations, defined benefit plans in Germany and Italy); amount: 8.9; counterparty: employees (DBO funded 7.1 less plan assets 6.4 = 0.7, unfunded provision 8.2)</t>
        </is>
      </c>
      <c r="I540" s="2" t="inlineStr">
        <is>
          <t>S2</t>
        </is>
      </c>
      <c r="J540" s="2" t="n">
        <v>43</v>
      </c>
      <c r="K540" s="3" t="inlineStr">
        <is>
          <t>Provisions for pensions and similar obligations 6.12 8.9 9.6</t>
        </is>
      </c>
      <c r="L540" s="2" t="inlineStr">
        <is>
          <t>ok</t>
        </is>
      </c>
      <c r="M540" s="2" t="inlineStr">
        <is>
          <t>demo reviewer</t>
        </is>
      </c>
      <c r="N540" s="2" t="n"/>
      <c r="O540" s="3" t="inlineStr">
        <is>
          <t>https://vanillabonds.com/dossier-data/pdf/katjes/katjes-2024-annual-report.pdf#page=43</t>
        </is>
      </c>
    </row>
    <row r="541">
      <c r="A541" s="2" t="inlineStr">
        <is>
          <t>F540</t>
        </is>
      </c>
      <c r="B541" s="2" t="inlineStr">
        <is>
          <t>financials</t>
        </is>
      </c>
      <c r="C541" s="2" t="inlineStr">
        <is>
          <t>offbalance_item</t>
        </is>
      </c>
      <c r="D541" s="3" t="inlineStr">
        <is>
          <t>Off-balance item: kind (lease, factoring, guarantee given, pension deficit, earn-out, litigation provision); amount; counterparty</t>
        </is>
      </c>
      <c r="E541" s="2" t="inlineStr">
        <is>
          <t>FY2024</t>
        </is>
      </c>
      <c r="F541" s="2" t="n"/>
      <c r="G541" s="2" t="n"/>
      <c r="H541" s="3" t="inlineStr">
        <is>
          <t>kind: factoring; amount: not stated in EUR (96% of Piasten’s and about 43% of Sperlari’s trade receivables sold and derecognised under IFRS 9.3.2.3); counterparty: factoring companies</t>
        </is>
      </c>
      <c r="I541" s="2" t="inlineStr">
        <is>
          <t>S2</t>
        </is>
      </c>
      <c r="J541" s="2" t="n">
        <v>66</v>
      </c>
      <c r="K541" s="3" t="inlineStr">
        <is>
          <t>In the reporting year, 96% of Piasten’s trade receivables and ap- proximately 43% of Sperlari’s trade receivables were sold to factoring companies.</t>
        </is>
      </c>
      <c r="L541" s="2" t="inlineStr">
        <is>
          <t>ok</t>
        </is>
      </c>
      <c r="M541" s="2" t="inlineStr">
        <is>
          <t>demo reviewer</t>
        </is>
      </c>
      <c r="N541" s="2" t="n"/>
      <c r="O541" s="3" t="inlineStr">
        <is>
          <t>https://vanillabonds.com/dossier-data/pdf/katjes/katjes-2024-annual-report.pdf#page=66</t>
        </is>
      </c>
    </row>
    <row r="542">
      <c r="A542" s="2" t="inlineStr">
        <is>
          <t>F541</t>
        </is>
      </c>
      <c r="B542" s="2" t="inlineStr">
        <is>
          <t>financials</t>
        </is>
      </c>
      <c r="C542" s="2" t="inlineStr">
        <is>
          <t>audit_adjustment</t>
        </is>
      </c>
      <c r="D542" s="3" t="inlineStr">
        <is>
          <t>Audit facts: adjustments (number); management_letter_points (number); restatements; key_audit_matters</t>
        </is>
      </c>
      <c r="E542" s="2" t="inlineStr">
        <is>
          <t>FY2023</t>
        </is>
      </c>
      <c r="F542" s="2" t="n"/>
      <c r="G542" s="2" t="n"/>
      <c r="H542" s="3" t="inlineStr">
        <is>
          <t>restatements: prior-year figures (1 Jan 2023 / 31 Dec 2022) in the 2023 fixed-asset schedule adjusted retrospectively for the purchase price allocation finalised in 2023 (equity effect +0.3); key_audit_matters: none presented in the auditor's report</t>
        </is>
      </c>
      <c r="I542" s="2" t="inlineStr">
        <is>
          <t>S2</t>
        </is>
      </c>
      <c r="J542" s="2" t="n">
        <v>85</v>
      </c>
      <c r="K542" s="3" t="inlineStr">
        <is>
          <t>(1) The previous year's figures have been adjusted due to the retrospective effects of the purchase price allocation finalised in the reporting year.</t>
        </is>
      </c>
      <c r="L542" s="2" t="inlineStr">
        <is>
          <t>ok</t>
        </is>
      </c>
      <c r="M542" s="2" t="inlineStr">
        <is>
          <t>demo reviewer</t>
        </is>
      </c>
      <c r="N542" s="2" t="n"/>
      <c r="O542" s="3" t="inlineStr">
        <is>
          <t>https://vanillabonds.com/dossier-data/pdf/katjes/katjes-2024-annual-report.pdf#page=85</t>
        </is>
      </c>
    </row>
    <row r="543">
      <c r="A543" s="2" t="inlineStr">
        <is>
          <t>F542</t>
        </is>
      </c>
      <c r="B543" s="2" t="inlineStr">
        <is>
          <t>financials</t>
        </is>
      </c>
      <c r="C543" s="2" t="inlineStr">
        <is>
          <t>filing_days</t>
        </is>
      </c>
      <c r="D543" s="3" t="inlineStr">
        <is>
          <t>Days from year end to filing of the accounts</t>
        </is>
      </c>
      <c r="E543" s="2" t="inlineStr">
        <is>
          <t>FY2024</t>
        </is>
      </c>
      <c r="F543" s="2" t="n">
        <v>99</v>
      </c>
      <c r="G543" s="2" t="n"/>
      <c r="H543" s="3" t="inlineStr">
        <is>
          <t>Auditor's report dated 9 April 2025, 99 days after the 31 Dec 2024 year end; management authorised the statements for issue on the same day.</t>
        </is>
      </c>
      <c r="I543" s="2" t="inlineStr">
        <is>
          <t>S2</t>
        </is>
      </c>
      <c r="J543" s="2" t="n">
        <v>90</v>
      </c>
      <c r="K543" s="2" t="inlineStr">
        <is>
          <t>Dusseldorf, 9th April 2025</t>
        </is>
      </c>
      <c r="L543" s="2" t="inlineStr">
        <is>
          <t>ok</t>
        </is>
      </c>
      <c r="M543" s="2" t="inlineStr">
        <is>
          <t>demo reviewer</t>
        </is>
      </c>
      <c r="N543" s="2" t="n"/>
      <c r="O543" s="3" t="inlineStr">
        <is>
          <t>https://vanillabonds.com/dossier-data/pdf/katjes/katjes-2024-annual-report.pdf#page=90</t>
        </is>
      </c>
    </row>
    <row r="544">
      <c r="A544" s="2" t="inlineStr">
        <is>
          <t>F543</t>
        </is>
      </c>
      <c r="B544" s="2" t="inlineStr">
        <is>
          <t>financials</t>
        </is>
      </c>
      <c r="C544" s="2" t="inlineStr">
        <is>
          <t>tax_item</t>
        </is>
      </c>
      <c r="D544" s="3" t="inlineStr">
        <is>
          <t>Tax item: position, open assessment, dispute, ruling, payment-behaviour statement</t>
        </is>
      </c>
      <c r="E544" s="2" t="n"/>
      <c r="F544" s="2" t="n">
        <v>-6.9</v>
      </c>
      <c r="G544" s="2" t="n"/>
      <c r="H544" s="3" t="inlineStr">
        <is>
          <t>Exercise of the corporate income tax option effective 2025 caused a one-time deferred tax expense of EUR -6.9m in 2024 from remeasuring deferred taxes at the future corporate tax rate (IAS 12.47).</t>
        </is>
      </c>
      <c r="I544" s="2" t="inlineStr">
        <is>
          <t>S2</t>
        </is>
      </c>
      <c r="J544" s="2" t="n">
        <v>40</v>
      </c>
      <c r="K544" s="3" t="inlineStr">
        <is>
          <t>Thereof non-recurring due to the exercise of the corporate income tax option: EUR -6.9 million (previous year: EUR 0.0 million)</t>
        </is>
      </c>
      <c r="L544" s="2" t="inlineStr">
        <is>
          <t>ok</t>
        </is>
      </c>
      <c r="M544" s="2" t="inlineStr">
        <is>
          <t>demo reviewer</t>
        </is>
      </c>
      <c r="N544" s="2" t="n"/>
      <c r="O544" s="3" t="inlineStr">
        <is>
          <t>https://vanillabonds.com/dossier-data/pdf/katjes/katjes-2024-annual-report.pdf#page=40</t>
        </is>
      </c>
    </row>
    <row r="545">
      <c r="A545" s="2" t="inlineStr">
        <is>
          <t>F544</t>
        </is>
      </c>
      <c r="B545" s="2" t="inlineStr">
        <is>
          <t>financials</t>
        </is>
      </c>
      <c r="C545" s="2" t="inlineStr">
        <is>
          <t>tax_item</t>
        </is>
      </c>
      <c r="D545" s="3" t="inlineStr">
        <is>
          <t>Tax item: position, open assessment, dispute, ruling, payment-behaviour statement</t>
        </is>
      </c>
      <c r="E545" s="2" t="n"/>
      <c r="F545" s="2" t="n">
        <v>31.1</v>
      </c>
      <c r="G545" s="2" t="n"/>
      <c r="H545" s="3" t="inlineStr">
        <is>
          <t>Deferred tax liabilities EUR 31.1m at 31 Dec 2024 (2023: 24.0), deferred tax assets 3.5 (3.6); net deferred tax position -27.5 (2023: -20.4).</t>
        </is>
      </c>
      <c r="I545" s="2" t="inlineStr">
        <is>
          <t>S2</t>
        </is>
      </c>
      <c r="J545" s="2" t="n">
        <v>43</v>
      </c>
      <c r="K545" s="2" t="inlineStr">
        <is>
          <t>Deferred tax liabilities 6.11 31.1 24.0</t>
        </is>
      </c>
      <c r="L545" s="2" t="inlineStr">
        <is>
          <t>ok</t>
        </is>
      </c>
      <c r="M545" s="2" t="inlineStr">
        <is>
          <t>demo reviewer</t>
        </is>
      </c>
      <c r="N545" s="2" t="n"/>
      <c r="O545" s="3" t="inlineStr">
        <is>
          <t>https://vanillabonds.com/dossier-data/pdf/katjes/katjes-2024-annual-report.pdf#page=43</t>
        </is>
      </c>
    </row>
    <row r="546">
      <c r="A546" s="2" t="inlineStr">
        <is>
          <t>F545</t>
        </is>
      </c>
      <c r="B546" s="2" t="inlineStr">
        <is>
          <t>financials</t>
        </is>
      </c>
      <c r="C546" s="2" t="inlineStr">
        <is>
          <t>tax_item</t>
        </is>
      </c>
      <c r="D546" s="3" t="inlineStr">
        <is>
          <t>Tax item: position, open assessment, dispute, ruling, payment-behaviour statement</t>
        </is>
      </c>
      <c r="E546" s="2" t="n"/>
      <c r="F546" s="2" t="n"/>
      <c r="G546" s="2" t="n"/>
      <c r="H546" s="3" t="inlineStr">
        <is>
          <t>OECD Pillar II global minimum tax rules did not apply in 2024 because revenue thresholds were not exceeded.</t>
        </is>
      </c>
      <c r="I546" s="2" t="inlineStr">
        <is>
          <t>S2</t>
        </is>
      </c>
      <c r="J546" s="2" t="n">
        <v>53</v>
      </c>
      <c r="K546" s="3" t="inlineStr">
        <is>
          <t>The provisions regarding global minimum taxation pursuant to the OECD BEPS Pillar II (GloBE Rules) did not apply</t>
        </is>
      </c>
      <c r="L546" s="2" t="inlineStr">
        <is>
          <t>ok</t>
        </is>
      </c>
      <c r="M546" s="2" t="inlineStr">
        <is>
          <t>demo reviewer</t>
        </is>
      </c>
      <c r="N546" s="2" t="n"/>
      <c r="O546" s="3" t="inlineStr">
        <is>
          <t>https://vanillabonds.com/dossier-data/pdf/katjes/katjes-2024-annual-report.pdf#page=53</t>
        </is>
      </c>
    </row>
    <row r="547">
      <c r="A547" s="2" t="inlineStr">
        <is>
          <t>F546</t>
        </is>
      </c>
      <c r="B547" s="2" t="inlineStr">
        <is>
          <t>financials</t>
        </is>
      </c>
      <c r="C547" s="2" t="inlineStr">
        <is>
          <t>tax_item</t>
        </is>
      </c>
      <c r="D547" s="3" t="inlineStr">
        <is>
          <t>Tax item: position, open assessment, dispute, ruling, payment-behaviour statement</t>
        </is>
      </c>
      <c r="E547" s="2" t="n"/>
      <c r="F547" s="2" t="n">
        <v>34</v>
      </c>
      <c r="G547" s="2" t="n"/>
      <c r="H547" s="3" t="inlineStr">
        <is>
          <t>No deferred tax assets recognised for corporate income tax loss carryforwards of EUR 34.0m (2023: 35.8), trade tax loss carryforwards 7.5 (6.8) and other 9.3 (8.1); Dutch losses of 0.8 expire within one to two years.</t>
        </is>
      </c>
      <c r="I547" s="2" t="inlineStr">
        <is>
          <t>S2</t>
        </is>
      </c>
      <c r="J547" s="2" t="n">
        <v>70</v>
      </c>
      <c r="K547" s="3" t="inlineStr">
        <is>
          <t>No deferred tax assets were recognized for corporate income tax loss carryforwards amounting to EUR 34.0 million (2023: EUR 35.8 million) or for trade tax loss carryforwards of EUR 7.5 million</t>
        </is>
      </c>
      <c r="L547" s="2" t="inlineStr">
        <is>
          <t>ok</t>
        </is>
      </c>
      <c r="M547" s="2" t="inlineStr">
        <is>
          <t>demo reviewer</t>
        </is>
      </c>
      <c r="N547" s="2" t="n"/>
      <c r="O547" s="3" t="inlineStr">
        <is>
          <t>https://vanillabonds.com/dossier-data/pdf/katjes/katjes-2024-annual-report.pdf#page=70</t>
        </is>
      </c>
    </row>
    <row r="548">
      <c r="A548" s="2" t="inlineStr">
        <is>
          <t>F547</t>
        </is>
      </c>
      <c r="B548" s="2" t="inlineStr">
        <is>
          <t>financials</t>
        </is>
      </c>
      <c r="C548" s="2" t="inlineStr">
        <is>
          <t>tax_item</t>
        </is>
      </c>
      <c r="D548" s="3" t="inlineStr">
        <is>
          <t>Tax item: position, open assessment, dispute, ruling, payment-behaviour statement</t>
        </is>
      </c>
      <c r="E548" s="2" t="n"/>
      <c r="F548" s="2" t="n">
        <v>10.2</v>
      </c>
      <c r="G548" s="2" t="n"/>
      <c r="H548" s="3" t="inlineStr">
        <is>
          <t>Income tax expense 2024 EUR 10.2m: current 3.3 (Germany 2.7, other 0.6), deferred 6.9 (2023: 0.9 = current 4.4, deferred -3.5); expected tax rate 12.9% (2023: 12.4%), the average rate of the German parent.</t>
        </is>
      </c>
      <c r="I548" s="2" t="inlineStr">
        <is>
          <t>S2</t>
        </is>
      </c>
      <c r="J548" s="2" t="n">
        <v>76</v>
      </c>
      <c r="K548" s="3" t="inlineStr">
        <is>
          <t>The expected tax rate of 12.9% (2023: 12.4%) corresponds to the average tax rate of the German parent company.</t>
        </is>
      </c>
      <c r="L548" s="2" t="inlineStr">
        <is>
          <t>ok</t>
        </is>
      </c>
      <c r="M548" s="2" t="inlineStr">
        <is>
          <t>demo reviewer</t>
        </is>
      </c>
      <c r="N548" s="2" t="n"/>
      <c r="O548" s="3" t="inlineStr">
        <is>
          <t>https://vanillabonds.com/dossier-data/pdf/katjes/katjes-2024-annual-report.pdf#page=76</t>
        </is>
      </c>
    </row>
    <row r="549">
      <c r="A549" s="2" t="inlineStr">
        <is>
          <t>F548</t>
        </is>
      </c>
      <c r="B549" s="2" t="inlineStr">
        <is>
          <t>financials</t>
        </is>
      </c>
      <c r="C549" s="2" t="inlineStr">
        <is>
          <t>tax_item</t>
        </is>
      </c>
      <c r="D549" s="3" t="inlineStr">
        <is>
          <t>Tax item: position, open assessment, dispute, ruling, payment-behaviour statement</t>
        </is>
      </c>
      <c r="E549" s="2" t="n"/>
      <c r="F549" s="2" t="n">
        <v>671.1</v>
      </c>
      <c r="G549" s="2" t="n"/>
      <c r="H549" s="3" t="inlineStr">
        <is>
          <t>No deferred taxes recognised on taxable temporary differences of EUR 671.1m (2023: 654.2) relating to investments in subsidiaries, as reversal is not expected.</t>
        </is>
      </c>
      <c r="I549" s="2" t="inlineStr">
        <is>
          <t>S2</t>
        </is>
      </c>
      <c r="J549" s="2" t="n">
        <v>76</v>
      </c>
      <c r="K549" s="3" t="inlineStr">
        <is>
          <t>No deferred taxes were recognized as of December 31, 2024, for taxable temporary differences relating to investments in sub</t>
        </is>
      </c>
      <c r="L549" s="2" t="inlineStr">
        <is>
          <t>ok</t>
        </is>
      </c>
      <c r="M549" s="2" t="inlineStr">
        <is>
          <t>demo reviewer</t>
        </is>
      </c>
      <c r="N549" s="2" t="n"/>
      <c r="O549" s="3" t="inlineStr">
        <is>
          <t>https://vanillabonds.com/dossier-data/pdf/katjes/katjes-2024-annual-report.pdf#page=76</t>
        </is>
      </c>
    </row>
    <row r="550">
      <c r="A550" s="2" t="inlineStr">
        <is>
          <t>F549</t>
        </is>
      </c>
      <c r="B550" s="2" t="inlineStr">
        <is>
          <t>financials</t>
        </is>
      </c>
      <c r="C550" s="2" t="inlineStr">
        <is>
          <t>segment</t>
        </is>
      </c>
      <c r="D550" s="3" t="inlineStr">
        <is>
          <t>Segment: segment; revenue; ebitda; assets</t>
        </is>
      </c>
      <c r="E550" s="2" t="inlineStr">
        <is>
          <t>FY2023</t>
        </is>
      </c>
      <c r="F550" s="2" t="n">
        <v>156.2</v>
      </c>
      <c r="G550" s="2" t="n"/>
      <c r="H550" s="3" t="inlineStr">
        <is>
          <t>segment: Confectionery (business line); revenue: 156.2</t>
        </is>
      </c>
      <c r="I550" s="2" t="inlineStr">
        <is>
          <t>S2</t>
        </is>
      </c>
      <c r="J550" s="2" t="n">
        <v>74</v>
      </c>
      <c r="K550" s="2" t="inlineStr">
        <is>
          <t>Confectionery 160.0 156.2</t>
        </is>
      </c>
      <c r="L550" s="2" t="inlineStr">
        <is>
          <t>ok</t>
        </is>
      </c>
      <c r="M550" s="2" t="inlineStr">
        <is>
          <t>demo reviewer</t>
        </is>
      </c>
      <c r="N550" s="2" t="n"/>
      <c r="O550" s="3" t="inlineStr">
        <is>
          <t>https://vanillabonds.com/dossier-data/pdf/katjes/katjes-2024-annual-report.pdf#page=74</t>
        </is>
      </c>
    </row>
    <row r="551">
      <c r="A551" s="2" t="inlineStr">
        <is>
          <t>F550</t>
        </is>
      </c>
      <c r="B551" s="2" t="inlineStr">
        <is>
          <t>financials</t>
        </is>
      </c>
      <c r="C551" s="2" t="inlineStr">
        <is>
          <t>segment</t>
        </is>
      </c>
      <c r="D551" s="3" t="inlineStr">
        <is>
          <t>Segment: segment; revenue; ebitda; assets</t>
        </is>
      </c>
      <c r="E551" s="2" t="inlineStr">
        <is>
          <t>FY2023</t>
        </is>
      </c>
      <c r="F551" s="2" t="n">
        <v>87</v>
      </c>
      <c r="G551" s="2" t="n"/>
      <c r="H551" s="3" t="inlineStr">
        <is>
          <t>segment: Body care products (business line); revenue: 87.0</t>
        </is>
      </c>
      <c r="I551" s="2" t="inlineStr">
        <is>
          <t>S2</t>
        </is>
      </c>
      <c r="J551" s="2" t="n">
        <v>74</v>
      </c>
      <c r="K551" s="2" t="inlineStr">
        <is>
          <t>Body care products 90.4 87.0</t>
        </is>
      </c>
      <c r="L551" s="2" t="inlineStr">
        <is>
          <t>ok</t>
        </is>
      </c>
      <c r="M551" s="2" t="inlineStr">
        <is>
          <t>demo reviewer</t>
        </is>
      </c>
      <c r="N551" s="2" t="n"/>
      <c r="O551" s="3" t="inlineStr">
        <is>
          <t>https://vanillabonds.com/dossier-data/pdf/katjes/katjes-2024-annual-report.pdf#page=74</t>
        </is>
      </c>
    </row>
    <row r="552">
      <c r="A552" s="2" t="inlineStr">
        <is>
          <t>F551</t>
        </is>
      </c>
      <c r="B552" s="2" t="inlineStr">
        <is>
          <t>financials</t>
        </is>
      </c>
      <c r="C552" s="2" t="inlineStr">
        <is>
          <t>segment</t>
        </is>
      </c>
      <c r="D552" s="3" t="inlineStr">
        <is>
          <t>Segment: segment; revenue; ebitda; assets</t>
        </is>
      </c>
      <c r="E552" s="2" t="inlineStr">
        <is>
          <t>FY2023</t>
        </is>
      </c>
      <c r="F552" s="2" t="n">
        <v>59.4</v>
      </c>
      <c r="G552" s="2" t="n"/>
      <c r="H552" s="3" t="inlineStr">
        <is>
          <t>segment: Chocolate (business line); revenue: 59.4</t>
        </is>
      </c>
      <c r="I552" s="2" t="inlineStr">
        <is>
          <t>S2</t>
        </is>
      </c>
      <c r="J552" s="2" t="n">
        <v>74</v>
      </c>
      <c r="K552" s="2" t="inlineStr">
        <is>
          <t>Chocolate 57.8 59.4</t>
        </is>
      </c>
      <c r="L552" s="2" t="inlineStr">
        <is>
          <t>ok</t>
        </is>
      </c>
      <c r="M552" s="2" t="inlineStr">
        <is>
          <t>demo reviewer</t>
        </is>
      </c>
      <c r="N552" s="2" t="n"/>
      <c r="O552" s="3" t="inlineStr">
        <is>
          <t>https://vanillabonds.com/dossier-data/pdf/katjes/katjes-2024-annual-report.pdf#page=74</t>
        </is>
      </c>
    </row>
    <row r="553">
      <c r="A553" s="2" t="inlineStr">
        <is>
          <t>F552</t>
        </is>
      </c>
      <c r="B553" s="2" t="inlineStr">
        <is>
          <t>financials</t>
        </is>
      </c>
      <c r="C553" s="2" t="inlineStr">
        <is>
          <t>segment</t>
        </is>
      </c>
      <c r="D553" s="3" t="inlineStr">
        <is>
          <t>Segment: segment; revenue; ebitda; assets</t>
        </is>
      </c>
      <c r="E553" s="2" t="inlineStr">
        <is>
          <t>FY2023</t>
        </is>
      </c>
      <c r="F553" s="2" t="n">
        <v>46.7</v>
      </c>
      <c r="G553" s="2" t="n"/>
      <c r="H553" s="3" t="inlineStr">
        <is>
          <t>segment: Seasonals (business line); revenue: 46.7</t>
        </is>
      </c>
      <c r="I553" s="2" t="inlineStr">
        <is>
          <t>S2</t>
        </is>
      </c>
      <c r="J553" s="2" t="n">
        <v>74</v>
      </c>
      <c r="K553" s="2" t="inlineStr">
        <is>
          <t>Seasonals 54.7 46.7</t>
        </is>
      </c>
      <c r="L553" s="2" t="inlineStr">
        <is>
          <t>ok</t>
        </is>
      </c>
      <c r="M553" s="2" t="inlineStr">
        <is>
          <t>demo reviewer</t>
        </is>
      </c>
      <c r="N553" s="2" t="n"/>
      <c r="O553" s="3" t="inlineStr">
        <is>
          <t>https://vanillabonds.com/dossier-data/pdf/katjes/katjes-2024-annual-report.pdf#page=74</t>
        </is>
      </c>
    </row>
    <row r="554">
      <c r="A554" s="2" t="inlineStr">
        <is>
          <t>F553</t>
        </is>
      </c>
      <c r="B554" s="2" t="inlineStr">
        <is>
          <t>financials</t>
        </is>
      </c>
      <c r="C554" s="2" t="inlineStr">
        <is>
          <t>segment</t>
        </is>
      </c>
      <c r="D554" s="3" t="inlineStr">
        <is>
          <t>Segment: segment; revenue; ebitda; assets</t>
        </is>
      </c>
      <c r="E554" s="2" t="inlineStr">
        <is>
          <t>FY2023</t>
        </is>
      </c>
      <c r="F554" s="2" t="n">
        <v>28.1</v>
      </c>
      <c r="G554" s="2" t="n"/>
      <c r="H554" s="3" t="inlineStr">
        <is>
          <t>segment: Other (business line); revenue: 28.1</t>
        </is>
      </c>
      <c r="I554" s="2" t="inlineStr">
        <is>
          <t>S2</t>
        </is>
      </c>
      <c r="J554" s="2" t="n">
        <v>74</v>
      </c>
      <c r="K554" s="2" t="inlineStr">
        <is>
          <t>Other 29.7 28.1</t>
        </is>
      </c>
      <c r="L554" s="2" t="inlineStr">
        <is>
          <t>ok</t>
        </is>
      </c>
      <c r="M554" s="2" t="inlineStr">
        <is>
          <t>demo reviewer</t>
        </is>
      </c>
      <c r="N554" s="2" t="n"/>
      <c r="O554" s="3" t="inlineStr">
        <is>
          <t>https://vanillabonds.com/dossier-data/pdf/katjes/katjes-2024-annual-report.pdf#page=74</t>
        </is>
      </c>
    </row>
    <row r="555">
      <c r="A555" s="2" t="inlineStr">
        <is>
          <t>F554</t>
        </is>
      </c>
      <c r="B555" s="2" t="inlineStr">
        <is>
          <t>financials</t>
        </is>
      </c>
      <c r="C555" s="2" t="inlineStr">
        <is>
          <t>segment</t>
        </is>
      </c>
      <c r="D555" s="3" t="inlineStr">
        <is>
          <t>Segment: segment; revenue; ebitda; assets</t>
        </is>
      </c>
      <c r="E555" s="2" t="inlineStr">
        <is>
          <t>FY2023</t>
        </is>
      </c>
      <c r="F555" s="2" t="n">
        <v>115.5</v>
      </c>
      <c r="G555" s="2" t="n"/>
      <c r="H555" s="2" t="inlineStr">
        <is>
          <t>segment: Italy (region); revenue: 115.5</t>
        </is>
      </c>
      <c r="I555" s="2" t="inlineStr">
        <is>
          <t>S2</t>
        </is>
      </c>
      <c r="J555" s="2" t="n">
        <v>77</v>
      </c>
      <c r="K555" s="2" t="inlineStr">
        <is>
          <t>Italy 122.8 115.5</t>
        </is>
      </c>
      <c r="L555" s="2" t="inlineStr">
        <is>
          <t>ok</t>
        </is>
      </c>
      <c r="M555" s="2" t="inlineStr">
        <is>
          <t>demo reviewer</t>
        </is>
      </c>
      <c r="N555" s="2" t="n"/>
      <c r="O555" s="3" t="inlineStr">
        <is>
          <t>https://vanillabonds.com/dossier-data/pdf/katjes/katjes-2024-annual-report.pdf#page=77</t>
        </is>
      </c>
    </row>
    <row r="556">
      <c r="A556" s="2" t="inlineStr">
        <is>
          <t>F555</t>
        </is>
      </c>
      <c r="B556" s="2" t="inlineStr">
        <is>
          <t>financials</t>
        </is>
      </c>
      <c r="C556" s="2" t="inlineStr">
        <is>
          <t>segment</t>
        </is>
      </c>
      <c r="D556" s="3" t="inlineStr">
        <is>
          <t>Segment: segment; revenue; ebitda; assets</t>
        </is>
      </c>
      <c r="E556" s="2" t="inlineStr">
        <is>
          <t>FY2023</t>
        </is>
      </c>
      <c r="F556" s="2" t="n">
        <v>104.4</v>
      </c>
      <c r="G556" s="2" t="n"/>
      <c r="H556" s="3" t="inlineStr">
        <is>
          <t>segment: Germany (region); revenue: 104.4</t>
        </is>
      </c>
      <c r="I556" s="2" t="inlineStr">
        <is>
          <t>S2</t>
        </is>
      </c>
      <c r="J556" s="2" t="n">
        <v>77</v>
      </c>
      <c r="K556" s="2" t="inlineStr">
        <is>
          <t>Germany 106.8 104.4</t>
        </is>
      </c>
      <c r="L556" s="2" t="inlineStr">
        <is>
          <t>ok</t>
        </is>
      </c>
      <c r="M556" s="2" t="inlineStr">
        <is>
          <t>demo reviewer</t>
        </is>
      </c>
      <c r="N556" s="2" t="n"/>
      <c r="O556" s="3" t="inlineStr">
        <is>
          <t>https://vanillabonds.com/dossier-data/pdf/katjes/katjes-2024-annual-report.pdf#page=77</t>
        </is>
      </c>
    </row>
    <row r="557">
      <c r="A557" s="2" t="inlineStr">
        <is>
          <t>F556</t>
        </is>
      </c>
      <c r="B557" s="2" t="inlineStr">
        <is>
          <t>financials</t>
        </is>
      </c>
      <c r="C557" s="2" t="inlineStr">
        <is>
          <t>segment</t>
        </is>
      </c>
      <c r="D557" s="3" t="inlineStr">
        <is>
          <t>Segment: segment; revenue; ebitda; assets</t>
        </is>
      </c>
      <c r="E557" s="2" t="inlineStr">
        <is>
          <t>FY2023</t>
        </is>
      </c>
      <c r="F557" s="2" t="n">
        <v>15.1</v>
      </c>
      <c r="G557" s="2" t="n"/>
      <c r="H557" s="2" t="inlineStr">
        <is>
          <t>segment: UK (region); revenue: 15.1</t>
        </is>
      </c>
      <c r="I557" s="2" t="inlineStr">
        <is>
          <t>S2</t>
        </is>
      </c>
      <c r="J557" s="2" t="n">
        <v>77</v>
      </c>
      <c r="K557" s="2" t="inlineStr">
        <is>
          <t>UK 18.7 15.1</t>
        </is>
      </c>
      <c r="L557" s="2" t="inlineStr">
        <is>
          <t>ok</t>
        </is>
      </c>
      <c r="M557" s="2" t="inlineStr">
        <is>
          <t>demo reviewer</t>
        </is>
      </c>
      <c r="N557" s="2" t="n"/>
      <c r="O557" s="3" t="inlineStr">
        <is>
          <t>https://vanillabonds.com/dossier-data/pdf/katjes/katjes-2024-annual-report.pdf#page=77</t>
        </is>
      </c>
    </row>
    <row r="558">
      <c r="A558" s="2" t="inlineStr">
        <is>
          <t>F557</t>
        </is>
      </c>
      <c r="B558" s="2" t="inlineStr">
        <is>
          <t>financials</t>
        </is>
      </c>
      <c r="C558" s="2" t="inlineStr">
        <is>
          <t>segment</t>
        </is>
      </c>
      <c r="D558" s="3" t="inlineStr">
        <is>
          <t>Segment: segment; revenue; ebitda; assets</t>
        </is>
      </c>
      <c r="E558" s="2" t="inlineStr">
        <is>
          <t>FY2023</t>
        </is>
      </c>
      <c r="F558" s="2" t="n">
        <v>16.5</v>
      </c>
      <c r="G558" s="2" t="n"/>
      <c r="H558" s="3" t="inlineStr">
        <is>
          <t>segment: Netherlands (region); revenue: 16.5</t>
        </is>
      </c>
      <c r="I558" s="2" t="inlineStr">
        <is>
          <t>S2</t>
        </is>
      </c>
      <c r="J558" s="2" t="n">
        <v>77</v>
      </c>
      <c r="K558" s="2" t="inlineStr">
        <is>
          <t>Netherlands 16.1 16.5</t>
        </is>
      </c>
      <c r="L558" s="2" t="inlineStr">
        <is>
          <t>ok</t>
        </is>
      </c>
      <c r="M558" s="2" t="inlineStr">
        <is>
          <t>demo reviewer</t>
        </is>
      </c>
      <c r="N558" s="2" t="n"/>
      <c r="O558" s="3" t="inlineStr">
        <is>
          <t>https://vanillabonds.com/dossier-data/pdf/katjes/katjes-2024-annual-report.pdf#page=77</t>
        </is>
      </c>
    </row>
    <row r="559">
      <c r="A559" s="2" t="inlineStr">
        <is>
          <t>F558</t>
        </is>
      </c>
      <c r="B559" s="2" t="inlineStr">
        <is>
          <t>financials</t>
        </is>
      </c>
      <c r="C559" s="2" t="inlineStr">
        <is>
          <t>segment</t>
        </is>
      </c>
      <c r="D559" s="3" t="inlineStr">
        <is>
          <t>Segment: segment; revenue; ebitda; assets</t>
        </is>
      </c>
      <c r="E559" s="2" t="inlineStr">
        <is>
          <t>FY2023</t>
        </is>
      </c>
      <c r="F559" s="2" t="n">
        <v>107.8</v>
      </c>
      <c r="G559" s="2" t="n"/>
      <c r="H559" s="3" t="inlineStr">
        <is>
          <t>segment: Other EU countries + Switzerland (region); revenue: 107.8</t>
        </is>
      </c>
      <c r="I559" s="2" t="inlineStr">
        <is>
          <t>S2</t>
        </is>
      </c>
      <c r="J559" s="2" t="n">
        <v>77</v>
      </c>
      <c r="K559" s="3" t="inlineStr">
        <is>
          <t>Other EU countries + Switzerland 107.4 107.8</t>
        </is>
      </c>
      <c r="L559" s="2" t="inlineStr">
        <is>
          <t>ok</t>
        </is>
      </c>
      <c r="M559" s="2" t="inlineStr">
        <is>
          <t>demo reviewer</t>
        </is>
      </c>
      <c r="N559" s="2" t="n"/>
      <c r="O559" s="3" t="inlineStr">
        <is>
          <t>https://vanillabonds.com/dossier-data/pdf/katjes/katjes-2024-annual-report.pdf#page=77</t>
        </is>
      </c>
    </row>
    <row r="560">
      <c r="A560" s="2" t="inlineStr">
        <is>
          <t>F559</t>
        </is>
      </c>
      <c r="B560" s="2" t="inlineStr">
        <is>
          <t>financials</t>
        </is>
      </c>
      <c r="C560" s="2" t="inlineStr">
        <is>
          <t>segment</t>
        </is>
      </c>
      <c r="D560" s="3" t="inlineStr">
        <is>
          <t>Segment: segment; revenue; ebitda; assets</t>
        </is>
      </c>
      <c r="E560" s="2" t="inlineStr">
        <is>
          <t>FY2023</t>
        </is>
      </c>
      <c r="F560" s="2" t="n">
        <v>18.1</v>
      </c>
      <c r="G560" s="2" t="n"/>
      <c r="H560" s="3" t="inlineStr">
        <is>
          <t>segment: Non-EU countries (region); revenue: 18.1</t>
        </is>
      </c>
      <c r="I560" s="2" t="inlineStr">
        <is>
          <t>S2</t>
        </is>
      </c>
      <c r="J560" s="2" t="n">
        <v>77</v>
      </c>
      <c r="K560" s="2" t="inlineStr">
        <is>
          <t>Non-EU countries 20.8 18.1</t>
        </is>
      </c>
      <c r="L560" s="2" t="inlineStr">
        <is>
          <t>ok</t>
        </is>
      </c>
      <c r="M560" s="2" t="inlineStr">
        <is>
          <t>demo reviewer</t>
        </is>
      </c>
      <c r="N560" s="2" t="n"/>
      <c r="O560" s="3" t="inlineStr">
        <is>
          <t>https://vanillabonds.com/dossier-data/pdf/katjes/katjes-2024-annual-report.pdf#page=77</t>
        </is>
      </c>
    </row>
    <row r="561">
      <c r="A561" s="2" t="inlineStr">
        <is>
          <t>F560</t>
        </is>
      </c>
      <c r="B561" s="2" t="inlineStr">
        <is>
          <t>financials</t>
        </is>
      </c>
      <c r="C561" s="2" t="inlineStr">
        <is>
          <t>segment</t>
        </is>
      </c>
      <c r="D561" s="3" t="inlineStr">
        <is>
          <t>Segment: segment; revenue; ebitda; assets</t>
        </is>
      </c>
      <c r="E561" s="2" t="inlineStr">
        <is>
          <t>FY2023</t>
        </is>
      </c>
      <c r="F561" s="2" t="n">
        <v>132.4</v>
      </c>
      <c r="G561" s="2" t="n"/>
      <c r="H561" s="3" t="inlineStr">
        <is>
          <t>segment: Germany (region, non-current assets); assets: 132.4</t>
        </is>
      </c>
      <c r="I561" s="2" t="inlineStr">
        <is>
          <t>S2</t>
        </is>
      </c>
      <c r="J561" s="2" t="n">
        <v>78</v>
      </c>
      <c r="K561" s="2" t="inlineStr">
        <is>
          <t>Germany 141.4 132.4</t>
        </is>
      </c>
      <c r="L561" s="2" t="inlineStr">
        <is>
          <t>ok</t>
        </is>
      </c>
      <c r="M561" s="2" t="inlineStr">
        <is>
          <t>demo reviewer</t>
        </is>
      </c>
      <c r="N561" s="2" t="n"/>
      <c r="O561" s="3" t="inlineStr">
        <is>
          <t>https://vanillabonds.com/dossier-data/pdf/katjes/katjes-2024-annual-report.pdf#page=78</t>
        </is>
      </c>
    </row>
    <row r="562">
      <c r="A562" s="2" t="inlineStr">
        <is>
          <t>F561</t>
        </is>
      </c>
      <c r="B562" s="2" t="inlineStr">
        <is>
          <t>financials</t>
        </is>
      </c>
      <c r="C562" s="2" t="inlineStr">
        <is>
          <t>segment</t>
        </is>
      </c>
      <c r="D562" s="3" t="inlineStr">
        <is>
          <t>Segment: segment; revenue; ebitda; assets</t>
        </is>
      </c>
      <c r="E562" s="2" t="inlineStr">
        <is>
          <t>FY2023</t>
        </is>
      </c>
      <c r="F562" s="2" t="n">
        <v>94.90000000000001</v>
      </c>
      <c r="G562" s="2" t="n"/>
      <c r="H562" s="3" t="inlineStr">
        <is>
          <t>segment: Italy (region, non-current assets); assets: 94.9</t>
        </is>
      </c>
      <c r="I562" s="2" t="inlineStr">
        <is>
          <t>S2</t>
        </is>
      </c>
      <c r="J562" s="2" t="n">
        <v>78</v>
      </c>
      <c r="K562" s="2" t="inlineStr">
        <is>
          <t>Italy 95.6 94.9</t>
        </is>
      </c>
      <c r="L562" s="2" t="inlineStr">
        <is>
          <t>ok</t>
        </is>
      </c>
      <c r="M562" s="2" t="inlineStr">
        <is>
          <t>demo reviewer</t>
        </is>
      </c>
      <c r="N562" s="2" t="n"/>
      <c r="O562" s="3" t="inlineStr">
        <is>
          <t>https://vanillabonds.com/dossier-data/pdf/katjes/katjes-2024-annual-report.pdf#page=78</t>
        </is>
      </c>
    </row>
    <row r="563">
      <c r="A563" s="2" t="inlineStr">
        <is>
          <t>F562</t>
        </is>
      </c>
      <c r="B563" s="2" t="inlineStr">
        <is>
          <t>financials</t>
        </is>
      </c>
      <c r="C563" s="2" t="inlineStr">
        <is>
          <t>segment</t>
        </is>
      </c>
      <c r="D563" s="3" t="inlineStr">
        <is>
          <t>Segment: segment; revenue; ebitda; assets</t>
        </is>
      </c>
      <c r="E563" s="2" t="inlineStr">
        <is>
          <t>FY2023</t>
        </is>
      </c>
      <c r="F563" s="2" t="n">
        <v>71.09999999999999</v>
      </c>
      <c r="G563" s="2" t="n"/>
      <c r="H563" s="3" t="inlineStr">
        <is>
          <t>segment: Netherlands (region, non-current assets); assets: 71.1</t>
        </is>
      </c>
      <c r="I563" s="2" t="inlineStr">
        <is>
          <t>S2</t>
        </is>
      </c>
      <c r="J563" s="2" t="n">
        <v>78</v>
      </c>
      <c r="K563" s="2" t="inlineStr">
        <is>
          <t>Netherlands 72.3 71.1</t>
        </is>
      </c>
      <c r="L563" s="2" t="inlineStr">
        <is>
          <t>ok</t>
        </is>
      </c>
      <c r="M563" s="2" t="inlineStr">
        <is>
          <t>demo reviewer</t>
        </is>
      </c>
      <c r="N563" s="2" t="n"/>
      <c r="O563" s="3" t="inlineStr">
        <is>
          <t>https://vanillabonds.com/dossier-data/pdf/katjes/katjes-2024-annual-report.pdf#page=78</t>
        </is>
      </c>
    </row>
    <row r="564">
      <c r="A564" s="2" t="inlineStr">
        <is>
          <t>F563</t>
        </is>
      </c>
      <c r="B564" s="2" t="inlineStr">
        <is>
          <t>financials</t>
        </is>
      </c>
      <c r="C564" s="2" t="inlineStr">
        <is>
          <t>segment</t>
        </is>
      </c>
      <c r="D564" s="3" t="inlineStr">
        <is>
          <t>Segment: segment; revenue; ebitda; assets</t>
        </is>
      </c>
      <c r="E564" s="2" t="inlineStr">
        <is>
          <t>FY2023</t>
        </is>
      </c>
      <c r="F564" s="2" t="n">
        <v>10.3</v>
      </c>
      <c r="G564" s="2" t="n"/>
      <c r="H564" s="3" t="inlineStr">
        <is>
          <t>segment: UK (region, non-current assets); assets: 10.3</t>
        </is>
      </c>
      <c r="I564" s="2" t="inlineStr">
        <is>
          <t>S2</t>
        </is>
      </c>
      <c r="J564" s="2" t="n">
        <v>78</v>
      </c>
      <c r="K564" s="2" t="inlineStr">
        <is>
          <t>UK 11.4 10.3</t>
        </is>
      </c>
      <c r="L564" s="2" t="inlineStr">
        <is>
          <t>ok</t>
        </is>
      </c>
      <c r="M564" s="2" t="inlineStr">
        <is>
          <t>demo reviewer</t>
        </is>
      </c>
      <c r="N564" s="2" t="n"/>
      <c r="O564" s="3" t="inlineStr">
        <is>
          <t>https://vanillabonds.com/dossier-data/pdf/katjes/katjes-2024-annual-report.pdf#page=78</t>
        </is>
      </c>
    </row>
    <row r="565">
      <c r="A565" s="2" t="inlineStr">
        <is>
          <t>F564</t>
        </is>
      </c>
      <c r="B565" s="2" t="inlineStr">
        <is>
          <t>financials</t>
        </is>
      </c>
      <c r="C565" s="2" t="inlineStr">
        <is>
          <t>segment</t>
        </is>
      </c>
      <c r="D565" s="3" t="inlineStr">
        <is>
          <t>Segment: segment; revenue; ebitda; assets</t>
        </is>
      </c>
      <c r="E565" s="2" t="inlineStr">
        <is>
          <t>FY2024</t>
        </is>
      </c>
      <c r="F565" s="2" t="n">
        <v>160</v>
      </c>
      <c r="G565" s="2" t="n"/>
      <c r="H565" s="3" t="inlineStr">
        <is>
          <t>segment: Confectionery (business line); revenue: 160.0</t>
        </is>
      </c>
      <c r="I565" s="2" t="inlineStr">
        <is>
          <t>S2</t>
        </is>
      </c>
      <c r="J565" s="2" t="n">
        <v>74</v>
      </c>
      <c r="K565" s="2" t="inlineStr">
        <is>
          <t>Confectionery 160.0 156.2</t>
        </is>
      </c>
      <c r="L565" s="2" t="inlineStr">
        <is>
          <t>ok</t>
        </is>
      </c>
      <c r="M565" s="2" t="inlineStr">
        <is>
          <t>demo reviewer</t>
        </is>
      </c>
      <c r="N565" s="2" t="n"/>
      <c r="O565" s="3" t="inlineStr">
        <is>
          <t>https://vanillabonds.com/dossier-data/pdf/katjes/katjes-2024-annual-report.pdf#page=74</t>
        </is>
      </c>
    </row>
    <row r="566">
      <c r="A566" s="2" t="inlineStr">
        <is>
          <t>F565</t>
        </is>
      </c>
      <c r="B566" s="2" t="inlineStr">
        <is>
          <t>financials</t>
        </is>
      </c>
      <c r="C566" s="2" t="inlineStr">
        <is>
          <t>segment</t>
        </is>
      </c>
      <c r="D566" s="3" t="inlineStr">
        <is>
          <t>Segment: segment; revenue; ebitda; assets</t>
        </is>
      </c>
      <c r="E566" s="2" t="inlineStr">
        <is>
          <t>FY2024</t>
        </is>
      </c>
      <c r="F566" s="2" t="n">
        <v>90.40000000000001</v>
      </c>
      <c r="G566" s="2" t="n"/>
      <c r="H566" s="3" t="inlineStr">
        <is>
          <t>segment: Body care products (business line); revenue: 90.4</t>
        </is>
      </c>
      <c r="I566" s="2" t="inlineStr">
        <is>
          <t>S2</t>
        </is>
      </c>
      <c r="J566" s="2" t="n">
        <v>74</v>
      </c>
      <c r="K566" s="2" t="inlineStr">
        <is>
          <t>Body care products 90.4 87.0</t>
        </is>
      </c>
      <c r="L566" s="2" t="inlineStr">
        <is>
          <t>ok</t>
        </is>
      </c>
      <c r="M566" s="2" t="inlineStr">
        <is>
          <t>demo reviewer</t>
        </is>
      </c>
      <c r="N566" s="2" t="n"/>
      <c r="O566" s="3" t="inlineStr">
        <is>
          <t>https://vanillabonds.com/dossier-data/pdf/katjes/katjes-2024-annual-report.pdf#page=74</t>
        </is>
      </c>
    </row>
    <row r="567">
      <c r="A567" s="2" t="inlineStr">
        <is>
          <t>F566</t>
        </is>
      </c>
      <c r="B567" s="2" t="inlineStr">
        <is>
          <t>financials</t>
        </is>
      </c>
      <c r="C567" s="2" t="inlineStr">
        <is>
          <t>segment</t>
        </is>
      </c>
      <c r="D567" s="3" t="inlineStr">
        <is>
          <t>Segment: segment; revenue; ebitda; assets</t>
        </is>
      </c>
      <c r="E567" s="2" t="inlineStr">
        <is>
          <t>FY2024</t>
        </is>
      </c>
      <c r="F567" s="2" t="n">
        <v>57.8</v>
      </c>
      <c r="G567" s="2" t="n"/>
      <c r="H567" s="3" t="inlineStr">
        <is>
          <t>segment: Chocolate (business line); revenue: 57.8</t>
        </is>
      </c>
      <c r="I567" s="2" t="inlineStr">
        <is>
          <t>S2</t>
        </is>
      </c>
      <c r="J567" s="2" t="n">
        <v>74</v>
      </c>
      <c r="K567" s="2" t="inlineStr">
        <is>
          <t>Chocolate 57.8 59.4</t>
        </is>
      </c>
      <c r="L567" s="2" t="inlineStr">
        <is>
          <t>ok</t>
        </is>
      </c>
      <c r="M567" s="2" t="inlineStr">
        <is>
          <t>demo reviewer</t>
        </is>
      </c>
      <c r="N567" s="2" t="n"/>
      <c r="O567" s="3" t="inlineStr">
        <is>
          <t>https://vanillabonds.com/dossier-data/pdf/katjes/katjes-2024-annual-report.pdf#page=74</t>
        </is>
      </c>
    </row>
    <row r="568">
      <c r="A568" s="2" t="inlineStr">
        <is>
          <t>F567</t>
        </is>
      </c>
      <c r="B568" s="2" t="inlineStr">
        <is>
          <t>financials</t>
        </is>
      </c>
      <c r="C568" s="2" t="inlineStr">
        <is>
          <t>segment</t>
        </is>
      </c>
      <c r="D568" s="3" t="inlineStr">
        <is>
          <t>Segment: segment; revenue; ebitda; assets</t>
        </is>
      </c>
      <c r="E568" s="2" t="inlineStr">
        <is>
          <t>FY2024</t>
        </is>
      </c>
      <c r="F568" s="2" t="n">
        <v>54.7</v>
      </c>
      <c r="G568" s="2" t="n"/>
      <c r="H568" s="3" t="inlineStr">
        <is>
          <t>segment: Seasonals (business line); revenue: 54.7</t>
        </is>
      </c>
      <c r="I568" s="2" t="inlineStr">
        <is>
          <t>S2</t>
        </is>
      </c>
      <c r="J568" s="2" t="n">
        <v>74</v>
      </c>
      <c r="K568" s="2" t="inlineStr">
        <is>
          <t>Seasonals 54.7 46.7</t>
        </is>
      </c>
      <c r="L568" s="2" t="inlineStr">
        <is>
          <t>ok</t>
        </is>
      </c>
      <c r="M568" s="2" t="inlineStr">
        <is>
          <t>demo reviewer</t>
        </is>
      </c>
      <c r="N568" s="2" t="n"/>
      <c r="O568" s="3" t="inlineStr">
        <is>
          <t>https://vanillabonds.com/dossier-data/pdf/katjes/katjes-2024-annual-report.pdf#page=74</t>
        </is>
      </c>
    </row>
    <row r="569">
      <c r="A569" s="2" t="inlineStr">
        <is>
          <t>F568</t>
        </is>
      </c>
      <c r="B569" s="2" t="inlineStr">
        <is>
          <t>financials</t>
        </is>
      </c>
      <c r="C569" s="2" t="inlineStr">
        <is>
          <t>segment</t>
        </is>
      </c>
      <c r="D569" s="3" t="inlineStr">
        <is>
          <t>Segment: segment; revenue; ebitda; assets</t>
        </is>
      </c>
      <c r="E569" s="2" t="inlineStr">
        <is>
          <t>FY2024</t>
        </is>
      </c>
      <c r="F569" s="2" t="n">
        <v>29.7</v>
      </c>
      <c r="G569" s="2" t="n"/>
      <c r="H569" s="3" t="inlineStr">
        <is>
          <t>segment: Other (business line); revenue: 29.7</t>
        </is>
      </c>
      <c r="I569" s="2" t="inlineStr">
        <is>
          <t>S2</t>
        </is>
      </c>
      <c r="J569" s="2" t="n">
        <v>74</v>
      </c>
      <c r="K569" s="2" t="inlineStr">
        <is>
          <t>Other 29.7 28.1</t>
        </is>
      </c>
      <c r="L569" s="2" t="inlineStr">
        <is>
          <t>ok</t>
        </is>
      </c>
      <c r="M569" s="2" t="inlineStr">
        <is>
          <t>demo reviewer</t>
        </is>
      </c>
      <c r="N569" s="2" t="n"/>
      <c r="O569" s="3" t="inlineStr">
        <is>
          <t>https://vanillabonds.com/dossier-data/pdf/katjes/katjes-2024-annual-report.pdf#page=74</t>
        </is>
      </c>
    </row>
    <row r="570">
      <c r="A570" s="2" t="inlineStr">
        <is>
          <t>F569</t>
        </is>
      </c>
      <c r="B570" s="2" t="inlineStr">
        <is>
          <t>financials</t>
        </is>
      </c>
      <c r="C570" s="2" t="inlineStr">
        <is>
          <t>segment</t>
        </is>
      </c>
      <c r="D570" s="3" t="inlineStr">
        <is>
          <t>Segment: segment; revenue; ebitda; assets</t>
        </is>
      </c>
      <c r="E570" s="2" t="inlineStr">
        <is>
          <t>FY2024</t>
        </is>
      </c>
      <c r="F570" s="2" t="n">
        <v>122.8</v>
      </c>
      <c r="G570" s="2" t="n"/>
      <c r="H570" s="3" t="inlineStr">
        <is>
          <t>segment: Italy (region, revenue by customer location; CPK not included); revenue: 122.8</t>
        </is>
      </c>
      <c r="I570" s="2" t="inlineStr">
        <is>
          <t>S2</t>
        </is>
      </c>
      <c r="J570" s="2" t="n">
        <v>77</v>
      </c>
      <c r="K570" s="2" t="inlineStr">
        <is>
          <t>Italy 122.8 115.5</t>
        </is>
      </c>
      <c r="L570" s="2" t="inlineStr">
        <is>
          <t>ok</t>
        </is>
      </c>
      <c r="M570" s="2" t="inlineStr">
        <is>
          <t>demo reviewer</t>
        </is>
      </c>
      <c r="N570" s="2" t="n"/>
      <c r="O570" s="3" t="inlineStr">
        <is>
          <t>https://vanillabonds.com/dossier-data/pdf/katjes/katjes-2024-annual-report.pdf#page=77</t>
        </is>
      </c>
    </row>
    <row r="571">
      <c r="A571" s="2" t="inlineStr">
        <is>
          <t>F570</t>
        </is>
      </c>
      <c r="B571" s="2" t="inlineStr">
        <is>
          <t>financials</t>
        </is>
      </c>
      <c r="C571" s="2" t="inlineStr">
        <is>
          <t>segment</t>
        </is>
      </c>
      <c r="D571" s="3" t="inlineStr">
        <is>
          <t>Segment: segment; revenue; ebitda; assets</t>
        </is>
      </c>
      <c r="E571" s="2" t="inlineStr">
        <is>
          <t>FY2024</t>
        </is>
      </c>
      <c r="F571" s="2" t="n">
        <v>106.8</v>
      </c>
      <c r="G571" s="2" t="n"/>
      <c r="H571" s="3" t="inlineStr">
        <is>
          <t>segment: Germany (region, revenue by customer location; CPK not included); revenue: 106.8</t>
        </is>
      </c>
      <c r="I571" s="2" t="inlineStr">
        <is>
          <t>S2</t>
        </is>
      </c>
      <c r="J571" s="2" t="n">
        <v>77</v>
      </c>
      <c r="K571" s="2" t="inlineStr">
        <is>
          <t>Germany 106.8 104.4</t>
        </is>
      </c>
      <c r="L571" s="2" t="inlineStr">
        <is>
          <t>ok</t>
        </is>
      </c>
      <c r="M571" s="2" t="inlineStr">
        <is>
          <t>demo reviewer</t>
        </is>
      </c>
      <c r="N571" s="2" t="n"/>
      <c r="O571" s="3" t="inlineStr">
        <is>
          <t>https://vanillabonds.com/dossier-data/pdf/katjes/katjes-2024-annual-report.pdf#page=77</t>
        </is>
      </c>
    </row>
    <row r="572">
      <c r="A572" s="2" t="inlineStr">
        <is>
          <t>F571</t>
        </is>
      </c>
      <c r="B572" s="2" t="inlineStr">
        <is>
          <t>financials</t>
        </is>
      </c>
      <c r="C572" s="2" t="inlineStr">
        <is>
          <t>segment</t>
        </is>
      </c>
      <c r="D572" s="3" t="inlineStr">
        <is>
          <t>Segment: segment; revenue; ebitda; assets</t>
        </is>
      </c>
      <c r="E572" s="2" t="inlineStr">
        <is>
          <t>FY2024</t>
        </is>
      </c>
      <c r="F572" s="2" t="n">
        <v>18.7</v>
      </c>
      <c r="G572" s="2" t="n"/>
      <c r="H572" s="3" t="inlineStr">
        <is>
          <t>segment: UK (region, revenue by customer location; CPK not included); revenue: 18.7</t>
        </is>
      </c>
      <c r="I572" s="2" t="inlineStr">
        <is>
          <t>S2</t>
        </is>
      </c>
      <c r="J572" s="2" t="n">
        <v>77</v>
      </c>
      <c r="K572" s="2" t="inlineStr">
        <is>
          <t>UK 18.7 15.1</t>
        </is>
      </c>
      <c r="L572" s="2" t="inlineStr">
        <is>
          <t>ok</t>
        </is>
      </c>
      <c r="M572" s="2" t="inlineStr">
        <is>
          <t>demo reviewer</t>
        </is>
      </c>
      <c r="N572" s="2" t="n"/>
      <c r="O572" s="3" t="inlineStr">
        <is>
          <t>https://vanillabonds.com/dossier-data/pdf/katjes/katjes-2024-annual-report.pdf#page=77</t>
        </is>
      </c>
    </row>
    <row r="573">
      <c r="A573" s="2" t="inlineStr">
        <is>
          <t>F572</t>
        </is>
      </c>
      <c r="B573" s="2" t="inlineStr">
        <is>
          <t>financials</t>
        </is>
      </c>
      <c r="C573" s="2" t="inlineStr">
        <is>
          <t>segment</t>
        </is>
      </c>
      <c r="D573" s="3" t="inlineStr">
        <is>
          <t>Segment: segment; revenue; ebitda; assets</t>
        </is>
      </c>
      <c r="E573" s="2" t="inlineStr">
        <is>
          <t>FY2024</t>
        </is>
      </c>
      <c r="F573" s="2" t="n">
        <v>16.1</v>
      </c>
      <c r="G573" s="2" t="n"/>
      <c r="H573" s="3" t="inlineStr">
        <is>
          <t>segment: Netherlands (region, revenue by customer location; CPK not included); revenue: 16.1</t>
        </is>
      </c>
      <c r="I573" s="2" t="inlineStr">
        <is>
          <t>S2</t>
        </is>
      </c>
      <c r="J573" s="2" t="n">
        <v>77</v>
      </c>
      <c r="K573" s="2" t="inlineStr">
        <is>
          <t>Netherlands 16.1 16.5</t>
        </is>
      </c>
      <c r="L573" s="2" t="inlineStr">
        <is>
          <t>ok</t>
        </is>
      </c>
      <c r="M573" s="2" t="inlineStr">
        <is>
          <t>demo reviewer</t>
        </is>
      </c>
      <c r="N573" s="2" t="n"/>
      <c r="O573" s="3" t="inlineStr">
        <is>
          <t>https://vanillabonds.com/dossier-data/pdf/katjes/katjes-2024-annual-report.pdf#page=77</t>
        </is>
      </c>
    </row>
    <row r="574">
      <c r="A574" s="2" t="inlineStr">
        <is>
          <t>F573</t>
        </is>
      </c>
      <c r="B574" s="2" t="inlineStr">
        <is>
          <t>financials</t>
        </is>
      </c>
      <c r="C574" s="2" t="inlineStr">
        <is>
          <t>segment</t>
        </is>
      </c>
      <c r="D574" s="3" t="inlineStr">
        <is>
          <t>Segment: segment; revenue; ebitda; assets</t>
        </is>
      </c>
      <c r="E574" s="2" t="inlineStr">
        <is>
          <t>FY2024</t>
        </is>
      </c>
      <c r="F574" s="2" t="n">
        <v>107.4</v>
      </c>
      <c r="G574" s="2" t="n"/>
      <c r="H574" s="3" t="inlineStr">
        <is>
          <t>segment: Other EU countries + Switzerland (region, revenue by customer location; CPK not included); revenue: 107.4</t>
        </is>
      </c>
      <c r="I574" s="2" t="inlineStr">
        <is>
          <t>S2</t>
        </is>
      </c>
      <c r="J574" s="2" t="n">
        <v>77</v>
      </c>
      <c r="K574" s="3" t="inlineStr">
        <is>
          <t>Other EU countries + Switzerland 107.4 107.8</t>
        </is>
      </c>
      <c r="L574" s="2" t="inlineStr">
        <is>
          <t>ok</t>
        </is>
      </c>
      <c r="M574" s="2" t="inlineStr">
        <is>
          <t>demo reviewer</t>
        </is>
      </c>
      <c r="N574" s="2" t="n"/>
      <c r="O574" s="3" t="inlineStr">
        <is>
          <t>https://vanillabonds.com/dossier-data/pdf/katjes/katjes-2024-annual-report.pdf#page=77</t>
        </is>
      </c>
    </row>
    <row r="575">
      <c r="A575" s="2" t="inlineStr">
        <is>
          <t>F574</t>
        </is>
      </c>
      <c r="B575" s="2" t="inlineStr">
        <is>
          <t>financials</t>
        </is>
      </c>
      <c r="C575" s="2" t="inlineStr">
        <is>
          <t>segment</t>
        </is>
      </c>
      <c r="D575" s="3" t="inlineStr">
        <is>
          <t>Segment: segment; revenue; ebitda; assets</t>
        </is>
      </c>
      <c r="E575" s="2" t="inlineStr">
        <is>
          <t>FY2024</t>
        </is>
      </c>
      <c r="F575" s="2" t="n">
        <v>20.8</v>
      </c>
      <c r="G575" s="2" t="n"/>
      <c r="H575" s="3" t="inlineStr">
        <is>
          <t>segment: Non-EU countries (region, revenue by customer location; CPK not included); revenue: 20.8</t>
        </is>
      </c>
      <c r="I575" s="2" t="inlineStr">
        <is>
          <t>S2</t>
        </is>
      </c>
      <c r="J575" s="2" t="n">
        <v>77</v>
      </c>
      <c r="K575" s="2" t="inlineStr">
        <is>
          <t>Non-EU countries 20.8 18.1</t>
        </is>
      </c>
      <c r="L575" s="2" t="inlineStr">
        <is>
          <t>ok</t>
        </is>
      </c>
      <c r="M575" s="2" t="inlineStr">
        <is>
          <t>demo reviewer</t>
        </is>
      </c>
      <c r="N575" s="2" t="n"/>
      <c r="O575" s="3" t="inlineStr">
        <is>
          <t>https://vanillabonds.com/dossier-data/pdf/katjes/katjes-2024-annual-report.pdf#page=77</t>
        </is>
      </c>
    </row>
    <row r="576">
      <c r="A576" s="2" t="inlineStr">
        <is>
          <t>F575</t>
        </is>
      </c>
      <c r="B576" s="2" t="inlineStr">
        <is>
          <t>financials</t>
        </is>
      </c>
      <c r="C576" s="2" t="inlineStr">
        <is>
          <t>segment</t>
        </is>
      </c>
      <c r="D576" s="3" t="inlineStr">
        <is>
          <t>Segment: segment; revenue; ebitda; assets</t>
        </is>
      </c>
      <c r="E576" s="2" t="inlineStr">
        <is>
          <t>FY2024</t>
        </is>
      </c>
      <c r="F576" s="2" t="n">
        <v>141.4</v>
      </c>
      <c r="G576" s="2" t="n"/>
      <c r="H576" s="3" t="inlineStr">
        <is>
          <t>segment: Germany (region, non-current assets); assets: 141.4</t>
        </is>
      </c>
      <c r="I576" s="2" t="inlineStr">
        <is>
          <t>S2</t>
        </is>
      </c>
      <c r="J576" s="2" t="n">
        <v>78</v>
      </c>
      <c r="K576" s="2" t="inlineStr">
        <is>
          <t>Germany 141.4 132.4</t>
        </is>
      </c>
      <c r="L576" s="2" t="inlineStr">
        <is>
          <t>ok</t>
        </is>
      </c>
      <c r="M576" s="2" t="inlineStr">
        <is>
          <t>demo reviewer</t>
        </is>
      </c>
      <c r="N576" s="2" t="n"/>
      <c r="O576" s="3" t="inlineStr">
        <is>
          <t>https://vanillabonds.com/dossier-data/pdf/katjes/katjes-2024-annual-report.pdf#page=78</t>
        </is>
      </c>
    </row>
    <row r="577">
      <c r="A577" s="2" t="inlineStr">
        <is>
          <t>F576</t>
        </is>
      </c>
      <c r="B577" s="2" t="inlineStr">
        <is>
          <t>financials</t>
        </is>
      </c>
      <c r="C577" s="2" t="inlineStr">
        <is>
          <t>segment</t>
        </is>
      </c>
      <c r="D577" s="3" t="inlineStr">
        <is>
          <t>Segment: segment; revenue; ebitda; assets</t>
        </is>
      </c>
      <c r="E577" s="2" t="inlineStr">
        <is>
          <t>FY2024</t>
        </is>
      </c>
      <c r="F577" s="2" t="n">
        <v>95.59999999999999</v>
      </c>
      <c r="G577" s="2" t="n"/>
      <c r="H577" s="3" t="inlineStr">
        <is>
          <t>segment: Italy (region, non-current assets); assets: 95.6</t>
        </is>
      </c>
      <c r="I577" s="2" t="inlineStr">
        <is>
          <t>S2</t>
        </is>
      </c>
      <c r="J577" s="2" t="n">
        <v>78</v>
      </c>
      <c r="K577" s="2" t="inlineStr">
        <is>
          <t>Italy 95.6 94.9</t>
        </is>
      </c>
      <c r="L577" s="2" t="inlineStr">
        <is>
          <t>ok</t>
        </is>
      </c>
      <c r="M577" s="2" t="inlineStr">
        <is>
          <t>demo reviewer</t>
        </is>
      </c>
      <c r="N577" s="2" t="n"/>
      <c r="O577" s="3" t="inlineStr">
        <is>
          <t>https://vanillabonds.com/dossier-data/pdf/katjes/katjes-2024-annual-report.pdf#page=78</t>
        </is>
      </c>
    </row>
    <row r="578">
      <c r="A578" s="2" t="inlineStr">
        <is>
          <t>F577</t>
        </is>
      </c>
      <c r="B578" s="2" t="inlineStr">
        <is>
          <t>financials</t>
        </is>
      </c>
      <c r="C578" s="2" t="inlineStr">
        <is>
          <t>segment</t>
        </is>
      </c>
      <c r="D578" s="3" t="inlineStr">
        <is>
          <t>Segment: segment; revenue; ebitda; assets</t>
        </is>
      </c>
      <c r="E578" s="2" t="inlineStr">
        <is>
          <t>FY2024</t>
        </is>
      </c>
      <c r="F578" s="2" t="n">
        <v>72.3</v>
      </c>
      <c r="G578" s="2" t="n"/>
      <c r="H578" s="3" t="inlineStr">
        <is>
          <t>segment: Netherlands (region, non-current assets (includes the EUR 65.0m at-equity investment in CPK)); assets: 72.3</t>
        </is>
      </c>
      <c r="I578" s="2" t="inlineStr">
        <is>
          <t>S2</t>
        </is>
      </c>
      <c r="J578" s="2" t="n">
        <v>78</v>
      </c>
      <c r="K578" s="2" t="inlineStr">
        <is>
          <t>Netherlands 72.3 71.1</t>
        </is>
      </c>
      <c r="L578" s="2" t="inlineStr">
        <is>
          <t>ok</t>
        </is>
      </c>
      <c r="M578" s="2" t="inlineStr">
        <is>
          <t>demo reviewer</t>
        </is>
      </c>
      <c r="N578" s="2" t="n"/>
      <c r="O578" s="3" t="inlineStr">
        <is>
          <t>https://vanillabonds.com/dossier-data/pdf/katjes/katjes-2024-annual-report.pdf#page=78</t>
        </is>
      </c>
    </row>
    <row r="579">
      <c r="A579" s="2" t="inlineStr">
        <is>
          <t>F578</t>
        </is>
      </c>
      <c r="B579" s="2" t="inlineStr">
        <is>
          <t>financials</t>
        </is>
      </c>
      <c r="C579" s="2" t="inlineStr">
        <is>
          <t>segment</t>
        </is>
      </c>
      <c r="D579" s="3" t="inlineStr">
        <is>
          <t>Segment: segment; revenue; ebitda; assets</t>
        </is>
      </c>
      <c r="E579" s="2" t="inlineStr">
        <is>
          <t>FY2024</t>
        </is>
      </c>
      <c r="F579" s="2" t="n">
        <v>11.4</v>
      </c>
      <c r="G579" s="2" t="n"/>
      <c r="H579" s="3" t="inlineStr">
        <is>
          <t>segment: UK (region, non-current assets); assets: 11.4</t>
        </is>
      </c>
      <c r="I579" s="2" t="inlineStr">
        <is>
          <t>S2</t>
        </is>
      </c>
      <c r="J579" s="2" t="n">
        <v>78</v>
      </c>
      <c r="K579" s="2" t="inlineStr">
        <is>
          <t>UK 11.4 10.3</t>
        </is>
      </c>
      <c r="L579" s="2" t="inlineStr">
        <is>
          <t>ok</t>
        </is>
      </c>
      <c r="M579" s="2" t="inlineStr">
        <is>
          <t>demo reviewer</t>
        </is>
      </c>
      <c r="N579" s="2" t="n"/>
      <c r="O579" s="3" t="inlineStr">
        <is>
          <t>https://vanillabonds.com/dossier-data/pdf/katjes/katjes-2024-annual-report.pdf#page=78</t>
        </is>
      </c>
    </row>
    <row r="580">
      <c r="A580" s="2" t="inlineStr">
        <is>
          <t>F579</t>
        </is>
      </c>
      <c r="B580" s="2" t="inlineStr">
        <is>
          <t>financials</t>
        </is>
      </c>
      <c r="C580" s="2" t="inlineStr">
        <is>
          <t>tax_paid</t>
        </is>
      </c>
      <c r="D580" s="2" t="inlineStr">
        <is>
          <t>Income taxes paid (cash flow statement)</t>
        </is>
      </c>
      <c r="E580" s="2" t="inlineStr">
        <is>
          <t>FY2023</t>
        </is>
      </c>
      <c r="F580" s="2" t="n">
        <v>2.5</v>
      </c>
      <c r="G580" s="2" t="inlineStr">
        <is>
          <t>EUR m</t>
        </is>
      </c>
      <c r="H580" s="3" t="inlineStr">
        <is>
          <t>Income taxes paid per cash flow statement 2023.</t>
        </is>
      </c>
      <c r="I580" s="2" t="inlineStr">
        <is>
          <t>S2</t>
        </is>
      </c>
      <c r="J580" s="2" t="n">
        <v>45</v>
      </c>
      <c r="K580" s="2" t="inlineStr">
        <is>
          <t>Income taxes paid -2.5 -2.5</t>
        </is>
      </c>
      <c r="L580" s="2" t="inlineStr">
        <is>
          <t>ok</t>
        </is>
      </c>
      <c r="M580" s="2" t="inlineStr">
        <is>
          <t>demo reviewer</t>
        </is>
      </c>
      <c r="N580" s="2" t="n"/>
      <c r="O580" s="3" t="inlineStr">
        <is>
          <t>https://vanillabonds.com/dossier-data/pdf/katjes/katjes-2024-annual-report.pdf#page=45</t>
        </is>
      </c>
    </row>
    <row r="581">
      <c r="A581" s="2" t="inlineStr">
        <is>
          <t>F580</t>
        </is>
      </c>
      <c r="B581" s="2" t="inlineStr">
        <is>
          <t>financials</t>
        </is>
      </c>
      <c r="C581" s="2" t="inlineStr">
        <is>
          <t>tax_paid</t>
        </is>
      </c>
      <c r="D581" s="2" t="inlineStr">
        <is>
          <t>Income taxes paid (cash flow statement)</t>
        </is>
      </c>
      <c r="E581" s="2" t="inlineStr">
        <is>
          <t>FY2024</t>
        </is>
      </c>
      <c r="F581" s="2" t="n">
        <v>2.5</v>
      </c>
      <c r="G581" s="2" t="inlineStr">
        <is>
          <t>EUR m</t>
        </is>
      </c>
      <c r="H581" s="3" t="inlineStr">
        <is>
          <t>Income taxes paid per cash flow statement 2024.</t>
        </is>
      </c>
      <c r="I581" s="2" t="inlineStr">
        <is>
          <t>S2</t>
        </is>
      </c>
      <c r="J581" s="2" t="n">
        <v>45</v>
      </c>
      <c r="K581" s="2" t="inlineStr">
        <is>
          <t>Income taxes paid -2.5 -2.5</t>
        </is>
      </c>
      <c r="L581" s="2" t="inlineStr">
        <is>
          <t>ok</t>
        </is>
      </c>
      <c r="M581" s="2" t="inlineStr">
        <is>
          <t>demo reviewer</t>
        </is>
      </c>
      <c r="N581" s="2" t="n"/>
      <c r="O581" s="3" t="inlineStr">
        <is>
          <t>https://vanillabonds.com/dossier-data/pdf/katjes/katjes-2024-annual-report.pdf#page=45</t>
        </is>
      </c>
    </row>
    <row r="582">
      <c r="A582" s="2" t="inlineStr">
        <is>
          <t>F581</t>
        </is>
      </c>
      <c r="B582" s="2" t="inlineStr">
        <is>
          <t>debt</t>
        </is>
      </c>
      <c r="C582" s="2" t="inlineStr">
        <is>
          <t>hedge</t>
        </is>
      </c>
      <c r="D582" s="3" t="inlineStr">
        <is>
          <t>Hedge: instrument; counterparty; notional; maturity; hedged item (rate, FX)</t>
        </is>
      </c>
      <c r="E582" s="2" t="n"/>
      <c r="F582" s="2" t="n">
        <v>3.7</v>
      </c>
      <c r="G582" s="2" t="n"/>
      <c r="H582" s="3" t="inlineStr">
        <is>
          <t>instrument: interest rate swap (one at 31 Dec 2024; three at 31 Dec 2023); notional: 3.7 (2023: 6.0); hedged item: rate (rising variable interest); fair value change EUR 0.0m</t>
        </is>
      </c>
      <c r="I582" s="2" t="inlineStr">
        <is>
          <t>S2</t>
        </is>
      </c>
      <c r="J582" s="2" t="n">
        <v>65</v>
      </c>
      <c r="K582" s="3" t="inlineStr">
        <is>
          <t>As at 31 December 2024, the Group held one interest rate swap (31 December 2023: three interest rate swaps) with a notional principal amount of EUR 3.7 million (2023: EUR 6.0 million,</t>
        </is>
      </c>
      <c r="L582" s="2" t="inlineStr">
        <is>
          <t>ok</t>
        </is>
      </c>
      <c r="M582" s="2" t="inlineStr">
        <is>
          <t>demo reviewer</t>
        </is>
      </c>
      <c r="N582" s="2" t="n"/>
      <c r="O582" s="3" t="inlineStr">
        <is>
          <t>https://vanillabonds.com/dossier-data/pdf/katjes/katjes-2024-annual-report.pdf#page=65</t>
        </is>
      </c>
    </row>
    <row r="583">
      <c r="A583" s="2" t="inlineStr">
        <is>
          <t>F582</t>
        </is>
      </c>
      <c r="B583" s="2" t="inlineStr">
        <is>
          <t>debt</t>
        </is>
      </c>
      <c r="C583" s="2" t="inlineStr">
        <is>
          <t>rate_type</t>
        </is>
      </c>
      <c r="D583" s="3" t="inlineStr">
        <is>
          <t>Rate structure of the debt: floating_share (0-1); base rate; fixed_share; fx mismatch revenue vs cost</t>
        </is>
      </c>
      <c r="E583" s="2" t="n"/>
      <c r="F583" s="2" t="n"/>
      <c r="G583" s="2" t="n"/>
      <c r="H583" s="3" t="inlineStr">
        <is>
          <t>base rate: 3-month and 2-month EURIBOR (factoring agreements); fixed_share: bond EUR 115m at 6.75% and listed bank loans at fixed rates, other loans variable and fixed, shares not quantified; fx mismatch revenue vs cost: vast majority of transactions in euro, no FX hedges at 31 Dec 2024</t>
        </is>
      </c>
      <c r="I583" s="2" t="inlineStr">
        <is>
          <t>S2</t>
        </is>
      </c>
      <c r="J583" s="2" t="n">
        <v>57</v>
      </c>
      <c r="K583" s="3" t="inlineStr">
        <is>
          <t>The Group is also exposed to interest rate risk arising from fac- toring. This risk is linked to the development of the 3-month and 2-month EURIBOR</t>
        </is>
      </c>
      <c r="L583" s="2" t="inlineStr">
        <is>
          <t>ok</t>
        </is>
      </c>
      <c r="M583" s="2" t="inlineStr">
        <is>
          <t>demo reviewer</t>
        </is>
      </c>
      <c r="N583" s="2" t="n"/>
      <c r="O583" s="3" t="inlineStr">
        <is>
          <t>https://vanillabonds.com/dossier-data/pdf/katjes/katjes-2024-annual-report.pdf#page=57</t>
        </is>
      </c>
    </row>
    <row r="584">
      <c r="A584" s="2" t="inlineStr">
        <is>
          <t>F583</t>
        </is>
      </c>
      <c r="B584" s="2" t="inlineStr">
        <is>
          <t>debt</t>
        </is>
      </c>
      <c r="C584" s="2" t="inlineStr">
        <is>
          <t>rollover_event</t>
        </is>
      </c>
      <c r="D584" s="3" t="inlineStr">
        <is>
          <t>Past maturity: instrument; amount; due; outcome (repaid, refinanced, extended, waived)</t>
        </is>
      </c>
      <c r="E584" s="2" t="n"/>
      <c r="F584" s="2" t="n">
        <v>6.4</v>
      </c>
      <c r="G584" s="2" t="n"/>
      <c r="H584" s="3" t="inlineStr">
        <is>
          <t>instrument: purchase-price liability for the Oral Care production site in Viersen, recognised as financial liability at 31 Dec 2023; amount: 6.4; due: 2024; outcome: repaid in 2024</t>
        </is>
      </c>
      <c r="I584" s="2" t="inlineStr">
        <is>
          <t>S2</t>
        </is>
      </c>
      <c r="J584" s="2" t="n">
        <v>60</v>
      </c>
      <c r="K584" s="3" t="inlineStr">
        <is>
          <t>In the previous year, this also included a liability of EUR 6.4 million re- lated to the acquisition of the Oral Care production site.</t>
        </is>
      </c>
      <c r="L584" s="2" t="inlineStr">
        <is>
          <t>ok</t>
        </is>
      </c>
      <c r="M584" s="2" t="inlineStr">
        <is>
          <t>demo reviewer</t>
        </is>
      </c>
      <c r="N584" s="2" t="n"/>
      <c r="O584" s="3" t="inlineStr">
        <is>
          <t>https://vanillabonds.com/dossier-data/pdf/katjes/katjes-2024-annual-report.pdf#page=60</t>
        </is>
      </c>
    </row>
    <row r="585">
      <c r="A585" s="2" t="inlineStr">
        <is>
          <t>F584</t>
        </is>
      </c>
      <c r="B585" s="2" t="inlineStr">
        <is>
          <t>debt</t>
        </is>
      </c>
      <c r="C585" s="2" t="inlineStr">
        <is>
          <t>rollover_event</t>
        </is>
      </c>
      <c r="D585" s="3" t="inlineStr">
        <is>
          <t>Past maturity: instrument; amount; due; outcome (repaid, refinanced, extended, waived)</t>
        </is>
      </c>
      <c r="E585" s="2" t="n"/>
      <c r="F585" s="2" t="n">
        <v>110</v>
      </c>
      <c r="G585" s="2" t="n"/>
      <c r="H585" s="3" t="inlineStr">
        <is>
          <t>instrument: 2019/2024 corporate bond; amount: 110.0; due: 2024; outcome: refinanced early in September 2023 at 100.5% by the new 2023/2028 bond of EUR 115m at 6.75%</t>
        </is>
      </c>
      <c r="I585" s="2" t="inlineStr">
        <is>
          <t>S2</t>
        </is>
      </c>
      <c r="J585" s="2" t="n">
        <v>68</v>
      </c>
      <c r="K585" s="3" t="inlineStr">
        <is>
          <t>vious year, 2023, at 100.5%. To redeem the bond, a new 2023/2028 bond bearing interest at 6.75% was issued in Sep- tember 2023.</t>
        </is>
      </c>
      <c r="L585" s="2" t="inlineStr">
        <is>
          <t>ok</t>
        </is>
      </c>
      <c r="M585" s="2" t="inlineStr">
        <is>
          <t>demo reviewer</t>
        </is>
      </c>
      <c r="N585" s="2" t="n"/>
      <c r="O585" s="3" t="inlineStr">
        <is>
          <t>https://vanillabonds.com/dossier-data/pdf/katjes/katjes-2024-annual-report.pdf#page=68</t>
        </is>
      </c>
    </row>
    <row r="586">
      <c r="A586" s="2" t="inlineStr">
        <is>
          <t>F585</t>
        </is>
      </c>
      <c r="B586" s="2" t="inlineStr">
        <is>
          <t>debt</t>
        </is>
      </c>
      <c r="C586" s="2" t="inlineStr">
        <is>
          <t>rollover_event</t>
        </is>
      </c>
      <c r="D586" s="3" t="inlineStr">
        <is>
          <t>Past maturity: instrument; amount; due; outcome (repaid, refinanced, extended, waived)</t>
        </is>
      </c>
      <c r="E586" s="2" t="n"/>
      <c r="F586" s="2" t="n">
        <v>5</v>
      </c>
      <c r="G586" s="2" t="n"/>
      <c r="H586" s="3" t="inlineStr">
        <is>
          <t>instrument: 2020 liquidity-support bank loan, largely secured by a government guarantee (not from a promotional bank); amount: 5.0; outcome: repaid, EUR 0.0m at 31 Dec 2024</t>
        </is>
      </c>
      <c r="I586" s="2" t="inlineStr">
        <is>
          <t>S2</t>
        </is>
      </c>
      <c r="J586" s="2" t="n">
        <v>68</v>
      </c>
      <c r="K586" s="3" t="inlineStr">
        <is>
          <t>Included in the liabilities to banks was a loan granted in 2020 as part of liquidity support measures (total amount: EUR 5.0 million; as of 31 December 2024: EUR 0.0 million).</t>
        </is>
      </c>
      <c r="L586" s="2" t="inlineStr">
        <is>
          <t>ok</t>
        </is>
      </c>
      <c r="M586" s="2" t="inlineStr">
        <is>
          <t>demo reviewer</t>
        </is>
      </c>
      <c r="N586" s="2" t="n"/>
      <c r="O586" s="3" t="inlineStr">
        <is>
          <t>https://vanillabonds.com/dossier-data/pdf/katjes/katjes-2024-annual-report.pdf#page=68</t>
        </is>
      </c>
    </row>
    <row r="587">
      <c r="A587" s="2" t="inlineStr">
        <is>
          <t>F586</t>
        </is>
      </c>
      <c r="B587" s="2" t="inlineStr">
        <is>
          <t>management</t>
        </is>
      </c>
      <c r="C587" s="2" t="inlineStr">
        <is>
          <t>strategy_statement</t>
        </is>
      </c>
      <c r="D587" s="3" t="inlineStr">
        <is>
          <t>Stated strategy: year; statement; what happened; source</t>
        </is>
      </c>
      <c r="E587" s="2" t="n"/>
      <c r="F587" s="2" t="n"/>
      <c r="G587" s="2" t="n"/>
      <c r="H587" s="3" t="inlineStr">
        <is>
          <t>year: 2024; statement: carve-out investor acquiring business units that large corporations no longer consider strategically relevant; what happened: Bübchen 2020, oral care 2022, N.A.E. 2023, Barnängen 2024; source: management report 1.2</t>
        </is>
      </c>
      <c r="I587" s="2" t="inlineStr">
        <is>
          <t>S2</t>
        </is>
      </c>
      <c r="J587" s="2" t="n">
        <v>23</v>
      </c>
      <c r="K587" s="3" t="inlineStr">
        <is>
          <t>Katjes International also sees itself as a carve-out investor, acquiring business units from large</t>
        </is>
      </c>
      <c r="L587" s="2" t="inlineStr">
        <is>
          <t>ok</t>
        </is>
      </c>
      <c r="M587" s="2" t="inlineStr">
        <is>
          <t>demo reviewer</t>
        </is>
      </c>
      <c r="N587" s="2" t="n"/>
      <c r="O587" s="3" t="inlineStr">
        <is>
          <t>https://vanillabonds.com/dossier-data/pdf/katjes/katjes-2024-annual-report.pdf#page=23</t>
        </is>
      </c>
    </row>
    <row r="588">
      <c r="A588" s="2" t="inlineStr">
        <is>
          <t>F587</t>
        </is>
      </c>
      <c r="B588" s="2" t="inlineStr">
        <is>
          <t>management</t>
        </is>
      </c>
      <c r="C588" s="2" t="inlineStr">
        <is>
          <t>strategy_statement</t>
        </is>
      </c>
      <c r="D588" s="3" t="inlineStr">
        <is>
          <t>Stated strategy: year; statement; what happened; source</t>
        </is>
      </c>
      <c r="E588" s="2" t="n"/>
      <c r="F588" s="2" t="n"/>
      <c r="G588" s="2" t="n"/>
      <c r="H588" s="3" t="inlineStr">
        <is>
          <t>year: 2024; statement: portfolio companies stay legally and organisationally independent with local management after acquisition; source: management report 1.2</t>
        </is>
      </c>
      <c r="I588" s="2" t="inlineStr">
        <is>
          <t>S2</t>
        </is>
      </c>
      <c r="J588" s="2" t="n">
        <v>23</v>
      </c>
      <c r="K588" s="3" t="inlineStr">
        <is>
          <t>Following an acquisition, the port- folio companies remain legally and organizationally indepen- dent and retain their local management.</t>
        </is>
      </c>
      <c r="L588" s="2" t="inlineStr">
        <is>
          <t>ok</t>
        </is>
      </c>
      <c r="M588" s="2" t="inlineStr">
        <is>
          <t>demo reviewer</t>
        </is>
      </c>
      <c r="N588" s="2" t="n"/>
      <c r="O588" s="3" t="inlineStr">
        <is>
          <t>https://vanillabonds.com/dossier-data/pdf/katjes/katjes-2024-annual-report.pdf#page=23</t>
        </is>
      </c>
    </row>
    <row r="589">
      <c r="A589" s="2" t="inlineStr">
        <is>
          <t>F588</t>
        </is>
      </c>
      <c r="B589" s="2" t="inlineStr">
        <is>
          <t>management</t>
        </is>
      </c>
      <c r="C589" s="2" t="inlineStr">
        <is>
          <t>strategy_statement</t>
        </is>
      </c>
      <c r="D589" s="3" t="inlineStr">
        <is>
          <t>Stated strategy: year; statement; what happened; source</t>
        </is>
      </c>
      <c r="E589" s="2" t="n"/>
      <c r="F589" s="2" t="n"/>
      <c r="G589" s="2" t="n"/>
      <c r="H589" s="3" t="inlineStr">
        <is>
          <t>year: 2025; statement: continue the proven strategy of organic growth of subsidiaries, further investments with a focus on 'strong brands' with a European focus, more Group synergies and an active role in market consolidation; source: forecast report</t>
        </is>
      </c>
      <c r="I589" s="2" t="inlineStr">
        <is>
          <t>S2</t>
        </is>
      </c>
      <c r="J589" s="2" t="n">
        <v>38</v>
      </c>
      <c r="K589" s="3" t="inlineStr">
        <is>
          <t>Katjes International will continue to pursue its proven strategy in 2025. This includes promoting the organic growth of its subsidiaries, pursuing further investments with a focus on strong brands</t>
        </is>
      </c>
      <c r="L589" s="2" t="inlineStr">
        <is>
          <t>ok</t>
        </is>
      </c>
      <c r="M589" s="2" t="inlineStr">
        <is>
          <t>demo reviewer</t>
        </is>
      </c>
      <c r="N589" s="3" t="inlineStr">
        <is>
          <t>text: company wording put in quotation marks (reviewer, 20 Oct 2026)</t>
        </is>
      </c>
      <c r="O589" s="3" t="inlineStr">
        <is>
          <t>https://vanillabonds.com/dossier-data/pdf/katjes/katjes-2024-annual-report.pdf#page=38</t>
        </is>
      </c>
    </row>
    <row r="590">
      <c r="A590" s="2" t="inlineStr">
        <is>
          <t>F589</t>
        </is>
      </c>
      <c r="B590" s="2" t="inlineStr">
        <is>
          <t>management</t>
        </is>
      </c>
      <c r="C590" s="2" t="inlineStr">
        <is>
          <t>risk_policy</t>
        </is>
      </c>
      <c r="D590" s="3" t="inlineStr">
        <is>
          <t>Financial policy, stated and revealed: item (leverage target, dividend, hedging, cash held, acquisition funding); stated; realised; year</t>
        </is>
      </c>
      <c r="E590" s="2" t="n"/>
      <c r="F590" s="2" t="n"/>
      <c r="G590" s="2" t="n"/>
      <c r="H590" s="3" t="inlineStr">
        <is>
          <t>item: acquisition funding; stated: corporate bonds are the preferred instrument to finance acquisitions; realised: EUR 115m 6.75% bond placed September 2023; year: 2024</t>
        </is>
      </c>
      <c r="I590" s="2" t="inlineStr">
        <is>
          <t>S2</t>
        </is>
      </c>
      <c r="J590" s="2" t="n">
        <v>30</v>
      </c>
      <c r="K590" s="3" t="inlineStr">
        <is>
          <t>Katjes International generally uses corporate bonds as its pre- ferred instrument to finance acquisitions.</t>
        </is>
      </c>
      <c r="L590" s="2" t="inlineStr">
        <is>
          <t>ok</t>
        </is>
      </c>
      <c r="M590" s="2" t="inlineStr">
        <is>
          <t>demo reviewer</t>
        </is>
      </c>
      <c r="N590" s="2" t="n"/>
      <c r="O590" s="3" t="inlineStr">
        <is>
          <t>https://vanillabonds.com/dossier-data/pdf/katjes/katjes-2024-annual-report.pdf#page=30</t>
        </is>
      </c>
    </row>
    <row r="591">
      <c r="A591" s="2" t="inlineStr">
        <is>
          <t>F590</t>
        </is>
      </c>
      <c r="B591" s="2" t="inlineStr">
        <is>
          <t>management</t>
        </is>
      </c>
      <c r="C591" s="2" t="inlineStr">
        <is>
          <t>risk_policy</t>
        </is>
      </c>
      <c r="D591" s="3" t="inlineStr">
        <is>
          <t>Financial policy, stated and revealed: item (leverage target, dividend, hedging, cash held, acquisition funding); stated; realised; year</t>
        </is>
      </c>
      <c r="E591" s="2" t="n"/>
      <c r="F591" s="2" t="n"/>
      <c r="G591" s="2" t="n"/>
      <c r="H591" s="3" t="inlineStr">
        <is>
          <t>item: cash held / operating funding; stated: ongoing operations financed through internal financing, factoring, bank loans and available credit lines; year: 2024</t>
        </is>
      </c>
      <c r="I591" s="2" t="inlineStr">
        <is>
          <t>S2</t>
        </is>
      </c>
      <c r="J591" s="2" t="n">
        <v>30</v>
      </c>
      <c r="K591" s="3" t="inlineStr">
        <is>
          <t>The Company primarily finances its ongoing operations through internal financing, factoring, bank loans, and available credit lines.</t>
        </is>
      </c>
      <c r="L591" s="2" t="inlineStr">
        <is>
          <t>ok</t>
        </is>
      </c>
      <c r="M591" s="2" t="inlineStr">
        <is>
          <t>demo reviewer</t>
        </is>
      </c>
      <c r="N591" s="2" t="n"/>
      <c r="O591" s="3" t="inlineStr">
        <is>
          <t>https://vanillabonds.com/dossier-data/pdf/katjes/katjes-2024-annual-report.pdf#page=30</t>
        </is>
      </c>
    </row>
    <row r="592">
      <c r="A592" s="2" t="inlineStr">
        <is>
          <t>F591</t>
        </is>
      </c>
      <c r="B592" s="2" t="inlineStr">
        <is>
          <t>management</t>
        </is>
      </c>
      <c r="C592" s="2" t="inlineStr">
        <is>
          <t>risk_policy</t>
        </is>
      </c>
      <c r="D592" s="3" t="inlineStr">
        <is>
          <t>Financial policy, stated and revealed: item (leverage target, dividend, hedging, cash held, acquisition funding); stated; realised; year</t>
        </is>
      </c>
      <c r="E592" s="2" t="n"/>
      <c r="F592" s="2" t="n"/>
      <c r="G592" s="2" t="n"/>
      <c r="H592" s="3" t="inlineStr">
        <is>
          <t>item: hedging (interest); stated: interest rate swaps used to the extent deemed appropriate; realised: one swap with EUR 3.7m notional at end-2024; year: 2024</t>
        </is>
      </c>
      <c r="I592" s="2" t="inlineStr">
        <is>
          <t>S2</t>
        </is>
      </c>
      <c r="J592" s="2" t="n">
        <v>30</v>
      </c>
      <c r="K592" s="3" t="inlineStr">
        <is>
          <t>To hedge against potential interest rate risks, the Compa- ny uses derivatives (interest rate swaps) to the extent deemed appropriate from a risk management perspective.</t>
        </is>
      </c>
      <c r="L592" s="2" t="inlineStr">
        <is>
          <t>ok</t>
        </is>
      </c>
      <c r="M592" s="2" t="inlineStr">
        <is>
          <t>demo reviewer</t>
        </is>
      </c>
      <c r="N592" s="2" t="n"/>
      <c r="O592" s="3" t="inlineStr">
        <is>
          <t>https://vanillabonds.com/dossier-data/pdf/katjes/katjes-2024-annual-report.pdf#page=30</t>
        </is>
      </c>
    </row>
    <row r="593">
      <c r="A593" s="2" t="inlineStr">
        <is>
          <t>F592</t>
        </is>
      </c>
      <c r="B593" s="2" t="inlineStr">
        <is>
          <t>management</t>
        </is>
      </c>
      <c r="C593" s="2" t="inlineStr">
        <is>
          <t>risk_policy</t>
        </is>
      </c>
      <c r="D593" s="3" t="inlineStr">
        <is>
          <t>Financial policy, stated and revealed: item (leverage target, dividend, hedging, cash held, acquisition funding); stated; realised; year</t>
        </is>
      </c>
      <c r="E593" s="2" t="n"/>
      <c r="F593" s="2" t="n"/>
      <c r="G593" s="2" t="n"/>
      <c r="H593" s="3" t="inlineStr">
        <is>
          <t>item: hedging (raw materials); stated: supplier agreements with terms of 3 to 24 months for sugar, glucose, cocoa, nuts, panthenol and energy; a permanent hedge is described as not feasible; year: 2024</t>
        </is>
      </c>
      <c r="I593" s="2" t="inlineStr">
        <is>
          <t>S2</t>
        </is>
      </c>
      <c r="J593" s="2" t="n">
        <v>57</v>
      </c>
      <c r="K593" s="3" t="inlineStr">
        <is>
          <t>The Group manages this risk by entering into supplier agreements, which typically have terms ranging from 3 to 24 months.</t>
        </is>
      </c>
      <c r="L593" s="2" t="inlineStr">
        <is>
          <t>ok</t>
        </is>
      </c>
      <c r="M593" s="2" t="inlineStr">
        <is>
          <t>demo reviewer</t>
        </is>
      </c>
      <c r="N593" s="2" t="n"/>
      <c r="O593" s="3" t="inlineStr">
        <is>
          <t>https://vanillabonds.com/dossier-data/pdf/katjes/katjes-2024-annual-report.pdf#page=57</t>
        </is>
      </c>
    </row>
    <row r="594">
      <c r="A594" s="2" t="inlineStr">
        <is>
          <t>F593</t>
        </is>
      </c>
      <c r="B594" s="2" t="inlineStr">
        <is>
          <t>management</t>
        </is>
      </c>
      <c r="C594" s="2" t="inlineStr">
        <is>
          <t>risk_policy</t>
        </is>
      </c>
      <c r="D594" s="3" t="inlineStr">
        <is>
          <t>Financial policy, stated and revealed: item (leverage target, dividend, hedging, cash held, acquisition funding); stated; realised; year</t>
        </is>
      </c>
      <c r="E594" s="2" t="n"/>
      <c r="F594" s="2" t="n">
        <v>0.43</v>
      </c>
      <c r="G594" s="2" t="n"/>
      <c r="H594" s="3" t="inlineStr">
        <is>
          <t>item: leverage target; stated: capital monitored on net debt / total capital (net debt = total financial liabilities less cash); realised: 43% at end-2024 and end-2023; year: 2024</t>
        </is>
      </c>
      <c r="I594" s="2" t="inlineStr">
        <is>
          <t>S2</t>
        </is>
      </c>
      <c r="J594" s="2" t="n">
        <v>60</v>
      </c>
      <c r="K594" s="2" t="inlineStr">
        <is>
          <t>Leverage ratio 43% 43%</t>
        </is>
      </c>
      <c r="L594" s="2" t="inlineStr">
        <is>
          <t>ok</t>
        </is>
      </c>
      <c r="M594" s="2" t="inlineStr">
        <is>
          <t>demo reviewer</t>
        </is>
      </c>
      <c r="N594" s="2" t="n"/>
      <c r="O594" s="3" t="inlineStr">
        <is>
          <t>https://vanillabonds.com/dossier-data/pdf/katjes/katjes-2024-annual-report.pdf#page=60</t>
        </is>
      </c>
    </row>
    <row r="595">
      <c r="A595" s="2" t="inlineStr">
        <is>
          <t>F594</t>
        </is>
      </c>
      <c r="B595" s="2" t="inlineStr">
        <is>
          <t>management</t>
        </is>
      </c>
      <c r="C595" s="2" t="inlineStr">
        <is>
          <t>insurance</t>
        </is>
      </c>
      <c r="D595" s="3" t="inlineStr">
        <is>
          <t>Insurance: cover (property, business interruption, key person, cyber, D&amp;O); insurer; sum; expiry</t>
        </is>
      </c>
      <c r="E595" s="2" t="n"/>
      <c r="F595" s="2" t="n"/>
      <c r="G595" s="2" t="n"/>
      <c r="H595" s="3" t="inlineStr">
        <is>
          <t>cover: insurance policies for potential damages from quality risks (product); insurer: not named; insurance expense 2024 EUR 0.8m (2023: 0.7)</t>
        </is>
      </c>
      <c r="I595" s="2" t="inlineStr">
        <is>
          <t>S2</t>
        </is>
      </c>
      <c r="J595" s="2" t="n">
        <v>37</v>
      </c>
      <c r="K595" s="3" t="inlineStr">
        <is>
          <t>In addition, insurance policies are in place to cover potential damages.</t>
        </is>
      </c>
      <c r="L595" s="2" t="inlineStr">
        <is>
          <t>ok</t>
        </is>
      </c>
      <c r="M595" s="2" t="inlineStr">
        <is>
          <t>demo reviewer</t>
        </is>
      </c>
      <c r="N595" s="2" t="n"/>
      <c r="O595" s="3" t="inlineStr">
        <is>
          <t>https://vanillabonds.com/dossier-data/pdf/katjes/katjes-2024-annual-report.pdf#page=37</t>
        </is>
      </c>
    </row>
    <row r="596">
      <c r="A596" s="2" t="inlineStr">
        <is>
          <t>F595</t>
        </is>
      </c>
      <c r="B596" s="2" t="inlineStr">
        <is>
          <t>management</t>
        </is>
      </c>
      <c r="C596" s="2" t="inlineStr">
        <is>
          <t>insurance</t>
        </is>
      </c>
      <c r="D596" s="3" t="inlineStr">
        <is>
          <t>Insurance: cover (property, business interruption, key person, cyber, D&amp;O); insurer; sum; expiry</t>
        </is>
      </c>
      <c r="E596" s="2" t="n"/>
      <c r="F596" s="2" t="n"/>
      <c r="G596" s="2" t="n"/>
      <c r="H596" s="3" t="inlineStr">
        <is>
          <t>cover: credit insurance on receivables (in certain cases); insurer: not named</t>
        </is>
      </c>
      <c r="I596" s="2" t="inlineStr">
        <is>
          <t>S2</t>
        </is>
      </c>
      <c r="J596" s="2" t="n">
        <v>58</v>
      </c>
      <c r="K596" s="3" t="inlineStr">
        <is>
          <t>In certain cases, credit insurance is also taken out for receivables.</t>
        </is>
      </c>
      <c r="L596" s="2" t="inlineStr">
        <is>
          <t>ok</t>
        </is>
      </c>
      <c r="M596" s="2" t="inlineStr">
        <is>
          <t>demo reviewer</t>
        </is>
      </c>
      <c r="N596" s="2" t="n"/>
      <c r="O596" s="3" t="inlineStr">
        <is>
          <t>https://vanillabonds.com/dossier-data/pdf/katjes/katjes-2024-annual-report.pdf#page=58</t>
        </is>
      </c>
    </row>
    <row r="597">
      <c r="A597" s="2" t="inlineStr">
        <is>
          <t>F596</t>
        </is>
      </c>
      <c r="B597" s="2" t="inlineStr">
        <is>
          <t>management</t>
        </is>
      </c>
      <c r="C597" s="2" t="inlineStr">
        <is>
          <t>remuneration</t>
        </is>
      </c>
      <c r="D597" s="3" t="inlineStr">
        <is>
          <t>Remuneration as disclosed in the filed accounts: person or body; amount; year</t>
        </is>
      </c>
      <c r="E597" s="2" t="inlineStr">
        <is>
          <t>FY2024</t>
        </is>
      </c>
      <c r="F597" s="2" t="n">
        <v>0.3</v>
      </c>
      <c r="G597" s="2" t="n"/>
      <c r="H597" s="3" t="inlineStr">
        <is>
          <t>person or body: general partner Xaver Fassin International GmbH (total remuneration paid to the management); amount: 0.3; year: 2024 (2023: 0.3); remuneration of executive bodies beyond this is not disclosed under section 286 (4) HGB</t>
        </is>
      </c>
      <c r="I597" s="2" t="inlineStr">
        <is>
          <t>S2</t>
        </is>
      </c>
      <c r="J597" s="2" t="n">
        <v>80</v>
      </c>
      <c r="K597" s="3" t="inlineStr">
        <is>
          <t>*Remuneration paid to the general partner.</t>
        </is>
      </c>
      <c r="L597" s="2" t="inlineStr">
        <is>
          <t>ok</t>
        </is>
      </c>
      <c r="M597" s="2" t="inlineStr">
        <is>
          <t>demo reviewer</t>
        </is>
      </c>
      <c r="N597" s="2" t="n"/>
      <c r="O597" s="3" t="inlineStr">
        <is>
          <t>https://vanillabonds.com/dossier-data/pdf/katjes/katjes-2024-annual-report.pdf#page=80</t>
        </is>
      </c>
    </row>
    <row r="598">
      <c r="A598" s="2" t="inlineStr">
        <is>
          <t>F597</t>
        </is>
      </c>
      <c r="B598" s="2" t="inlineStr">
        <is>
          <t>plan</t>
        </is>
      </c>
      <c r="C598" s="2" t="inlineStr">
        <is>
          <t>plan_variable</t>
        </is>
      </c>
      <c r="D598" s="3" t="inlineStr">
        <is>
          <t>Plan claim as a variable: variable; value; year; reference_class; n; median; spread; percentile; source</t>
        </is>
      </c>
      <c r="E598" s="2" t="n"/>
      <c r="F598" s="2" t="n"/>
      <c r="G598" s="2" t="n"/>
      <c r="H598" s="3" t="inlineStr">
        <is>
          <t>variable: EBITDA margin; value: 0.09–0.10; year: 2025; source: management forecast report</t>
        </is>
      </c>
      <c r="I598" s="2" t="inlineStr">
        <is>
          <t>S2</t>
        </is>
      </c>
      <c r="J598" s="2" t="n">
        <v>38</v>
      </c>
      <c r="K598" s="3" t="inlineStr">
        <is>
          <t>International is targeting an EBITDA margin between 9% and 10% in 2025.</t>
        </is>
      </c>
      <c r="L598" s="2" t="inlineStr">
        <is>
          <t>ok</t>
        </is>
      </c>
      <c r="M598" s="2" t="inlineStr">
        <is>
          <t>demo reviewer</t>
        </is>
      </c>
      <c r="N598" s="2" t="n"/>
      <c r="O598" s="3" t="inlineStr">
        <is>
          <t>https://vanillabonds.com/dossier-data/pdf/katjes/katjes-2024-annual-report.pdf#page=38</t>
        </is>
      </c>
    </row>
    <row r="599">
      <c r="A599" s="2" t="inlineStr">
        <is>
          <t>F598</t>
        </is>
      </c>
      <c r="B599" s="2" t="inlineStr">
        <is>
          <t>plan</t>
        </is>
      </c>
      <c r="C599" s="2" t="inlineStr">
        <is>
          <t>plan_variable</t>
        </is>
      </c>
      <c r="D599" s="3" t="inlineStr">
        <is>
          <t>Plan claim as a variable: variable; value; year; reference_class; n; median; spread; percentile; source</t>
        </is>
      </c>
      <c r="E599" s="2" t="n"/>
      <c r="F599" s="2" t="n">
        <v>0.1</v>
      </c>
      <c r="G599" s="2" t="n"/>
      <c r="H599" s="3" t="inlineStr">
        <is>
          <t>variable: average EBITDA margin (mid-term goal); value: at least 0.10; year: mid-term; source: management forecast report</t>
        </is>
      </c>
      <c r="I599" s="2" t="inlineStr">
        <is>
          <t>S2</t>
        </is>
      </c>
      <c r="J599" s="2" t="n">
        <v>38</v>
      </c>
      <c r="K599" s="3" t="inlineStr">
        <is>
          <t>The mid-term goal remains to sustainably achieve an average EBITDA margin of at least 10%.</t>
        </is>
      </c>
      <c r="L599" s="2" t="inlineStr">
        <is>
          <t>ok</t>
        </is>
      </c>
      <c r="M599" s="2" t="inlineStr">
        <is>
          <t>demo reviewer</t>
        </is>
      </c>
      <c r="N599" s="2" t="n"/>
      <c r="O599" s="3" t="inlineStr">
        <is>
          <t>https://vanillabonds.com/dossier-data/pdf/katjes/katjes-2024-annual-report.pdf#page=38</t>
        </is>
      </c>
    </row>
    <row r="600">
      <c r="A600" s="2" t="inlineStr">
        <is>
          <t>F599</t>
        </is>
      </c>
      <c r="B600" s="2" t="inlineStr">
        <is>
          <t>structure</t>
        </is>
      </c>
      <c r="C600" s="2" t="inlineStr">
        <is>
          <t>security_asset</t>
        </is>
      </c>
      <c r="D600" s="3" t="inlineStr">
        <is>
          <t>Security asset: asset; book value; encumbrance (register); insured (yes / no); register</t>
        </is>
      </c>
      <c r="E600" s="2" t="n"/>
      <c r="F600" s="2" t="n">
        <v>68.5</v>
      </c>
      <c r="G600" s="2" t="n"/>
      <c r="H600" s="3" t="inlineStr">
        <is>
          <t>asset: land, land rights and buildings incl. buildings on third-party land; book value: 68.5 (2023: 70.2); encumbrance: not stated</t>
        </is>
      </c>
      <c r="I600" s="2" t="inlineStr">
        <is>
          <t>S2</t>
        </is>
      </c>
      <c r="J600" s="2" t="n">
        <v>84</v>
      </c>
      <c r="K600" s="3" t="inlineStr">
        <is>
          <t>4.Land, land rights and buildings, including buildings on third-party land 84.7 1.0 0.0 0.0 85.7 14.4 2.7 0.0 17.2 68.5 70.2</t>
        </is>
      </c>
      <c r="L600" s="2" t="inlineStr">
        <is>
          <t>ok</t>
        </is>
      </c>
      <c r="M600" s="2" t="inlineStr">
        <is>
          <t>demo reviewer</t>
        </is>
      </c>
      <c r="N600" s="2" t="n"/>
      <c r="O600" s="3" t="inlineStr">
        <is>
          <t>https://vanillabonds.com/dossier-data/pdf/katjes/katjes-2024-annual-report.pdf#page=84</t>
        </is>
      </c>
    </row>
    <row r="601">
      <c r="A601" s="2" t="inlineStr">
        <is>
          <t>F600</t>
        </is>
      </c>
      <c r="B601" s="2" t="inlineStr">
        <is>
          <t>structure</t>
        </is>
      </c>
      <c r="C601" s="2" t="inlineStr">
        <is>
          <t>security_asset</t>
        </is>
      </c>
      <c r="D601" s="3" t="inlineStr">
        <is>
          <t>Security asset: asset; book value; encumbrance (register); insured (yes / no); register</t>
        </is>
      </c>
      <c r="E601" s="2" t="n"/>
      <c r="F601" s="2" t="n">
        <v>46.9</v>
      </c>
      <c r="G601" s="2" t="n"/>
      <c r="H601" s="3" t="inlineStr">
        <is>
          <t>asset: technical equipment and machinery, other equipment, operating and office equipment; book value: 46.9 (2023: 49.5); encumbrance: not stated</t>
        </is>
      </c>
      <c r="I601" s="2" t="inlineStr">
        <is>
          <t>S2</t>
        </is>
      </c>
      <c r="J601" s="2" t="n">
        <v>84</v>
      </c>
      <c r="K601" s="3" t="inlineStr">
        <is>
          <t>114.6 5.1 0.5 -1.6 118.6 65.1 7.1 -0.5 71.7 46.9 49.5</t>
        </is>
      </c>
      <c r="L601" s="2" t="inlineStr">
        <is>
          <t>ok</t>
        </is>
      </c>
      <c r="M601" s="2" t="inlineStr">
        <is>
          <t>demo reviewer</t>
        </is>
      </c>
      <c r="N601" s="2" t="n"/>
      <c r="O601" s="3" t="inlineStr">
        <is>
          <t>https://vanillabonds.com/dossier-data/pdf/katjes/katjes-2024-annual-report.pdf#page=84</t>
        </is>
      </c>
    </row>
    <row r="602">
      <c r="A602" s="2" t="inlineStr">
        <is>
          <t>F601</t>
        </is>
      </c>
      <c r="B602" s="2" t="inlineStr">
        <is>
          <t>structure</t>
        </is>
      </c>
      <c r="C602" s="2" t="inlineStr">
        <is>
          <t>appraisal</t>
        </is>
      </c>
      <c r="D602" s="3" t="inlineStr">
        <is>
          <t>Appraisal: asset; date; appraiser; method; value</t>
        </is>
      </c>
      <c r="E602" s="2" t="n"/>
      <c r="F602" s="2" t="n">
        <v>6</v>
      </c>
      <c r="G602" s="2" t="n"/>
      <c r="H602" s="3" t="inlineStr">
        <is>
          <t>asset: Piasten brand; date: 2014 (initial consolidation); method: relief-from-royalty, royalty 2.0%, discount 7.5%, 40-year life; value: 6.0</t>
        </is>
      </c>
      <c r="I602" s="2" t="inlineStr">
        <is>
          <t>S2</t>
        </is>
      </c>
      <c r="J602" s="2" t="n">
        <v>62</v>
      </c>
      <c r="K602" s="3" t="inlineStr">
        <is>
          <t>The assumed royalty was 2.0%. The discount rate was 7.5% and the useful life was 40 years. The brand value calculated using this method amounted to EUR 6.0 million.</t>
        </is>
      </c>
      <c r="L602" s="2" t="inlineStr">
        <is>
          <t>ok</t>
        </is>
      </c>
      <c r="M602" s="2" t="inlineStr">
        <is>
          <t>demo reviewer</t>
        </is>
      </c>
      <c r="N602" s="2" t="n"/>
      <c r="O602" s="3" t="inlineStr">
        <is>
          <t>https://vanillabonds.com/dossier-data/pdf/katjes/katjes-2024-annual-report.pdf#page=62</t>
        </is>
      </c>
    </row>
    <row r="603">
      <c r="A603" s="2" t="inlineStr">
        <is>
          <t>F602</t>
        </is>
      </c>
      <c r="B603" s="2" t="inlineStr">
        <is>
          <t>structure</t>
        </is>
      </c>
      <c r="C603" s="2" t="inlineStr">
        <is>
          <t>appraisal</t>
        </is>
      </c>
      <c r="D603" s="3" t="inlineStr">
        <is>
          <t>Appraisal: asset; date; appraiser; method; value</t>
        </is>
      </c>
      <c r="E603" s="2" t="n"/>
      <c r="F603" s="2" t="n">
        <v>4.9</v>
      </c>
      <c r="G603" s="2" t="n"/>
      <c r="H603" s="3" t="inlineStr">
        <is>
          <t>asset: Harlekĳntjes brand; date: 2016 (initial consolidation); method: relief-from-royalty, royalty 6.0%, discount 6.3%, indefinite life; value: 4.9</t>
        </is>
      </c>
      <c r="I603" s="2" t="inlineStr">
        <is>
          <t>S2</t>
        </is>
      </c>
      <c r="J603" s="2" t="n">
        <v>62</v>
      </c>
      <c r="K603" s="3" t="inlineStr">
        <is>
          <t>The assumed royalty is 6.0%. The discount rate is 6.3%. The useful life is indefinite due to the strength of the brand. The brand value calculated using this method amounted to EUR 4.9 million.</t>
        </is>
      </c>
      <c r="L603" s="2" t="inlineStr">
        <is>
          <t>ok</t>
        </is>
      </c>
      <c r="M603" s="2" t="inlineStr">
        <is>
          <t>demo reviewer</t>
        </is>
      </c>
      <c r="N603" s="2" t="n"/>
      <c r="O603" s="3" t="inlineStr">
        <is>
          <t>https://vanillabonds.com/dossier-data/pdf/katjes/katjes-2024-annual-report.pdf#page=62</t>
        </is>
      </c>
    </row>
    <row r="604">
      <c r="A604" s="2" t="inlineStr">
        <is>
          <t>F603</t>
        </is>
      </c>
      <c r="B604" s="2" t="inlineStr">
        <is>
          <t>structure</t>
        </is>
      </c>
      <c r="C604" s="2" t="inlineStr">
        <is>
          <t>appraisal</t>
        </is>
      </c>
      <c r="D604" s="3" t="inlineStr">
        <is>
          <t>Appraisal: asset; date; appraiser; method; value</t>
        </is>
      </c>
      <c r="E604" s="2" t="n"/>
      <c r="F604" s="2" t="n">
        <v>22.9</v>
      </c>
      <c r="G604" s="2" t="n"/>
      <c r="H604" s="3" t="inlineStr">
        <is>
          <t>asset: Sperlari brands; date: 2017 (initial consolidation); appraiser: not named (purchase price allocation); method: relief-from-royalty, royalty 3.5%, discount rate 6.4%, 40-year life; value: 22.9</t>
        </is>
      </c>
      <c r="I604" s="2" t="inlineStr">
        <is>
          <t>S2</t>
        </is>
      </c>
      <c r="J604" s="2" t="n">
        <v>63</v>
      </c>
      <c r="K604" s="3" t="inlineStr">
        <is>
          <t>The assumed royalty was 3.5% and the discount rate was 6.4%. The useful life is 40 years. The brand value calculated using this method amounted to EUR 22.9 million.</t>
        </is>
      </c>
      <c r="L604" s="2" t="inlineStr">
        <is>
          <t>ok</t>
        </is>
      </c>
      <c r="M604" s="2" t="inlineStr">
        <is>
          <t>demo reviewer</t>
        </is>
      </c>
      <c r="N604" s="2" t="n"/>
      <c r="O604" s="3" t="inlineStr">
        <is>
          <t>https://vanillabonds.com/dossier-data/pdf/katjes/katjes-2024-annual-report.pdf#page=63</t>
        </is>
      </c>
    </row>
    <row r="605">
      <c r="A605" s="2" t="inlineStr">
        <is>
          <t>F604</t>
        </is>
      </c>
      <c r="B605" s="2" t="inlineStr">
        <is>
          <t>structure</t>
        </is>
      </c>
      <c r="C605" s="2" t="inlineStr">
        <is>
          <t>appraisal</t>
        </is>
      </c>
      <c r="D605" s="3" t="inlineStr">
        <is>
          <t>Appraisal: asset; date; appraiser; method; value</t>
        </is>
      </c>
      <c r="E605" s="2" t="n"/>
      <c r="F605" s="2" t="n">
        <v>23.8</v>
      </c>
      <c r="G605" s="2" t="n"/>
      <c r="H605" s="3" t="inlineStr">
        <is>
          <t>asset: oral care brands (Theramed, Vademecum, Antica Erboristeria, Licor del Polo, Denivit); date: 2022 (initial consolidation); method: relief-from-royalty, royalty 4.0%, discount 5.7%, 40-year life; value: 23.8</t>
        </is>
      </c>
      <c r="I605" s="2" t="inlineStr">
        <is>
          <t>S2</t>
        </is>
      </c>
      <c r="J605" s="2" t="n">
        <v>63</v>
      </c>
      <c r="K605" s="3" t="inlineStr">
        <is>
          <t>sumed royalty was 4.0% and the discount rate was 5.7%. The useful life is 40 years. The brand value calculated using this me- thod amounted to EUR 23.8 million.</t>
        </is>
      </c>
      <c r="L605" s="2" t="inlineStr">
        <is>
          <t>ok</t>
        </is>
      </c>
      <c r="M605" s="2" t="inlineStr">
        <is>
          <t>demo reviewer</t>
        </is>
      </c>
      <c r="N605" s="2" t="n"/>
      <c r="O605" s="3" t="inlineStr">
        <is>
          <t>https://vanillabonds.com/dossier-data/pdf/katjes/katjes-2024-annual-report.pdf#page=63</t>
        </is>
      </c>
    </row>
    <row r="606">
      <c r="A606" s="2" t="inlineStr">
        <is>
          <t>F605</t>
        </is>
      </c>
      <c r="B606" s="2" t="inlineStr">
        <is>
          <t>structure</t>
        </is>
      </c>
      <c r="C606" s="2" t="inlineStr">
        <is>
          <t>appraisal</t>
        </is>
      </c>
      <c r="D606" s="3" t="inlineStr">
        <is>
          <t>Appraisal: asset; date; appraiser; method; value</t>
        </is>
      </c>
      <c r="E606" s="2" t="n"/>
      <c r="F606" s="2" t="n">
        <v>22.5</v>
      </c>
      <c r="G606" s="2" t="n"/>
      <c r="H606" s="3" t="inlineStr">
        <is>
          <t>asset: Bübchen brand; date: 2021 (initial consolidation); method: relief-from-royalty, royalty 4.0%, discount 5.0%, 40-year life; value: 22.5</t>
        </is>
      </c>
      <c r="I606" s="2" t="inlineStr">
        <is>
          <t>S2</t>
        </is>
      </c>
      <c r="J606" s="2" t="n">
        <v>63</v>
      </c>
      <c r="K606" s="3" t="inlineStr">
        <is>
          <t>count rate was 5.0%. The useful life is 40 years. The brand va- lue calculated using this method amounted to EUR 22.5 million.</t>
        </is>
      </c>
      <c r="L606" s="2" t="inlineStr">
        <is>
          <t>ok</t>
        </is>
      </c>
      <c r="M606" s="2" t="inlineStr">
        <is>
          <t>demo reviewer</t>
        </is>
      </c>
      <c r="N606" s="2" t="n"/>
      <c r="O606" s="3" t="inlineStr">
        <is>
          <t>https://vanillabonds.com/dossier-data/pdf/katjes/katjes-2024-annual-report.pdf#page=63</t>
        </is>
      </c>
    </row>
    <row r="607">
      <c r="A607" s="2" t="inlineStr">
        <is>
          <t>F606</t>
        </is>
      </c>
      <c r="B607" s="2" t="inlineStr">
        <is>
          <t>structure</t>
        </is>
      </c>
      <c r="C607" s="2" t="inlineStr">
        <is>
          <t>appraisal</t>
        </is>
      </c>
      <c r="D607" s="3" t="inlineStr">
        <is>
          <t>Appraisal: asset; date; appraiser; method; value</t>
        </is>
      </c>
      <c r="E607" s="2" t="n"/>
      <c r="F607" s="2" t="n">
        <v>9.800000000000001</v>
      </c>
      <c r="G607" s="2" t="n"/>
      <c r="H607" s="3" t="inlineStr">
        <is>
          <t>asset: Candy Kittens brand; date: 2021 (initial consolidation); method: relief-from-royalty, royalty 6%, discount 8.3%, indefinite life; value: 9.8</t>
        </is>
      </c>
      <c r="I607" s="2" t="inlineStr">
        <is>
          <t>S2</t>
        </is>
      </c>
      <c r="J607" s="2" t="n">
        <v>63</v>
      </c>
      <c r="K607" s="3" t="inlineStr">
        <is>
          <t>The useful life is indefinite due to the strength of the brand. The brand value calculated using this method amounted to EUR 9.8 million.</t>
        </is>
      </c>
      <c r="L607" s="2" t="inlineStr">
        <is>
          <t>ok</t>
        </is>
      </c>
      <c r="M607" s="2" t="inlineStr">
        <is>
          <t>demo reviewer</t>
        </is>
      </c>
      <c r="N607" s="2" t="n"/>
      <c r="O607" s="3" t="inlineStr">
        <is>
          <t>https://vanillabonds.com/dossier-data/pdf/katjes/katjes-2024-annual-report.pdf#page=63</t>
        </is>
      </c>
    </row>
    <row r="608">
      <c r="A608" s="2" t="inlineStr">
        <is>
          <t>F607</t>
        </is>
      </c>
      <c r="B608" s="2" t="inlineStr">
        <is>
          <t>structure</t>
        </is>
      </c>
      <c r="C608" s="2" t="inlineStr">
        <is>
          <t>appraisal</t>
        </is>
      </c>
      <c r="D608" s="3" t="inlineStr">
        <is>
          <t>Appraisal: asset; date; appraiser; method; value</t>
        </is>
      </c>
      <c r="E608" s="2" t="n"/>
      <c r="F608" s="2" t="n">
        <v>7.7</v>
      </c>
      <c r="G608" s="2" t="n"/>
      <c r="H608" s="3" t="inlineStr">
        <is>
          <t>asset: Dallmann’s brand; date: 2012 (initial consolidation); method: relief-from-royalty, royalty 9.5%, discount 8.4%, indefinite life; value: 7.7</t>
        </is>
      </c>
      <c r="I608" s="2" t="inlineStr">
        <is>
          <t>S2</t>
        </is>
      </c>
      <c r="J608" s="2" t="n">
        <v>63</v>
      </c>
      <c r="K608" s="3" t="inlineStr">
        <is>
          <t>brand. The brand value calculated using this method amounted to EUR 7.7 million.</t>
        </is>
      </c>
      <c r="L608" s="2" t="inlineStr">
        <is>
          <t>ok</t>
        </is>
      </c>
      <c r="M608" s="2" t="inlineStr">
        <is>
          <t>demo reviewer</t>
        </is>
      </c>
      <c r="N608" s="2" t="n"/>
      <c r="O608" s="3" t="inlineStr">
        <is>
          <t>https://vanillabonds.com/dossier-data/pdf/katjes/katjes-2024-annual-report.pdf#page=63</t>
        </is>
      </c>
    </row>
    <row r="609">
      <c r="A609" s="2" t="inlineStr">
        <is>
          <t>F608</t>
        </is>
      </c>
      <c r="B609" s="2" t="inlineStr">
        <is>
          <t>structure</t>
        </is>
      </c>
      <c r="C609" s="2" t="inlineStr">
        <is>
          <t>appraisal</t>
        </is>
      </c>
      <c r="D609" s="3" t="inlineStr">
        <is>
          <t>Appraisal: asset; date; appraiser; method; value</t>
        </is>
      </c>
      <c r="E609" s="2" t="n"/>
      <c r="F609" s="2" t="n">
        <v>7.6</v>
      </c>
      <c r="G609" s="2" t="n"/>
      <c r="H609" s="3" t="inlineStr">
        <is>
          <t>asset: Dulcioliva brand; date: 2021 (initial consolidation); method: relief-from-royalty, royalty 5.0%, discount 4.0%, 40-year life; value: 7.6</t>
        </is>
      </c>
      <c r="I609" s="2" t="inlineStr">
        <is>
          <t>S2</t>
        </is>
      </c>
      <c r="J609" s="2" t="n">
        <v>63</v>
      </c>
      <c r="K609" s="3" t="inlineStr">
        <is>
          <t>count rate was 4.0%. The useful life is 40 years. The brand va- lue calculated using this method amounted to EUR 7.6 million.</t>
        </is>
      </c>
      <c r="L609" s="2" t="inlineStr">
        <is>
          <t>ok</t>
        </is>
      </c>
      <c r="M609" s="2" t="inlineStr">
        <is>
          <t>demo reviewer</t>
        </is>
      </c>
      <c r="N609" s="2" t="n"/>
      <c r="O609" s="3" t="inlineStr">
        <is>
          <t>https://vanillabonds.com/dossier-data/pdf/katjes/katjes-2024-annual-report.pdf#page=63</t>
        </is>
      </c>
    </row>
    <row r="610">
      <c r="A610" s="2" t="inlineStr">
        <is>
          <t>F609</t>
        </is>
      </c>
      <c r="B610" s="2" t="inlineStr">
        <is>
          <t>structure</t>
        </is>
      </c>
      <c r="C610" s="2" t="inlineStr">
        <is>
          <t>appraisal</t>
        </is>
      </c>
      <c r="D610" s="3" t="inlineStr">
        <is>
          <t>Appraisal: asset; date; appraiser; method; value</t>
        </is>
      </c>
      <c r="E610" s="2" t="n"/>
      <c r="F610" s="2" t="n">
        <v>7.1</v>
      </c>
      <c r="G610" s="2" t="n"/>
      <c r="H610" s="3" t="inlineStr">
        <is>
          <t>asset: Paluani brand; date: 2022 (initial consolidation); method: relief-from-royalty, royalty 3.5%, discount 5.9%, 40-year life; value: 7.1</t>
        </is>
      </c>
      <c r="I610" s="2" t="inlineStr">
        <is>
          <t>S2</t>
        </is>
      </c>
      <c r="J610" s="2" t="n">
        <v>63</v>
      </c>
      <c r="K610" s="3" t="inlineStr">
        <is>
          <t>count rate was 5.9%. The useful life is 40 years. The brand va- lue calculated using this method amounted to EUR 7.1 million.</t>
        </is>
      </c>
      <c r="L610" s="2" t="inlineStr">
        <is>
          <t>ok</t>
        </is>
      </c>
      <c r="M610" s="2" t="inlineStr">
        <is>
          <t>demo reviewer</t>
        </is>
      </c>
      <c r="N610" s="2" t="n"/>
      <c r="O610" s="3" t="inlineStr">
        <is>
          <t>https://vanillabonds.com/dossier-data/pdf/katjes/katjes-2024-annual-report.pdf#page=63</t>
        </is>
      </c>
    </row>
    <row r="611">
      <c r="A611" s="2" t="inlineStr">
        <is>
          <t>F610</t>
        </is>
      </c>
      <c r="B611" s="2" t="inlineStr">
        <is>
          <t>compliance</t>
        </is>
      </c>
      <c r="C611" s="2" t="inlineStr">
        <is>
          <t>litigation_item</t>
        </is>
      </c>
      <c r="D611" s="3" t="inlineStr">
        <is>
          <t>Litigation, insolvency, fine or tax dispute: register; case; date; amount; status</t>
        </is>
      </c>
      <c r="E611" s="2" t="n"/>
      <c r="F611" s="2" t="n"/>
      <c r="G611" s="2" t="n"/>
      <c r="H611" s="3" t="inlineStr">
        <is>
          <t>register: company statement; case: legal case decided in the Group’s favour; date: 2024; amount: not disclosed (income in other operating result); status: closed</t>
        </is>
      </c>
      <c r="I611" s="2" t="inlineStr">
        <is>
          <t>S2</t>
        </is>
      </c>
      <c r="J611" s="2" t="n">
        <v>75</v>
      </c>
      <c r="K611" s="3" t="inlineStr">
        <is>
          <t>it also includes income from a legal case that was decided in the Group’s favor.</t>
        </is>
      </c>
      <c r="L611" s="2" t="inlineStr">
        <is>
          <t>ok</t>
        </is>
      </c>
      <c r="M611" s="2" t="inlineStr">
        <is>
          <t>demo reviewer</t>
        </is>
      </c>
      <c r="N611" s="2" t="n"/>
      <c r="O611" s="3" t="inlineStr">
        <is>
          <t>https://vanillabonds.com/dossier-data/pdf/katjes/katjes-2024-annual-report.pdf#page=75</t>
        </is>
      </c>
    </row>
    <row r="612">
      <c r="A612" s="2" t="inlineStr">
        <is>
          <t>F611</t>
        </is>
      </c>
      <c r="B612" s="2" t="inlineStr">
        <is>
          <t>compliance</t>
        </is>
      </c>
      <c r="C612" s="2" t="inlineStr">
        <is>
          <t>litigation_item</t>
        </is>
      </c>
      <c r="D612" s="3" t="inlineStr">
        <is>
          <t>Litigation, insolvency, fine or tax dispute: register; case; date; amount; status</t>
        </is>
      </c>
      <c r="E612" s="2" t="n"/>
      <c r="F612" s="2" t="n"/>
      <c r="G612" s="2" t="n"/>
      <c r="H612" s="3" t="inlineStr">
        <is>
          <t>register: company statement; case: no current or foreseeable legal or arbitration proceedings as defendant with significant influence, nor within the last two years; status: provisions set up at the relevant group company for other proceedings</t>
        </is>
      </c>
      <c r="I612" s="2" t="inlineStr">
        <is>
          <t>S2</t>
        </is>
      </c>
      <c r="J612" s="2" t="n">
        <v>79</v>
      </c>
      <c r="K612" s="3" t="inlineStr">
        <is>
          <t>not involved as a defendant in current or foreseeable legal or arbitration proceedings that could have a significant influence</t>
        </is>
      </c>
      <c r="L612" s="2" t="inlineStr">
        <is>
          <t>ok</t>
        </is>
      </c>
      <c r="M612" s="2" t="inlineStr">
        <is>
          <t>demo reviewer</t>
        </is>
      </c>
      <c r="N612" s="2" t="n"/>
      <c r="O612" s="3" t="inlineStr">
        <is>
          <t>https://vanillabonds.com/dossier-data/pdf/katjes/katjes-2024-annual-report.pdf#page=79</t>
        </is>
      </c>
    </row>
    <row r="613">
      <c r="A613" s="2" t="inlineStr">
        <is>
          <t>F612</t>
        </is>
      </c>
      <c r="B613" s="2" t="inlineStr">
        <is>
          <t>compliance</t>
        </is>
      </c>
      <c r="C613" s="2" t="inlineStr">
        <is>
          <t>esg_fact</t>
        </is>
      </c>
      <c r="D613" s="3" t="inlineStr">
        <is>
          <t>ESG fact: item (CSRD / VSME status, energy, emissions, taxonomy, permit, incident, labour); value; year; source</t>
        </is>
      </c>
      <c r="E613" s="2" t="n"/>
      <c r="F613" s="2" t="n"/>
      <c r="G613" s="2" t="n"/>
      <c r="H613" s="3" t="inlineStr">
        <is>
          <t>item: packaging; value: Sperlari nougat flowpack 100% recyclable into paper; year: 2024; source: introduction section 5.4</t>
        </is>
      </c>
      <c r="I613" s="2" t="inlineStr">
        <is>
          <t>S2</t>
        </is>
      </c>
      <c r="J613" s="2" t="n">
        <v>13</v>
      </c>
      <c r="K613" s="3" t="inlineStr">
        <is>
          <t>by using a flowpack 100% recyclable into paper.</t>
        </is>
      </c>
      <c r="L613" s="2" t="inlineStr">
        <is>
          <t>ok</t>
        </is>
      </c>
      <c r="M613" s="2" t="inlineStr">
        <is>
          <t>demo reviewer</t>
        </is>
      </c>
      <c r="N613" s="2" t="n"/>
      <c r="O613" s="3" t="inlineStr">
        <is>
          <t>https://vanillabonds.com/dossier-data/pdf/katjes/katjes-2024-annual-report.pdf#page=13</t>
        </is>
      </c>
    </row>
    <row r="614">
      <c r="A614" s="2" t="inlineStr">
        <is>
          <t>F613</t>
        </is>
      </c>
      <c r="B614" s="2" t="inlineStr">
        <is>
          <t>compliance</t>
        </is>
      </c>
      <c r="C614" s="2" t="inlineStr">
        <is>
          <t>esg_fact</t>
        </is>
      </c>
      <c r="D614" s="3" t="inlineStr">
        <is>
          <t>ESG fact: item (CSRD / VSME status, energy, emissions, taxonomy, permit, incident, labour); value; year; source</t>
        </is>
      </c>
      <c r="E614" s="2" t="n"/>
      <c r="F614" s="2" t="n">
        <v>22</v>
      </c>
      <c r="G614" s="2" t="n"/>
      <c r="H614" s="3" t="inlineStr">
        <is>
          <t>item: labour (apprentices); value: average of 22 apprentices; year: 2024; source: management report 4.4</t>
        </is>
      </c>
      <c r="I614" s="2" t="inlineStr">
        <is>
          <t>S2</t>
        </is>
      </c>
      <c r="J614" s="2" t="n">
        <v>32</v>
      </c>
      <c r="K614" s="3" t="inlineStr">
        <is>
          <t>In 2024, Katjes International also employed an average of 22 apprentices.</t>
        </is>
      </c>
      <c r="L614" s="2" t="inlineStr">
        <is>
          <t>ok</t>
        </is>
      </c>
      <c r="M614" s="2" t="inlineStr">
        <is>
          <t>demo reviewer</t>
        </is>
      </c>
      <c r="N614" s="2" t="n"/>
      <c r="O614" s="3" t="inlineStr">
        <is>
          <t>https://vanillabonds.com/dossier-data/pdf/katjes/katjes-2024-annual-report.pdf#page=32</t>
        </is>
      </c>
    </row>
    <row r="615">
      <c r="A615" s="2" t="inlineStr">
        <is>
          <t>F614</t>
        </is>
      </c>
      <c r="B615" s="2" t="inlineStr">
        <is>
          <t>compliance</t>
        </is>
      </c>
      <c r="C615" s="2" t="inlineStr">
        <is>
          <t>esg_fact</t>
        </is>
      </c>
      <c r="D615" s="3" t="inlineStr">
        <is>
          <t>ESG fact: item (CSRD / VSME status, energy, emissions, taxonomy, permit, incident, labour); value; year; source</t>
        </is>
      </c>
      <c r="E615" s="2" t="n"/>
      <c r="F615" s="2" t="n"/>
      <c r="G615" s="2" t="n"/>
      <c r="H615" s="3" t="inlineStr">
        <is>
          <t>item: CSRD / sustainability reporting status; value: no sustainability statement or emissions data in this report; year: 2024; source: report contents</t>
        </is>
      </c>
      <c r="I615" s="2" t="inlineStr">
        <is>
          <t>S2</t>
        </is>
      </c>
      <c r="J615" s="2" t="n">
        <v>32</v>
      </c>
      <c r="K615" s="3" t="inlineStr">
        <is>
          <t>As a family-owned company with a strong medium-sized busi- ness character, sustainable action is an integral part of Katjes International’s corporate identity.</t>
        </is>
      </c>
      <c r="L615" s="2" t="inlineStr">
        <is>
          <t>ok</t>
        </is>
      </c>
      <c r="M615" s="2" t="inlineStr">
        <is>
          <t>demo reviewer</t>
        </is>
      </c>
      <c r="N615" s="2" t="n"/>
      <c r="O615" s="3" t="inlineStr">
        <is>
          <t>https://vanillabonds.com/dossier-data/pdf/katjes/katjes-2024-annual-report.pdf#page=32</t>
        </is>
      </c>
    </row>
    <row r="616">
      <c r="A616" s="2" t="inlineStr">
        <is>
          <t>F615</t>
        </is>
      </c>
      <c r="B616" s="2" t="inlineStr">
        <is>
          <t>market_data</t>
        </is>
      </c>
      <c r="C616" s="2" t="inlineStr">
        <is>
          <t>instrument_term</t>
        </is>
      </c>
      <c r="D616" s="3" t="inlineStr">
        <is>
          <t>Instrument term: term (rate type, base rate, maturity, call, listing, ISIN, denomination, settlement, holders, transfer); value</t>
        </is>
      </c>
      <c r="E616" s="2" t="n"/>
      <c r="F616" s="2" t="n"/>
      <c r="G616" s="2" t="n"/>
      <c r="H616" s="3" t="inlineStr">
        <is>
          <t>term: maturity; value: 2028 (bond 2023/2028, issued September 2023)</t>
        </is>
      </c>
      <c r="I616" s="2" t="inlineStr">
        <is>
          <t>S2</t>
        </is>
      </c>
      <c r="J616" s="2" t="n">
        <v>45</v>
      </c>
      <c r="K616" s="3" t="inlineStr">
        <is>
          <t>Repayment of the 2019/2024 bond (EUR 110 million) / issue of the 2023/2028 bond (EUR 115 million)</t>
        </is>
      </c>
      <c r="L616" s="2" t="inlineStr">
        <is>
          <t>ok</t>
        </is>
      </c>
      <c r="M616" s="2" t="inlineStr">
        <is>
          <t>demo reviewer</t>
        </is>
      </c>
      <c r="N616" s="2" t="n"/>
      <c r="O616" s="3" t="inlineStr">
        <is>
          <t>https://vanillabonds.com/dossier-data/pdf/katjes/katjes-2024-annual-report.pdf#page=45</t>
        </is>
      </c>
    </row>
    <row r="617">
      <c r="A617" s="2" t="inlineStr">
        <is>
          <t>F616</t>
        </is>
      </c>
      <c r="B617" s="2" t="inlineStr">
        <is>
          <t>market_data</t>
        </is>
      </c>
      <c r="C617" s="2" t="inlineStr">
        <is>
          <t>instrument_term</t>
        </is>
      </c>
      <c r="D617" s="3" t="inlineStr">
        <is>
          <t>Instrument term: term (rate type, base rate, maturity, call, listing, ISIN, denomination, settlement, holders, transfer); value</t>
        </is>
      </c>
      <c r="E617" s="2" t="n"/>
      <c r="F617" s="2" t="n">
        <v>123.7</v>
      </c>
      <c r="G617" s="2" t="n"/>
      <c r="H617" s="3" t="inlineStr">
        <is>
          <t>term: fair value at 31 Dec 2024 (level II); value: EUR 123.7m against carrying amount 115.0</t>
        </is>
      </c>
      <c r="I617" s="2" t="inlineStr">
        <is>
          <t>S2</t>
        </is>
      </c>
      <c r="J617" s="2" t="n">
        <v>64</v>
      </c>
      <c r="K617" s="3" t="inlineStr">
        <is>
          <t>Liabilities from the issuance of a bond2 115.0 123.7**</t>
        </is>
      </c>
      <c r="L617" s="2" t="inlineStr">
        <is>
          <t>ok</t>
        </is>
      </c>
      <c r="M617" s="2" t="inlineStr">
        <is>
          <t>demo reviewer</t>
        </is>
      </c>
      <c r="N617" s="2" t="n"/>
      <c r="O617" s="3" t="inlineStr">
        <is>
          <t>https://vanillabonds.com/dossier-data/pdf/katjes/katjes-2024-annual-report.pdf#page=64</t>
        </is>
      </c>
    </row>
    <row r="618">
      <c r="A618" s="2" t="inlineStr">
        <is>
          <t>F617</t>
        </is>
      </c>
      <c r="B618" s="2" t="inlineStr">
        <is>
          <t>market_data</t>
        </is>
      </c>
      <c r="C618" s="2" t="inlineStr">
        <is>
          <t>instrument_term</t>
        </is>
      </c>
      <c r="D618" s="3" t="inlineStr">
        <is>
          <t>Instrument term: term (rate type, base rate, maturity, call, listing, ISIN, denomination, settlement, holders, transfer); value</t>
        </is>
      </c>
      <c r="E618" s="2" t="n"/>
      <c r="F618" s="2" t="n">
        <v>6.75</v>
      </c>
      <c r="G618" s="2" t="n"/>
      <c r="H618" s="3" t="inlineStr">
        <is>
          <t>term: coupon / rate type; value: 6.75% fixed (2023/2028 corporate bond, EUR 115m)</t>
        </is>
      </c>
      <c r="I618" s="2" t="inlineStr">
        <is>
          <t>S2</t>
        </is>
      </c>
      <c r="J618" s="2" t="n">
        <v>68</v>
      </c>
      <c r="K618" s="3" t="inlineStr">
        <is>
          <t>Due to strong investor demand, the total volume of the new bond amounted to EUR 115 million.</t>
        </is>
      </c>
      <c r="L618" s="2" t="inlineStr">
        <is>
          <t>ok</t>
        </is>
      </c>
      <c r="M618" s="2" t="inlineStr">
        <is>
          <t>demo reviewer</t>
        </is>
      </c>
      <c r="N618" s="2" t="n"/>
      <c r="O618" s="3" t="inlineStr">
        <is>
          <t>https://vanillabonds.com/dossier-data/pdf/katjes/katjes-2024-annual-report.pdf#page=68</t>
        </is>
      </c>
    </row>
    <row r="619">
      <c r="A619" s="2" t="inlineStr">
        <is>
          <t>F618</t>
        </is>
      </c>
      <c r="B619" s="2" t="inlineStr">
        <is>
          <t>identity</t>
        </is>
      </c>
      <c r="C619" s="2" t="inlineStr">
        <is>
          <t>legal_name</t>
        </is>
      </c>
      <c r="D619" s="2" t="inlineStr">
        <is>
          <t>Legal name</t>
        </is>
      </c>
      <c r="E619" s="2" t="n"/>
      <c r="F619" s="2" t="n"/>
      <c r="G619" s="2" t="n"/>
      <c r="H619" s="2" t="inlineStr">
        <is>
          <t>Katjes International GmbH &amp; Co. KG</t>
        </is>
      </c>
      <c r="I619" s="2" t="inlineStr">
        <is>
          <t>S3</t>
        </is>
      </c>
      <c r="J619" s="2" t="n">
        <v>44</v>
      </c>
      <c r="K619" s="3" t="inlineStr">
        <is>
          <t>Katjes International GmbH &amp; Co. KG (“Katjes International”, “the Company”) is a limited partnership established under the laws of the Federal Republic of Germany</t>
        </is>
      </c>
      <c r="L619" s="2" t="inlineStr">
        <is>
          <t>ok</t>
        </is>
      </c>
      <c r="M619" s="2" t="inlineStr">
        <is>
          <t>demo reviewer</t>
        </is>
      </c>
      <c r="N619" s="2" t="n"/>
      <c r="O619" s="3" t="inlineStr">
        <is>
          <t>https://vanillabonds.com/dossier-data/pdf/katjes/katjes-2025-annual-report.pdf#page=44</t>
        </is>
      </c>
    </row>
    <row r="620">
      <c r="A620" s="2" t="inlineStr">
        <is>
          <t>F619</t>
        </is>
      </c>
      <c r="B620" s="2" t="inlineStr">
        <is>
          <t>identity</t>
        </is>
      </c>
      <c r="C620" s="2" t="inlineStr">
        <is>
          <t>legal_form</t>
        </is>
      </c>
      <c r="D620" s="2" t="inlineStr">
        <is>
          <t>Legal form</t>
        </is>
      </c>
      <c r="E620" s="2" t="n"/>
      <c r="F620" s="2" t="n"/>
      <c r="G620" s="2" t="n"/>
      <c r="H620" s="3" t="inlineStr">
        <is>
          <t>German GmbH &amp; Co. KG (limited partnership)</t>
        </is>
      </c>
      <c r="I620" s="2" t="inlineStr">
        <is>
          <t>S3</t>
        </is>
      </c>
      <c r="J620" s="2" t="n">
        <v>44</v>
      </c>
      <c r="K620" s="3" t="inlineStr">
        <is>
          <t>Company”) is a limited partnership established under the laws of the Federal Republic of Germany, with its registered office in Emmerich am Rhein.</t>
        </is>
      </c>
      <c r="L620" s="2" t="inlineStr">
        <is>
          <t>ok</t>
        </is>
      </c>
      <c r="M620" s="2" t="inlineStr">
        <is>
          <t>demo reviewer</t>
        </is>
      </c>
      <c r="N620" s="2" t="n"/>
      <c r="O620" s="3" t="inlineStr">
        <is>
          <t>https://vanillabonds.com/dossier-data/pdf/katjes/katjes-2025-annual-report.pdf#page=44</t>
        </is>
      </c>
    </row>
    <row r="621">
      <c r="A621" s="2" t="inlineStr">
        <is>
          <t>F620</t>
        </is>
      </c>
      <c r="B621" s="2" t="inlineStr">
        <is>
          <t>identity</t>
        </is>
      </c>
      <c r="C621" s="2" t="inlineStr">
        <is>
          <t>registry</t>
        </is>
      </c>
      <c r="D621" s="2" t="inlineStr">
        <is>
          <t>Commercial register / registration no.</t>
        </is>
      </c>
      <c r="E621" s="2" t="n"/>
      <c r="F621" s="2" t="n"/>
      <c r="G621" s="2" t="n"/>
      <c r="H621" s="2" t="inlineStr">
        <is>
          <t>HRA 1076, Local Court of Kleve</t>
        </is>
      </c>
      <c r="I621" s="2" t="inlineStr">
        <is>
          <t>S3</t>
        </is>
      </c>
      <c r="J621" s="2" t="n">
        <v>44</v>
      </c>
      <c r="K621" s="3" t="inlineStr">
        <is>
          <t>It is registered under commercial register number HRA 1076 in the commercial register of the Local Court of Kleve.</t>
        </is>
      </c>
      <c r="L621" s="2" t="inlineStr">
        <is>
          <t>ok</t>
        </is>
      </c>
      <c r="M621" s="2" t="inlineStr">
        <is>
          <t>demo reviewer</t>
        </is>
      </c>
      <c r="N621" s="2" t="n"/>
      <c r="O621" s="3" t="inlineStr">
        <is>
          <t>https://vanillabonds.com/dossier-data/pdf/katjes/katjes-2025-annual-report.pdf#page=44</t>
        </is>
      </c>
    </row>
    <row r="622">
      <c r="A622" s="2" t="inlineStr">
        <is>
          <t>F621</t>
        </is>
      </c>
      <c r="B622" s="2" t="inlineStr">
        <is>
          <t>identity</t>
        </is>
      </c>
      <c r="C622" s="2" t="inlineStr">
        <is>
          <t>founded</t>
        </is>
      </c>
      <c r="D622" s="2" t="inlineStr">
        <is>
          <t>Founded</t>
        </is>
      </c>
      <c r="E622" s="2" t="n"/>
      <c r="F622" s="2" t="n"/>
      <c r="G622" s="2" t="n"/>
      <c r="H622" s="3" t="inlineStr">
        <is>
          <t>Established 2011 from predecessor entities</t>
        </is>
      </c>
      <c r="I622" s="2" t="inlineStr">
        <is>
          <t>S3</t>
        </is>
      </c>
      <c r="J622" s="2" t="n">
        <v>9</v>
      </c>
      <c r="K622" s="3" t="inlineStr">
        <is>
          <t>was established in 2011 from predecessor entities and, together with its two independent and legally separate sister companies</t>
        </is>
      </c>
      <c r="L622" s="2" t="inlineStr">
        <is>
          <t>ok</t>
        </is>
      </c>
      <c r="M622" s="2" t="inlineStr">
        <is>
          <t>demo reviewer</t>
        </is>
      </c>
      <c r="N622" s="2" t="n"/>
      <c r="O622" s="3" t="inlineStr">
        <is>
          <t>https://vanillabonds.com/dossier-data/pdf/katjes/katjes-2025-annual-report.pdf#page=9</t>
        </is>
      </c>
    </row>
    <row r="623">
      <c r="A623" s="2" t="inlineStr">
        <is>
          <t>F622</t>
        </is>
      </c>
      <c r="B623" s="2" t="inlineStr">
        <is>
          <t>identity</t>
        </is>
      </c>
      <c r="C623" s="2" t="inlineStr">
        <is>
          <t>registered_office</t>
        </is>
      </c>
      <c r="D623" s="2" t="inlineStr">
        <is>
          <t>Registered office</t>
        </is>
      </c>
      <c r="E623" s="2" t="n"/>
      <c r="F623" s="2" t="n"/>
      <c r="G623" s="2" t="n"/>
      <c r="H623" s="3" t="inlineStr">
        <is>
          <t>Dechant-Sprünken-Str. 53–57, 46446 Emmerich am Rhein</t>
        </is>
      </c>
      <c r="I623" s="2" t="inlineStr">
        <is>
          <t>S3</t>
        </is>
      </c>
      <c r="J623" s="2" t="n">
        <v>44</v>
      </c>
      <c r="K623" s="3" t="inlineStr">
        <is>
          <t>Dechant-Sprünken-Str. 53–57 46446 Emmerich am Rhein Germany</t>
        </is>
      </c>
      <c r="L623" s="2" t="inlineStr">
        <is>
          <t>ok</t>
        </is>
      </c>
      <c r="M623" s="2" t="inlineStr">
        <is>
          <t>demo reviewer</t>
        </is>
      </c>
      <c r="N623" s="2" t="n"/>
      <c r="O623" s="3" t="inlineStr">
        <is>
          <t>https://vanillabonds.com/dossier-data/pdf/katjes/katjes-2025-annual-report.pdf#page=44</t>
        </is>
      </c>
    </row>
    <row r="624">
      <c r="A624" s="2" t="inlineStr">
        <is>
          <t>F623</t>
        </is>
      </c>
      <c r="B624" s="2" t="inlineStr">
        <is>
          <t>identity</t>
        </is>
      </c>
      <c r="C624" s="2" t="inlineStr">
        <is>
          <t>country</t>
        </is>
      </c>
      <c r="D624" s="2" t="inlineStr">
        <is>
          <t>Country of incorporation (ISO-2)</t>
        </is>
      </c>
      <c r="E624" s="2" t="n"/>
      <c r="F624" s="2" t="n"/>
      <c r="G624" s="2" t="n"/>
      <c r="H624" s="2" t="inlineStr">
        <is>
          <t>DE</t>
        </is>
      </c>
      <c r="I624" s="2" t="inlineStr">
        <is>
          <t>S3</t>
        </is>
      </c>
      <c r="J624" s="2" t="n">
        <v>44</v>
      </c>
      <c r="K624" s="3" t="inlineStr">
        <is>
          <t>established under the laws of the Federal Republic of Germany, with its registered office in Emmerich am Rhein.</t>
        </is>
      </c>
      <c r="L624" s="2" t="inlineStr">
        <is>
          <t>ok</t>
        </is>
      </c>
      <c r="M624" s="2" t="inlineStr">
        <is>
          <t>demo reviewer</t>
        </is>
      </c>
      <c r="N624" s="2" t="n"/>
      <c r="O624" s="3" t="inlineStr">
        <is>
          <t>https://vanillabonds.com/dossier-data/pdf/katjes/katjes-2025-annual-report.pdf#page=44</t>
        </is>
      </c>
    </row>
    <row r="625">
      <c r="A625" s="2" t="inlineStr">
        <is>
          <t>F624</t>
        </is>
      </c>
      <c r="B625" s="2" t="inlineStr">
        <is>
          <t>identity</t>
        </is>
      </c>
      <c r="C625" s="2" t="inlineStr">
        <is>
          <t>sector</t>
        </is>
      </c>
      <c r="D625" s="2" t="inlineStr">
        <is>
          <t>Sector</t>
        </is>
      </c>
      <c r="E625" s="2" t="n"/>
      <c r="F625" s="2" t="n"/>
      <c r="G625" s="2" t="n"/>
      <c r="H625" s="3" t="inlineStr">
        <is>
          <t>Consumer goods brand holding: confectionery, body care, lifestyle</t>
        </is>
      </c>
      <c r="I625" s="2" t="inlineStr">
        <is>
          <t>S3</t>
        </is>
      </c>
      <c r="J625" s="2" t="n">
        <v>77</v>
      </c>
      <c r="K625" s="3" t="inlineStr">
        <is>
          <t>brand holding that, through its portfolio companies, develops and distributes consumer goods brands with a focus on confectionery, personal care and body care products as well as lifestyle</t>
        </is>
      </c>
      <c r="L625" s="2" t="inlineStr">
        <is>
          <t>ok</t>
        </is>
      </c>
      <c r="M625" s="2" t="inlineStr">
        <is>
          <t>demo reviewer</t>
        </is>
      </c>
      <c r="N625" s="2" t="n"/>
      <c r="O625" s="3" t="inlineStr">
        <is>
          <t>https://vanillabonds.com/dossier-data/pdf/katjes/katjes-2025-annual-report.pdf#page=77</t>
        </is>
      </c>
    </row>
    <row r="626">
      <c r="A626" s="2" t="inlineStr">
        <is>
          <t>F625</t>
        </is>
      </c>
      <c r="B626" s="2" t="inlineStr">
        <is>
          <t>identity</t>
        </is>
      </c>
      <c r="C626" s="2" t="inlineStr">
        <is>
          <t>sites</t>
        </is>
      </c>
      <c r="D626" s="2" t="inlineStr">
        <is>
          <t>Sites / countries of operation</t>
        </is>
      </c>
      <c r="E626" s="2" t="n"/>
      <c r="F626" s="2" t="n"/>
      <c r="G626" s="2" t="n"/>
      <c r="H626" s="3" t="inlineStr">
        <is>
          <t>DE, IT, CH, AT, UK, FR, NL, ES; North America since Sep 2025</t>
        </is>
      </c>
      <c r="I626" s="2" t="inlineStr">
        <is>
          <t>S3</t>
        </is>
      </c>
      <c r="J626" s="2" t="n">
        <v>21</v>
      </c>
      <c r="K626" s="3" t="inlineStr">
        <is>
          <t>In the financial year 2025, Katjes International was primarily active through its investments in Germany, Italy, Switzerland, Austria, the United Kingdom, France, the Netherlands and Spain.</t>
        </is>
      </c>
      <c r="L626" s="2" t="inlineStr">
        <is>
          <t>ok</t>
        </is>
      </c>
      <c r="M626" s="2" t="inlineStr">
        <is>
          <t>demo reviewer</t>
        </is>
      </c>
      <c r="N626" s="2" t="n"/>
      <c r="O626" s="3" t="inlineStr">
        <is>
          <t>https://vanillabonds.com/dossier-data/pdf/katjes/katjes-2025-annual-report.pdf#page=21</t>
        </is>
      </c>
    </row>
    <row r="627">
      <c r="A627" s="2" t="inlineStr">
        <is>
          <t>F626</t>
        </is>
      </c>
      <c r="B627" s="2" t="inlineStr">
        <is>
          <t>identity</t>
        </is>
      </c>
      <c r="C627" s="2" t="inlineStr">
        <is>
          <t>employees</t>
        </is>
      </c>
      <c r="D627" s="2" t="inlineStr">
        <is>
          <t>Employees (FTE, period end)</t>
        </is>
      </c>
      <c r="E627" s="2" t="inlineStr">
        <is>
          <t>FY2024</t>
        </is>
      </c>
      <c r="F627" s="2" t="n">
        <v>1097</v>
      </c>
      <c r="G627" s="2" t="n"/>
      <c r="H627" s="3" t="inlineStr">
        <is>
          <t>Average number of employees 2024 (not period end): 1,097, of which 692 in Germany</t>
        </is>
      </c>
      <c r="I627" s="2" t="inlineStr">
        <is>
          <t>S3</t>
        </is>
      </c>
      <c r="J627" s="2" t="n">
        <v>44</v>
      </c>
      <c r="K627" s="3" t="inlineStr">
        <is>
          <t>In the financial year 2025, the Group employed an average of 1,648 employees (2024: 1,097), of which 1,137 were employed in Germany (2024: 692)</t>
        </is>
      </c>
      <c r="L627" s="2" t="inlineStr">
        <is>
          <t>ok</t>
        </is>
      </c>
      <c r="M627" s="2" t="inlineStr">
        <is>
          <t>demo reviewer</t>
        </is>
      </c>
      <c r="N627" s="2" t="n"/>
      <c r="O627" s="3" t="inlineStr">
        <is>
          <t>https://vanillabonds.com/dossier-data/pdf/katjes/katjes-2025-annual-report.pdf#page=44</t>
        </is>
      </c>
    </row>
    <row r="628">
      <c r="A628" s="2" t="inlineStr">
        <is>
          <t>F627</t>
        </is>
      </c>
      <c r="B628" s="2" t="inlineStr">
        <is>
          <t>identity</t>
        </is>
      </c>
      <c r="C628" s="2" t="inlineStr">
        <is>
          <t>employees</t>
        </is>
      </c>
      <c r="D628" s="2" t="inlineStr">
        <is>
          <t>Employees (FTE, period end)</t>
        </is>
      </c>
      <c r="E628" s="2" t="inlineStr">
        <is>
          <t>FY2025</t>
        </is>
      </c>
      <c r="F628" s="2" t="n">
        <v>1648</v>
      </c>
      <c r="G628" s="2" t="n"/>
      <c r="H628" s="3" t="inlineStr">
        <is>
          <t>Average number of employees 2025 (not period end): 1,648, of which 1,137 in Germany</t>
        </is>
      </c>
      <c r="I628" s="2" t="inlineStr">
        <is>
          <t>S3</t>
        </is>
      </c>
      <c r="J628" s="2" t="n">
        <v>44</v>
      </c>
      <c r="K628" s="3" t="inlineStr">
        <is>
          <t>In the financial year 2025, the Group employed an average of 1,648 employees (2024: 1,097), of which 1,137 were employed in Germany (2024: 692)</t>
        </is>
      </c>
      <c r="L628" s="2" t="inlineStr">
        <is>
          <t>ok</t>
        </is>
      </c>
      <c r="M628" s="2" t="inlineStr">
        <is>
          <t>demo reviewer</t>
        </is>
      </c>
      <c r="N628" s="2" t="n"/>
      <c r="O628" s="3" t="inlineStr">
        <is>
          <t>https://vanillabonds.com/dossier-data/pdf/katjes/katjes-2025-annual-report.pdf#page=44</t>
        </is>
      </c>
    </row>
    <row r="629">
      <c r="A629" s="2" t="inlineStr">
        <is>
          <t>F628</t>
        </is>
      </c>
      <c r="B629" s="2" t="inlineStr">
        <is>
          <t>identity</t>
        </is>
      </c>
      <c r="C629" s="2" t="inlineStr">
        <is>
          <t>ownership</t>
        </is>
      </c>
      <c r="D629" s="2" t="inlineStr">
        <is>
          <t>Ownership / UBO</t>
        </is>
      </c>
      <c r="E629" s="2" t="n"/>
      <c r="F629" s="2" t="n"/>
      <c r="G629" s="2" t="n"/>
      <c r="H629" s="3" t="inlineStr">
        <is>
          <t>Limited partners Bastian Fassin EUR 0.9m, Tobias Bachmüller EUR 0.1m</t>
        </is>
      </c>
      <c r="I629" s="2" t="inlineStr">
        <is>
          <t>S3</t>
        </is>
      </c>
      <c r="J629" s="2" t="n">
        <v>67</v>
      </c>
      <c r="K629" s="3" t="inlineStr">
        <is>
          <t>Limited partner Bastian Fassin 0.9 0.9 Limited partner Tobias Bachmüller 0.1 0.1</t>
        </is>
      </c>
      <c r="L629" s="2" t="inlineStr">
        <is>
          <t>ok</t>
        </is>
      </c>
      <c r="M629" s="2" t="inlineStr">
        <is>
          <t>demo reviewer</t>
        </is>
      </c>
      <c r="N629" s="2" t="n"/>
      <c r="O629" s="3" t="inlineStr">
        <is>
          <t>https://vanillabonds.com/dossier-data/pdf/katjes/katjes-2025-annual-report.pdf#page=67</t>
        </is>
      </c>
    </row>
    <row r="630">
      <c r="A630" s="2" t="inlineStr">
        <is>
          <t>F629</t>
        </is>
      </c>
      <c r="B630" s="2" t="inlineStr">
        <is>
          <t>identity</t>
        </is>
      </c>
      <c r="C630" s="2" t="inlineStr">
        <is>
          <t>auditor</t>
        </is>
      </c>
      <c r="D630" s="2" t="inlineStr">
        <is>
          <t>Auditor</t>
        </is>
      </c>
      <c r="E630" s="2" t="n"/>
      <c r="F630" s="2" t="n"/>
      <c r="G630" s="2" t="n"/>
      <c r="H630" s="3" t="inlineStr">
        <is>
          <t>EY GmbH &amp; Co. KG Wirtschaftsprüfungsgesellschaft, Köln</t>
        </is>
      </c>
      <c r="I630" s="2" t="inlineStr">
        <is>
          <t>S3</t>
        </is>
      </c>
      <c r="J630" s="2" t="n">
        <v>91</v>
      </c>
      <c r="K630" s="3" t="inlineStr">
        <is>
          <t>Köln, April 2, 2026 EY GmbH &amp; Co. KG Wirtschaftsprüfungsgesellschaft</t>
        </is>
      </c>
      <c r="L630" s="2" t="inlineStr">
        <is>
          <t>ok</t>
        </is>
      </c>
      <c r="M630" s="2" t="inlineStr">
        <is>
          <t>demo reviewer</t>
        </is>
      </c>
      <c r="N630" s="2" t="n"/>
      <c r="O630" s="3" t="inlineStr">
        <is>
          <t>https://vanillabonds.com/dossier-data/pdf/katjes/katjes-2025-annual-report.pdf#page=91</t>
        </is>
      </c>
    </row>
    <row r="631">
      <c r="A631" s="2" t="inlineStr">
        <is>
          <t>F630</t>
        </is>
      </c>
      <c r="B631" s="2" t="inlineStr">
        <is>
          <t>identity</t>
        </is>
      </c>
      <c r="C631" s="2" t="inlineStr">
        <is>
          <t>audit_opinion</t>
        </is>
      </c>
      <c r="D631" s="2" t="inlineStr">
        <is>
          <t>Audit opinion</t>
        </is>
      </c>
      <c r="E631" s="2" t="inlineStr">
        <is>
          <t>FY2025</t>
        </is>
      </c>
      <c r="F631" s="2" t="n"/>
      <c r="G631" s="2" t="n"/>
      <c r="H631" s="3" t="inlineStr">
        <is>
          <t>unqualified; the auditor's report dated April 2, 2026 states no reservations and names no emphasis of matter and no key audit matters</t>
        </is>
      </c>
      <c r="I631" s="2" t="inlineStr">
        <is>
          <t>S3</t>
        </is>
      </c>
      <c r="J631" s="2" t="n">
        <v>88</v>
      </c>
      <c r="K631" s="3" t="inlineStr">
        <is>
          <t>the accompanying consolidated financial statements comply, in all material respects, with the IFRS Accounting Standards as issued by the International Accounting Standards Board</t>
        </is>
      </c>
      <c r="L631" s="2" t="inlineStr">
        <is>
          <t>ok</t>
        </is>
      </c>
      <c r="M631" s="2" t="inlineStr">
        <is>
          <t>demo reviewer</t>
        </is>
      </c>
      <c r="N631" s="2" t="n"/>
      <c r="O631" s="3" t="inlineStr">
        <is>
          <t>https://vanillabonds.com/dossier-data/pdf/katjes/katjes-2025-annual-report.pdf#page=88</t>
        </is>
      </c>
    </row>
    <row r="632">
      <c r="A632" s="2" t="inlineStr">
        <is>
          <t>F631</t>
        </is>
      </c>
      <c r="B632" s="2" t="inlineStr">
        <is>
          <t>identity</t>
        </is>
      </c>
      <c r="C632" s="2" t="inlineStr">
        <is>
          <t>accounting_standard</t>
        </is>
      </c>
      <c r="D632" s="2" t="inlineStr">
        <is>
          <t>Accounting standard</t>
        </is>
      </c>
      <c r="E632" s="2" t="n"/>
      <c r="F632" s="2" t="n"/>
      <c r="G632" s="2" t="n"/>
      <c r="H632" s="3" t="inlineStr">
        <is>
          <t>IFRS as adopted by the EU plus Section 315e (1) HGB</t>
        </is>
      </c>
      <c r="I632" s="2" t="inlineStr">
        <is>
          <t>S3</t>
        </is>
      </c>
      <c r="J632" s="2" t="n">
        <v>45</v>
      </c>
      <c r="K632" s="3" t="inlineStr">
        <is>
          <t>have been prepared in accordance with IFRS Accounting Standards (IFRS) as adopted by the European Union and the supplementary provisions of German commercial law pursuant to Section 315e (1) HGB</t>
        </is>
      </c>
      <c r="L632" s="2" t="inlineStr">
        <is>
          <t>ok</t>
        </is>
      </c>
      <c r="M632" s="2" t="inlineStr">
        <is>
          <t>demo reviewer</t>
        </is>
      </c>
      <c r="N632" s="2" t="n"/>
      <c r="O632" s="3" t="inlineStr">
        <is>
          <t>https://vanillabonds.com/dossier-data/pdf/katjes/katjes-2025-annual-report.pdf#page=45</t>
        </is>
      </c>
    </row>
    <row r="633">
      <c r="A633" s="2" t="inlineStr">
        <is>
          <t>F632</t>
        </is>
      </c>
      <c r="B633" s="2" t="inlineStr">
        <is>
          <t>identity</t>
        </is>
      </c>
      <c r="C633" s="2" t="inlineStr">
        <is>
          <t>fiscal_year_end</t>
        </is>
      </c>
      <c r="D633" s="2" t="inlineStr">
        <is>
          <t>Fiscal year end</t>
        </is>
      </c>
      <c r="E633" s="2" t="n"/>
      <c r="F633" s="2" t="n"/>
      <c r="G633" s="2" t="n"/>
      <c r="H633" s="2" t="inlineStr">
        <is>
          <t>31 December (calendar year)</t>
        </is>
      </c>
      <c r="I633" s="2" t="inlineStr">
        <is>
          <t>S3</t>
        </is>
      </c>
      <c r="J633" s="2" t="n">
        <v>88</v>
      </c>
      <c r="K633" s="3" t="inlineStr">
        <is>
          <t>for the fiscal year from 1 January 2025 to 31 December 2025</t>
        </is>
      </c>
      <c r="L633" s="2" t="inlineStr">
        <is>
          <t>ok</t>
        </is>
      </c>
      <c r="M633" s="2" t="inlineStr">
        <is>
          <t>demo reviewer</t>
        </is>
      </c>
      <c r="N633" s="2" t="n"/>
      <c r="O633" s="3" t="inlineStr">
        <is>
          <t>https://vanillabonds.com/dossier-data/pdf/katjes/katjes-2025-annual-report.pdf#page=88</t>
        </is>
      </c>
    </row>
    <row r="634">
      <c r="A634" s="2" t="inlineStr">
        <is>
          <t>F633</t>
        </is>
      </c>
      <c r="B634" s="2" t="inlineStr">
        <is>
          <t>business</t>
        </is>
      </c>
      <c r="C634" s="2" t="inlineStr">
        <is>
          <t>business_fact</t>
        </is>
      </c>
      <c r="D634" s="2" t="inlineStr">
        <is>
          <t>Business fact</t>
        </is>
      </c>
      <c r="E634" s="2" t="n"/>
      <c r="F634" s="2" t="n"/>
      <c r="G634" s="2" t="n"/>
      <c r="H634" s="3" t="inlineStr">
        <is>
          <t>Katjes International is the brand holding of the Katjes Group alongside the legally separate sister companies Katjes Fassin GmbH + Co. KG (Katjes Germany) and Katjesgreenfood GmbH &amp; Co. KG; the consolidated statements cover only Katjes International and its portfolio companies.</t>
        </is>
      </c>
      <c r="I634" s="2" t="inlineStr">
        <is>
          <t>S3</t>
        </is>
      </c>
      <c r="J634" s="2" t="n">
        <v>18</v>
      </c>
      <c r="K634" s="3" t="inlineStr">
        <is>
          <t>The present consolidated financial statements relate exclusively to Katjes International and its portfolio companies.</t>
        </is>
      </c>
      <c r="L634" s="2" t="inlineStr">
        <is>
          <t>ok</t>
        </is>
      </c>
      <c r="M634" s="2" t="inlineStr">
        <is>
          <t>demo reviewer</t>
        </is>
      </c>
      <c r="N634" s="2" t="n"/>
      <c r="O634" s="3" t="inlineStr">
        <is>
          <t>https://vanillabonds.com/dossier-data/pdf/katjes/katjes-2025-annual-report.pdf#page=18</t>
        </is>
      </c>
    </row>
    <row r="635">
      <c r="A635" s="2" t="inlineStr">
        <is>
          <t>F634</t>
        </is>
      </c>
      <c r="B635" s="2" t="inlineStr">
        <is>
          <t>business</t>
        </is>
      </c>
      <c r="C635" s="2" t="inlineStr">
        <is>
          <t>business_fact</t>
        </is>
      </c>
      <c r="D635" s="2" t="inlineStr">
        <is>
          <t>Business fact</t>
        </is>
      </c>
      <c r="E635" s="2" t="n"/>
      <c r="F635" s="2" t="n"/>
      <c r="G635" s="2" t="n"/>
      <c r="H635" s="3" t="inlineStr">
        <is>
          <t>Gross margin 27.4% in 2025 (2024: 25.2%); cost of sales ratio 72.6% (74.8%), attributed to product mix, price increases and stabilising raw material and energy prices.</t>
        </is>
      </c>
      <c r="I635" s="2" t="inlineStr">
        <is>
          <t>S3</t>
        </is>
      </c>
      <c r="J635" s="2" t="n">
        <v>25</v>
      </c>
      <c r="K635" s="3" t="inlineStr">
        <is>
          <t>Accordingly, the gross margin of 27.4% was above the pri- or-year level (2024: 25.2%).</t>
        </is>
      </c>
      <c r="L635" s="2" t="inlineStr">
        <is>
          <t>ok</t>
        </is>
      </c>
      <c r="M635" s="2" t="inlineStr">
        <is>
          <t>demo reviewer</t>
        </is>
      </c>
      <c r="N635" s="2" t="n"/>
      <c r="O635" s="3" t="inlineStr">
        <is>
          <t>https://vanillabonds.com/dossier-data/pdf/katjes/katjes-2025-annual-report.pdf#page=25</t>
        </is>
      </c>
    </row>
    <row r="636">
      <c r="A636" s="2" t="inlineStr">
        <is>
          <t>F635</t>
        </is>
      </c>
      <c r="B636" s="2" t="inlineStr">
        <is>
          <t>business</t>
        </is>
      </c>
      <c r="C636" s="2" t="inlineStr">
        <is>
          <t>business_fact</t>
        </is>
      </c>
      <c r="D636" s="2" t="inlineStr">
        <is>
          <t>Business fact</t>
        </is>
      </c>
      <c r="E636" s="2" t="n"/>
      <c r="F636" s="2" t="n"/>
      <c r="G636" s="2" t="n"/>
      <c r="H636" s="3" t="inlineStr">
        <is>
          <t>Revenue mix 2025: sugar confectionery 34.8% (2024: 40.8%), seasonal products 28.8% (13.9%), body care 19.3% (23.0%), chocolate 11.4% (14.7%); revenue recognised at point of delivery, all contracted revenue within 12 months.</t>
        </is>
      </c>
      <c r="I636" s="2" t="inlineStr">
        <is>
          <t>S3</t>
        </is>
      </c>
      <c r="J636" s="2" t="n">
        <v>25</v>
      </c>
      <c r="K636" s="3" t="inlineStr">
        <is>
          <t>Sugar confectionery accounted for 34.8% (prior year: 40.8%)</t>
        </is>
      </c>
      <c r="L636" s="2" t="inlineStr">
        <is>
          <t>ok</t>
        </is>
      </c>
      <c r="M636" s="2" t="inlineStr">
        <is>
          <t>demo reviewer</t>
        </is>
      </c>
      <c r="N636" s="2" t="n"/>
      <c r="O636" s="3" t="inlineStr">
        <is>
          <t>https://vanillabonds.com/dossier-data/pdf/katjes/katjes-2025-annual-report.pdf#page=25</t>
        </is>
      </c>
    </row>
    <row r="637">
      <c r="A637" s="2" t="inlineStr">
        <is>
          <t>F636</t>
        </is>
      </c>
      <c r="B637" s="2" t="inlineStr">
        <is>
          <t>business</t>
        </is>
      </c>
      <c r="C637" s="2" t="inlineStr">
        <is>
          <t>business_fact</t>
        </is>
      </c>
      <c r="D637" s="2" t="inlineStr">
        <is>
          <t>Business fact</t>
        </is>
      </c>
      <c r="E637" s="2" t="n"/>
      <c r="F637" s="2" t="n"/>
      <c r="G637" s="2" t="n"/>
      <c r="H637" s="3" t="inlineStr">
        <is>
          <t>Procurement and distribution synergies with Katjes Germany: joint raw material procurement (largely identical raw materials) and overlapping distribution channels; raw material price risks monitored in joint procurement with Katjes Germany.</t>
        </is>
      </c>
      <c r="I637" s="2" t="inlineStr">
        <is>
          <t>S3</t>
        </is>
      </c>
      <c r="J637" s="2" t="n">
        <v>34</v>
      </c>
      <c r="K637" s="3" t="inlineStr">
        <is>
          <t>Raw material price risks are largely monitored as part of joint procurement activities with Katjes Germany</t>
        </is>
      </c>
      <c r="L637" s="2" t="inlineStr">
        <is>
          <t>ok</t>
        </is>
      </c>
      <c r="M637" s="2" t="inlineStr">
        <is>
          <t>demo reviewer</t>
        </is>
      </c>
      <c r="N637" s="2" t="n"/>
      <c r="O637" s="3" t="inlineStr">
        <is>
          <t>https://vanillabonds.com/dossier-data/pdf/katjes/katjes-2025-annual-report.pdf#page=34</t>
        </is>
      </c>
    </row>
    <row r="638">
      <c r="A638" s="2" t="inlineStr">
        <is>
          <t>F637</t>
        </is>
      </c>
      <c r="B638" s="2" t="inlineStr">
        <is>
          <t>business</t>
        </is>
      </c>
      <c r="C638" s="2" t="inlineStr">
        <is>
          <t>business_fact</t>
        </is>
      </c>
      <c r="D638" s="2" t="inlineStr">
        <is>
          <t>Business fact</t>
        </is>
      </c>
      <c r="E638" s="2" t="n"/>
      <c r="F638" s="2" t="n">
        <v>17.8</v>
      </c>
      <c r="G638" s="2" t="n"/>
      <c r="H638" s="3" t="inlineStr">
        <is>
          <t>Interest paid EUR 17.8m in 2025 (2024: 12.8) per cash flow statement; interest expenses corporate bond 9.5 (7.8), banks 3.6 (4.2).</t>
        </is>
      </c>
      <c r="I638" s="2" t="inlineStr">
        <is>
          <t>S3</t>
        </is>
      </c>
      <c r="J638" s="2" t="n">
        <v>42</v>
      </c>
      <c r="K638" s="2" t="inlineStr">
        <is>
          <t>Interest paid 7.4 -17.8 -12.8</t>
        </is>
      </c>
      <c r="L638" s="2" t="inlineStr">
        <is>
          <t>ok</t>
        </is>
      </c>
      <c r="M638" s="2" t="inlineStr">
        <is>
          <t>demo reviewer</t>
        </is>
      </c>
      <c r="N638" s="2" t="n"/>
      <c r="O638" s="3" t="inlineStr">
        <is>
          <t>https://vanillabonds.com/dossier-data/pdf/katjes/katjes-2025-annual-report.pdf#page=42</t>
        </is>
      </c>
    </row>
    <row r="639">
      <c r="A639" s="2" t="inlineStr">
        <is>
          <t>F638</t>
        </is>
      </c>
      <c r="B639" s="2" t="inlineStr">
        <is>
          <t>business</t>
        </is>
      </c>
      <c r="C639" s="2" t="inlineStr">
        <is>
          <t>business_fact</t>
        </is>
      </c>
      <c r="D639" s="2" t="inlineStr">
        <is>
          <t>Business fact</t>
        </is>
      </c>
      <c r="E639" s="2" t="n"/>
      <c r="F639" s="2" t="n">
        <v>48</v>
      </c>
      <c r="G639" s="2" t="n"/>
      <c r="H639" s="3" t="inlineStr">
        <is>
          <t>48 fully consolidated entities at 31 Dec 2025 (32 in Germany, 16 abroad) versus 32 in 2024 (23 / 9).</t>
        </is>
      </c>
      <c r="I639" s="2" t="inlineStr">
        <is>
          <t>S3</t>
        </is>
      </c>
      <c r="J639" s="2" t="n">
        <v>46</v>
      </c>
      <c r="K639" s="3" t="inlineStr">
        <is>
          <t>Germany 32 23 Other countries 16 9 Total 48 32</t>
        </is>
      </c>
      <c r="L639" s="2" t="inlineStr">
        <is>
          <t>ok</t>
        </is>
      </c>
      <c r="M639" s="2" t="inlineStr">
        <is>
          <t>demo reviewer</t>
        </is>
      </c>
      <c r="N639" s="2" t="n"/>
      <c r="O639" s="3" t="inlineStr">
        <is>
          <t>https://vanillabonds.com/dossier-data/pdf/katjes/katjes-2025-annual-report.pdf#page=46</t>
        </is>
      </c>
    </row>
    <row r="640">
      <c r="A640" s="2" t="inlineStr">
        <is>
          <t>F639</t>
        </is>
      </c>
      <c r="B640" s="2" t="inlineStr">
        <is>
          <t>business</t>
        </is>
      </c>
      <c r="C640" s="2" t="inlineStr">
        <is>
          <t>business_fact</t>
        </is>
      </c>
      <c r="D640" s="2" t="inlineStr">
        <is>
          <t>Business fact</t>
        </is>
      </c>
      <c r="E640" s="2" t="n"/>
      <c r="F640" s="2" t="n"/>
      <c r="G640" s="2" t="n"/>
      <c r="H640" s="3" t="inlineStr">
        <is>
          <t>Reporting currency EUR; closing rates at 31 Dec 2025: GBP 0.87, USD 1.18, CAD 1.61, CHF 0.93, RUB 92.91.</t>
        </is>
      </c>
      <c r="I640" s="2" t="inlineStr">
        <is>
          <t>S3</t>
        </is>
      </c>
      <c r="J640" s="2" t="n">
        <v>47</v>
      </c>
      <c r="K640" s="3" t="inlineStr">
        <is>
          <t>Closing rate USD as at December 31, 2025: 1.18, average rate 2025: 1.17</t>
        </is>
      </c>
      <c r="L640" s="2" t="inlineStr">
        <is>
          <t>ok</t>
        </is>
      </c>
      <c r="M640" s="2" t="inlineStr">
        <is>
          <t>demo reviewer</t>
        </is>
      </c>
      <c r="N640" s="2" t="n"/>
      <c r="O640" s="3" t="inlineStr">
        <is>
          <t>https://vanillabonds.com/dossier-data/pdf/katjes/katjes-2025-annual-report.pdf#page=47</t>
        </is>
      </c>
    </row>
    <row r="641">
      <c r="A641" s="2" t="inlineStr">
        <is>
          <t>F640</t>
        </is>
      </c>
      <c r="B641" s="2" t="inlineStr">
        <is>
          <t>business</t>
        </is>
      </c>
      <c r="C641" s="2" t="inlineStr">
        <is>
          <t>business_fact</t>
        </is>
      </c>
      <c r="D641" s="2" t="inlineStr">
        <is>
          <t>Business fact</t>
        </is>
      </c>
      <c r="E641" s="2" t="n"/>
      <c r="F641" s="2" t="n">
        <v>214.9</v>
      </c>
      <c r="G641" s="2" t="n"/>
      <c r="H641" s="3" t="inlineStr">
        <is>
          <t>Brands recognised under intangible assets carried at EUR 214.9m at 31 Dec 2025 (2024: 108.0); goodwill only 0.3.</t>
        </is>
      </c>
      <c r="I641" s="2" t="inlineStr">
        <is>
          <t>S3</t>
        </is>
      </c>
      <c r="J641" s="2" t="n">
        <v>61</v>
      </c>
      <c r="K641" s="3" t="inlineStr">
        <is>
          <t>The total carrying amount of brands recognised under intangible assets amounted to EUR 214.9 million as at December 31, 2025 (December 31, 2024: EUR 108.0 million).</t>
        </is>
      </c>
      <c r="L641" s="2" t="inlineStr">
        <is>
          <t>ok</t>
        </is>
      </c>
      <c r="M641" s="2" t="inlineStr">
        <is>
          <t>demo reviewer</t>
        </is>
      </c>
      <c r="N641" s="2" t="n"/>
      <c r="O641" s="3" t="inlineStr">
        <is>
          <t>https://vanillabonds.com/dossier-data/pdf/katjes/katjes-2025-annual-report.pdf#page=61</t>
        </is>
      </c>
    </row>
    <row r="642">
      <c r="A642" s="2" t="inlineStr">
        <is>
          <t>F641</t>
        </is>
      </c>
      <c r="B642" s="2" t="inlineStr">
        <is>
          <t>business</t>
        </is>
      </c>
      <c r="C642" s="2" t="inlineStr">
        <is>
          <t>business_fact</t>
        </is>
      </c>
      <c r="D642" s="2" t="inlineStr">
        <is>
          <t>Business fact</t>
        </is>
      </c>
      <c r="E642" s="2" t="n"/>
      <c r="F642" s="2" t="n">
        <v>33.5</v>
      </c>
      <c r="G642" s="2" t="n"/>
      <c r="H642" s="3" t="inlineStr">
        <is>
          <t>Current provisions EUR 33.5m at 31 Dec 2025 (2024: 19.1): outstanding invoices 13.6, returns 8.8, personnel 6.5, other 4.6; 13.2 added via initial consolidation.</t>
        </is>
      </c>
      <c r="I642" s="2" t="inlineStr">
        <is>
          <t>S3</t>
        </is>
      </c>
      <c r="J642" s="2" t="n">
        <v>73</v>
      </c>
      <c r="K642" s="2" t="inlineStr">
        <is>
          <t>Total 19.1 -26.0 13.2 29.7 -2.5 33.5</t>
        </is>
      </c>
      <c r="L642" s="2" t="inlineStr">
        <is>
          <t>ok</t>
        </is>
      </c>
      <c r="M642" s="2" t="inlineStr">
        <is>
          <t>demo reviewer</t>
        </is>
      </c>
      <c r="N642" s="2" t="n"/>
      <c r="O642" s="3" t="inlineStr">
        <is>
          <t>https://vanillabonds.com/dossier-data/pdf/katjes/katjes-2025-annual-report.pdf#page=73</t>
        </is>
      </c>
    </row>
    <row r="643">
      <c r="A643" s="2" t="inlineStr">
        <is>
          <t>F642</t>
        </is>
      </c>
      <c r="B643" s="2" t="inlineStr">
        <is>
          <t>business</t>
        </is>
      </c>
      <c r="C643" s="2" t="inlineStr">
        <is>
          <t>business_fact</t>
        </is>
      </c>
      <c r="D643" s="2" t="inlineStr">
        <is>
          <t>Business fact</t>
        </is>
      </c>
      <c r="E643" s="2" t="n"/>
      <c r="F643" s="2" t="n">
        <v>94.3</v>
      </c>
      <c r="G643" s="2" t="n"/>
      <c r="H643" s="3" t="inlineStr">
        <is>
          <t>Personnel expenses EUR 94.3m in 2025 (2024: 73.8), increase mainly from the Bogner consolidation; marketing expenses 26.0 (16.0).</t>
        </is>
      </c>
      <c r="I643" s="2" t="inlineStr">
        <is>
          <t>S3</t>
        </is>
      </c>
      <c r="J643" s="2" t="n">
        <v>74</v>
      </c>
      <c r="K643" s="3" t="inlineStr">
        <is>
          <t>Wages and salaries 74.6 57.9 Social security 16.8 13.1 Post-employment costs 2.3 1.8 Other personnel expenses 0.6 1.0 Total 94.3 73.8</t>
        </is>
      </c>
      <c r="L643" s="2" t="inlineStr">
        <is>
          <t>ok</t>
        </is>
      </c>
      <c r="M643" s="2" t="inlineStr">
        <is>
          <t>demo reviewer</t>
        </is>
      </c>
      <c r="N643" s="2" t="n"/>
      <c r="O643" s="3" t="inlineStr">
        <is>
          <t>https://vanillabonds.com/dossier-data/pdf/katjes/katjes-2025-annual-report.pdf#page=74</t>
        </is>
      </c>
    </row>
    <row r="644">
      <c r="A644" s="2" t="inlineStr">
        <is>
          <t>F643</t>
        </is>
      </c>
      <c r="B644" s="2" t="inlineStr">
        <is>
          <t>business</t>
        </is>
      </c>
      <c r="C644" s="2" t="inlineStr">
        <is>
          <t>business_fact</t>
        </is>
      </c>
      <c r="D644" s="2" t="inlineStr">
        <is>
          <t>Business fact</t>
        </is>
      </c>
      <c r="E644" s="2" t="n"/>
      <c r="F644" s="2" t="n">
        <v>60.9</v>
      </c>
      <c r="G644" s="2" t="n"/>
      <c r="H644" s="3" t="inlineStr">
        <is>
          <t>Other operating result EUR 60.9m in 2025 (2024: 6.7): other operating income 61.5 (badwill 35.1, CPK gain 20.1, provision releases 2.7, JV results 1.3, other 2.3) less other operating expenses 0.6.</t>
        </is>
      </c>
      <c r="I644" s="2" t="inlineStr">
        <is>
          <t>S3</t>
        </is>
      </c>
      <c r="J644" s="2" t="n">
        <v>75</v>
      </c>
      <c r="K644" s="3" t="inlineStr">
        <is>
          <t>Income from the reversal of provisi- ons 2.7 1.6 Share of results of Joint Ventures 1.3 0.0 Other 2.3 5.4 Total 61.5 7.0</t>
        </is>
      </c>
      <c r="L644" s="2" t="inlineStr">
        <is>
          <t>ok</t>
        </is>
      </c>
      <c r="M644" s="2" t="inlineStr">
        <is>
          <t>demo reviewer</t>
        </is>
      </c>
      <c r="N644" s="2" t="n"/>
      <c r="O644" s="3" t="inlineStr">
        <is>
          <t>https://vanillabonds.com/dossier-data/pdf/katjes/katjes-2025-annual-report.pdf#page=75</t>
        </is>
      </c>
    </row>
    <row r="645">
      <c r="A645" s="2" t="inlineStr">
        <is>
          <t>F644</t>
        </is>
      </c>
      <c r="B645" s="2" t="inlineStr">
        <is>
          <t>business</t>
        </is>
      </c>
      <c r="C645" s="2" t="inlineStr">
        <is>
          <t>key_event</t>
        </is>
      </c>
      <c r="D645" s="2" t="inlineStr">
        <is>
          <t>Key event (M&amp;A, financing, strategy)</t>
        </is>
      </c>
      <c r="E645" s="2" t="n"/>
      <c r="F645" s="2" t="n"/>
      <c r="G645" s="2" t="n"/>
      <c r="H645" s="3" t="inlineStr">
        <is>
          <t>Agreement signed March 3, 2026 to acquire approximately 27% of Missoni S.p.A., closing expected Q2 2026, financed mainly from own funds plus a EUR 15m bond increase to EUR 200m.</t>
        </is>
      </c>
      <c r="I645" s="2" t="inlineStr">
        <is>
          <t>S3</t>
        </is>
      </c>
      <c r="J645" s="2" t="n">
        <v>5</v>
      </c>
      <c r="K645" s="3" t="inlineStr">
        <is>
          <t>With the signing of the agreement on March 3, 2026, the foundation was laid for the acquisition of approximately 27% of Missoni S.p.A. Closing is expected in the second quarter of the current year.</t>
        </is>
      </c>
      <c r="L645" s="2" t="inlineStr">
        <is>
          <t>ok</t>
        </is>
      </c>
      <c r="M645" s="2" t="inlineStr">
        <is>
          <t>demo reviewer</t>
        </is>
      </c>
      <c r="N645" s="2" t="n"/>
      <c r="O645" s="3" t="inlineStr">
        <is>
          <t>https://vanillabonds.com/dossier-data/pdf/katjes/katjes-2025-annual-report.pdf#page=5</t>
        </is>
      </c>
    </row>
    <row r="646">
      <c r="A646" s="2" t="inlineStr">
        <is>
          <t>F645</t>
        </is>
      </c>
      <c r="B646" s="2" t="inlineStr">
        <is>
          <t>business</t>
        </is>
      </c>
      <c r="C646" s="2" t="inlineStr">
        <is>
          <t>key_event</t>
        </is>
      </c>
      <c r="D646" s="2" t="inlineStr">
        <is>
          <t>Key event (M&amp;A, financing, strategy)</t>
        </is>
      </c>
      <c r="E646" s="2" t="n"/>
      <c r="F646" s="2" t="n"/>
      <c r="G646" s="2" t="n"/>
      <c r="H646" s="3" t="inlineStr">
        <is>
          <t>Joint venture Shirin Beauty (50%, with Shirin David) launched a premium beauty line at the start of Q2 2025; share of profit 0.8 in 2025.</t>
        </is>
      </c>
      <c r="I646" s="2" t="inlineStr">
        <is>
          <t>S3</t>
        </is>
      </c>
      <c r="J646" s="2" t="n">
        <v>5</v>
      </c>
      <c r="K646" s="3" t="inlineStr">
        <is>
          <t>successfully launched a premium beauty line at the beginning of the second quarter of 2025</t>
        </is>
      </c>
      <c r="L646" s="2" t="inlineStr">
        <is>
          <t>ok</t>
        </is>
      </c>
      <c r="M646" s="2" t="inlineStr">
        <is>
          <t>demo reviewer</t>
        </is>
      </c>
      <c r="N646" s="2" t="n"/>
      <c r="O646" s="3" t="inlineStr">
        <is>
          <t>https://vanillabonds.com/dossier-data/pdf/katjes/katjes-2025-annual-report.pdf#page=5</t>
        </is>
      </c>
    </row>
    <row r="647">
      <c r="A647" s="2" t="inlineStr">
        <is>
          <t>F646</t>
        </is>
      </c>
      <c r="B647" s="2" t="inlineStr">
        <is>
          <t>business</t>
        </is>
      </c>
      <c r="C647" s="2" t="inlineStr">
        <is>
          <t>key_event</t>
        </is>
      </c>
      <c r="D647" s="2" t="inlineStr">
        <is>
          <t>Key event (M&amp;A, financing, strategy)</t>
        </is>
      </c>
      <c r="E647" s="2" t="n"/>
      <c r="F647" s="2" t="n"/>
      <c r="G647" s="2" t="n"/>
      <c r="H647" s="3" t="inlineStr">
        <is>
          <t>Joint venture Shades Snacks Ltd. (49%, with Niko Omilana) launched 'Shades by Niko' in the UK in May 2025; more than 10 million packs sold in 2025; share of profit 0.5.</t>
        </is>
      </c>
      <c r="I647" s="2" t="inlineStr">
        <is>
          <t>S3</t>
        </is>
      </c>
      <c r="J647" s="2" t="n">
        <v>5</v>
      </c>
      <c r="K647" s="3" t="inlineStr">
        <is>
          <t>launched the sale of products under the brand “Shades by Niko” in the United Kingdom in May.</t>
        </is>
      </c>
      <c r="L647" s="2" t="inlineStr">
        <is>
          <t>ok</t>
        </is>
      </c>
      <c r="M647" s="2" t="inlineStr">
        <is>
          <t>demo reviewer</t>
        </is>
      </c>
      <c r="N647" s="2" t="n"/>
      <c r="O647" s="3" t="inlineStr">
        <is>
          <t>https://vanillabonds.com/dossier-data/pdf/katjes/katjes-2025-annual-report.pdf#page=5</t>
        </is>
      </c>
    </row>
    <row r="648">
      <c r="A648" s="2" t="inlineStr">
        <is>
          <t>F647</t>
        </is>
      </c>
      <c r="B648" s="2" t="inlineStr">
        <is>
          <t>business</t>
        </is>
      </c>
      <c r="C648" s="2" t="inlineStr">
        <is>
          <t>key_event</t>
        </is>
      </c>
      <c r="D648" s="2" t="inlineStr">
        <is>
          <t>Key event (M&amp;A, financing, strategy)</t>
        </is>
      </c>
      <c r="E648" s="2" t="n"/>
      <c r="F648" s="2" t="n">
        <v>68.40000000000001</v>
      </c>
      <c r="G648" s="2" t="n"/>
      <c r="H648" s="3" t="inlineStr">
        <is>
          <t>The 2023/2028 bond was increased by EUR 70m in August 2025 to fund the Bogner acquisition; net inflow after transaction costs 68.4.</t>
        </is>
      </c>
      <c r="I648" s="2" t="inlineStr">
        <is>
          <t>S3</t>
        </is>
      </c>
      <c r="J648" s="2" t="n">
        <v>42</v>
      </c>
      <c r="K648" s="3" t="inlineStr">
        <is>
          <t>Increase of the 2023/2028 bond, net of transaction costs 68.4 0.0</t>
        </is>
      </c>
      <c r="L648" s="2" t="inlineStr">
        <is>
          <t>ok</t>
        </is>
      </c>
      <c r="M648" s="2" t="inlineStr">
        <is>
          <t>demo reviewer</t>
        </is>
      </c>
      <c r="N648" s="2" t="n"/>
      <c r="O648" s="3" t="inlineStr">
        <is>
          <t>https://vanillabonds.com/dossier-data/pdf/katjes/katjes-2025-annual-report.pdf#page=42</t>
        </is>
      </c>
    </row>
    <row r="649">
      <c r="A649" s="2" t="inlineStr">
        <is>
          <t>F648</t>
        </is>
      </c>
      <c r="B649" s="2" t="inlineStr">
        <is>
          <t>business</t>
        </is>
      </c>
      <c r="C649" s="2" t="inlineStr">
        <is>
          <t>key_event</t>
        </is>
      </c>
      <c r="D649" s="2" t="inlineStr">
        <is>
          <t>Key event (M&amp;A, financing, strategy)</t>
        </is>
      </c>
      <c r="E649" s="2" t="n"/>
      <c r="F649" s="2" t="n"/>
      <c r="G649" s="2" t="n"/>
      <c r="H649" s="3" t="inlineStr">
        <is>
          <t>The Bogner entities' financial year-end was changed from March 31 to December 31 on joining the Group.</t>
        </is>
      </c>
      <c r="I649" s="2" t="inlineStr">
        <is>
          <t>S3</t>
        </is>
      </c>
      <c r="J649" s="2" t="n">
        <v>45</v>
      </c>
      <c r="K649" s="3" t="inlineStr">
        <is>
          <t>The financial year-end of the Bogner entities, which have been part of Katjes International since September 1, 2025, was changed from March 31</t>
        </is>
      </c>
      <c r="L649" s="2" t="inlineStr">
        <is>
          <t>ok</t>
        </is>
      </c>
      <c r="M649" s="2" t="inlineStr">
        <is>
          <t>demo reviewer</t>
        </is>
      </c>
      <c r="N649" s="2" t="n"/>
      <c r="O649" s="3" t="inlineStr">
        <is>
          <t>https://vanillabonds.com/dossier-data/pdf/katjes/katjes-2025-annual-report.pdf#page=45</t>
        </is>
      </c>
    </row>
    <row r="650">
      <c r="A650" s="2" t="inlineStr">
        <is>
          <t>F649</t>
        </is>
      </c>
      <c r="B650" s="2" t="inlineStr">
        <is>
          <t>business</t>
        </is>
      </c>
      <c r="C650" s="2" t="inlineStr">
        <is>
          <t>key_event</t>
        </is>
      </c>
      <c r="D650" s="2" t="inlineStr">
        <is>
          <t>Key event (M&amp;A, financing, strategy)</t>
        </is>
      </c>
      <c r="E650" s="2" t="n"/>
      <c r="F650" s="2" t="n">
        <v>61.2</v>
      </c>
      <c r="G650" s="2" t="n"/>
      <c r="H650" s="3" t="inlineStr">
        <is>
          <t>On September 1, 2025 Katjes Quiet Luxury GmbH acquired 60% of Willy Bogner GmbH; the Bogner family keeps 40%; cash outflow EUR 61.2m.</t>
        </is>
      </c>
      <c r="I650" s="2" t="inlineStr">
        <is>
          <t>S3</t>
        </is>
      </c>
      <c r="J650" s="2" t="n">
        <v>53</v>
      </c>
      <c r="K650" s="3" t="inlineStr">
        <is>
          <t>acquired 60% of the shares and thus a majority stake in Willy Bogner GmbH (“Bogner Group”, “Bogner entities”, “Bogner”). The remaining 40% of the shares continue to be held by the Bogner family.</t>
        </is>
      </c>
      <c r="L650" s="2" t="inlineStr">
        <is>
          <t>ok</t>
        </is>
      </c>
      <c r="M650" s="2" t="inlineStr">
        <is>
          <t>demo reviewer</t>
        </is>
      </c>
      <c r="N650" s="2" t="n"/>
      <c r="O650" s="3" t="inlineStr">
        <is>
          <t>https://vanillabonds.com/dossier-data/pdf/katjes/katjes-2025-annual-report.pdf#page=53</t>
        </is>
      </c>
    </row>
    <row r="651">
      <c r="A651" s="2" t="inlineStr">
        <is>
          <t>F650</t>
        </is>
      </c>
      <c r="B651" s="2" t="inlineStr">
        <is>
          <t>business</t>
        </is>
      </c>
      <c r="C651" s="2" t="inlineStr">
        <is>
          <t>key_event</t>
        </is>
      </c>
      <c r="D651" s="2" t="inlineStr">
        <is>
          <t>Key event (M&amp;A, financing, strategy)</t>
        </is>
      </c>
      <c r="E651" s="2" t="n"/>
      <c r="F651" s="2" t="n">
        <v>81.90000000000001</v>
      </c>
      <c r="G651" s="2" t="n"/>
      <c r="H651" s="3" t="inlineStr">
        <is>
          <t>In Q4 2025 the 23% equity-accounted stake in CPK S.A.S., Paris was sold under tag-along rights for slightly more than EUR 80m (cash flow statement: 81.9) with a gain of about EUR 20m before transaction costs.</t>
        </is>
      </c>
      <c r="I651" s="2" t="inlineStr">
        <is>
          <t>S3</t>
        </is>
      </c>
      <c r="J651" s="2" t="n">
        <v>53</v>
      </c>
      <c r="K651" s="3" t="inlineStr">
        <is>
          <t>In the fourth quarter of 2025, the 23% minority interest in the French company CPK, accounted for using the equity method, was sold.</t>
        </is>
      </c>
      <c r="L651" s="2" t="inlineStr">
        <is>
          <t>ok</t>
        </is>
      </c>
      <c r="M651" s="2" t="inlineStr">
        <is>
          <t>demo reviewer</t>
        </is>
      </c>
      <c r="N651" s="2" t="n"/>
      <c r="O651" s="3" t="inlineStr">
        <is>
          <t>https://vanillabonds.com/dossier-data/pdf/katjes/katjes-2025-annual-report.pdf#page=53</t>
        </is>
      </c>
    </row>
    <row r="652">
      <c r="A652" s="2" t="inlineStr">
        <is>
          <t>F651</t>
        </is>
      </c>
      <c r="B652" s="2" t="inlineStr">
        <is>
          <t>business</t>
        </is>
      </c>
      <c r="C652" s="2" t="inlineStr">
        <is>
          <t>key_event</t>
        </is>
      </c>
      <c r="D652" s="2" t="inlineStr">
        <is>
          <t>Key event (M&amp;A, financing, strategy)</t>
        </is>
      </c>
      <c r="E652" s="2" t="n"/>
      <c r="F652" s="2" t="n"/>
      <c r="G652" s="2" t="n"/>
      <c r="H652" s="3" t="inlineStr">
        <is>
          <t>In February 2026 Future Snacks Ltd. (UK) acquired 100% of Nature Delivered Ltd. ('Graze') from Unilever; agreements signed December 2025; price not stated.</t>
        </is>
      </c>
      <c r="I652" s="2" t="inlineStr">
        <is>
          <t>S3</t>
        </is>
      </c>
      <c r="J652" s="2" t="n">
        <v>81</v>
      </c>
      <c r="K652" s="3" t="inlineStr">
        <is>
          <t>Kingdom, acquired 100% of the shares in Nature Delivered Ltd. (“Graze”) from Unilever as planned. The related agreements were signed in December 2025.</t>
        </is>
      </c>
      <c r="L652" s="2" t="inlineStr">
        <is>
          <t>ok</t>
        </is>
      </c>
      <c r="M652" s="2" t="inlineStr">
        <is>
          <t>demo reviewer</t>
        </is>
      </c>
      <c r="N652" s="2" t="n"/>
      <c r="O652" s="3" t="inlineStr">
        <is>
          <t>https://vanillabonds.com/dossier-data/pdf/katjes/katjes-2025-annual-report.pdf#page=81</t>
        </is>
      </c>
    </row>
    <row r="653">
      <c r="A653" s="2" t="inlineStr">
        <is>
          <t>F652</t>
        </is>
      </c>
      <c r="B653" s="2" t="inlineStr">
        <is>
          <t>financials</t>
        </is>
      </c>
      <c r="C653" s="2" t="inlineStr">
        <is>
          <t>revenue</t>
        </is>
      </c>
      <c r="D653" s="2" t="inlineStr">
        <is>
          <t>Revenue</t>
        </is>
      </c>
      <c r="E653" s="2" t="inlineStr">
        <is>
          <t>FY2021</t>
        </is>
      </c>
      <c r="F653" s="2" t="n">
        <v>255</v>
      </c>
      <c r="G653" s="2" t="inlineStr">
        <is>
          <t>EUR m</t>
        </is>
      </c>
      <c r="H653" s="3" t="inlineStr">
        <is>
          <t>Rounded chart value from the At a glance sales development series</t>
        </is>
      </c>
      <c r="I653" s="2" t="inlineStr">
        <is>
          <t>S3</t>
        </is>
      </c>
      <c r="J653" s="2" t="n">
        <v>7</v>
      </c>
      <c r="K653" s="3" t="inlineStr">
        <is>
          <t>255 295 377 393 2021 2022 2023 2024 2025 503</t>
        </is>
      </c>
      <c r="L653" s="2" t="inlineStr">
        <is>
          <t>ok</t>
        </is>
      </c>
      <c r="M653" s="2" t="inlineStr">
        <is>
          <t>demo reviewer</t>
        </is>
      </c>
      <c r="N653" s="2" t="n"/>
      <c r="O653" s="3" t="inlineStr">
        <is>
          <t>https://vanillabonds.com/dossier-data/pdf/katjes/katjes-2025-annual-report.pdf#page=7</t>
        </is>
      </c>
    </row>
    <row r="654">
      <c r="A654" s="2" t="inlineStr">
        <is>
          <t>F653</t>
        </is>
      </c>
      <c r="B654" s="2" t="inlineStr">
        <is>
          <t>financials</t>
        </is>
      </c>
      <c r="C654" s="2" t="inlineStr">
        <is>
          <t>revenue</t>
        </is>
      </c>
      <c r="D654" s="2" t="inlineStr">
        <is>
          <t>Revenue</t>
        </is>
      </c>
      <c r="E654" s="2" t="inlineStr">
        <is>
          <t>FY2022</t>
        </is>
      </c>
      <c r="F654" s="2" t="n">
        <v>295</v>
      </c>
      <c r="G654" s="2" t="inlineStr">
        <is>
          <t>EUR m</t>
        </is>
      </c>
      <c r="H654" s="3" t="inlineStr">
        <is>
          <t>Rounded chart value from the At a glance sales development series</t>
        </is>
      </c>
      <c r="I654" s="2" t="inlineStr">
        <is>
          <t>S3</t>
        </is>
      </c>
      <c r="J654" s="2" t="n">
        <v>7</v>
      </c>
      <c r="K654" s="3" t="inlineStr">
        <is>
          <t>255 295 377 393 2021 2022 2023 2024 2025 503</t>
        </is>
      </c>
      <c r="L654" s="2" t="inlineStr">
        <is>
          <t>ok</t>
        </is>
      </c>
      <c r="M654" s="2" t="inlineStr">
        <is>
          <t>demo reviewer</t>
        </is>
      </c>
      <c r="N654" s="2" t="n"/>
      <c r="O654" s="3" t="inlineStr">
        <is>
          <t>https://vanillabonds.com/dossier-data/pdf/katjes/katjes-2025-annual-report.pdf#page=7</t>
        </is>
      </c>
    </row>
    <row r="655">
      <c r="A655" s="2" t="inlineStr">
        <is>
          <t>F654</t>
        </is>
      </c>
      <c r="B655" s="2" t="inlineStr">
        <is>
          <t>financials</t>
        </is>
      </c>
      <c r="C655" s="2" t="inlineStr">
        <is>
          <t>revenue</t>
        </is>
      </c>
      <c r="D655" s="2" t="inlineStr">
        <is>
          <t>Revenue</t>
        </is>
      </c>
      <c r="E655" s="2" t="inlineStr">
        <is>
          <t>FY2023</t>
        </is>
      </c>
      <c r="F655" s="2" t="n">
        <v>377</v>
      </c>
      <c r="G655" s="2" t="inlineStr">
        <is>
          <t>EUR m</t>
        </is>
      </c>
      <c r="H655" s="3" t="inlineStr">
        <is>
          <t>Rounded chart value from the At a glance sales development series (2021-2025: 255, 295, 377, 393, 503)</t>
        </is>
      </c>
      <c r="I655" s="2" t="inlineStr">
        <is>
          <t>S3</t>
        </is>
      </c>
      <c r="J655" s="2" t="n">
        <v>7</v>
      </c>
      <c r="K655" s="3" t="inlineStr">
        <is>
          <t>255 295 377 393 2021 2022 2023 2024 2025 503</t>
        </is>
      </c>
      <c r="L655" s="2" t="inlineStr">
        <is>
          <t>ok</t>
        </is>
      </c>
      <c r="M655" s="2" t="inlineStr">
        <is>
          <t>demo reviewer</t>
        </is>
      </c>
      <c r="N655" s="2" t="n"/>
      <c r="O655" s="3" t="inlineStr">
        <is>
          <t>https://vanillabonds.com/dossier-data/pdf/katjes/katjes-2025-annual-report.pdf#page=7</t>
        </is>
      </c>
    </row>
    <row r="656">
      <c r="A656" s="2" t="inlineStr">
        <is>
          <t>F655</t>
        </is>
      </c>
      <c r="B656" s="2" t="inlineStr">
        <is>
          <t>financials</t>
        </is>
      </c>
      <c r="C656" s="2" t="inlineStr">
        <is>
          <t>revenue</t>
        </is>
      </c>
      <c r="D656" s="2" t="inlineStr">
        <is>
          <t>Revenue</t>
        </is>
      </c>
      <c r="E656" s="2" t="inlineStr">
        <is>
          <t>FY2024</t>
        </is>
      </c>
      <c r="F656" s="2" t="n">
        <v>392.6</v>
      </c>
      <c r="G656" s="2" t="inlineStr">
        <is>
          <t>EUR m</t>
        </is>
      </c>
      <c r="H656" s="3" t="inlineStr">
        <is>
          <t>Group revenue 2024 per consolidated income statement</t>
        </is>
      </c>
      <c r="I656" s="2" t="inlineStr">
        <is>
          <t>S3</t>
        </is>
      </c>
      <c r="J656" s="2" t="n">
        <v>37</v>
      </c>
      <c r="K656" s="2" t="inlineStr">
        <is>
          <t>Revenue 7.1 503.0 392.6</t>
        </is>
      </c>
      <c r="L656" s="2" t="inlineStr">
        <is>
          <t>ok</t>
        </is>
      </c>
      <c r="M656" s="2" t="inlineStr">
        <is>
          <t>demo reviewer</t>
        </is>
      </c>
      <c r="N656" s="2" t="n"/>
      <c r="O656" s="3" t="inlineStr">
        <is>
          <t>https://vanillabonds.com/dossier-data/pdf/katjes/katjes-2025-annual-report.pdf#page=37</t>
        </is>
      </c>
    </row>
    <row r="657">
      <c r="A657" s="2" t="inlineStr">
        <is>
          <t>F656</t>
        </is>
      </c>
      <c r="B657" s="2" t="inlineStr">
        <is>
          <t>financials</t>
        </is>
      </c>
      <c r="C657" s="2" t="inlineStr">
        <is>
          <t>revenue</t>
        </is>
      </c>
      <c r="D657" s="2" t="inlineStr">
        <is>
          <t>Revenue</t>
        </is>
      </c>
      <c r="E657" s="2" t="inlineStr">
        <is>
          <t>FY2025</t>
        </is>
      </c>
      <c r="F657" s="2" t="n">
        <v>503</v>
      </c>
      <c r="G657" s="2" t="inlineStr">
        <is>
          <t>EUR m</t>
        </is>
      </c>
      <c r="H657" s="3" t="inlineStr">
        <is>
          <t>Group revenue 2025 per consolidated income statement</t>
        </is>
      </c>
      <c r="I657" s="2" t="inlineStr">
        <is>
          <t>S3</t>
        </is>
      </c>
      <c r="J657" s="2" t="n">
        <v>37</v>
      </c>
      <c r="K657" s="2" t="inlineStr">
        <is>
          <t>Revenue 7.1 503.0 392.6</t>
        </is>
      </c>
      <c r="L657" s="2" t="inlineStr">
        <is>
          <t>ok</t>
        </is>
      </c>
      <c r="M657" s="2" t="inlineStr">
        <is>
          <t>demo reviewer</t>
        </is>
      </c>
      <c r="N657" s="2" t="n"/>
      <c r="O657" s="3" t="inlineStr">
        <is>
          <t>https://vanillabonds.com/dossier-data/pdf/katjes/katjes-2025-annual-report.pdf#page=37</t>
        </is>
      </c>
    </row>
    <row r="658">
      <c r="A658" s="2" t="inlineStr">
        <is>
          <t>F657</t>
        </is>
      </c>
      <c r="B658" s="2" t="inlineStr">
        <is>
          <t>financials</t>
        </is>
      </c>
      <c r="C658" s="2" t="inlineStr">
        <is>
          <t>ebitda</t>
        </is>
      </c>
      <c r="D658" s="2" t="inlineStr">
        <is>
          <t>EBITDA (as reported)</t>
        </is>
      </c>
      <c r="E658" s="2" t="inlineStr">
        <is>
          <t>FY2021</t>
        </is>
      </c>
      <c r="F658" s="2" t="n">
        <v>41</v>
      </c>
      <c r="G658" s="2" t="inlineStr">
        <is>
          <t>EUR m</t>
        </is>
      </c>
      <c r="H658" s="3" t="inlineStr">
        <is>
          <t>Rounded chart value from the At a glance EBITDA series</t>
        </is>
      </c>
      <c r="I658" s="2" t="inlineStr">
        <is>
          <t>S3</t>
        </is>
      </c>
      <c r="J658" s="2" t="n">
        <v>7</v>
      </c>
      <c r="K658" s="2" t="inlineStr">
        <is>
          <t>41 37 23 2021 2022 2023 2024 2025 45 99</t>
        </is>
      </c>
      <c r="L658" s="2" t="inlineStr">
        <is>
          <t>pend</t>
        </is>
      </c>
      <c r="M658" s="2" t="n"/>
      <c r="N658" s="3" t="inlineStr">
        <is>
          <t>conflict: S1·p7 17.0 vs S3·p7 41.0; primary per fact agent: open - no audited statement on file carries FY2021 EBITDA, and the chart text layers in S1 p7, S2 p7 and S3 p7 list bar values without a year for each bar; once FY2022 = 37.3 and FY2023 = 40.8 are taken out, S1 leaves 23, 25 or 17, S2 leaves 23 or 25 and S3 leaves 23 for FY2021, so a reviewer reads the chart images; the S1 FY2019 fact (23.0) depends on the same reading.</t>
        </is>
      </c>
      <c r="O658" s="3" t="inlineStr">
        <is>
          <t>https://vanillabonds.com/dossier-data/pdf/katjes/katjes-2025-annual-report.pdf#page=7</t>
        </is>
      </c>
    </row>
    <row r="659">
      <c r="A659" s="2" t="inlineStr">
        <is>
          <t>F658</t>
        </is>
      </c>
      <c r="B659" s="2" t="inlineStr">
        <is>
          <t>financials</t>
        </is>
      </c>
      <c r="C659" s="2" t="inlineStr">
        <is>
          <t>ebitda</t>
        </is>
      </c>
      <c r="D659" s="2" t="inlineStr">
        <is>
          <t>EBITDA (as reported)</t>
        </is>
      </c>
      <c r="E659" s="2" t="inlineStr">
        <is>
          <t>FY2022</t>
        </is>
      </c>
      <c r="F659" s="2" t="n">
        <v>37</v>
      </c>
      <c r="G659" s="2" t="inlineStr">
        <is>
          <t>EUR m</t>
        </is>
      </c>
      <c r="H659" s="3" t="inlineStr">
        <is>
          <t>Rounded chart value from the At a glance EBITDA series</t>
        </is>
      </c>
      <c r="I659" s="2" t="inlineStr">
        <is>
          <t>S3</t>
        </is>
      </c>
      <c r="J659" s="2" t="n">
        <v>7</v>
      </c>
      <c r="K659" s="2" t="inlineStr">
        <is>
          <t>41 37 23 2021 2022 2023 2024 2025 45 99</t>
        </is>
      </c>
      <c r="L659" s="2" t="inlineStr">
        <is>
          <t>ok</t>
        </is>
      </c>
      <c r="M659" s="2" t="inlineStr">
        <is>
          <t>demo reviewer</t>
        </is>
      </c>
      <c r="N659" s="2" t="n"/>
      <c r="O659" s="3" t="inlineStr">
        <is>
          <t>https://vanillabonds.com/dossier-data/pdf/katjes/katjes-2025-annual-report.pdf#page=7</t>
        </is>
      </c>
    </row>
    <row r="660">
      <c r="A660" s="2" t="inlineStr">
        <is>
          <t>F659</t>
        </is>
      </c>
      <c r="B660" s="2" t="inlineStr">
        <is>
          <t>financials</t>
        </is>
      </c>
      <c r="C660" s="2" t="inlineStr">
        <is>
          <t>ebitda</t>
        </is>
      </c>
      <c r="D660" s="2" t="inlineStr">
        <is>
          <t>EBITDA (as reported)</t>
        </is>
      </c>
      <c r="E660" s="2" t="inlineStr">
        <is>
          <t>FY2023</t>
        </is>
      </c>
      <c r="F660" s="2" t="n">
        <v>23</v>
      </c>
      <c r="G660" s="2" t="inlineStr">
        <is>
          <t>EUR m</t>
        </is>
      </c>
      <c r="H660" s="3" t="inlineStr">
        <is>
          <t>Rounded chart value from the At a glance EBITDA series (2021-2025: 41, 37, 23, 45, 99)</t>
        </is>
      </c>
      <c r="I660" s="2" t="inlineStr">
        <is>
          <t>S3</t>
        </is>
      </c>
      <c r="J660" s="2" t="n">
        <v>7</v>
      </c>
      <c r="K660" s="2" t="inlineStr">
        <is>
          <t>41 37 23 2021 2022 2023 2024 2025 45 99</t>
        </is>
      </c>
      <c r="L660" s="2" t="inlineStr">
        <is>
          <t>pend</t>
        </is>
      </c>
      <c r="M660" s="2" t="n"/>
      <c r="N660" s="3" t="inlineStr">
        <is>
          <t>conflict: S1·p32 40.8 vs S2·p29 40.8 vs S3·p7 23.0; primary per fact agent: S2 p29 - S2 is the later audited report carrying FY2023 and its comparative equals S1 p32; S3 carries no FY2023 statement, and its 23.0 is a chart bar from p7 assigned to FY2023.</t>
        </is>
      </c>
      <c r="O660" s="3" t="inlineStr">
        <is>
          <t>https://vanillabonds.com/dossier-data/pdf/katjes/katjes-2025-annual-report.pdf#page=7</t>
        </is>
      </c>
    </row>
    <row r="661">
      <c r="A661" s="2" t="inlineStr">
        <is>
          <t>F660</t>
        </is>
      </c>
      <c r="B661" s="2" t="inlineStr">
        <is>
          <t>financials</t>
        </is>
      </c>
      <c r="C661" s="2" t="inlineStr">
        <is>
          <t>ebitda</t>
        </is>
      </c>
      <c r="D661" s="2" t="inlineStr">
        <is>
          <t>EBITDA (as reported)</t>
        </is>
      </c>
      <c r="E661" s="2" t="inlineStr">
        <is>
          <t>FY2024</t>
        </is>
      </c>
      <c r="F661" s="2" t="n">
        <v>44.8</v>
      </c>
      <c r="G661" s="2" t="inlineStr">
        <is>
          <t>EUR m</t>
        </is>
      </c>
      <c r="H661" s="3" t="inlineStr">
        <is>
          <t>EBITDA as reported in the group management report; EBITDA margin 11.4%</t>
        </is>
      </c>
      <c r="I661" s="2" t="inlineStr">
        <is>
          <t>S3</t>
        </is>
      </c>
      <c r="J661" s="2" t="n">
        <v>25</v>
      </c>
      <c r="K661" s="3" t="inlineStr">
        <is>
          <t>EBITDA amounted to EUR 98.8 million in the financial year 2025 (2024: EUR 44.8 million).</t>
        </is>
      </c>
      <c r="L661" s="2" t="inlineStr">
        <is>
          <t>ok</t>
        </is>
      </c>
      <c r="M661" s="2" t="inlineStr">
        <is>
          <t>demo reviewer</t>
        </is>
      </c>
      <c r="N661" s="2" t="n"/>
      <c r="O661" s="3" t="inlineStr">
        <is>
          <t>https://vanillabonds.com/dossier-data/pdf/katjes/katjes-2025-annual-report.pdf#page=25</t>
        </is>
      </c>
    </row>
    <row r="662">
      <c r="A662" s="2" t="inlineStr">
        <is>
          <t>F661</t>
        </is>
      </c>
      <c r="B662" s="2" t="inlineStr">
        <is>
          <t>financials</t>
        </is>
      </c>
      <c r="C662" s="2" t="inlineStr">
        <is>
          <t>ebitda</t>
        </is>
      </c>
      <c r="D662" s="2" t="inlineStr">
        <is>
          <t>EBITDA (as reported)</t>
        </is>
      </c>
      <c r="E662" s="2" t="inlineStr">
        <is>
          <t>FY2025</t>
        </is>
      </c>
      <c r="F662" s="2" t="n">
        <v>98.8</v>
      </c>
      <c r="G662" s="2" t="inlineStr">
        <is>
          <t>EUR m</t>
        </is>
      </c>
      <c r="H662" s="3" t="inlineStr">
        <is>
          <t>EBITDA as reported in the group management report; EBITDA margin 19.7%</t>
        </is>
      </c>
      <c r="I662" s="2" t="inlineStr">
        <is>
          <t>S3</t>
        </is>
      </c>
      <c r="J662" s="2" t="n">
        <v>25</v>
      </c>
      <c r="K662" s="3" t="inlineStr">
        <is>
          <t>EBITDA amounted to EUR 98.8 million in the financial year 2025 (2024: EUR 44.8 million).</t>
        </is>
      </c>
      <c r="L662" s="2" t="inlineStr">
        <is>
          <t>ok</t>
        </is>
      </c>
      <c r="M662" s="2" t="inlineStr">
        <is>
          <t>demo reviewer</t>
        </is>
      </c>
      <c r="N662" s="2" t="n"/>
      <c r="O662" s="3" t="inlineStr">
        <is>
          <t>https://vanillabonds.com/dossier-data/pdf/katjes/katjes-2025-annual-report.pdf#page=25</t>
        </is>
      </c>
    </row>
    <row r="663">
      <c r="A663" s="2" t="inlineStr">
        <is>
          <t>F662</t>
        </is>
      </c>
      <c r="B663" s="2" t="inlineStr">
        <is>
          <t>financials</t>
        </is>
      </c>
      <c r="C663" s="2" t="inlineStr">
        <is>
          <t>ebit</t>
        </is>
      </c>
      <c r="D663" s="2" t="inlineStr">
        <is>
          <t>EBIT / operating result</t>
        </is>
      </c>
      <c r="E663" s="2" t="inlineStr">
        <is>
          <t>FY2024</t>
        </is>
      </c>
      <c r="F663" s="2" t="n">
        <v>25</v>
      </c>
      <c r="G663" s="2" t="inlineStr">
        <is>
          <t>EUR m</t>
        </is>
      </c>
      <c r="H663" s="3" t="inlineStr">
        <is>
          <t>Operating result per consolidated income statement</t>
        </is>
      </c>
      <c r="I663" s="2" t="inlineStr">
        <is>
          <t>S3</t>
        </is>
      </c>
      <c r="J663" s="2" t="n">
        <v>37</v>
      </c>
      <c r="K663" s="2" t="inlineStr">
        <is>
          <t>Operating result 71.1 25.0</t>
        </is>
      </c>
      <c r="L663" s="2" t="inlineStr">
        <is>
          <t>ok</t>
        </is>
      </c>
      <c r="M663" s="2" t="inlineStr">
        <is>
          <t>demo reviewer</t>
        </is>
      </c>
      <c r="N663" s="2" t="n"/>
      <c r="O663" s="3" t="inlineStr">
        <is>
          <t>https://vanillabonds.com/dossier-data/pdf/katjes/katjes-2025-annual-report.pdf#page=37</t>
        </is>
      </c>
    </row>
    <row r="664">
      <c r="A664" s="2" t="inlineStr">
        <is>
          <t>F663</t>
        </is>
      </c>
      <c r="B664" s="2" t="inlineStr">
        <is>
          <t>financials</t>
        </is>
      </c>
      <c r="C664" s="2" t="inlineStr">
        <is>
          <t>ebit</t>
        </is>
      </c>
      <c r="D664" s="2" t="inlineStr">
        <is>
          <t>EBIT / operating result</t>
        </is>
      </c>
      <c r="E664" s="2" t="inlineStr">
        <is>
          <t>FY2025</t>
        </is>
      </c>
      <c r="F664" s="2" t="n">
        <v>71.09999999999999</v>
      </c>
      <c r="G664" s="2" t="inlineStr">
        <is>
          <t>EUR m</t>
        </is>
      </c>
      <c r="H664" s="3" t="inlineStr">
        <is>
          <t>Operating result per consolidated income statement</t>
        </is>
      </c>
      <c r="I664" s="2" t="inlineStr">
        <is>
          <t>S3</t>
        </is>
      </c>
      <c r="J664" s="2" t="n">
        <v>37</v>
      </c>
      <c r="K664" s="2" t="inlineStr">
        <is>
          <t>Operating result 71.1 25.0</t>
        </is>
      </c>
      <c r="L664" s="2" t="inlineStr">
        <is>
          <t>ok</t>
        </is>
      </c>
      <c r="M664" s="2" t="inlineStr">
        <is>
          <t>demo reviewer</t>
        </is>
      </c>
      <c r="N664" s="2" t="n"/>
      <c r="O664" s="3" t="inlineStr">
        <is>
          <t>https://vanillabonds.com/dossier-data/pdf/katjes/katjes-2025-annual-report.pdf#page=37</t>
        </is>
      </c>
    </row>
    <row r="665">
      <c r="A665" s="2" t="inlineStr">
        <is>
          <t>F664</t>
        </is>
      </c>
      <c r="B665" s="2" t="inlineStr">
        <is>
          <t>financials</t>
        </is>
      </c>
      <c r="C665" s="2" t="inlineStr">
        <is>
          <t>net_income</t>
        </is>
      </c>
      <c r="D665" s="2" t="inlineStr">
        <is>
          <t>Net result</t>
        </is>
      </c>
      <c r="E665" s="2" t="inlineStr">
        <is>
          <t>FY2024</t>
        </is>
      </c>
      <c r="F665" s="2" t="n">
        <v>3.2</v>
      </c>
      <c r="G665" s="2" t="inlineStr">
        <is>
          <t>EUR m</t>
        </is>
      </c>
      <c r="H665" s="3" t="inlineStr">
        <is>
          <t>Earnings after tax; non-controlling interests 0.0</t>
        </is>
      </c>
      <c r="I665" s="2" t="inlineStr">
        <is>
          <t>S3</t>
        </is>
      </c>
      <c r="J665" s="2" t="n">
        <v>37</v>
      </c>
      <c r="K665" s="2" t="inlineStr">
        <is>
          <t>Earnings after tax 53.2 3.2</t>
        </is>
      </c>
      <c r="L665" s="2" t="inlineStr">
        <is>
          <t>ok</t>
        </is>
      </c>
      <c r="M665" s="2" t="inlineStr">
        <is>
          <t>demo reviewer</t>
        </is>
      </c>
      <c r="N665" s="2" t="n"/>
      <c r="O665" s="3" t="inlineStr">
        <is>
          <t>https://vanillabonds.com/dossier-data/pdf/katjes/katjes-2025-annual-report.pdf#page=37</t>
        </is>
      </c>
    </row>
    <row r="666">
      <c r="A666" s="2" t="inlineStr">
        <is>
          <t>F665</t>
        </is>
      </c>
      <c r="B666" s="2" t="inlineStr">
        <is>
          <t>financials</t>
        </is>
      </c>
      <c r="C666" s="2" t="inlineStr">
        <is>
          <t>net_income</t>
        </is>
      </c>
      <c r="D666" s="2" t="inlineStr">
        <is>
          <t>Net result</t>
        </is>
      </c>
      <c r="E666" s="2" t="inlineStr">
        <is>
          <t>FY2025</t>
        </is>
      </c>
      <c r="F666" s="2" t="n">
        <v>53.2</v>
      </c>
      <c r="G666" s="2" t="inlineStr">
        <is>
          <t>EUR m</t>
        </is>
      </c>
      <c r="H666" s="3" t="inlineStr">
        <is>
          <t>Earnings after tax; of which non-controlling interests 3.1 and attributable to Katjes International 50.1</t>
        </is>
      </c>
      <c r="I666" s="2" t="inlineStr">
        <is>
          <t>S3</t>
        </is>
      </c>
      <c r="J666" s="2" t="n">
        <v>37</v>
      </c>
      <c r="K666" s="2" t="inlineStr">
        <is>
          <t>Earnings after tax 53.2 3.2</t>
        </is>
      </c>
      <c r="L666" s="2" t="inlineStr">
        <is>
          <t>ok</t>
        </is>
      </c>
      <c r="M666" s="2" t="inlineStr">
        <is>
          <t>demo reviewer</t>
        </is>
      </c>
      <c r="N666" s="2" t="n"/>
      <c r="O666" s="3" t="inlineStr">
        <is>
          <t>https://vanillabonds.com/dossier-data/pdf/katjes/katjes-2025-annual-report.pdf#page=37</t>
        </is>
      </c>
    </row>
    <row r="667">
      <c r="A667" s="2" t="inlineStr">
        <is>
          <t>F666</t>
        </is>
      </c>
      <c r="B667" s="2" t="inlineStr">
        <is>
          <t>financials</t>
        </is>
      </c>
      <c r="C667" s="2" t="inlineStr">
        <is>
          <t>da</t>
        </is>
      </c>
      <c r="D667" s="2" t="inlineStr">
        <is>
          <t>Depreciation &amp; amortisation</t>
        </is>
      </c>
      <c r="E667" s="2" t="inlineStr">
        <is>
          <t>FY2024</t>
        </is>
      </c>
      <c r="F667" s="2" t="n">
        <v>20.8</v>
      </c>
      <c r="G667" s="2" t="inlineStr">
        <is>
          <t>EUR m</t>
        </is>
      </c>
      <c r="H667" s="3" t="inlineStr">
        <is>
          <t>Total depreciation/amortisation additions per statement of changes in fixed assets incl. right-of-use assets 4.8 and participation write-down 1.6; cash flow statement lists 10.4 PP&amp;E, 4.8 right-of-use, 4.6 intangibles</t>
        </is>
      </c>
      <c r="I667" s="2" t="inlineStr">
        <is>
          <t>S3</t>
        </is>
      </c>
      <c r="J667" s="2" t="n">
        <v>86</v>
      </c>
      <c r="K667" s="3" t="inlineStr">
        <is>
          <t>414.0 31.3 0.0 -1.4 443.9 107.0 20.8 -0.5 127.4 316.4 307.1</t>
        </is>
      </c>
      <c r="L667" s="2" t="inlineStr">
        <is>
          <t>pend</t>
        </is>
      </c>
      <c r="M667" s="2" t="n"/>
      <c r="N667" s="3" t="inlineStr">
        <is>
          <t>conflict: S2·p74 19.8 vs S3·p86 20.8; primary per fact agent: S2 p74 - S3 does not restate FY2024: its 2024 cash flow lines on p42 (10.4, 4.8, 4.6) are the same as S2's, S3 shows no labelled D&amp;A total for 2024, and its 20.8 is the fixed-asset schedule column on p86, a different line; S2's labelled total of 19.8 stands.</t>
        </is>
      </c>
      <c r="O667" s="3" t="inlineStr">
        <is>
          <t>https://vanillabonds.com/dossier-data/pdf/katjes/katjes-2025-annual-report.pdf#page=86</t>
        </is>
      </c>
    </row>
    <row r="668">
      <c r="A668" s="2" t="inlineStr">
        <is>
          <t>F667</t>
        </is>
      </c>
      <c r="B668" s="2" t="inlineStr">
        <is>
          <t>financials</t>
        </is>
      </c>
      <c r="C668" s="2" t="inlineStr">
        <is>
          <t>da</t>
        </is>
      </c>
      <c r="D668" s="2" t="inlineStr">
        <is>
          <t>Depreciation &amp; amortisation</t>
        </is>
      </c>
      <c r="E668" s="2" t="inlineStr">
        <is>
          <t>FY2025</t>
        </is>
      </c>
      <c r="F668" s="2" t="n">
        <v>27.2</v>
      </c>
      <c r="G668" s="2" t="inlineStr">
        <is>
          <t>EUR m</t>
        </is>
      </c>
      <c r="H668" s="3" t="inlineStr">
        <is>
          <t>Total depreciation/amortisation additions per statement of changes in fixed assets incl. right-of-use assets; cash flow statement lists depreciation of PP&amp;E 11.4, amortisation of right-of-use assets 9.9, amortisation of intangibles 6.3</t>
        </is>
      </c>
      <c r="I668" s="2" t="inlineStr">
        <is>
          <t>S3</t>
        </is>
      </c>
      <c r="J668" s="2" t="n">
        <v>85</v>
      </c>
      <c r="K668" s="3" t="inlineStr">
        <is>
          <t>443.9 23.3 -1.1 -65.7 291.1 691.6 127.4 27.2 -1.0 91.8 245.5 446.0 316.4</t>
        </is>
      </c>
      <c r="L668" s="2" t="inlineStr">
        <is>
          <t>ok</t>
        </is>
      </c>
      <c r="M668" s="2" t="inlineStr">
        <is>
          <t>demo reviewer</t>
        </is>
      </c>
      <c r="N668" s="2" t="n"/>
      <c r="O668" s="3" t="inlineStr">
        <is>
          <t>https://vanillabonds.com/dossier-data/pdf/katjes/katjes-2025-annual-report.pdf#page=85</t>
        </is>
      </c>
    </row>
    <row r="669">
      <c r="A669" s="2" t="inlineStr">
        <is>
          <t>F668</t>
        </is>
      </c>
      <c r="B669" s="2" t="inlineStr">
        <is>
          <t>financials</t>
        </is>
      </c>
      <c r="C669" s="2" t="inlineStr">
        <is>
          <t>net_interest</t>
        </is>
      </c>
      <c r="D669" s="2" t="inlineStr">
        <is>
          <t>Net finance cost</t>
        </is>
      </c>
      <c r="E669" s="2" t="inlineStr">
        <is>
          <t>FY2024</t>
        </is>
      </c>
      <c r="F669" s="2" t="n">
        <v>11.6</v>
      </c>
      <c r="G669" s="2" t="inlineStr">
        <is>
          <t>EUR m</t>
        </is>
      </c>
      <c r="H669" s="3" t="inlineStr">
        <is>
          <t>Financial result -11.6 reported as net finance cost</t>
        </is>
      </c>
      <c r="I669" s="2" t="inlineStr">
        <is>
          <t>S3</t>
        </is>
      </c>
      <c r="J669" s="2" t="n">
        <v>37</v>
      </c>
      <c r="K669" s="2" t="inlineStr">
        <is>
          <t>Financial result 7.4 -19.2 -11.6</t>
        </is>
      </c>
      <c r="L669" s="2" t="inlineStr">
        <is>
          <t>ok</t>
        </is>
      </c>
      <c r="M669" s="2" t="inlineStr">
        <is>
          <t>demo reviewer</t>
        </is>
      </c>
      <c r="N669" s="2" t="n"/>
      <c r="O669" s="3" t="inlineStr">
        <is>
          <t>https://vanillabonds.com/dossier-data/pdf/katjes/katjes-2025-annual-report.pdf#page=37</t>
        </is>
      </c>
    </row>
    <row r="670">
      <c r="A670" s="2" t="inlineStr">
        <is>
          <t>F669</t>
        </is>
      </c>
      <c r="B670" s="2" t="inlineStr">
        <is>
          <t>financials</t>
        </is>
      </c>
      <c r="C670" s="2" t="inlineStr">
        <is>
          <t>net_interest</t>
        </is>
      </c>
      <c r="D670" s="2" t="inlineStr">
        <is>
          <t>Net finance cost</t>
        </is>
      </c>
      <c r="E670" s="2" t="inlineStr">
        <is>
          <t>FY2025</t>
        </is>
      </c>
      <c r="F670" s="2" t="n">
        <v>19.2</v>
      </c>
      <c r="G670" s="2" t="inlineStr">
        <is>
          <t>EUR m</t>
        </is>
      </c>
      <c r="H670" s="3" t="inlineStr">
        <is>
          <t>Financial result -19.2 reported as net finance cost; includes share of loss of Bogner GCA Holding -1.8 and share of profit of CPK 1.8</t>
        </is>
      </c>
      <c r="I670" s="2" t="inlineStr">
        <is>
          <t>S3</t>
        </is>
      </c>
      <c r="J670" s="2" t="n">
        <v>37</v>
      </c>
      <c r="K670" s="2" t="inlineStr">
        <is>
          <t>Financial result 7.4 -19.2 -11.6</t>
        </is>
      </c>
      <c r="L670" s="2" t="inlineStr">
        <is>
          <t>ok</t>
        </is>
      </c>
      <c r="M670" s="2" t="inlineStr">
        <is>
          <t>demo reviewer</t>
        </is>
      </c>
      <c r="N670" s="2" t="n"/>
      <c r="O670" s="3" t="inlineStr">
        <is>
          <t>https://vanillabonds.com/dossier-data/pdf/katjes/katjes-2025-annual-report.pdf#page=37</t>
        </is>
      </c>
    </row>
    <row r="671">
      <c r="A671" s="2" t="inlineStr">
        <is>
          <t>F670</t>
        </is>
      </c>
      <c r="B671" s="2" t="inlineStr">
        <is>
          <t>financials</t>
        </is>
      </c>
      <c r="C671" s="2" t="inlineStr">
        <is>
          <t>cfo</t>
        </is>
      </c>
      <c r="D671" s="2" t="inlineStr">
        <is>
          <t>Cash flow from operating activities</t>
        </is>
      </c>
      <c r="E671" s="2" t="inlineStr">
        <is>
          <t>FY2024</t>
        </is>
      </c>
      <c r="F671" s="2" t="n">
        <v>45.6</v>
      </c>
      <c r="G671" s="2" t="inlineStr">
        <is>
          <t>EUR m</t>
        </is>
      </c>
      <c r="H671" s="2" t="inlineStr">
        <is>
          <t>Cash flow from operating activities</t>
        </is>
      </c>
      <c r="I671" s="2" t="inlineStr">
        <is>
          <t>S3</t>
        </is>
      </c>
      <c r="J671" s="2" t="n">
        <v>42</v>
      </c>
      <c r="K671" s="3" t="inlineStr">
        <is>
          <t>Cash flow from operating activities 19.1 45.6</t>
        </is>
      </c>
      <c r="L671" s="2" t="inlineStr">
        <is>
          <t>ok</t>
        </is>
      </c>
      <c r="M671" s="2" t="inlineStr">
        <is>
          <t>demo reviewer</t>
        </is>
      </c>
      <c r="N671" s="2" t="n"/>
      <c r="O671" s="3" t="inlineStr">
        <is>
          <t>https://vanillabonds.com/dossier-data/pdf/katjes/katjes-2025-annual-report.pdf#page=42</t>
        </is>
      </c>
    </row>
    <row r="672">
      <c r="A672" s="2" t="inlineStr">
        <is>
          <t>F671</t>
        </is>
      </c>
      <c r="B672" s="2" t="inlineStr">
        <is>
          <t>financials</t>
        </is>
      </c>
      <c r="C672" s="2" t="inlineStr">
        <is>
          <t>cfo</t>
        </is>
      </c>
      <c r="D672" s="2" t="inlineStr">
        <is>
          <t>Cash flow from operating activities</t>
        </is>
      </c>
      <c r="E672" s="2" t="inlineStr">
        <is>
          <t>FY2025</t>
        </is>
      </c>
      <c r="F672" s="2" t="n">
        <v>19.1</v>
      </c>
      <c r="G672" s="2" t="inlineStr">
        <is>
          <t>EUR m</t>
        </is>
      </c>
      <c r="H672" s="3" t="inlineStr">
        <is>
          <t>Cash flow from operating activities; decrease attributed to inclusion of the Bogner Group and its seasonal working capital</t>
        </is>
      </c>
      <c r="I672" s="2" t="inlineStr">
        <is>
          <t>S3</t>
        </is>
      </c>
      <c r="J672" s="2" t="n">
        <v>42</v>
      </c>
      <c r="K672" s="3" t="inlineStr">
        <is>
          <t>Cash flow from operating activities 19.1 45.6</t>
        </is>
      </c>
      <c r="L672" s="2" t="inlineStr">
        <is>
          <t>ok</t>
        </is>
      </c>
      <c r="M672" s="2" t="inlineStr">
        <is>
          <t>demo reviewer</t>
        </is>
      </c>
      <c r="N672" s="2" t="n"/>
      <c r="O672" s="3" t="inlineStr">
        <is>
          <t>https://vanillabonds.com/dossier-data/pdf/katjes/katjes-2025-annual-report.pdf#page=42</t>
        </is>
      </c>
    </row>
    <row r="673">
      <c r="A673" s="2" t="inlineStr">
        <is>
          <t>F672</t>
        </is>
      </c>
      <c r="B673" s="2" t="inlineStr">
        <is>
          <t>financials</t>
        </is>
      </c>
      <c r="C673" s="2" t="inlineStr">
        <is>
          <t>capex</t>
        </is>
      </c>
      <c r="D673" s="2" t="inlineStr">
        <is>
          <t>Capex (PP&amp;E + intangibles)</t>
        </is>
      </c>
      <c r="E673" s="2" t="inlineStr">
        <is>
          <t>FY2024</t>
        </is>
      </c>
      <c r="F673" s="2" t="n">
        <v>18.8</v>
      </c>
      <c r="G673" s="2" t="inlineStr">
        <is>
          <t>EUR m</t>
        </is>
      </c>
      <c r="H673" s="3" t="inlineStr">
        <is>
          <t>Additions at cost to intangible assets (5.2) and property, plant and equipment (13.6) per statement of changes in fixed assets; cash flow statement shows -13.0 PP&amp;E and -4.9 intangibles</t>
        </is>
      </c>
      <c r="I673" s="2" t="inlineStr">
        <is>
          <t>S3</t>
        </is>
      </c>
      <c r="J673" s="2" t="n">
        <v>86</v>
      </c>
      <c r="K673" s="3" t="inlineStr">
        <is>
          <t>330.1 18.8 0.0 -1.4 347.5 95.4 14.4 -0.5 109.3 238.2 234.8</t>
        </is>
      </c>
      <c r="L673" s="2" t="inlineStr">
        <is>
          <t>pend</t>
        </is>
      </c>
      <c r="M673" s="2" t="n"/>
      <c r="N673" s="3" t="inlineStr">
        <is>
          <t>conflict: S2·p45 17.9 vs S3·p86 18.8; primary per fact agent: S3 p42 - S3 is the later audited report; its FY2024 cash flow comparatives (-13.0 and -4.9) are the same lines as S2's, so S2's 17.9 on the cash flow basis stands, and S3's 18.8 is the fixed-asset schedule additions on p86, a different line.</t>
        </is>
      </c>
      <c r="O673" s="3" t="inlineStr">
        <is>
          <t>https://vanillabonds.com/dossier-data/pdf/katjes/katjes-2025-annual-report.pdf#page=86</t>
        </is>
      </c>
    </row>
    <row r="674">
      <c r="A674" s="2" t="inlineStr">
        <is>
          <t>F673</t>
        </is>
      </c>
      <c r="B674" s="2" t="inlineStr">
        <is>
          <t>financials</t>
        </is>
      </c>
      <c r="C674" s="2" t="inlineStr">
        <is>
          <t>capex</t>
        </is>
      </c>
      <c r="D674" s="2" t="inlineStr">
        <is>
          <t>Capex (PP&amp;E + intangibles)</t>
        </is>
      </c>
      <c r="E674" s="2" t="inlineStr">
        <is>
          <t>FY2025</t>
        </is>
      </c>
      <c r="F674" s="2" t="n">
        <v>19.6</v>
      </c>
      <c r="G674" s="2" t="inlineStr">
        <is>
          <t>EUR m</t>
        </is>
      </c>
      <c r="H674" s="3" t="inlineStr">
        <is>
          <t>Additions at cost to intangible assets (2.1) and property, plant and equipment (17.5) per statement of changes in fixed assets; cash flow statement shows acquisitions of PP&amp;E -16.6 and intangibles -1.2</t>
        </is>
      </c>
      <c r="I674" s="2" t="inlineStr">
        <is>
          <t>S3</t>
        </is>
      </c>
      <c r="J674" s="2" t="n">
        <v>85</v>
      </c>
      <c r="K674" s="3" t="inlineStr">
        <is>
          <t>347.5 19.6 -1.1 -3.8 221.9 584.1 109.3 18.2 -1.0 90.6 217.1 367.0 238.2</t>
        </is>
      </c>
      <c r="L674" s="2" t="inlineStr">
        <is>
          <t>ok</t>
        </is>
      </c>
      <c r="M674" s="2" t="inlineStr">
        <is>
          <t>demo reviewer</t>
        </is>
      </c>
      <c r="N674" s="2" t="n"/>
      <c r="O674" s="3" t="inlineStr">
        <is>
          <t>https://vanillabonds.com/dossier-data/pdf/katjes/katjes-2025-annual-report.pdf#page=85</t>
        </is>
      </c>
    </row>
    <row r="675">
      <c r="A675" s="2" t="inlineStr">
        <is>
          <t>F674</t>
        </is>
      </c>
      <c r="B675" s="2" t="inlineStr">
        <is>
          <t>financials</t>
        </is>
      </c>
      <c r="C675" s="2" t="inlineStr">
        <is>
          <t>cash</t>
        </is>
      </c>
      <c r="D675" s="2" t="inlineStr">
        <is>
          <t>Cash &amp; equivalents</t>
        </is>
      </c>
      <c r="E675" s="2" t="inlineStr">
        <is>
          <t>FY2023</t>
        </is>
      </c>
      <c r="F675" s="2" t="n">
        <v>58.4</v>
      </c>
      <c r="G675" s="2" t="inlineStr">
        <is>
          <t>EUR m</t>
        </is>
      </c>
      <c r="H675" s="3" t="inlineStr">
        <is>
          <t>Cash and cash equivalents at 1 January 2024 per cash flow statement</t>
        </is>
      </c>
      <c r="I675" s="2" t="inlineStr">
        <is>
          <t>S3</t>
        </is>
      </c>
      <c r="J675" s="2" t="n">
        <v>42</v>
      </c>
      <c r="K675" s="3" t="inlineStr">
        <is>
          <t>Cash and cash equivalents as at 1 January 54.0 58.4</t>
        </is>
      </c>
      <c r="L675" s="2" t="inlineStr">
        <is>
          <t>ok</t>
        </is>
      </c>
      <c r="M675" s="2" t="inlineStr">
        <is>
          <t>demo reviewer</t>
        </is>
      </c>
      <c r="N675" s="2" t="n"/>
      <c r="O675" s="3" t="inlineStr">
        <is>
          <t>https://vanillabonds.com/dossier-data/pdf/katjes/katjes-2025-annual-report.pdf#page=42</t>
        </is>
      </c>
    </row>
    <row r="676">
      <c r="A676" s="2" t="inlineStr">
        <is>
          <t>F675</t>
        </is>
      </c>
      <c r="B676" s="2" t="inlineStr">
        <is>
          <t>financials</t>
        </is>
      </c>
      <c r="C676" s="2" t="inlineStr">
        <is>
          <t>cash</t>
        </is>
      </c>
      <c r="D676" s="2" t="inlineStr">
        <is>
          <t>Cash &amp; equivalents</t>
        </is>
      </c>
      <c r="E676" s="2" t="inlineStr">
        <is>
          <t>FY2024</t>
        </is>
      </c>
      <c r="F676" s="2" t="n">
        <v>54</v>
      </c>
      <c r="G676" s="2" t="inlineStr">
        <is>
          <t>EUR m</t>
        </is>
      </c>
      <c r="H676" s="2" t="inlineStr">
        <is>
          <t>Cash and cash equivalents at 31 Dec 2024</t>
        </is>
      </c>
      <c r="I676" s="2" t="inlineStr">
        <is>
          <t>S3</t>
        </is>
      </c>
      <c r="J676" s="2" t="n">
        <v>39</v>
      </c>
      <c r="K676" s="2" t="inlineStr">
        <is>
          <t>Cash and cash equivalents 6.7 146.8 54.0</t>
        </is>
      </c>
      <c r="L676" s="2" t="inlineStr">
        <is>
          <t>ok</t>
        </is>
      </c>
      <c r="M676" s="2" t="inlineStr">
        <is>
          <t>demo reviewer</t>
        </is>
      </c>
      <c r="N676" s="2" t="n"/>
      <c r="O676" s="3" t="inlineStr">
        <is>
          <t>https://vanillabonds.com/dossier-data/pdf/katjes/katjes-2025-annual-report.pdf#page=39</t>
        </is>
      </c>
    </row>
    <row r="677">
      <c r="A677" s="2" t="inlineStr">
        <is>
          <t>F676</t>
        </is>
      </c>
      <c r="B677" s="2" t="inlineStr">
        <is>
          <t>financials</t>
        </is>
      </c>
      <c r="C677" s="2" t="inlineStr">
        <is>
          <t>cash</t>
        </is>
      </c>
      <c r="D677" s="2" t="inlineStr">
        <is>
          <t>Cash &amp; equivalents</t>
        </is>
      </c>
      <c r="E677" s="2" t="inlineStr">
        <is>
          <t>FY2025</t>
        </is>
      </c>
      <c r="F677" s="2" t="n">
        <v>146.8</v>
      </c>
      <c r="G677" s="2" t="inlineStr">
        <is>
          <t>EUR m</t>
        </is>
      </c>
      <c r="H677" s="2" t="inlineStr">
        <is>
          <t>Cash and cash equivalents at 31 Dec 2025</t>
        </is>
      </c>
      <c r="I677" s="2" t="inlineStr">
        <is>
          <t>S3</t>
        </is>
      </c>
      <c r="J677" s="2" t="n">
        <v>39</v>
      </c>
      <c r="K677" s="2" t="inlineStr">
        <is>
          <t>Cash and cash equivalents 6.7 146.8 54.0</t>
        </is>
      </c>
      <c r="L677" s="2" t="inlineStr">
        <is>
          <t>ok</t>
        </is>
      </c>
      <c r="M677" s="2" t="inlineStr">
        <is>
          <t>demo reviewer</t>
        </is>
      </c>
      <c r="N677" s="2" t="n"/>
      <c r="O677" s="3" t="inlineStr">
        <is>
          <t>https://vanillabonds.com/dossier-data/pdf/katjes/katjes-2025-annual-report.pdf#page=39</t>
        </is>
      </c>
    </row>
    <row r="678">
      <c r="A678" s="2" t="inlineStr">
        <is>
          <t>F677</t>
        </is>
      </c>
      <c r="B678" s="2" t="inlineStr">
        <is>
          <t>financials</t>
        </is>
      </c>
      <c r="C678" s="2" t="inlineStr">
        <is>
          <t>lease_liabilities</t>
        </is>
      </c>
      <c r="D678" s="2" t="inlineStr">
        <is>
          <t>Lease liabilities</t>
        </is>
      </c>
      <c r="E678" s="2" t="inlineStr">
        <is>
          <t>FY2024</t>
        </is>
      </c>
      <c r="F678" s="2" t="n">
        <v>13.2</v>
      </c>
      <c r="G678" s="2" t="inlineStr">
        <is>
          <t>EUR m</t>
        </is>
      </c>
      <c r="H678" s="3" t="inlineStr">
        <is>
          <t>IFRS 16 lease liabilities (non-current 9.5, current 3.7)</t>
        </is>
      </c>
      <c r="I678" s="2" t="inlineStr">
        <is>
          <t>S3</t>
        </is>
      </c>
      <c r="J678" s="2" t="n">
        <v>58</v>
      </c>
      <c r="K678" s="3" t="inlineStr">
        <is>
          <t>financial liabilities include lease liabilities in accordance with IFRS 16 in the amount of EUR 74.7 million (2024: EUR 13.2 million)</t>
        </is>
      </c>
      <c r="L678" s="2" t="inlineStr">
        <is>
          <t>ok</t>
        </is>
      </c>
      <c r="M678" s="2" t="inlineStr">
        <is>
          <t>demo reviewer</t>
        </is>
      </c>
      <c r="N678" s="2" t="n"/>
      <c r="O678" s="3" t="inlineStr">
        <is>
          <t>https://vanillabonds.com/dossier-data/pdf/katjes/katjes-2025-annual-report.pdf#page=58</t>
        </is>
      </c>
    </row>
    <row r="679">
      <c r="A679" s="2" t="inlineStr">
        <is>
          <t>F678</t>
        </is>
      </c>
      <c r="B679" s="2" t="inlineStr">
        <is>
          <t>financials</t>
        </is>
      </c>
      <c r="C679" s="2" t="inlineStr">
        <is>
          <t>lease_liabilities</t>
        </is>
      </c>
      <c r="D679" s="2" t="inlineStr">
        <is>
          <t>Lease liabilities</t>
        </is>
      </c>
      <c r="E679" s="2" t="inlineStr">
        <is>
          <t>FY2025</t>
        </is>
      </c>
      <c r="F679" s="2" t="n">
        <v>74.7</v>
      </c>
      <c r="G679" s="2" t="inlineStr">
        <is>
          <t>EUR m</t>
        </is>
      </c>
      <c r="H679" s="3" t="inlineStr">
        <is>
          <t>IFRS 16 lease liabilities (non-current 58.0, current 16.7)</t>
        </is>
      </c>
      <c r="I679" s="2" t="inlineStr">
        <is>
          <t>S3</t>
        </is>
      </c>
      <c r="J679" s="2" t="n">
        <v>58</v>
      </c>
      <c r="K679" s="3" t="inlineStr">
        <is>
          <t>financial liabilities include lease liabilities in accordance with IFRS 16 in the amount of EUR 74.7 million (2024: EUR 13.2 million)</t>
        </is>
      </c>
      <c r="L679" s="2" t="inlineStr">
        <is>
          <t>ok</t>
        </is>
      </c>
      <c r="M679" s="2" t="inlineStr">
        <is>
          <t>demo reviewer</t>
        </is>
      </c>
      <c r="N679" s="2" t="n"/>
      <c r="O679" s="3" t="inlineStr">
        <is>
          <t>https://vanillabonds.com/dossier-data/pdf/katjes/katjes-2025-annual-report.pdf#page=58</t>
        </is>
      </c>
    </row>
    <row r="680">
      <c r="A680" s="2" t="inlineStr">
        <is>
          <t>F679</t>
        </is>
      </c>
      <c r="B680" s="2" t="inlineStr">
        <is>
          <t>financials</t>
        </is>
      </c>
      <c r="C680" s="2" t="inlineStr">
        <is>
          <t>net_debt</t>
        </is>
      </c>
      <c r="D680" s="2" t="inlineStr">
        <is>
          <t>Net debt (as reported)</t>
        </is>
      </c>
      <c r="E680" s="2" t="inlineStr">
        <is>
          <t>FY2024</t>
        </is>
      </c>
      <c r="F680" s="2" t="n">
        <v>135.4</v>
      </c>
      <c r="G680" s="2" t="inlineStr">
        <is>
          <t>EUR m</t>
        </is>
      </c>
      <c r="H680" s="3" t="inlineStr">
        <is>
          <t>Net debt as reported = financial liabilities 189.4 (incl. lease liabilities 13.2) less cash 54.0</t>
        </is>
      </c>
      <c r="I680" s="2" t="inlineStr">
        <is>
          <t>S3</t>
        </is>
      </c>
      <c r="J680" s="2" t="n">
        <v>58</v>
      </c>
      <c r="K680" s="2" t="inlineStr">
        <is>
          <t>Net debt 206.0 135.4</t>
        </is>
      </c>
      <c r="L680" s="2" t="inlineStr">
        <is>
          <t>ok</t>
        </is>
      </c>
      <c r="M680" s="2" t="inlineStr">
        <is>
          <t>demo reviewer</t>
        </is>
      </c>
      <c r="N680" s="2" t="n"/>
      <c r="O680" s="3" t="inlineStr">
        <is>
          <t>https://vanillabonds.com/dossier-data/pdf/katjes/katjes-2025-annual-report.pdf#page=58</t>
        </is>
      </c>
    </row>
    <row r="681">
      <c r="A681" s="2" t="inlineStr">
        <is>
          <t>F680</t>
        </is>
      </c>
      <c r="B681" s="2" t="inlineStr">
        <is>
          <t>financials</t>
        </is>
      </c>
      <c r="C681" s="2" t="inlineStr">
        <is>
          <t>net_debt</t>
        </is>
      </c>
      <c r="D681" s="2" t="inlineStr">
        <is>
          <t>Net debt (as reported)</t>
        </is>
      </c>
      <c r="E681" s="2" t="inlineStr">
        <is>
          <t>FY2025</t>
        </is>
      </c>
      <c r="F681" s="2" t="n">
        <v>206</v>
      </c>
      <c r="G681" s="2" t="inlineStr">
        <is>
          <t>EUR m</t>
        </is>
      </c>
      <c r="H681" s="3" t="inlineStr">
        <is>
          <t>Net debt as reported = financial liabilities 352.8 (incl. lease liabilities 74.7, hire purchase 8.2, option liabilities 7.1, accrued bond interest 3.5) less cash 146.8</t>
        </is>
      </c>
      <c r="I681" s="2" t="inlineStr">
        <is>
          <t>S3</t>
        </is>
      </c>
      <c r="J681" s="2" t="n">
        <v>58</v>
      </c>
      <c r="K681" s="2" t="inlineStr">
        <is>
          <t>Net debt 206.0 135.4</t>
        </is>
      </c>
      <c r="L681" s="2" t="inlineStr">
        <is>
          <t>ok</t>
        </is>
      </c>
      <c r="M681" s="2" t="inlineStr">
        <is>
          <t>demo reviewer</t>
        </is>
      </c>
      <c r="N681" s="2" t="n"/>
      <c r="O681" s="3" t="inlineStr">
        <is>
          <t>https://vanillabonds.com/dossier-data/pdf/katjes/katjes-2025-annual-report.pdf#page=58</t>
        </is>
      </c>
    </row>
    <row r="682">
      <c r="A682" s="2" t="inlineStr">
        <is>
          <t>F681</t>
        </is>
      </c>
      <c r="B682" s="2" t="inlineStr">
        <is>
          <t>financials</t>
        </is>
      </c>
      <c r="C682" s="2" t="inlineStr">
        <is>
          <t>equity</t>
        </is>
      </c>
      <c r="D682" s="2" t="inlineStr">
        <is>
          <t>Total equity</t>
        </is>
      </c>
      <c r="E682" s="2" t="inlineStr">
        <is>
          <t>FY2023</t>
        </is>
      </c>
      <c r="F682" s="2" t="n">
        <v>176</v>
      </c>
      <c r="G682" s="2" t="inlineStr">
        <is>
          <t>EUR m</t>
        </is>
      </c>
      <c r="H682" s="3" t="inlineStr">
        <is>
          <t>Total equity at 31 Dec 2023 per statement of changes in equity (shareholders 173.0, non-controlling 3.0)</t>
        </is>
      </c>
      <c r="I682" s="2" t="inlineStr">
        <is>
          <t>S3</t>
        </is>
      </c>
      <c r="J682" s="2" t="n">
        <v>41</v>
      </c>
      <c r="K682" s="3" t="inlineStr">
        <is>
          <t>As at 31 Dec 2023/ 01 Jan 2024 0.6 2.0 2.0 153.5 10.1 1.2 3.6 0.0 4,8 173.0 3.0 176.0</t>
        </is>
      </c>
      <c r="L682" s="2" t="inlineStr">
        <is>
          <t>ok</t>
        </is>
      </c>
      <c r="M682" s="2" t="inlineStr">
        <is>
          <t>demo reviewer</t>
        </is>
      </c>
      <c r="N682" s="2" t="n"/>
      <c r="O682" s="3" t="inlineStr">
        <is>
          <t>https://vanillabonds.com/dossier-data/pdf/katjes/katjes-2025-annual-report.pdf#page=41</t>
        </is>
      </c>
    </row>
    <row r="683">
      <c r="A683" s="2" t="inlineStr">
        <is>
          <t>F682</t>
        </is>
      </c>
      <c r="B683" s="2" t="inlineStr">
        <is>
          <t>financials</t>
        </is>
      </c>
      <c r="C683" s="2" t="inlineStr">
        <is>
          <t>equity</t>
        </is>
      </c>
      <c r="D683" s="2" t="inlineStr">
        <is>
          <t>Total equity</t>
        </is>
      </c>
      <c r="E683" s="2" t="inlineStr">
        <is>
          <t>FY2024</t>
        </is>
      </c>
      <c r="F683" s="2" t="n">
        <v>176.2</v>
      </c>
      <c r="G683" s="2" t="inlineStr">
        <is>
          <t>EUR m</t>
        </is>
      </c>
      <c r="H683" s="3" t="inlineStr">
        <is>
          <t>Total equity incl. non-controlling interests 1.2; shareholders' equity 175.0; equity ratio 35.9%</t>
        </is>
      </c>
      <c r="I683" s="2" t="inlineStr">
        <is>
          <t>S3</t>
        </is>
      </c>
      <c r="J683" s="2" t="n">
        <v>40</v>
      </c>
      <c r="K683" s="2" t="inlineStr">
        <is>
          <t>Total equity 6.8 266.9 176.2</t>
        </is>
      </c>
      <c r="L683" s="2" t="inlineStr">
        <is>
          <t>ok</t>
        </is>
      </c>
      <c r="M683" s="2" t="inlineStr">
        <is>
          <t>demo reviewer</t>
        </is>
      </c>
      <c r="N683" s="2" t="n"/>
      <c r="O683" s="3" t="inlineStr">
        <is>
          <t>https://vanillabonds.com/dossier-data/pdf/katjes/katjes-2025-annual-report.pdf#page=40</t>
        </is>
      </c>
    </row>
    <row r="684">
      <c r="A684" s="2" t="inlineStr">
        <is>
          <t>F683</t>
        </is>
      </c>
      <c r="B684" s="2" t="inlineStr">
        <is>
          <t>financials</t>
        </is>
      </c>
      <c r="C684" s="2" t="inlineStr">
        <is>
          <t>equity</t>
        </is>
      </c>
      <c r="D684" s="2" t="inlineStr">
        <is>
          <t>Total equity</t>
        </is>
      </c>
      <c r="E684" s="2" t="inlineStr">
        <is>
          <t>FY2025</t>
        </is>
      </c>
      <c r="F684" s="2" t="n">
        <v>266.9</v>
      </c>
      <c r="G684" s="2" t="inlineStr">
        <is>
          <t>EUR m</t>
        </is>
      </c>
      <c r="H684" s="3" t="inlineStr">
        <is>
          <t>Total equity incl. non-controlling interests 47.5; shareholders' equity 219.4; equity ratio 32.9%</t>
        </is>
      </c>
      <c r="I684" s="2" t="inlineStr">
        <is>
          <t>S3</t>
        </is>
      </c>
      <c r="J684" s="2" t="n">
        <v>40</v>
      </c>
      <c r="K684" s="2" t="inlineStr">
        <is>
          <t>Total equity 6.8 266.9 176.2</t>
        </is>
      </c>
      <c r="L684" s="2" t="inlineStr">
        <is>
          <t>ok</t>
        </is>
      </c>
      <c r="M684" s="2" t="inlineStr">
        <is>
          <t>demo reviewer</t>
        </is>
      </c>
      <c r="N684" s="2" t="n"/>
      <c r="O684" s="3" t="inlineStr">
        <is>
          <t>https://vanillabonds.com/dossier-data/pdf/katjes/katjes-2025-annual-report.pdf#page=40</t>
        </is>
      </c>
    </row>
    <row r="685">
      <c r="A685" s="2" t="inlineStr">
        <is>
          <t>F684</t>
        </is>
      </c>
      <c r="B685" s="2" t="inlineStr">
        <is>
          <t>financials</t>
        </is>
      </c>
      <c r="C685" s="2" t="inlineStr">
        <is>
          <t>total_assets</t>
        </is>
      </c>
      <c r="D685" s="2" t="inlineStr">
        <is>
          <t>Total assets</t>
        </is>
      </c>
      <c r="E685" s="2" t="inlineStr">
        <is>
          <t>FY2024</t>
        </is>
      </c>
      <c r="F685" s="2" t="n">
        <v>491.7</v>
      </c>
      <c r="G685" s="2" t="inlineStr">
        <is>
          <t>EUR m</t>
        </is>
      </c>
      <c r="H685" s="2" t="inlineStr">
        <is>
          <t>Total assets at 31 Dec 2024</t>
        </is>
      </c>
      <c r="I685" s="2" t="inlineStr">
        <is>
          <t>S3</t>
        </is>
      </c>
      <c r="J685" s="2" t="n">
        <v>39</v>
      </c>
      <c r="K685" s="2" t="inlineStr">
        <is>
          <t>Total assets 812.3 491.7</t>
        </is>
      </c>
      <c r="L685" s="2" t="inlineStr">
        <is>
          <t>ok</t>
        </is>
      </c>
      <c r="M685" s="2" t="inlineStr">
        <is>
          <t>demo reviewer</t>
        </is>
      </c>
      <c r="N685" s="2" t="n"/>
      <c r="O685" s="3" t="inlineStr">
        <is>
          <t>https://vanillabonds.com/dossier-data/pdf/katjes/katjes-2025-annual-report.pdf#page=39</t>
        </is>
      </c>
    </row>
    <row r="686">
      <c r="A686" s="2" t="inlineStr">
        <is>
          <t>F685</t>
        </is>
      </c>
      <c r="B686" s="2" t="inlineStr">
        <is>
          <t>financials</t>
        </is>
      </c>
      <c r="C686" s="2" t="inlineStr">
        <is>
          <t>total_assets</t>
        </is>
      </c>
      <c r="D686" s="2" t="inlineStr">
        <is>
          <t>Total assets</t>
        </is>
      </c>
      <c r="E686" s="2" t="inlineStr">
        <is>
          <t>FY2025</t>
        </is>
      </c>
      <c r="F686" s="2" t="n">
        <v>812.3</v>
      </c>
      <c r="G686" s="2" t="inlineStr">
        <is>
          <t>EUR m</t>
        </is>
      </c>
      <c r="H686" s="2" t="inlineStr">
        <is>
          <t>Total assets at 31 Dec 2025</t>
        </is>
      </c>
      <c r="I686" s="2" t="inlineStr">
        <is>
          <t>S3</t>
        </is>
      </c>
      <c r="J686" s="2" t="n">
        <v>39</v>
      </c>
      <c r="K686" s="2" t="inlineStr">
        <is>
          <t>Total assets 812.3 491.7</t>
        </is>
      </c>
      <c r="L686" s="2" t="inlineStr">
        <is>
          <t>ok</t>
        </is>
      </c>
      <c r="M686" s="2" t="inlineStr">
        <is>
          <t>demo reviewer</t>
        </is>
      </c>
      <c r="N686" s="2" t="n"/>
      <c r="O686" s="3" t="inlineStr">
        <is>
          <t>https://vanillabonds.com/dossier-data/pdf/katjes/katjes-2025-annual-report.pdf#page=39</t>
        </is>
      </c>
    </row>
    <row r="687">
      <c r="A687" s="2" t="inlineStr">
        <is>
          <t>F686</t>
        </is>
      </c>
      <c r="B687" s="2" t="inlineStr">
        <is>
          <t>debt</t>
        </is>
      </c>
      <c r="C687" s="2" t="inlineStr">
        <is>
          <t>debt_instrument</t>
        </is>
      </c>
      <c r="D687" s="2" t="inlineStr">
        <is>
          <t>Debt instrument</t>
        </is>
      </c>
      <c r="E687" s="2" t="n"/>
      <c r="F687" s="2" t="n">
        <v>72</v>
      </c>
      <c r="G687" s="2" t="n"/>
      <c r="H687" s="3" t="inlineStr">
        <is>
          <t>Liabilities to banks total EUR 72.0m at 31 Dec 2025 (2024: 50.4) within financial liabilities of 352.8.</t>
        </is>
      </c>
      <c r="I687" s="2" t="inlineStr">
        <is>
          <t>S3</t>
        </is>
      </c>
      <c r="J687" s="2" t="n">
        <v>58</v>
      </c>
      <c r="K687" s="3" t="inlineStr">
        <is>
          <t>liabilities to banks in the amount of EUR 72.0 million</t>
        </is>
      </c>
      <c r="L687" s="2" t="inlineStr">
        <is>
          <t>ok</t>
        </is>
      </c>
      <c r="M687" s="2" t="inlineStr">
        <is>
          <t>demo reviewer</t>
        </is>
      </c>
      <c r="N687" s="2" t="n"/>
      <c r="O687" s="3" t="inlineStr">
        <is>
          <t>https://vanillabonds.com/dossier-data/pdf/katjes/katjes-2025-annual-report.pdf#page=58</t>
        </is>
      </c>
    </row>
    <row r="688">
      <c r="A688" s="2" t="inlineStr">
        <is>
          <t>F687</t>
        </is>
      </c>
      <c r="B688" s="2" t="inlineStr">
        <is>
          <t>debt</t>
        </is>
      </c>
      <c r="C688" s="2" t="inlineStr">
        <is>
          <t>debt_instrument</t>
        </is>
      </c>
      <c r="D688" s="2" t="inlineStr">
        <is>
          <t>Debt instrument</t>
        </is>
      </c>
      <c r="E688" s="2" t="n"/>
      <c r="F688" s="2" t="n">
        <v>3.5</v>
      </c>
      <c r="G688" s="2" t="n"/>
      <c r="H688" s="3" t="inlineStr">
        <is>
          <t>Accrued interest liabilities relating to the bond EUR 3.5m at 31 Dec 2025 (2024: 2.1).</t>
        </is>
      </c>
      <c r="I688" s="2" t="inlineStr">
        <is>
          <t>S3</t>
        </is>
      </c>
      <c r="J688" s="2" t="n">
        <v>58</v>
      </c>
      <c r="K688" s="3" t="inlineStr">
        <is>
          <t>as accrued interest liabilities relating to the bond in the amount of EUR 3.5 million (2024: EUR 2.1 million)</t>
        </is>
      </c>
      <c r="L688" s="2" t="inlineStr">
        <is>
          <t>ok</t>
        </is>
      </c>
      <c r="M688" s="2" t="inlineStr">
        <is>
          <t>demo reviewer</t>
        </is>
      </c>
      <c r="N688" s="2" t="n"/>
      <c r="O688" s="3" t="inlineStr">
        <is>
          <t>https://vanillabonds.com/dossier-data/pdf/katjes/katjes-2025-annual-report.pdf#page=58</t>
        </is>
      </c>
    </row>
    <row r="689">
      <c r="A689" s="2" t="inlineStr">
        <is>
          <t>F688</t>
        </is>
      </c>
      <c r="B689" s="2" t="inlineStr">
        <is>
          <t>debt</t>
        </is>
      </c>
      <c r="C689" s="2" t="inlineStr">
        <is>
          <t>debt_instrument</t>
        </is>
      </c>
      <c r="D689" s="2" t="inlineStr">
        <is>
          <t>Debt instrument</t>
        </is>
      </c>
      <c r="E689" s="2" t="n"/>
      <c r="F689" s="2" t="n">
        <v>8.199999999999999</v>
      </c>
      <c r="G689" s="2" t="n"/>
      <c r="H689" s="3" t="inlineStr">
        <is>
          <t>Hire purchase liabilities EUR 8.2m at 31 Dec 2025, of which current 2.4 (2024: 6.7, current 5.5); interest expense hire purchases 0.3.</t>
        </is>
      </c>
      <c r="I689" s="2" t="inlineStr">
        <is>
          <t>S3</t>
        </is>
      </c>
      <c r="J689" s="2" t="n">
        <v>58</v>
      </c>
      <c r="K689" s="3" t="inlineStr">
        <is>
          <t>from hire purchase agreements in the amount of EUR 8.2 million (of which current: EUR 2.4 million)</t>
        </is>
      </c>
      <c r="L689" s="2" t="inlineStr">
        <is>
          <t>ok</t>
        </is>
      </c>
      <c r="M689" s="2" t="inlineStr">
        <is>
          <t>demo reviewer</t>
        </is>
      </c>
      <c r="N689" s="2" t="n"/>
      <c r="O689" s="3" t="inlineStr">
        <is>
          <t>https://vanillabonds.com/dossier-data/pdf/katjes/katjes-2025-annual-report.pdf#page=58</t>
        </is>
      </c>
    </row>
    <row r="690">
      <c r="A690" s="2" t="inlineStr">
        <is>
          <t>F689</t>
        </is>
      </c>
      <c r="B690" s="2" t="inlineStr">
        <is>
          <t>debt</t>
        </is>
      </c>
      <c r="C690" s="2" t="inlineStr">
        <is>
          <t>debt_instrument</t>
        </is>
      </c>
      <c r="D690" s="2" t="inlineStr">
        <is>
          <t>Debt instrument</t>
        </is>
      </c>
      <c r="E690" s="2" t="n"/>
      <c r="F690" s="2" t="n">
        <v>1.6</v>
      </c>
      <c r="G690" s="2" t="n"/>
      <c r="H690" s="3" t="inlineStr">
        <is>
          <t>Liability from the purchase option on the remaining 25% of Dulcioliva EUR 1.6m, fully recognised as exercise probability unchanged.</t>
        </is>
      </c>
      <c r="I690" s="2" t="inlineStr">
        <is>
          <t>S3</t>
        </is>
      </c>
      <c r="J690" s="2" t="n">
        <v>58</v>
      </c>
      <c r="K690" s="3" t="inlineStr">
        <is>
          <t>includes the liability arising from the exercise of the purchase option for the remaining 25% of Dulcioliva (EUR 1.6 million).</t>
        </is>
      </c>
      <c r="L690" s="2" t="inlineStr">
        <is>
          <t>ok</t>
        </is>
      </c>
      <c r="M690" s="2" t="inlineStr">
        <is>
          <t>demo reviewer</t>
        </is>
      </c>
      <c r="N690" s="2" t="n"/>
      <c r="O690" s="3" t="inlineStr">
        <is>
          <t>https://vanillabonds.com/dossier-data/pdf/katjes/katjes-2025-annual-report.pdf#page=58</t>
        </is>
      </c>
    </row>
    <row r="691">
      <c r="A691" s="2" t="inlineStr">
        <is>
          <t>F690</t>
        </is>
      </c>
      <c r="B691" s="2" t="inlineStr">
        <is>
          <t>debt</t>
        </is>
      </c>
      <c r="C691" s="2" t="inlineStr">
        <is>
          <t>debt_instrument</t>
        </is>
      </c>
      <c r="D691" s="2" t="inlineStr">
        <is>
          <t>Debt instrument</t>
        </is>
      </c>
      <c r="E691" s="2" t="n"/>
      <c r="F691" s="2" t="n">
        <v>5.5</v>
      </c>
      <c r="G691" s="2" t="n"/>
      <c r="H691" s="3" t="inlineStr">
        <is>
          <t>Put option granted to Bogner non-controlling shareholders recognised as financial liability of EUR 5.5m since initial consolidation.</t>
        </is>
      </c>
      <c r="I691" s="2" t="inlineStr">
        <is>
          <t>S3</t>
        </is>
      </c>
      <c r="J691" s="2" t="n">
        <v>58</v>
      </c>
      <c r="K691" s="3" t="inlineStr">
        <is>
          <t>Since the initial consolidation of Bogner, this item also includes a liability from a put option granted to non-controlling</t>
        </is>
      </c>
      <c r="L691" s="2" t="inlineStr">
        <is>
          <t>ok</t>
        </is>
      </c>
      <c r="M691" s="2" t="inlineStr">
        <is>
          <t>demo reviewer</t>
        </is>
      </c>
      <c r="N691" s="2" t="n"/>
      <c r="O691" s="3" t="inlineStr">
        <is>
          <t>https://vanillabonds.com/dossier-data/pdf/katjes/katjes-2025-annual-report.pdf#page=58</t>
        </is>
      </c>
    </row>
    <row r="692">
      <c r="A692" s="2" t="inlineStr">
        <is>
          <t>F691</t>
        </is>
      </c>
      <c r="B692" s="2" t="inlineStr">
        <is>
          <t>debt</t>
        </is>
      </c>
      <c r="C692" s="2" t="inlineStr">
        <is>
          <t>debt_instrument</t>
        </is>
      </c>
      <c r="D692" s="2" t="inlineStr">
        <is>
          <t>Debt instrument</t>
        </is>
      </c>
      <c r="E692" s="2" t="n"/>
      <c r="F692" s="2" t="n">
        <v>185</v>
      </c>
      <c r="G692" s="2" t="n"/>
      <c r="H692" s="3" t="inlineStr">
        <is>
          <t>2023/2028 corporate bond, 6.75% fixed, issued September 2023 at EUR 115m, increased by EUR 70m in August 2025 to EUR 185.0m outstanding at 31 Dec 2025 (2024: 115.0); interest expense 2025 EUR 9.5m; no ISIN or security stated.</t>
        </is>
      </c>
      <c r="I692" s="2" t="inlineStr">
        <is>
          <t>S3</t>
        </is>
      </c>
      <c r="J692" s="2" t="n">
        <v>63</v>
      </c>
      <c r="K692" s="2" t="inlineStr">
        <is>
          <t>Corporate bond 6.75 185.0 115.0</t>
        </is>
      </c>
      <c r="L692" s="2" t="inlineStr">
        <is>
          <t>ok</t>
        </is>
      </c>
      <c r="M692" s="2" t="inlineStr">
        <is>
          <t>demo reviewer</t>
        </is>
      </c>
      <c r="N692" s="2" t="n"/>
      <c r="O692" s="3" t="inlineStr">
        <is>
          <t>https://vanillabonds.com/dossier-data/pdf/katjes/katjes-2025-annual-report.pdf#page=63</t>
        </is>
      </c>
    </row>
    <row r="693">
      <c r="A693" s="2" t="inlineStr">
        <is>
          <t>F692</t>
        </is>
      </c>
      <c r="B693" s="2" t="inlineStr">
        <is>
          <t>debt</t>
        </is>
      </c>
      <c r="C693" s="2" t="inlineStr">
        <is>
          <t>debt_instrument</t>
        </is>
      </c>
      <c r="D693" s="2" t="inlineStr">
        <is>
          <t>Debt instrument</t>
        </is>
      </c>
      <c r="E693" s="2" t="n"/>
      <c r="F693" s="2" t="n">
        <v>16.8</v>
      </c>
      <c r="G693" s="2" t="n"/>
      <c r="H693" s="3" t="inlineStr">
        <is>
          <t>Bank loan of kEUR 24,000 at 5.6%, EUR 16.8m outstanding at 31 Dec 2025 (2024: 20.9).</t>
        </is>
      </c>
      <c r="I693" s="2" t="inlineStr">
        <is>
          <t>S3</t>
        </is>
      </c>
      <c r="J693" s="2" t="n">
        <v>63</v>
      </c>
      <c r="K693" s="2" t="inlineStr">
        <is>
          <t>Bank loan kEUR 24.000 5.6 16.8 20.9</t>
        </is>
      </c>
      <c r="L693" s="2" t="inlineStr">
        <is>
          <t>ok</t>
        </is>
      </c>
      <c r="M693" s="2" t="inlineStr">
        <is>
          <t>demo reviewer</t>
        </is>
      </c>
      <c r="N693" s="2" t="n"/>
      <c r="O693" s="3" t="inlineStr">
        <is>
          <t>https://vanillabonds.com/dossier-data/pdf/katjes/katjes-2025-annual-report.pdf#page=63</t>
        </is>
      </c>
    </row>
    <row r="694">
      <c r="A694" s="2" t="inlineStr">
        <is>
          <t>F693</t>
        </is>
      </c>
      <c r="B694" s="2" t="inlineStr">
        <is>
          <t>debt</t>
        </is>
      </c>
      <c r="C694" s="2" t="inlineStr">
        <is>
          <t>debt_instrument</t>
        </is>
      </c>
      <c r="D694" s="2" t="inlineStr">
        <is>
          <t>Debt instrument</t>
        </is>
      </c>
      <c r="E694" s="2" t="n"/>
      <c r="F694" s="2" t="n">
        <v>0</v>
      </c>
      <c r="G694" s="2" t="n"/>
      <c r="H694" s="3" t="inlineStr">
        <is>
          <t>Bank loan of kEUR 11,700 at 2.9%, EUR 0.0m outstanding at 31 Dec 2025 (2024: 3.7), i.e. repaid in 2025.</t>
        </is>
      </c>
      <c r="I694" s="2" t="inlineStr">
        <is>
          <t>S3</t>
        </is>
      </c>
      <c r="J694" s="2" t="n">
        <v>63</v>
      </c>
      <c r="K694" s="2" t="inlineStr">
        <is>
          <t>Bank loan kEUR 11.700 2.9 0.0 3.7</t>
        </is>
      </c>
      <c r="L694" s="2" t="inlineStr">
        <is>
          <t>ok</t>
        </is>
      </c>
      <c r="M694" s="2" t="inlineStr">
        <is>
          <t>demo reviewer</t>
        </is>
      </c>
      <c r="N694" s="2" t="n"/>
      <c r="O694" s="3" t="inlineStr">
        <is>
          <t>https://vanillabonds.com/dossier-data/pdf/katjes/katjes-2025-annual-report.pdf#page=63</t>
        </is>
      </c>
    </row>
    <row r="695">
      <c r="A695" s="2" t="inlineStr">
        <is>
          <t>F694</t>
        </is>
      </c>
      <c r="B695" s="2" t="inlineStr">
        <is>
          <t>debt</t>
        </is>
      </c>
      <c r="C695" s="2" t="inlineStr">
        <is>
          <t>debt_instrument</t>
        </is>
      </c>
      <c r="D695" s="2" t="inlineStr">
        <is>
          <t>Debt instrument</t>
        </is>
      </c>
      <c r="E695" s="2" t="n"/>
      <c r="F695" s="2" t="n">
        <v>16.3</v>
      </c>
      <c r="G695" s="2" t="n"/>
      <c r="H695" s="3" t="inlineStr">
        <is>
          <t>Revolving line of up to kEUR 40,000 at 6.65%, EUR 16.3m drawn at 31 Dec 2025 (2024: 0.0).</t>
        </is>
      </c>
      <c r="I695" s="2" t="inlineStr">
        <is>
          <t>S3</t>
        </is>
      </c>
      <c r="J695" s="2" t="n">
        <v>63</v>
      </c>
      <c r="K695" s="3" t="inlineStr">
        <is>
          <t>Revolving line up kEUR 40.000 6.65 16.3 0.0</t>
        </is>
      </c>
      <c r="L695" s="2" t="inlineStr">
        <is>
          <t>ok</t>
        </is>
      </c>
      <c r="M695" s="2" t="inlineStr">
        <is>
          <t>demo reviewer</t>
        </is>
      </c>
      <c r="N695" s="2" t="n"/>
      <c r="O695" s="3" t="inlineStr">
        <is>
          <t>https://vanillabonds.com/dossier-data/pdf/katjes/katjes-2025-annual-report.pdf#page=63</t>
        </is>
      </c>
    </row>
    <row r="696">
      <c r="A696" s="2" t="inlineStr">
        <is>
          <t>F695</t>
        </is>
      </c>
      <c r="B696" s="2" t="inlineStr">
        <is>
          <t>debt</t>
        </is>
      </c>
      <c r="C696" s="2" t="inlineStr">
        <is>
          <t>debt_instrument</t>
        </is>
      </c>
      <c r="D696" s="2" t="inlineStr">
        <is>
          <t>Debt instrument</t>
        </is>
      </c>
      <c r="E696" s="2" t="n"/>
      <c r="F696" s="2" t="n">
        <v>3.6</v>
      </c>
      <c r="G696" s="2" t="n"/>
      <c r="H696" s="3" t="inlineStr">
        <is>
          <t>Bank loan of kEUR 5,000 at 4.98%, EUR 3.6m outstanding at 31 Dec 2025 (2024: 5.0).</t>
        </is>
      </c>
      <c r="I696" s="2" t="inlineStr">
        <is>
          <t>S3</t>
        </is>
      </c>
      <c r="J696" s="2" t="n">
        <v>63</v>
      </c>
      <c r="K696" s="2" t="inlineStr">
        <is>
          <t>Bank loan kEUR 5.000 4.98 3.6 5.0</t>
        </is>
      </c>
      <c r="L696" s="2" t="inlineStr">
        <is>
          <t>ok</t>
        </is>
      </c>
      <c r="M696" s="2" t="inlineStr">
        <is>
          <t>demo reviewer</t>
        </is>
      </c>
      <c r="N696" s="2" t="n"/>
      <c r="O696" s="3" t="inlineStr">
        <is>
          <t>https://vanillabonds.com/dossier-data/pdf/katjes/katjes-2025-annual-report.pdf#page=63</t>
        </is>
      </c>
    </row>
    <row r="697">
      <c r="A697" s="2" t="inlineStr">
        <is>
          <t>F696</t>
        </is>
      </c>
      <c r="B697" s="2" t="inlineStr">
        <is>
          <t>debt</t>
        </is>
      </c>
      <c r="C697" s="2" t="inlineStr">
        <is>
          <t>debt_instrument</t>
        </is>
      </c>
      <c r="D697" s="2" t="inlineStr">
        <is>
          <t>Debt instrument</t>
        </is>
      </c>
      <c r="E697" s="2" t="n"/>
      <c r="F697" s="2" t="n">
        <v>1.9</v>
      </c>
      <c r="G697" s="2" t="n"/>
      <c r="H697" s="3" t="inlineStr">
        <is>
          <t>Bank loan of kEUR 5,000 at 8.5%, EUR 1.9m outstanding at 31 Dec 2025 (2024: 3.1).</t>
        </is>
      </c>
      <c r="I697" s="2" t="inlineStr">
        <is>
          <t>S3</t>
        </is>
      </c>
      <c r="J697" s="2" t="n">
        <v>63</v>
      </c>
      <c r="K697" s="2" t="inlineStr">
        <is>
          <t>Bank loan kEUR 5.000 8.5 1.9 3.1</t>
        </is>
      </c>
      <c r="L697" s="2" t="inlineStr">
        <is>
          <t>ok</t>
        </is>
      </c>
      <c r="M697" s="2" t="inlineStr">
        <is>
          <t>demo reviewer</t>
        </is>
      </c>
      <c r="N697" s="2" t="n"/>
      <c r="O697" s="3" t="inlineStr">
        <is>
          <t>https://vanillabonds.com/dossier-data/pdf/katjes/katjes-2025-annual-report.pdf#page=63</t>
        </is>
      </c>
    </row>
    <row r="698">
      <c r="A698" s="2" t="inlineStr">
        <is>
          <t>F697</t>
        </is>
      </c>
      <c r="B698" s="2" t="inlineStr">
        <is>
          <t>debt</t>
        </is>
      </c>
      <c r="C698" s="2" t="inlineStr">
        <is>
          <t>debt_instrument</t>
        </is>
      </c>
      <c r="D698" s="2" t="inlineStr">
        <is>
          <t>Debt instrument</t>
        </is>
      </c>
      <c r="E698" s="2" t="n"/>
      <c r="F698" s="2" t="n">
        <v>0</v>
      </c>
      <c r="G698" s="2" t="n"/>
      <c r="H698" s="3" t="inlineStr">
        <is>
          <t>Bank loan of kEUR 3,000 at 2.0%, EUR 0.0m outstanding at 31 Dec 2025 (2024: 0.4).</t>
        </is>
      </c>
      <c r="I698" s="2" t="inlineStr">
        <is>
          <t>S3</t>
        </is>
      </c>
      <c r="J698" s="2" t="n">
        <v>63</v>
      </c>
      <c r="K698" s="2" t="inlineStr">
        <is>
          <t>Bank loan kEUR 3.000 2.0 0.0 0.4</t>
        </is>
      </c>
      <c r="L698" s="2" t="inlineStr">
        <is>
          <t>ok</t>
        </is>
      </c>
      <c r="M698" s="2" t="inlineStr">
        <is>
          <t>demo reviewer</t>
        </is>
      </c>
      <c r="N698" s="2" t="n"/>
      <c r="O698" s="3" t="inlineStr">
        <is>
          <t>https://vanillabonds.com/dossier-data/pdf/katjes/katjes-2025-annual-report.pdf#page=63</t>
        </is>
      </c>
    </row>
    <row r="699">
      <c r="A699" s="2" t="inlineStr">
        <is>
          <t>F698</t>
        </is>
      </c>
      <c r="B699" s="2" t="inlineStr">
        <is>
          <t>debt</t>
        </is>
      </c>
      <c r="C699" s="2" t="inlineStr">
        <is>
          <t>debt_instrument</t>
        </is>
      </c>
      <c r="D699" s="2" t="inlineStr">
        <is>
          <t>Debt instrument</t>
        </is>
      </c>
      <c r="E699" s="2" t="n"/>
      <c r="F699" s="2" t="n">
        <v>42.8</v>
      </c>
      <c r="G699" s="2" t="n"/>
      <c r="H699" s="3" t="inlineStr">
        <is>
          <t>Other loans, variable and fixed rate, EUR 42.8m at 31 Dec 2025 (2024: 24.0).</t>
        </is>
      </c>
      <c r="I699" s="2" t="inlineStr">
        <is>
          <t>S3</t>
        </is>
      </c>
      <c r="J699" s="2" t="n">
        <v>63</v>
      </c>
      <c r="K699" s="2" t="inlineStr">
        <is>
          <t>Other loans Variable and fixed 42.8 24.0</t>
        </is>
      </c>
      <c r="L699" s="2" t="inlineStr">
        <is>
          <t>ok</t>
        </is>
      </c>
      <c r="M699" s="2" t="inlineStr">
        <is>
          <t>demo reviewer</t>
        </is>
      </c>
      <c r="N699" s="2" t="n"/>
      <c r="O699" s="3" t="inlineStr">
        <is>
          <t>https://vanillabonds.com/dossier-data/pdf/katjes/katjes-2025-annual-report.pdf#page=63</t>
        </is>
      </c>
    </row>
    <row r="700">
      <c r="A700" s="2" t="inlineStr">
        <is>
          <t>F699</t>
        </is>
      </c>
      <c r="B700" s="2" t="inlineStr">
        <is>
          <t>debt</t>
        </is>
      </c>
      <c r="C700" s="2" t="inlineStr">
        <is>
          <t>debt_instrument</t>
        </is>
      </c>
      <c r="D700" s="2" t="inlineStr">
        <is>
          <t>Debt instrument</t>
        </is>
      </c>
      <c r="E700" s="2" t="n"/>
      <c r="F700" s="2" t="n">
        <v>82.40000000000001</v>
      </c>
      <c r="G700" s="2" t="n"/>
      <c r="H700" s="3" t="inlineStr">
        <is>
          <t>Other financial interest-bearing liabilities, variable and fixed, EUR 82.4m at 31 Dec 2025 (2024: 14.7); per note 6.2 mainly lease liabilities and the option liabilities for Dulcioliva and Bogner minorities.</t>
        </is>
      </c>
      <c r="I700" s="2" t="inlineStr">
        <is>
          <t>S3</t>
        </is>
      </c>
      <c r="J700" s="2" t="n">
        <v>63</v>
      </c>
      <c r="K700" s="3" t="inlineStr">
        <is>
          <t>Other financial interest-bearing liabilities Variable and fixed 82.4 14.7</t>
        </is>
      </c>
      <c r="L700" s="2" t="inlineStr">
        <is>
          <t>ok</t>
        </is>
      </c>
      <c r="M700" s="2" t="inlineStr">
        <is>
          <t>demo reviewer</t>
        </is>
      </c>
      <c r="N700" s="2" t="n"/>
      <c r="O700" s="3" t="inlineStr">
        <is>
          <t>https://vanillabonds.com/dossier-data/pdf/katjes/katjes-2025-annual-report.pdf#page=63</t>
        </is>
      </c>
    </row>
    <row r="701">
      <c r="A701" s="2" t="inlineStr">
        <is>
          <t>F700</t>
        </is>
      </c>
      <c r="B701" s="2" t="inlineStr">
        <is>
          <t>debt</t>
        </is>
      </c>
      <c r="C701" s="2" t="inlineStr">
        <is>
          <t>covenant</t>
        </is>
      </c>
      <c r="D701" s="2" t="inlineStr">
        <is>
          <t>Financial covenant / restriction</t>
        </is>
      </c>
      <c r="E701" s="2" t="n"/>
      <c r="F701" s="2" t="n"/>
      <c r="G701" s="2" t="n"/>
      <c r="H701" s="3" t="inlineStr">
        <is>
          <t>Certain subsidiaries must comply with financial covenants under existing financing agreements; a breach could lead to higher financing costs or early repayment obligations; no covenant definitions or thresholds disclosed.</t>
        </is>
      </c>
      <c r="I701" s="2" t="inlineStr">
        <is>
          <t>S3</t>
        </is>
      </c>
      <c r="J701" s="2" t="n">
        <v>32</v>
      </c>
      <c r="K701" s="3" t="inlineStr">
        <is>
          <t>Under existing financing agreements, certain subsidiaries of Katjes International are required to comply with certain</t>
        </is>
      </c>
      <c r="L701" s="2" t="inlineStr">
        <is>
          <t>ok</t>
        </is>
      </c>
      <c r="M701" s="2" t="inlineStr">
        <is>
          <t>demo reviewer</t>
        </is>
      </c>
      <c r="N701" s="2" t="n"/>
      <c r="O701" s="3" t="inlineStr">
        <is>
          <t>https://vanillabonds.com/dossier-data/pdf/katjes/katjes-2025-annual-report.pdf#page=32</t>
        </is>
      </c>
    </row>
    <row r="702">
      <c r="A702" s="2" t="inlineStr">
        <is>
          <t>F701</t>
        </is>
      </c>
      <c r="B702" s="2" t="inlineStr">
        <is>
          <t>risk</t>
        </is>
      </c>
      <c r="C702" s="2" t="inlineStr">
        <is>
          <t>risk_fact</t>
        </is>
      </c>
      <c r="D702" s="2" t="inlineStr">
        <is>
          <t>Risk fact</t>
        </is>
      </c>
      <c r="E702" s="2" t="n"/>
      <c r="F702" s="2" t="n">
        <v>19.1</v>
      </c>
      <c r="G702" s="2" t="n"/>
      <c r="H702" s="3" t="inlineStr">
        <is>
          <t>Operating cash flow fell to 19.1 (2024: 45.6), attributed among other factors to the Bogner Group's strongly seasonal working capital; inventories rose to 97.1 (51.3) and receivables to 100.6 (59.2).</t>
        </is>
      </c>
      <c r="I702" s="2" t="inlineStr">
        <is>
          <t>S3</t>
        </is>
      </c>
      <c r="J702" s="2" t="n">
        <v>26</v>
      </c>
      <c r="K702" s="3" t="inlineStr">
        <is>
          <t>In the financial year 2025, cash flow from operating activities amounted to EUR 19.1 million (2024: EUR 45.6 million)</t>
        </is>
      </c>
      <c r="L702" s="2" t="inlineStr">
        <is>
          <t>ok</t>
        </is>
      </c>
      <c r="M702" s="2" t="inlineStr">
        <is>
          <t>demo reviewer</t>
        </is>
      </c>
      <c r="N702" s="2" t="n"/>
      <c r="O702" s="3" t="inlineStr">
        <is>
          <t>https://vanillabonds.com/dossier-data/pdf/katjes/katjes-2025-annual-report.pdf#page=26</t>
        </is>
      </c>
    </row>
    <row r="703">
      <c r="A703" s="2" t="inlineStr">
        <is>
          <t>F702</t>
        </is>
      </c>
      <c r="B703" s="2" t="inlineStr">
        <is>
          <t>risk</t>
        </is>
      </c>
      <c r="C703" s="2" t="inlineStr">
        <is>
          <t>risk_fact</t>
        </is>
      </c>
      <c r="D703" s="2" t="inlineStr">
        <is>
          <t>Risk fact</t>
        </is>
      </c>
      <c r="E703" s="2" t="n"/>
      <c r="F703" s="2" t="n"/>
      <c r="G703" s="2" t="n"/>
      <c r="H703" s="3" t="inlineStr">
        <is>
          <t>Management expects 'largely stable sales development' citing the low cyclicality of confectionery and body care; luxury goods (Bogner) are described as subject to 'significant risks'.</t>
        </is>
      </c>
      <c r="I703" s="2" t="inlineStr">
        <is>
          <t>S3</t>
        </is>
      </c>
      <c r="J703" s="2" t="n">
        <v>30</v>
      </c>
      <c r="K703" s="3" t="inlineStr">
        <is>
          <t>Luxury consumer goods are subject to significant risks, but also offer corresponding opportunities.</t>
        </is>
      </c>
      <c r="L703" s="2" t="inlineStr">
        <is>
          <t>ok</t>
        </is>
      </c>
      <c r="M703" s="2" t="inlineStr">
        <is>
          <t>demo reviewer</t>
        </is>
      </c>
      <c r="N703" s="2" t="n"/>
      <c r="O703" s="3" t="inlineStr">
        <is>
          <t>https://vanillabonds.com/dossier-data/pdf/katjes/katjes-2025-annual-report.pdf#page=30</t>
        </is>
      </c>
    </row>
    <row r="704">
      <c r="A704" s="2" t="inlineStr">
        <is>
          <t>F703</t>
        </is>
      </c>
      <c r="B704" s="2" t="inlineStr">
        <is>
          <t>risk</t>
        </is>
      </c>
      <c r="C704" s="2" t="inlineStr">
        <is>
          <t>risk_fact</t>
        </is>
      </c>
      <c r="D704" s="2" t="inlineStr">
        <is>
          <t>Risk fact</t>
        </is>
      </c>
      <c r="E704" s="2" t="n"/>
      <c r="F704" s="2" t="n"/>
      <c r="G704" s="2" t="n"/>
      <c r="H704" s="3" t="inlineStr">
        <is>
          <t>FX: international raw material sourcing exposes the Group to foreign exchange risk, especially against the US dollar; USD purchases hedged with forwards (notional 92.0); RUB, GBP, USD, CAD, CHF rates applied.</t>
        </is>
      </c>
      <c r="I704" s="2" t="inlineStr">
        <is>
          <t>S3</t>
        </is>
      </c>
      <c r="J704" s="2" t="n">
        <v>32</v>
      </c>
      <c r="K704" s="3" t="inlineStr">
        <is>
          <t>is exposed to foreign exchange risks, especially against the US dollar.</t>
        </is>
      </c>
      <c r="L704" s="2" t="inlineStr">
        <is>
          <t>ok</t>
        </is>
      </c>
      <c r="M704" s="2" t="inlineStr">
        <is>
          <t>demo reviewer</t>
        </is>
      </c>
      <c r="N704" s="2" t="n"/>
      <c r="O704" s="3" t="inlineStr">
        <is>
          <t>https://vanillabonds.com/dossier-data/pdf/katjes/katjes-2025-annual-report.pdf#page=32</t>
        </is>
      </c>
    </row>
    <row r="705">
      <c r="A705" s="2" t="inlineStr">
        <is>
          <t>F704</t>
        </is>
      </c>
      <c r="B705" s="2" t="inlineStr">
        <is>
          <t>risk</t>
        </is>
      </c>
      <c r="C705" s="2" t="inlineStr">
        <is>
          <t>risk_fact</t>
        </is>
      </c>
      <c r="D705" s="2" t="inlineStr">
        <is>
          <t>Risk fact</t>
        </is>
      </c>
      <c r="E705" s="2" t="n"/>
      <c r="F705" s="2" t="n"/>
      <c r="G705" s="2" t="n"/>
      <c r="H705" s="3" t="inlineStr">
        <is>
          <t>Group companies may be required to repay subsidies or other government grants (stated risk, no amount).</t>
        </is>
      </c>
      <c r="I705" s="2" t="inlineStr">
        <is>
          <t>S3</t>
        </is>
      </c>
      <c r="J705" s="2" t="n">
        <v>32</v>
      </c>
      <c r="K705" s="3" t="inlineStr">
        <is>
          <t>Group companies may be required to repay subsidies or other government grants.</t>
        </is>
      </c>
      <c r="L705" s="2" t="inlineStr">
        <is>
          <t>ok</t>
        </is>
      </c>
      <c r="M705" s="2" t="inlineStr">
        <is>
          <t>demo reviewer</t>
        </is>
      </c>
      <c r="N705" s="2" t="n"/>
      <c r="O705" s="3" t="inlineStr">
        <is>
          <t>https://vanillabonds.com/dossier-data/pdf/katjes/katjes-2025-annual-report.pdf#page=32</t>
        </is>
      </c>
    </row>
    <row r="706">
      <c r="A706" s="2" t="inlineStr">
        <is>
          <t>F705</t>
        </is>
      </c>
      <c r="B706" s="2" t="inlineStr">
        <is>
          <t>risk</t>
        </is>
      </c>
      <c r="C706" s="2" t="inlineStr">
        <is>
          <t>risk_fact</t>
        </is>
      </c>
      <c r="D706" s="2" t="inlineStr">
        <is>
          <t>Risk fact</t>
        </is>
      </c>
      <c r="E706" s="2" t="n"/>
      <c r="F706" s="2" t="n"/>
      <c r="G706" s="2" t="n"/>
      <c r="H706" s="3" t="inlineStr">
        <is>
          <t>Key-person risk: success depends on the expertise and experience of key management personnel and qualified employees (stated risk).</t>
        </is>
      </c>
      <c r="I706" s="2" t="inlineStr">
        <is>
          <t>S3</t>
        </is>
      </c>
      <c r="J706" s="2" t="n">
        <v>32</v>
      </c>
      <c r="K706" s="3" t="inlineStr">
        <is>
          <t>The success of Katjes International depends on the expertise and experience of key management personnel and qualified employees.</t>
        </is>
      </c>
      <c r="L706" s="2" t="inlineStr">
        <is>
          <t>ok</t>
        </is>
      </c>
      <c r="M706" s="2" t="inlineStr">
        <is>
          <t>demo reviewer</t>
        </is>
      </c>
      <c r="N706" s="2" t="n"/>
      <c r="O706" s="3" t="inlineStr">
        <is>
          <t>https://vanillabonds.com/dossier-data/pdf/katjes/katjes-2025-annual-report.pdf#page=32</t>
        </is>
      </c>
    </row>
    <row r="707">
      <c r="A707" s="2" t="inlineStr">
        <is>
          <t>F706</t>
        </is>
      </c>
      <c r="B707" s="2" t="inlineStr">
        <is>
          <t>risk</t>
        </is>
      </c>
      <c r="C707" s="2" t="inlineStr">
        <is>
          <t>risk_fact</t>
        </is>
      </c>
      <c r="D707" s="2" t="inlineStr">
        <is>
          <t>Risk fact</t>
        </is>
      </c>
      <c r="E707" s="2" t="n"/>
      <c r="F707" s="2" t="n"/>
      <c r="G707" s="2" t="n"/>
      <c r="H707" s="3" t="inlineStr">
        <is>
          <t>Holding structure: Katjes International's earnings are primarily dependent on the results of its subsidiaries and portfolio companies, which it services for consideration.</t>
        </is>
      </c>
      <c r="I707" s="2" t="inlineStr">
        <is>
          <t>S3</t>
        </is>
      </c>
      <c r="J707" s="2" t="n">
        <v>32</v>
      </c>
      <c r="K707" s="3" t="inlineStr">
        <is>
          <t>however, its earnings are primarily dependent on the results of its subsidiaries and portfolio companies.</t>
        </is>
      </c>
      <c r="L707" s="2" t="inlineStr">
        <is>
          <t>ok</t>
        </is>
      </c>
      <c r="M707" s="2" t="inlineStr">
        <is>
          <t>demo reviewer</t>
        </is>
      </c>
      <c r="N707" s="2" t="n"/>
      <c r="O707" s="3" t="inlineStr">
        <is>
          <t>https://vanillabonds.com/dossier-data/pdf/katjes/katjes-2025-annual-report.pdf#page=32</t>
        </is>
      </c>
    </row>
    <row r="708">
      <c r="A708" s="2" t="inlineStr">
        <is>
          <t>F707</t>
        </is>
      </c>
      <c r="B708" s="2" t="inlineStr">
        <is>
          <t>risk</t>
        </is>
      </c>
      <c r="C708" s="2" t="inlineStr">
        <is>
          <t>risk_fact</t>
        </is>
      </c>
      <c r="D708" s="2" t="inlineStr">
        <is>
          <t>Risk fact</t>
        </is>
      </c>
      <c r="E708" s="2" t="n"/>
      <c r="F708" s="2" t="n"/>
      <c r="G708" s="2" t="n"/>
      <c r="H708" s="3" t="inlineStr">
        <is>
          <t>Cyber risk named: a single incident may cause business interruption or data loss (stated risk, no incident disclosed).</t>
        </is>
      </c>
      <c r="I708" s="2" t="inlineStr">
        <is>
          <t>S3</t>
        </is>
      </c>
      <c r="J708" s="2" t="n">
        <v>32</v>
      </c>
      <c r="K708" s="3" t="inlineStr">
        <is>
          <t>A single incident may have serious consequences (e.g. business interruption, data loss).</t>
        </is>
      </c>
      <c r="L708" s="2" t="inlineStr">
        <is>
          <t>ok</t>
        </is>
      </c>
      <c r="M708" s="2" t="inlineStr">
        <is>
          <t>demo reviewer</t>
        </is>
      </c>
      <c r="N708" s="2" t="n"/>
      <c r="O708" s="3" t="inlineStr">
        <is>
          <t>https://vanillabonds.com/dossier-data/pdf/katjes/katjes-2025-annual-report.pdf#page=32</t>
        </is>
      </c>
    </row>
    <row r="709">
      <c r="A709" s="2" t="inlineStr">
        <is>
          <t>F708</t>
        </is>
      </c>
      <c r="B709" s="2" t="inlineStr">
        <is>
          <t>risk</t>
        </is>
      </c>
      <c r="C709" s="2" t="inlineStr">
        <is>
          <t>risk_fact</t>
        </is>
      </c>
      <c r="D709" s="2" t="inlineStr">
        <is>
          <t>Risk fact</t>
        </is>
      </c>
      <c r="E709" s="2" t="n"/>
      <c r="F709" s="2" t="n"/>
      <c r="G709" s="2" t="n"/>
      <c r="H709" s="3" t="inlineStr">
        <is>
          <t>Management rates the overall market-related and regulatory risk as 'rather low' and company-specific risks as 'manageable and appropriate' given mitigation measures.</t>
        </is>
      </c>
      <c r="I709" s="2" t="inlineStr">
        <is>
          <t>S3</t>
        </is>
      </c>
      <c r="J709" s="2" t="n">
        <v>32</v>
      </c>
      <c r="K709" s="3" t="inlineStr">
        <is>
          <t>Katjes International assesses the overall risk arising from these</t>
        </is>
      </c>
      <c r="L709" s="2" t="inlineStr">
        <is>
          <t>ok</t>
        </is>
      </c>
      <c r="M709" s="2" t="inlineStr">
        <is>
          <t>demo reviewer</t>
        </is>
      </c>
      <c r="N709" s="2" t="n"/>
      <c r="O709" s="3" t="inlineStr">
        <is>
          <t>https://vanillabonds.com/dossier-data/pdf/katjes/katjes-2025-annual-report.pdf#page=32</t>
        </is>
      </c>
    </row>
    <row r="710">
      <c r="A710" s="2" t="inlineStr">
        <is>
          <t>F709</t>
        </is>
      </c>
      <c r="B710" s="2" t="inlineStr">
        <is>
          <t>risk</t>
        </is>
      </c>
      <c r="C710" s="2" t="inlineStr">
        <is>
          <t>risk_fact</t>
        </is>
      </c>
      <c r="D710" s="2" t="inlineStr">
        <is>
          <t>Risk fact</t>
        </is>
      </c>
      <c r="E710" s="2" t="n"/>
      <c r="F710" s="2" t="n"/>
      <c r="G710" s="2" t="n"/>
      <c r="H710" s="3" t="inlineStr">
        <is>
          <t>Geopolitics: the Russia-Ukraine war and the Middle East security situation are named as risks on both the sales and procurement sides.</t>
        </is>
      </c>
      <c r="I710" s="2" t="inlineStr">
        <is>
          <t>S3</t>
        </is>
      </c>
      <c r="J710" s="2" t="n">
        <v>33</v>
      </c>
      <c r="K710" s="3" t="inlineStr">
        <is>
          <t>However, further developments in the Russia-Ukraine war and the security situation in the Middle East remain of importance</t>
        </is>
      </c>
      <c r="L710" s="2" t="inlineStr">
        <is>
          <t>ok</t>
        </is>
      </c>
      <c r="M710" s="2" t="inlineStr">
        <is>
          <t>demo reviewer</t>
        </is>
      </c>
      <c r="N710" s="2" t="n"/>
      <c r="O710" s="3" t="inlineStr">
        <is>
          <t>https://vanillabonds.com/dossier-data/pdf/katjes/katjes-2025-annual-report.pdf#page=33</t>
        </is>
      </c>
    </row>
    <row r="711">
      <c r="A711" s="2" t="inlineStr">
        <is>
          <t>F710</t>
        </is>
      </c>
      <c r="B711" s="2" t="inlineStr">
        <is>
          <t>risk</t>
        </is>
      </c>
      <c r="C711" s="2" t="inlineStr">
        <is>
          <t>risk_fact</t>
        </is>
      </c>
      <c r="D711" s="2" t="inlineStr">
        <is>
          <t>Risk fact</t>
        </is>
      </c>
      <c r="E711" s="2" t="n"/>
      <c r="F711" s="2" t="n">
        <v>2.1</v>
      </c>
      <c r="G711" s="2" t="n"/>
      <c r="H711" s="3" t="inlineStr">
        <is>
          <t>Trade receivables of EUR 2.1m more than six months past due at 31 Dec 2025, impaired by 0.7; total impairment allowance 1.5 (2024: 0.7); no collateral received.</t>
        </is>
      </c>
      <c r="I711" s="2" t="inlineStr">
        <is>
          <t>S3</t>
        </is>
      </c>
      <c r="J711" s="2" t="n">
        <v>66</v>
      </c>
      <c r="K711" s="3" t="inlineStr">
        <is>
          <t>As at the reporting date, trade receivables amounting to EUR 2.1 million were more than six months past due</t>
        </is>
      </c>
      <c r="L711" s="2" t="inlineStr">
        <is>
          <t>ok</t>
        </is>
      </c>
      <c r="M711" s="2" t="inlineStr">
        <is>
          <t>demo reviewer</t>
        </is>
      </c>
      <c r="N711" s="2" t="n"/>
      <c r="O711" s="3" t="inlineStr">
        <is>
          <t>https://vanillabonds.com/dossier-data/pdf/katjes/katjes-2025-annual-report.pdf#page=66</t>
        </is>
      </c>
    </row>
    <row r="712">
      <c r="A712" s="2" t="inlineStr">
        <is>
          <t>F711</t>
        </is>
      </c>
      <c r="B712" s="2" t="inlineStr">
        <is>
          <t>risk</t>
        </is>
      </c>
      <c r="C712" s="2" t="inlineStr">
        <is>
          <t>risk_fact</t>
        </is>
      </c>
      <c r="D712" s="2" t="inlineStr">
        <is>
          <t>Risk fact</t>
        </is>
      </c>
      <c r="E712" s="2" t="n"/>
      <c r="F712" s="2" t="n"/>
      <c r="G712" s="2" t="n"/>
      <c r="H712" s="3" t="inlineStr">
        <is>
          <t>Event after the balance sheet date: the US-Israel military conflict with Iran initiated on February 28, 2026; financial effects on the Company 'cannot be reliably determined'.</t>
        </is>
      </c>
      <c r="I712" s="2" t="inlineStr">
        <is>
          <t>S3</t>
        </is>
      </c>
      <c r="J712" s="2" t="n">
        <v>81</v>
      </c>
      <c r="K712" s="3" t="inlineStr">
        <is>
          <t>On February 28, 2026, the United States and Israel initiated a military conflict with Iran.</t>
        </is>
      </c>
      <c r="L712" s="2" t="inlineStr">
        <is>
          <t>ok</t>
        </is>
      </c>
      <c r="M712" s="2" t="inlineStr">
        <is>
          <t>demo reviewer</t>
        </is>
      </c>
      <c r="N712" s="2" t="n"/>
      <c r="O712" s="3" t="inlineStr">
        <is>
          <t>https://vanillabonds.com/dossier-data/pdf/katjes/katjes-2025-annual-report.pdf#page=81</t>
        </is>
      </c>
    </row>
    <row r="713">
      <c r="A713" s="2" t="inlineStr">
        <is>
          <t>F712</t>
        </is>
      </c>
      <c r="B713" s="2" t="inlineStr">
        <is>
          <t>risk</t>
        </is>
      </c>
      <c r="C713" s="2" t="inlineStr">
        <is>
          <t>risk_fact</t>
        </is>
      </c>
      <c r="D713" s="2" t="inlineStr">
        <is>
          <t>Risk fact</t>
        </is>
      </c>
      <c r="E713" s="2" t="n"/>
      <c r="F713" s="2" t="n"/>
      <c r="G713" s="2" t="n"/>
      <c r="H713" s="3" t="inlineStr">
        <is>
          <t>The Group fully consolidates Bogner Eastern Europe LLC, Moscow, Russia (60%); a RUB closing rate of 92.91 was applied at 31 Dec 2025.</t>
        </is>
      </c>
      <c r="I713" s="2" t="inlineStr">
        <is>
          <t>S3</t>
        </is>
      </c>
      <c r="J713" s="2" t="n">
        <v>84</v>
      </c>
      <c r="K713" s="3" t="inlineStr">
        <is>
          <t>Bogner Eastern Europe LLC, Moscow, Russia 60 A</t>
        </is>
      </c>
      <c r="L713" s="2" t="inlineStr">
        <is>
          <t>ok</t>
        </is>
      </c>
      <c r="M713" s="2" t="inlineStr">
        <is>
          <t>demo reviewer</t>
        </is>
      </c>
      <c r="N713" s="2" t="n"/>
      <c r="O713" s="3" t="inlineStr">
        <is>
          <t>https://vanillabonds.com/dossier-data/pdf/katjes/katjes-2025-annual-report.pdf#page=84</t>
        </is>
      </c>
    </row>
    <row r="714">
      <c r="A714" s="2" t="inlineStr">
        <is>
          <t>F713</t>
        </is>
      </c>
      <c r="B714" s="2" t="inlineStr">
        <is>
          <t>management</t>
        </is>
      </c>
      <c r="C714" s="2" t="inlineStr">
        <is>
          <t>mgmt_person</t>
        </is>
      </c>
      <c r="D714" s="3" t="inlineStr">
        <is>
          <t>Executive: name, role, since, prior roles (register / report)</t>
        </is>
      </c>
      <c r="E714" s="2" t="n"/>
      <c r="F714" s="2" t="n"/>
      <c r="G714" s="2" t="n"/>
      <c r="H714" s="3" t="inlineStr">
        <is>
          <t>Stephan Milde, Managing Director (CFO) since 2012; before several years in investment banking at Deutsche Bank and Citigroup in London.</t>
        </is>
      </c>
      <c r="I714" s="2" t="inlineStr">
        <is>
          <t>S3</t>
        </is>
      </c>
      <c r="J714" s="2" t="n">
        <v>6</v>
      </c>
      <c r="K714" s="3" t="inlineStr">
        <is>
          <t>STEPHAN MILDE Managing Director (CFO) of Katjes International Career since 2012 – CFO Katjes International before several years in Investment Banking at Deutsche Bank and Citigroup in London</t>
        </is>
      </c>
      <c r="L714" s="2" t="inlineStr">
        <is>
          <t>ok</t>
        </is>
      </c>
      <c r="M714" s="2" t="inlineStr">
        <is>
          <t>demo reviewer</t>
        </is>
      </c>
      <c r="N714" s="2" t="n"/>
      <c r="O714" s="3" t="inlineStr">
        <is>
          <t>https://vanillabonds.com/dossier-data/pdf/katjes/katjes-2025-annual-report.pdf#page=6</t>
        </is>
      </c>
    </row>
    <row r="715">
      <c r="A715" s="2" t="inlineStr">
        <is>
          <t>F714</t>
        </is>
      </c>
      <c r="B715" s="2" t="inlineStr">
        <is>
          <t>management</t>
        </is>
      </c>
      <c r="C715" s="2" t="inlineStr">
        <is>
          <t>mgmt_person</t>
        </is>
      </c>
      <c r="D715" s="3" t="inlineStr">
        <is>
          <t>Executive: name, role, since, prior roles (register / report)</t>
        </is>
      </c>
      <c r="E715" s="2" t="n"/>
      <c r="F715" s="2" t="n"/>
      <c r="G715" s="2" t="n"/>
      <c r="H715" s="3" t="inlineStr">
        <is>
          <t>Bastian Fassin, Managing Shareholder since 2004; until 2003 Marketing and Sales at Kraft Foods, until 2000 Roland Berger Strategy Consultants.</t>
        </is>
      </c>
      <c r="I715" s="2" t="inlineStr">
        <is>
          <t>S3</t>
        </is>
      </c>
      <c r="J715" s="2" t="n">
        <v>6</v>
      </c>
      <c r="K715" s="3" t="inlineStr">
        <is>
          <t>since 2004 – Managing Shareholder of Katjes International until 2003 – Marketing and Sales, Kraft Foods until 2000 – Roland Berger Strategy Consultants</t>
        </is>
      </c>
      <c r="L715" s="2" t="inlineStr">
        <is>
          <t>ok</t>
        </is>
      </c>
      <c r="M715" s="2" t="inlineStr">
        <is>
          <t>demo reviewer</t>
        </is>
      </c>
      <c r="N715" s="2" t="n"/>
      <c r="O715" s="3" t="inlineStr">
        <is>
          <t>https://vanillabonds.com/dossier-data/pdf/katjes/katjes-2025-annual-report.pdf#page=6</t>
        </is>
      </c>
    </row>
    <row r="716">
      <c r="A716" s="2" t="inlineStr">
        <is>
          <t>F715</t>
        </is>
      </c>
      <c r="B716" s="2" t="inlineStr">
        <is>
          <t>management</t>
        </is>
      </c>
      <c r="C716" s="2" t="inlineStr">
        <is>
          <t>mgmt_person</t>
        </is>
      </c>
      <c r="D716" s="3" t="inlineStr">
        <is>
          <t>Executive: name, role, since, prior roles (register / report)</t>
        </is>
      </c>
      <c r="E716" s="2" t="n"/>
      <c r="F716" s="2" t="n"/>
      <c r="G716" s="2" t="n"/>
      <c r="H716" s="3" t="inlineStr">
        <is>
          <t>Tobias Bachmüller, Managing Shareholder since 1996; until 1995 General Manager Kraft Foods (Milka), until 1992 Principal at The Boston Consulting Group.</t>
        </is>
      </c>
      <c r="I716" s="2" t="inlineStr">
        <is>
          <t>S3</t>
        </is>
      </c>
      <c r="J716" s="2" t="n">
        <v>6</v>
      </c>
      <c r="K716" s="3" t="inlineStr">
        <is>
          <t>since 1996 – Managing Shareholder of Katjes International until 1995 – General Manager, Kraft Foods (Milka) until 1992 – Principal, The Boston Consulting Group</t>
        </is>
      </c>
      <c r="L716" s="2" t="inlineStr">
        <is>
          <t>ok</t>
        </is>
      </c>
      <c r="M716" s="2" t="inlineStr">
        <is>
          <t>demo reviewer</t>
        </is>
      </c>
      <c r="N716" s="2" t="n"/>
      <c r="O716" s="3" t="inlineStr">
        <is>
          <t>https://vanillabonds.com/dossier-data/pdf/katjes/katjes-2025-annual-report.pdf#page=6</t>
        </is>
      </c>
    </row>
    <row r="717">
      <c r="A717" s="2" t="inlineStr">
        <is>
          <t>F716</t>
        </is>
      </c>
      <c r="B717" s="2" t="inlineStr">
        <is>
          <t>management</t>
        </is>
      </c>
      <c r="C717" s="2" t="inlineStr">
        <is>
          <t>revenue_budget</t>
        </is>
      </c>
      <c r="D717" s="3" t="inlineStr">
        <is>
          <t>Revenue as budgeted for that year (management plan at the time)</t>
        </is>
      </c>
      <c r="E717" s="2" t="inlineStr">
        <is>
          <t>FY2025</t>
        </is>
      </c>
      <c r="F717" s="2" t="n">
        <v>400</v>
      </c>
      <c r="G717" s="2" t="inlineStr">
        <is>
          <t>EUR m</t>
        </is>
      </c>
      <c r="H717" s="3" t="inlineStr">
        <is>
          <t>Guidance for 2025 was Group revenue of at least EUR 400m; actual 503.0</t>
        </is>
      </c>
      <c r="I717" s="2" t="inlineStr">
        <is>
          <t>S3</t>
        </is>
      </c>
      <c r="J717" s="2" t="n">
        <v>35</v>
      </c>
      <c r="K717" s="3" t="inlineStr">
        <is>
          <t>Group revenue of at least EUR 400 million for the financial year 2025 in its guidance.</t>
        </is>
      </c>
      <c r="L717" s="2" t="inlineStr">
        <is>
          <t>ok</t>
        </is>
      </c>
      <c r="M717" s="2" t="inlineStr">
        <is>
          <t>demo reviewer</t>
        </is>
      </c>
      <c r="N717" s="2" t="n"/>
      <c r="O717" s="3" t="inlineStr">
        <is>
          <t>https://vanillabonds.com/dossier-data/pdf/katjes/katjes-2025-annual-report.pdf#page=35</t>
        </is>
      </c>
    </row>
    <row r="718">
      <c r="A718" s="2" t="inlineStr">
        <is>
          <t>F717</t>
        </is>
      </c>
      <c r="B718" s="2" t="inlineStr">
        <is>
          <t>management</t>
        </is>
      </c>
      <c r="C718" s="2" t="inlineStr">
        <is>
          <t>revenue_budget</t>
        </is>
      </c>
      <c r="D718" s="3" t="inlineStr">
        <is>
          <t>Revenue as budgeted for that year (management plan at the time)</t>
        </is>
      </c>
      <c r="E718" s="2" t="inlineStr">
        <is>
          <t>FY2026E</t>
        </is>
      </c>
      <c r="F718" s="2" t="n">
        <v>650</v>
      </c>
      <c r="G718" s="2" t="inlineStr">
        <is>
          <t>EUR m</t>
        </is>
      </c>
      <c r="H718" s="3" t="inlineStr">
        <is>
          <t>Guidance for 2026: revenue of more than EUR 650m (management forecast, status rep)</t>
        </is>
      </c>
      <c r="I718" s="2" t="inlineStr">
        <is>
          <t>S3</t>
        </is>
      </c>
      <c r="J718" s="2" t="n">
        <v>35</v>
      </c>
      <c r="K718" s="3" t="inlineStr">
        <is>
          <t>For the financial year 2026, the Company expects revenue of more than EUR 650 million.</t>
        </is>
      </c>
      <c r="L718" s="2" t="inlineStr">
        <is>
          <t>ok</t>
        </is>
      </c>
      <c r="M718" s="2" t="inlineStr">
        <is>
          <t>demo reviewer</t>
        </is>
      </c>
      <c r="N718" s="2" t="n"/>
      <c r="O718" s="3" t="inlineStr">
        <is>
          <t>https://vanillabonds.com/dossier-data/pdf/katjes/katjes-2025-annual-report.pdf#page=35</t>
        </is>
      </c>
    </row>
    <row r="719">
      <c r="A719" s="2" t="inlineStr">
        <is>
          <t>F718</t>
        </is>
      </c>
      <c r="B719" s="2" t="inlineStr">
        <is>
          <t>management</t>
        </is>
      </c>
      <c r="C719" s="2" t="inlineStr">
        <is>
          <t>covenant_test</t>
        </is>
      </c>
      <c r="D719" s="3" t="inlineStr">
        <is>
          <t>Covenant test: date, ratio, threshold, outcome, waiver</t>
        </is>
      </c>
      <c r="E719" s="2" t="n"/>
      <c r="F719" s="2" t="n"/>
      <c r="G719" s="2" t="n"/>
      <c r="H719" s="3" t="inlineStr">
        <is>
          <t>No covenant test result disclosed; management states covenant compliance is ensured through continuous monitoring of KPIs and forward-looking financial planning.</t>
        </is>
      </c>
      <c r="I719" s="2" t="inlineStr">
        <is>
          <t>S3</t>
        </is>
      </c>
      <c r="J719" s="2" t="n">
        <v>34</v>
      </c>
      <c r="K719" s="3" t="inlineStr">
        <is>
          <t>Compliance with existing covenants is ensured through</t>
        </is>
      </c>
      <c r="L719" s="2" t="inlineStr">
        <is>
          <t>ok</t>
        </is>
      </c>
      <c r="M719" s="2" t="inlineStr">
        <is>
          <t>demo reviewer</t>
        </is>
      </c>
      <c r="N719" s="2" t="n"/>
      <c r="O719" s="3" t="inlineStr">
        <is>
          <t>https://vanillabonds.com/dossier-data/pdf/katjes/katjes-2025-annual-report.pdf#page=34</t>
        </is>
      </c>
    </row>
    <row r="720">
      <c r="A720" s="2" t="inlineStr">
        <is>
          <t>F719</t>
        </is>
      </c>
      <c r="B720" s="2" t="inlineStr">
        <is>
          <t>management</t>
        </is>
      </c>
      <c r="C720" s="2" t="inlineStr">
        <is>
          <t>acquisition</t>
        </is>
      </c>
      <c r="D720" s="3" t="inlineStr">
        <is>
          <t>Acquisition / disposal: target, year, price, funding, outcome vs case</t>
        </is>
      </c>
      <c r="E720" s="2" t="n"/>
      <c r="F720" s="2" t="n"/>
      <c r="G720" s="2" t="n"/>
      <c r="H720" s="3" t="inlineStr">
        <is>
          <t>Paluani: operating business of Paluani S.p.A. (Verona, panettone) acquired by Sperlari on August 1, 2022; price not stated.</t>
        </is>
      </c>
      <c r="I720" s="2" t="inlineStr">
        <is>
          <t>S3</t>
        </is>
      </c>
      <c r="J720" s="2" t="n">
        <v>12</v>
      </c>
      <c r="K720" s="3" t="inlineStr">
        <is>
          <t>With the acquisition of the operating business of Paluani S.p.A. on August 1, 2022, Sperlari took a further strategic step</t>
        </is>
      </c>
      <c r="L720" s="2" t="inlineStr">
        <is>
          <t>ok</t>
        </is>
      </c>
      <c r="M720" s="2" t="inlineStr">
        <is>
          <t>demo reviewer</t>
        </is>
      </c>
      <c r="N720" s="2" t="n"/>
      <c r="O720" s="3" t="inlineStr">
        <is>
          <t>https://vanillabonds.com/dossier-data/pdf/katjes/katjes-2025-annual-report.pdf#page=12</t>
        </is>
      </c>
    </row>
    <row r="721">
      <c r="A721" s="2" t="inlineStr">
        <is>
          <t>F720</t>
        </is>
      </c>
      <c r="B721" s="2" t="inlineStr">
        <is>
          <t>management</t>
        </is>
      </c>
      <c r="C721" s="2" t="inlineStr">
        <is>
          <t>acquisition</t>
        </is>
      </c>
      <c r="D721" s="3" t="inlineStr">
        <is>
          <t>Acquisition / disposal: target, year, price, funding, outcome vs case</t>
        </is>
      </c>
      <c r="E721" s="2" t="n"/>
      <c r="F721" s="2" t="n"/>
      <c r="G721" s="2" t="n"/>
      <c r="H721" s="3" t="inlineStr">
        <is>
          <t>Bübchen: acquired from Nestlé/Galderma in May 2020, market leader in baby and kids body care in Germany; price not stated.</t>
        </is>
      </c>
      <c r="I721" s="2" t="inlineStr">
        <is>
          <t>S3</t>
        </is>
      </c>
      <c r="J721" s="2" t="n">
        <v>19</v>
      </c>
      <c r="K721" s="3" t="inlineStr">
        <is>
          <t>Since May 2020 Bübchen, the market leader in the baby &amp; kids body care segment in Germany</t>
        </is>
      </c>
      <c r="L721" s="2" t="inlineStr">
        <is>
          <t>ok</t>
        </is>
      </c>
      <c r="M721" s="2" t="inlineStr">
        <is>
          <t>demo reviewer</t>
        </is>
      </c>
      <c r="N721" s="2" t="n"/>
      <c r="O721" s="3" t="inlineStr">
        <is>
          <t>https://vanillabonds.com/dossier-data/pdf/katjes/katjes-2025-annual-report.pdf#page=19</t>
        </is>
      </c>
    </row>
    <row r="722">
      <c r="A722" s="2" t="inlineStr">
        <is>
          <t>F721</t>
        </is>
      </c>
      <c r="B722" s="2" t="inlineStr">
        <is>
          <t>management</t>
        </is>
      </c>
      <c r="C722" s="2" t="inlineStr">
        <is>
          <t>acquisition</t>
        </is>
      </c>
      <c r="D722" s="3" t="inlineStr">
        <is>
          <t>Acquisition / disposal: target, year, price, funding, outcome vs case</t>
        </is>
      </c>
      <c r="E722" s="2" t="n"/>
      <c r="F722" s="2" t="n"/>
      <c r="G722" s="2" t="n"/>
      <c r="H722" s="3" t="inlineStr">
        <is>
          <t>Oral Care business (Theramed, Vademecum, Licor del Polo, Antica Erboristeria, Denivit): carve-out from Henkel AG &amp; Co. KGaA, December 2022; price not stated.</t>
        </is>
      </c>
      <c r="I722" s="2" t="inlineStr">
        <is>
          <t>S3</t>
        </is>
      </c>
      <c r="J722" s="2" t="n">
        <v>19</v>
      </c>
      <c r="K722" s="3" t="inlineStr">
        <is>
          <t>Since December 2022, the Oral Care business acquired from Henkel</t>
        </is>
      </c>
      <c r="L722" s="2" t="inlineStr">
        <is>
          <t>ok</t>
        </is>
      </c>
      <c r="M722" s="2" t="inlineStr">
        <is>
          <t>demo reviewer</t>
        </is>
      </c>
      <c r="N722" s="2" t="n"/>
      <c r="O722" s="3" t="inlineStr">
        <is>
          <t>https://vanillabonds.com/dossier-data/pdf/katjes/katjes-2025-annual-report.pdf#page=19</t>
        </is>
      </c>
    </row>
    <row r="723">
      <c r="A723" s="2" t="inlineStr">
        <is>
          <t>F722</t>
        </is>
      </c>
      <c r="B723" s="2" t="inlineStr">
        <is>
          <t>management</t>
        </is>
      </c>
      <c r="C723" s="2" t="inlineStr">
        <is>
          <t>acquisition</t>
        </is>
      </c>
      <c r="D723" s="3" t="inlineStr">
        <is>
          <t>Acquisition / disposal: target, year, price, funding, outcome vs case</t>
        </is>
      </c>
      <c r="E723" s="2" t="n"/>
      <c r="F723" s="2" t="n"/>
      <c r="G723" s="2" t="n"/>
      <c r="H723" s="3" t="inlineStr">
        <is>
          <t>Dulcioliva (Cuneesi pralines, Piedmont): 75% held since June 2021 with an option on the remaining 25% (option liability 1.6 recognised); Candy Kittens approximately 88%.</t>
        </is>
      </c>
      <c r="I723" s="2" t="inlineStr">
        <is>
          <t>S3</t>
        </is>
      </c>
      <c r="J723" s="2" t="n">
        <v>19</v>
      </c>
      <c r="K723" s="3" t="inlineStr">
        <is>
          <t>holds approximately 88% of the shares in the UK-based Candy Kittens and 75% of the shares in the Italian company Dulcioliva, with the option to acquire the remaining 25%.</t>
        </is>
      </c>
      <c r="L723" s="2" t="inlineStr">
        <is>
          <t>ok</t>
        </is>
      </c>
      <c r="M723" s="2" t="inlineStr">
        <is>
          <t>demo reviewer</t>
        </is>
      </c>
      <c r="N723" s="2" t="n"/>
      <c r="O723" s="3" t="inlineStr">
        <is>
          <t>https://vanillabonds.com/dossier-data/pdf/katjes/katjes-2025-annual-report.pdf#page=19</t>
        </is>
      </c>
    </row>
    <row r="724">
      <c r="A724" s="2" t="inlineStr">
        <is>
          <t>F723</t>
        </is>
      </c>
      <c r="B724" s="2" t="inlineStr">
        <is>
          <t>management</t>
        </is>
      </c>
      <c r="C724" s="2" t="inlineStr">
        <is>
          <t>acquisition</t>
        </is>
      </c>
      <c r="D724" s="3" t="inlineStr">
        <is>
          <t>Acquisition / disposal: target, year, price, funding, outcome vs case</t>
        </is>
      </c>
      <c r="E724" s="2" t="n"/>
      <c r="F724" s="2" t="n"/>
      <c r="G724" s="2" t="n"/>
      <c r="H724" s="3" t="inlineStr">
        <is>
          <t>N.A.E. (Naturale Antica Erboristeria, certified organic body care, France): part of the Group since November 2023; price not stated.</t>
        </is>
      </c>
      <c r="I724" s="2" t="inlineStr">
        <is>
          <t>S3</t>
        </is>
      </c>
      <c r="J724" s="2" t="n">
        <v>19</v>
      </c>
      <c r="K724" s="3" t="inlineStr">
        <is>
          <t>Since November 2023, Naturale Antica Erboristeria (N.A.E.), an additional brand in the body care segment, has been part of Katjes International.</t>
        </is>
      </c>
      <c r="L724" s="2" t="inlineStr">
        <is>
          <t>ok</t>
        </is>
      </c>
      <c r="M724" s="2" t="inlineStr">
        <is>
          <t>demo reviewer</t>
        </is>
      </c>
      <c r="N724" s="2" t="n"/>
      <c r="O724" s="3" t="inlineStr">
        <is>
          <t>https://vanillabonds.com/dossier-data/pdf/katjes/katjes-2025-annual-report.pdf#page=19</t>
        </is>
      </c>
    </row>
    <row r="725">
      <c r="A725" s="2" t="inlineStr">
        <is>
          <t>F724</t>
        </is>
      </c>
      <c r="B725" s="2" t="inlineStr">
        <is>
          <t>management</t>
        </is>
      </c>
      <c r="C725" s="2" t="inlineStr">
        <is>
          <t>acquisition</t>
        </is>
      </c>
      <c r="D725" s="3" t="inlineStr">
        <is>
          <t>Acquisition / disposal: target, year, price, funding, outcome vs case</t>
        </is>
      </c>
      <c r="E725" s="2" t="n"/>
      <c r="F725" s="2" t="n"/>
      <c r="G725" s="2" t="n"/>
      <c r="H725" s="3" t="inlineStr">
        <is>
          <t>Barnängen (cosmetics brand founded 1868, markets DE, AT, CZ, CH, HU): acquired April 2024; price not stated.</t>
        </is>
      </c>
      <c r="I725" s="2" t="inlineStr">
        <is>
          <t>S3</t>
        </is>
      </c>
      <c r="J725" s="2" t="n">
        <v>19</v>
      </c>
      <c r="K725" s="3" t="inlineStr">
        <is>
          <t>In April 2024, the cosmetics brand Barnängen was acquired</t>
        </is>
      </c>
      <c r="L725" s="2" t="inlineStr">
        <is>
          <t>ok</t>
        </is>
      </c>
      <c r="M725" s="2" t="inlineStr">
        <is>
          <t>demo reviewer</t>
        </is>
      </c>
      <c r="N725" s="2" t="n"/>
      <c r="O725" s="3" t="inlineStr">
        <is>
          <t>https://vanillabonds.com/dossier-data/pdf/katjes/katjes-2025-annual-report.pdf#page=19</t>
        </is>
      </c>
    </row>
    <row r="726">
      <c r="A726" s="2" t="inlineStr">
        <is>
          <t>F725</t>
        </is>
      </c>
      <c r="B726" s="2" t="inlineStr">
        <is>
          <t>management</t>
        </is>
      </c>
      <c r="C726" s="2" t="inlineStr">
        <is>
          <t>acquisition</t>
        </is>
      </c>
      <c r="D726" s="3" t="inlineStr">
        <is>
          <t>Acquisition / disposal: target, year, price, funding, outcome vs case</t>
        </is>
      </c>
      <c r="E726" s="2" t="n"/>
      <c r="F726" s="2" t="n"/>
      <c r="G726" s="2" t="n"/>
      <c r="H726" s="3" t="inlineStr">
        <is>
          <t>Portfolio build-up: Dallmann's since 2012, Piasten since 2014, Harlekijntjes (100%) since 2016, Sperlari since 2017.</t>
        </is>
      </c>
      <c r="I726" s="2" t="inlineStr">
        <is>
          <t>S3</t>
        </is>
      </c>
      <c r="J726" s="2" t="n">
        <v>19</v>
      </c>
      <c r="K726" s="3" t="inlineStr">
        <is>
          <t>In Italy, Sperlari has been part of Katjes International since 2017.</t>
        </is>
      </c>
      <c r="L726" s="2" t="inlineStr">
        <is>
          <t>ok</t>
        </is>
      </c>
      <c r="M726" s="2" t="inlineStr">
        <is>
          <t>demo reviewer</t>
        </is>
      </c>
      <c r="N726" s="2" t="n"/>
      <c r="O726" s="3" t="inlineStr">
        <is>
          <t>https://vanillabonds.com/dossier-data/pdf/katjes/katjes-2025-annual-report.pdf#page=19</t>
        </is>
      </c>
    </row>
    <row r="727">
      <c r="A727" s="2" t="inlineStr">
        <is>
          <t>F726</t>
        </is>
      </c>
      <c r="B727" s="2" t="inlineStr">
        <is>
          <t>management</t>
        </is>
      </c>
      <c r="C727" s="2" t="inlineStr">
        <is>
          <t>acquisition</t>
        </is>
      </c>
      <c r="D727" s="3" t="inlineStr">
        <is>
          <t>Acquisition / disposal: target, year, price, funding, outcome vs case</t>
        </is>
      </c>
      <c r="E727" s="2" t="n"/>
      <c r="F727" s="2" t="n"/>
      <c r="G727" s="2" t="n"/>
      <c r="H727" s="3" t="inlineStr">
        <is>
          <t>Joint ventures: Shirin Beauty GmbH 50% (established 2024 with Shirin David) and Shades Snacks Ltd. UK 49% (with Niko Omilana), both equity-accounted.</t>
        </is>
      </c>
      <c r="I727" s="2" t="inlineStr">
        <is>
          <t>S3</t>
        </is>
      </c>
      <c r="J727" s="2" t="n">
        <v>19</v>
      </c>
      <c r="K727" s="3" t="inlineStr">
        <is>
          <t>In 2024, a joint venture was established with entrepreneur and musician Shirin David, in which Katjes International holds 50%.</t>
        </is>
      </c>
      <c r="L727" s="2" t="inlineStr">
        <is>
          <t>ok</t>
        </is>
      </c>
      <c r="M727" s="2" t="inlineStr">
        <is>
          <t>demo reviewer</t>
        </is>
      </c>
      <c r="N727" s="2" t="n"/>
      <c r="O727" s="3" t="inlineStr">
        <is>
          <t>https://vanillabonds.com/dossier-data/pdf/katjes/katjes-2025-annual-report.pdf#page=19</t>
        </is>
      </c>
    </row>
    <row r="728">
      <c r="A728" s="2" t="inlineStr">
        <is>
          <t>F727</t>
        </is>
      </c>
      <c r="B728" s="2" t="inlineStr">
        <is>
          <t>management</t>
        </is>
      </c>
      <c r="C728" s="2" t="inlineStr">
        <is>
          <t>acquisition</t>
        </is>
      </c>
      <c r="D728" s="3" t="inlineStr">
        <is>
          <t>Acquisition / disposal: target, year, price, funding, outcome vs case</t>
        </is>
      </c>
      <c r="E728" s="2" t="n"/>
      <c r="F728" s="2" t="n">
        <v>61.2</v>
      </c>
      <c r="G728" s="2" t="n"/>
      <c r="H728" s="3" t="inlineStr">
        <is>
          <t>Bogner: 60% of Willy Bogner GmbH, 2025, cash outflow 61.2, funded by the EUR 70m bond tap; acquired financial liabilities 98.9, cash 33.2, intangibles 113.0 (brand 112.5), NCI 40.8 at fair value (full goodwill method); badwill 35.1 'mainly resulted from the competitive situation in the acquisition process'; Bogner 2025 revenue approximately 200 and profitable.</t>
        </is>
      </c>
      <c r="I728" s="2" t="inlineStr">
        <is>
          <t>S3</t>
        </is>
      </c>
      <c r="J728" s="2" t="n">
        <v>53</v>
      </c>
      <c r="K728" s="3" t="inlineStr">
        <is>
          <t>In connection with the acquisition of the assets, cash outflows amounted to EUR 61.2 million.</t>
        </is>
      </c>
      <c r="L728" s="2" t="inlineStr">
        <is>
          <t>ok</t>
        </is>
      </c>
      <c r="M728" s="2" t="inlineStr">
        <is>
          <t>demo reviewer</t>
        </is>
      </c>
      <c r="N728" s="2" t="n"/>
      <c r="O728" s="3" t="inlineStr">
        <is>
          <t>https://vanillabonds.com/dossier-data/pdf/katjes/katjes-2025-annual-report.pdf#page=53</t>
        </is>
      </c>
    </row>
    <row r="729">
      <c r="A729" s="2" t="inlineStr">
        <is>
          <t>F728</t>
        </is>
      </c>
      <c r="B729" s="2" t="inlineStr">
        <is>
          <t>management</t>
        </is>
      </c>
      <c r="C729" s="2" t="inlineStr">
        <is>
          <t>acquisition</t>
        </is>
      </c>
      <c r="D729" s="3" t="inlineStr">
        <is>
          <t>Acquisition / disposal: target, year, price, funding, outcome vs case</t>
        </is>
      </c>
      <c r="E729" s="2" t="n"/>
      <c r="F729" s="2" t="n">
        <v>20.1</v>
      </c>
      <c r="G729" s="2" t="n"/>
      <c r="H729" s="3" t="inlineStr">
        <is>
          <t>CPK S.A.S. (France): disposal of the 23% equity-accounted stake, 2025, proceeds slightly above 80 (81.9 per cash flow), gain 20.1 recognised in other operating income; at-equity carrying amount fell from 65.0 to 4.3.</t>
        </is>
      </c>
      <c r="I729" s="2" t="inlineStr">
        <is>
          <t>S3</t>
        </is>
      </c>
      <c r="J729" s="2" t="n">
        <v>53</v>
      </c>
      <c r="K729" s="3" t="inlineStr">
        <is>
          <t>As expected, cash inflows of slightly more than EUR 80 million were realised. At the same time, the disposal of the investment resulted in a gain of approximately EUR 20 million.</t>
        </is>
      </c>
      <c r="L729" s="2" t="inlineStr">
        <is>
          <t>ok</t>
        </is>
      </c>
      <c r="M729" s="2" t="inlineStr">
        <is>
          <t>demo reviewer</t>
        </is>
      </c>
      <c r="N729" s="2" t="n"/>
      <c r="O729" s="3" t="inlineStr">
        <is>
          <t>https://vanillabonds.com/dossier-data/pdf/katjes/katjes-2025-annual-report.pdf#page=53</t>
        </is>
      </c>
    </row>
    <row r="730">
      <c r="A730" s="2" t="inlineStr">
        <is>
          <t>F729</t>
        </is>
      </c>
      <c r="B730" s="2" t="inlineStr">
        <is>
          <t>management</t>
        </is>
      </c>
      <c r="C730" s="2" t="inlineStr">
        <is>
          <t>governance</t>
        </is>
      </c>
      <c r="D730" s="3" t="inlineStr">
        <is>
          <t>Board, independent members, group structure, related-party flows, dividends</t>
        </is>
      </c>
      <c r="E730" s="2" t="n"/>
      <c r="F730" s="2" t="n"/>
      <c r="G730" s="2" t="n"/>
      <c r="H730" s="3" t="inlineStr">
        <is>
          <t>Management describes the equity ratio of 32.9% at 31 Dec 2025 (2024: 35.9%) as a 'solid level'.</t>
        </is>
      </c>
      <c r="I730" s="2" t="inlineStr">
        <is>
          <t>S3</t>
        </is>
      </c>
      <c r="J730" s="2" t="n">
        <v>27</v>
      </c>
      <c r="K730" s="3" t="inlineStr">
        <is>
          <t>the equity ratio remained at a solid level of 32.9% (December 31, 2024: 35.9%).</t>
        </is>
      </c>
      <c r="L730" s="2" t="inlineStr">
        <is>
          <t>ok</t>
        </is>
      </c>
      <c r="M730" s="2" t="inlineStr">
        <is>
          <t>demo reviewer</t>
        </is>
      </c>
      <c r="N730" s="2" t="n"/>
      <c r="O730" s="3" t="inlineStr">
        <is>
          <t>https://vanillabonds.com/dossier-data/pdf/katjes/katjes-2025-annual-report.pdf#page=27</t>
        </is>
      </c>
    </row>
    <row r="731">
      <c r="A731" s="2" t="inlineStr">
        <is>
          <t>F730</t>
        </is>
      </c>
      <c r="B731" s="2" t="inlineStr">
        <is>
          <t>management</t>
        </is>
      </c>
      <c r="C731" s="2" t="inlineStr">
        <is>
          <t>governance</t>
        </is>
      </c>
      <c r="D731" s="3" t="inlineStr">
        <is>
          <t>Board, independent members, group structure, related-party flows, dividends</t>
        </is>
      </c>
      <c r="E731" s="2" t="n"/>
      <c r="F731" s="2" t="n"/>
      <c r="G731" s="2" t="n"/>
      <c r="H731" s="3" t="inlineStr">
        <is>
          <t>A voluntary external advisory board of experienced specialists supervises and advises management under the partnership agreement and meets several times a year; members not named.</t>
        </is>
      </c>
      <c r="I731" s="2" t="inlineStr">
        <is>
          <t>S3</t>
        </is>
      </c>
      <c r="J731" s="2" t="n">
        <v>34</v>
      </c>
      <c r="K731" s="3" t="inlineStr">
        <is>
          <t>the advisory board meets several times a year with management to discuss and critically review the strategy and operational business of Katjes International.</t>
        </is>
      </c>
      <c r="L731" s="2" t="inlineStr">
        <is>
          <t>ok</t>
        </is>
      </c>
      <c r="M731" s="2" t="inlineStr">
        <is>
          <t>demo reviewer</t>
        </is>
      </c>
      <c r="N731" s="2" t="n"/>
      <c r="O731" s="3" t="inlineStr">
        <is>
          <t>https://vanillabonds.com/dossier-data/pdf/katjes/katjes-2025-annual-report.pdf#page=34</t>
        </is>
      </c>
    </row>
    <row r="732">
      <c r="A732" s="2" t="inlineStr">
        <is>
          <t>F731</t>
        </is>
      </c>
      <c r="B732" s="2" t="inlineStr">
        <is>
          <t>management</t>
        </is>
      </c>
      <c r="C732" s="2" t="inlineStr">
        <is>
          <t>governance</t>
        </is>
      </c>
      <c r="D732" s="3" t="inlineStr">
        <is>
          <t>Board, independent members, group structure, related-party flows, dividends</t>
        </is>
      </c>
      <c r="E732" s="2" t="n"/>
      <c r="F732" s="2" t="n"/>
      <c r="G732" s="2" t="n"/>
      <c r="H732" s="3" t="inlineStr">
        <is>
          <t>General partner Xaver Fassin International GmbH (shareholders Bastian Fassin and Tobias Bachmüller) holds no capital interest; limited partnership capital EUR 1.0m.</t>
        </is>
      </c>
      <c r="I732" s="2" t="inlineStr">
        <is>
          <t>S3</t>
        </is>
      </c>
      <c r="J732" s="2" t="n">
        <v>44</v>
      </c>
      <c r="K732" s="3" t="inlineStr">
        <is>
          <t>The general partner (personally liable partner) of the Company is Xaver Fassin International GmbH, whose shareholders are Bastian Fassin and Tobias Bachmüller.</t>
        </is>
      </c>
      <c r="L732" s="2" t="inlineStr">
        <is>
          <t>ok</t>
        </is>
      </c>
      <c r="M732" s="2" t="inlineStr">
        <is>
          <t>demo reviewer</t>
        </is>
      </c>
      <c r="N732" s="2" t="n"/>
      <c r="O732" s="3" t="inlineStr">
        <is>
          <t>https://vanillabonds.com/dossier-data/pdf/katjes/katjes-2025-annual-report.pdf#page=44</t>
        </is>
      </c>
    </row>
    <row r="733">
      <c r="A733" s="2" t="inlineStr">
        <is>
          <t>F732</t>
        </is>
      </c>
      <c r="B733" s="2" t="inlineStr">
        <is>
          <t>management</t>
        </is>
      </c>
      <c r="C733" s="2" t="inlineStr">
        <is>
          <t>governance</t>
        </is>
      </c>
      <c r="D733" s="3" t="inlineStr">
        <is>
          <t>Board, independent members, group structure, related-party flows, dividends</t>
        </is>
      </c>
      <c r="E733" s="2" t="n"/>
      <c r="F733" s="2" t="n"/>
      <c r="G733" s="2" t="n"/>
      <c r="H733" s="3" t="inlineStr">
        <is>
          <t>Partnership agreement dated November 22, 2024 defines the object as holding and managing participations in Katjes International Group companies.</t>
        </is>
      </c>
      <c r="I733" s="2" t="inlineStr">
        <is>
          <t>S3</t>
        </is>
      </c>
      <c r="J733" s="2" t="n">
        <v>44</v>
      </c>
      <c r="K733" s="3" t="inlineStr">
        <is>
          <t>In accordance with Section 2 of the partnership agreement dated November 22, 2024</t>
        </is>
      </c>
      <c r="L733" s="2" t="inlineStr">
        <is>
          <t>ok</t>
        </is>
      </c>
      <c r="M733" s="2" t="inlineStr">
        <is>
          <t>demo reviewer</t>
        </is>
      </c>
      <c r="N733" s="2" t="n"/>
      <c r="O733" s="3" t="inlineStr">
        <is>
          <t>https://vanillabonds.com/dossier-data/pdf/katjes/katjes-2025-annual-report.pdf#page=44</t>
        </is>
      </c>
    </row>
    <row r="734">
      <c r="A734" s="2" t="inlineStr">
        <is>
          <t>F733</t>
        </is>
      </c>
      <c r="B734" s="2" t="inlineStr">
        <is>
          <t>management</t>
        </is>
      </c>
      <c r="C734" s="2" t="inlineStr">
        <is>
          <t>governance</t>
        </is>
      </c>
      <c r="D734" s="3" t="inlineStr">
        <is>
          <t>Board, independent members, group structure, related-party flows, dividends</t>
        </is>
      </c>
      <c r="E734" s="2" t="n"/>
      <c r="F734" s="2" t="n">
        <v>47.5</v>
      </c>
      <c r="G734" s="2" t="n"/>
      <c r="H734" s="3" t="inlineStr">
        <is>
          <t>Non-controlling interests of EUR 47.5m at 31 Dec 2025 (2024: 1.2) relate mainly to the Bogner Group minorities, plus Candy Kittens, Longaim and Tuckshop minorities; the Bogner put option was recognised in equity.</t>
        </is>
      </c>
      <c r="I734" s="2" t="inlineStr">
        <is>
          <t>S3</t>
        </is>
      </c>
      <c r="J734" s="2" t="n">
        <v>67</v>
      </c>
      <c r="K734" s="3" t="inlineStr">
        <is>
          <t>Non-controlling interests relate to the minority interests in the Bogner Group</t>
        </is>
      </c>
      <c r="L734" s="2" t="inlineStr">
        <is>
          <t>ok</t>
        </is>
      </c>
      <c r="M734" s="2" t="inlineStr">
        <is>
          <t>demo reviewer</t>
        </is>
      </c>
      <c r="N734" s="2" t="n"/>
      <c r="O734" s="3" t="inlineStr">
        <is>
          <t>https://vanillabonds.com/dossier-data/pdf/katjes/katjes-2025-annual-report.pdf#page=67</t>
        </is>
      </c>
    </row>
    <row r="735">
      <c r="A735" s="2" t="inlineStr">
        <is>
          <t>F734</t>
        </is>
      </c>
      <c r="B735" s="2" t="inlineStr">
        <is>
          <t>management</t>
        </is>
      </c>
      <c r="C735" s="2" t="inlineStr">
        <is>
          <t>governance</t>
        </is>
      </c>
      <c r="D735" s="3" t="inlineStr">
        <is>
          <t>Board, independent members, group structure, related-party flows, dividends</t>
        </is>
      </c>
      <c r="E735" s="2" t="n"/>
      <c r="F735" s="2" t="n">
        <v>0.7</v>
      </c>
      <c r="G735" s="2" t="n"/>
      <c r="H735" s="3" t="inlineStr">
        <is>
          <t>Auditor fees recognised 2025 EUR 0.7m (audit services 0.6, other services 0.1; 2024: 0.5), of which 0.2 for foreign subsidiaries.</t>
        </is>
      </c>
      <c r="I735" s="2" t="inlineStr">
        <is>
          <t>S3</t>
        </is>
      </c>
      <c r="J735" s="2" t="n">
        <v>75</v>
      </c>
      <c r="K735" s="3" t="inlineStr">
        <is>
          <t>Fees for audit services 0.6 0.5 Other services 0.1 0.0 Total 0.7 0.5</t>
        </is>
      </c>
      <c r="L735" s="2" t="inlineStr">
        <is>
          <t>ok</t>
        </is>
      </c>
      <c r="M735" s="2" t="inlineStr">
        <is>
          <t>demo reviewer</t>
        </is>
      </c>
      <c r="N735" s="2" t="n"/>
      <c r="O735" s="3" t="inlineStr">
        <is>
          <t>https://vanillabonds.com/dossier-data/pdf/katjes/katjes-2025-annual-report.pdf#page=75</t>
        </is>
      </c>
    </row>
    <row r="736">
      <c r="A736" s="2" t="inlineStr">
        <is>
          <t>F735</t>
        </is>
      </c>
      <c r="B736" s="2" t="inlineStr">
        <is>
          <t>management</t>
        </is>
      </c>
      <c r="C736" s="2" t="inlineStr">
        <is>
          <t>governance</t>
        </is>
      </c>
      <c r="D736" s="3" t="inlineStr">
        <is>
          <t>Board, independent members, group structure, related-party flows, dividends</t>
        </is>
      </c>
      <c r="E736" s="2" t="n"/>
      <c r="F736" s="2" t="n"/>
      <c r="G736" s="2" t="n"/>
      <c r="H736" s="3" t="inlineStr">
        <is>
          <t>Disclosure of management remuneration beyond the general partner's remuneration is omitted under the Section 286 (4) HGB exemption.</t>
        </is>
      </c>
      <c r="I736" s="2" t="inlineStr">
        <is>
          <t>S3</t>
        </is>
      </c>
      <c r="J736" s="2" t="n">
        <v>80</v>
      </c>
      <c r="K736" s="3" t="inlineStr">
        <is>
          <t>is omitted with reference to the exemption clause pursuant to Section 286 (4) HGB</t>
        </is>
      </c>
      <c r="L736" s="2" t="inlineStr">
        <is>
          <t>ok</t>
        </is>
      </c>
      <c r="M736" s="2" t="inlineStr">
        <is>
          <t>demo reviewer</t>
        </is>
      </c>
      <c r="N736" s="2" t="n"/>
      <c r="O736" s="3" t="inlineStr">
        <is>
          <t>https://vanillabonds.com/dossier-data/pdf/katjes/katjes-2025-annual-report.pdf#page=80</t>
        </is>
      </c>
    </row>
    <row r="737">
      <c r="A737" s="2" t="inlineStr">
        <is>
          <t>F736</t>
        </is>
      </c>
      <c r="B737" s="2" t="inlineStr">
        <is>
          <t>management</t>
        </is>
      </c>
      <c r="C737" s="2" t="inlineStr">
        <is>
          <t>governance</t>
        </is>
      </c>
      <c r="D737" s="3" t="inlineStr">
        <is>
          <t>Board, independent members, group structure, related-party flows, dividends</t>
        </is>
      </c>
      <c r="E737" s="2" t="n"/>
      <c r="F737" s="2" t="n"/>
      <c r="G737" s="2" t="n"/>
      <c r="H737" s="3" t="inlineStr">
        <is>
          <t>Consolidated financial statements approved for publication by management on April 2, 2026 in Emmerich; signed by Fassin, Bachmüller and Milde.</t>
        </is>
      </c>
      <c r="I737" s="2" t="inlineStr">
        <is>
          <t>S3</t>
        </is>
      </c>
      <c r="J737" s="2" t="n">
        <v>81</v>
      </c>
      <c r="K737" s="3" t="inlineStr">
        <is>
          <t>These consolidated financial statements were approved for publication by the management on April 2, 2026.</t>
        </is>
      </c>
      <c r="L737" s="2" t="inlineStr">
        <is>
          <t>ok</t>
        </is>
      </c>
      <c r="M737" s="2" t="inlineStr">
        <is>
          <t>demo reviewer</t>
        </is>
      </c>
      <c r="N737" s="2" t="n"/>
      <c r="O737" s="3" t="inlineStr">
        <is>
          <t>https://vanillabonds.com/dossier-data/pdf/katjes/katjes-2025-annual-report.pdf#page=81</t>
        </is>
      </c>
    </row>
    <row r="738">
      <c r="A738" s="2" t="inlineStr">
        <is>
          <t>F737</t>
        </is>
      </c>
      <c r="B738" s="2" t="inlineStr">
        <is>
          <t>management</t>
        </is>
      </c>
      <c r="C738" s="2" t="inlineStr">
        <is>
          <t>governance</t>
        </is>
      </c>
      <c r="D738" s="3" t="inlineStr">
        <is>
          <t>Board, independent members, group structure, related-party flows, dividends</t>
        </is>
      </c>
      <c r="E738" s="2" t="n"/>
      <c r="F738" s="2" t="n"/>
      <c r="G738" s="2" t="n"/>
      <c r="H738" s="3" t="inlineStr">
        <is>
          <t>Five German subsidiaries (Piasten GmbH, Dallmann's Pharma Candy GmbH, Katjes 24 GmbH, Bübchen Skincare GmbH, Bübchen-Werk Ewald Hermes Pharmazeutische Fabrik GmbH) use the Section 264 (3) HGB exemption from own audited annual accounts.</t>
        </is>
      </c>
      <c r="I738" s="2" t="inlineStr">
        <is>
          <t>S3</t>
        </is>
      </c>
      <c r="J738" s="2" t="n">
        <v>81</v>
      </c>
      <c r="K738" s="3" t="inlineStr">
        <is>
          <t>the exemption from certain regulations on the preparation, auditing and publication of the annual financial statements/management report pursuant to section 264 (3) HGB</t>
        </is>
      </c>
      <c r="L738" s="2" t="inlineStr">
        <is>
          <t>ok</t>
        </is>
      </c>
      <c r="M738" s="2" t="inlineStr">
        <is>
          <t>demo reviewer</t>
        </is>
      </c>
      <c r="N738" s="2" t="n"/>
      <c r="O738" s="3" t="inlineStr">
        <is>
          <t>https://vanillabonds.com/dossier-data/pdf/katjes/katjes-2025-annual-report.pdf#page=81</t>
        </is>
      </c>
    </row>
    <row r="739">
      <c r="A739" s="2" t="inlineStr">
        <is>
          <t>F738</t>
        </is>
      </c>
      <c r="B739" s="2" t="inlineStr">
        <is>
          <t>management</t>
        </is>
      </c>
      <c r="C739" s="2" t="inlineStr">
        <is>
          <t>reporting_practice</t>
        </is>
      </c>
      <c r="D739" s="3" t="inlineStr">
        <is>
          <t>Monitoring: KPI reporting, frequency, budget process, controlling</t>
        </is>
      </c>
      <c r="E739" s="2" t="n"/>
      <c r="F739" s="2" t="n"/>
      <c r="G739" s="2" t="n"/>
      <c r="H739" s="3" t="inlineStr">
        <is>
          <t>Management KPIs are revenue (growth) and EBITDA (profitability); strategic planning combined with value-oriented business development.</t>
        </is>
      </c>
      <c r="I739" s="2" t="inlineStr">
        <is>
          <t>S3</t>
        </is>
      </c>
      <c r="J739" s="2" t="n">
        <v>20</v>
      </c>
      <c r="K739" s="3" t="inlineStr">
        <is>
          <t>include revenue as an indicator of business growth and EBITDA (Group earnings before interest, taxes, depreciation and amortisation) as a key indicator of profitability.</t>
        </is>
      </c>
      <c r="L739" s="2" t="inlineStr">
        <is>
          <t>ok</t>
        </is>
      </c>
      <c r="M739" s="2" t="inlineStr">
        <is>
          <t>demo reviewer</t>
        </is>
      </c>
      <c r="N739" s="2" t="n"/>
      <c r="O739" s="3" t="inlineStr">
        <is>
          <t>https://vanillabonds.com/dossier-data/pdf/katjes/katjes-2025-annual-report.pdf#page=20</t>
        </is>
      </c>
    </row>
    <row r="740">
      <c r="A740" s="2" t="inlineStr">
        <is>
          <t>F739</t>
        </is>
      </c>
      <c r="B740" s="2" t="inlineStr">
        <is>
          <t>management</t>
        </is>
      </c>
      <c r="C740" s="2" t="inlineStr">
        <is>
          <t>reporting_practice</t>
        </is>
      </c>
      <c r="D740" s="3" t="inlineStr">
        <is>
          <t>Monitoring: KPI reporting, frequency, budget process, controlling</t>
        </is>
      </c>
      <c r="E740" s="2" t="n"/>
      <c r="F740" s="2" t="n"/>
      <c r="G740" s="2" t="n"/>
      <c r="H740" s="3" t="inlineStr">
        <is>
          <t>Risk management runs through an internal reporting system and regular management meetings; financial risks managed by operating units and monitored by the holding in regular meetings.</t>
        </is>
      </c>
      <c r="I740" s="2" t="inlineStr">
        <is>
          <t>S3</t>
        </is>
      </c>
      <c r="J740" s="2" t="n">
        <v>34</v>
      </c>
      <c r="K740" s="3" t="inlineStr">
        <is>
          <t>The objective of risk management is to identify risks affecting the Group and their potential impact on the Group’s business objectives</t>
        </is>
      </c>
      <c r="L740" s="2" t="inlineStr">
        <is>
          <t>ok</t>
        </is>
      </c>
      <c r="M740" s="2" t="inlineStr">
        <is>
          <t>demo reviewer</t>
        </is>
      </c>
      <c r="N740" s="2" t="n"/>
      <c r="O740" s="3" t="inlineStr">
        <is>
          <t>https://vanillabonds.com/dossier-data/pdf/katjes/katjes-2025-annual-report.pdf#page=34</t>
        </is>
      </c>
    </row>
    <row r="741">
      <c r="A741" s="2" t="inlineStr">
        <is>
          <t>F740</t>
        </is>
      </c>
      <c r="B741" s="2" t="inlineStr">
        <is>
          <t>management</t>
        </is>
      </c>
      <c r="C741" s="2" t="inlineStr">
        <is>
          <t>reporting_practice</t>
        </is>
      </c>
      <c r="D741" s="3" t="inlineStr">
        <is>
          <t>Monitoring: KPI reporting, frequency, budget process, controlling</t>
        </is>
      </c>
      <c r="E741" s="2" t="n"/>
      <c r="F741" s="2" t="n"/>
      <c r="G741" s="2" t="n"/>
      <c r="H741" s="3" t="inlineStr">
        <is>
          <t>Cash planning is regularly monitored and updated at Group level.</t>
        </is>
      </c>
      <c r="I741" s="2" t="inlineStr">
        <is>
          <t>S3</t>
        </is>
      </c>
      <c r="J741" s="2" t="n">
        <v>56</v>
      </c>
      <c r="K741" s="3" t="inlineStr">
        <is>
          <t>The Group regularly monitors and updates its cash planning.</t>
        </is>
      </c>
      <c r="L741" s="2" t="inlineStr">
        <is>
          <t>ok</t>
        </is>
      </c>
      <c r="M741" s="2" t="inlineStr">
        <is>
          <t>demo reviewer</t>
        </is>
      </c>
      <c r="N741" s="2" t="n"/>
      <c r="O741" s="3" t="inlineStr">
        <is>
          <t>https://vanillabonds.com/dossier-data/pdf/katjes/katjes-2025-annual-report.pdf#page=56</t>
        </is>
      </c>
    </row>
    <row r="742">
      <c r="A742" s="2" t="inlineStr">
        <is>
          <t>F741</t>
        </is>
      </c>
      <c r="B742" s="2" t="inlineStr">
        <is>
          <t>management</t>
        </is>
      </c>
      <c r="C742" s="2" t="inlineStr">
        <is>
          <t>reporting_practice</t>
        </is>
      </c>
      <c r="D742" s="3" t="inlineStr">
        <is>
          <t>Monitoring: KPI reporting, frequency, budget process, controlling</t>
        </is>
      </c>
      <c r="E742" s="2" t="n"/>
      <c r="F742" s="2" t="n"/>
      <c r="G742" s="2" t="n"/>
      <c r="H742" s="3" t="inlineStr">
        <is>
          <t>The CODM (management) steers on consolidated figures only; no regular internal reporting or performance measurement by business unit, hence a single IFRS 8 segment.</t>
        </is>
      </c>
      <c r="I742" s="2" t="inlineStr">
        <is>
          <t>S3</t>
        </is>
      </c>
      <c r="J742" s="2" t="n">
        <v>77</v>
      </c>
      <c r="K742" s="3" t="inlineStr">
        <is>
          <t>There is no regular internal reporting or performance measurement by</t>
        </is>
      </c>
      <c r="L742" s="2" t="inlineStr">
        <is>
          <t>ok</t>
        </is>
      </c>
      <c r="M742" s="2" t="inlineStr">
        <is>
          <t>demo reviewer</t>
        </is>
      </c>
      <c r="N742" s="2" t="n"/>
      <c r="O742" s="3" t="inlineStr">
        <is>
          <t>https://vanillabonds.com/dossier-data/pdf/katjes/katjes-2025-annual-report.pdf#page=77</t>
        </is>
      </c>
    </row>
    <row r="743">
      <c r="A743" s="2" t="inlineStr">
        <is>
          <t>F742</t>
        </is>
      </c>
      <c r="B743" s="2" t="inlineStr">
        <is>
          <t>market</t>
        </is>
      </c>
      <c r="C743" s="2" t="inlineStr">
        <is>
          <t>market_fact</t>
        </is>
      </c>
      <c r="D743" s="3" t="inlineStr">
        <is>
          <t>Market: size, growth, share, competitor capacity, regulation (source named)</t>
        </is>
      </c>
      <c r="E743" s="2" t="n"/>
      <c r="F743" s="2" t="n"/>
      <c r="G743" s="2" t="n"/>
      <c r="H743" s="3" t="inlineStr">
        <is>
          <t>company statement: Piasten (Forchheim) is Bavaria's largest confectionery manufacturer and Germany's leading producer of dragées; Treets introduced to Germany in 2018.</t>
        </is>
      </c>
      <c r="I743" s="2" t="inlineStr">
        <is>
          <t>S3</t>
        </is>
      </c>
      <c r="J743" s="2" t="n">
        <v>11</v>
      </c>
      <c r="K743" s="3" t="inlineStr">
        <is>
          <t>In 2025, Treets, part of Piasten GmbH — Bavaria’s largest confectionery manufacturer and Germany’s leading pro- ducer of dragées, headquartered in Forchheim</t>
        </is>
      </c>
      <c r="L743" s="2" t="inlineStr">
        <is>
          <t>ok</t>
        </is>
      </c>
      <c r="M743" s="2" t="inlineStr">
        <is>
          <t>demo reviewer</t>
        </is>
      </c>
      <c r="N743" s="2" t="n"/>
      <c r="O743" s="3" t="inlineStr">
        <is>
          <t>https://vanillabonds.com/dossier-data/pdf/katjes/katjes-2025-annual-report.pdf#page=11</t>
        </is>
      </c>
    </row>
    <row r="744">
      <c r="A744" s="2" t="inlineStr">
        <is>
          <t>F743</t>
        </is>
      </c>
      <c r="B744" s="2" t="inlineStr">
        <is>
          <t>market</t>
        </is>
      </c>
      <c r="C744" s="2" t="inlineStr">
        <is>
          <t>market_fact</t>
        </is>
      </c>
      <c r="D744" s="3" t="inlineStr">
        <is>
          <t>Market: size, growth, share, competitor capacity, regulation (source named)</t>
        </is>
      </c>
      <c r="E744" s="2" t="n"/>
      <c r="F744" s="2" t="n"/>
      <c r="G744" s="2" t="n"/>
      <c r="H744" s="3" t="inlineStr">
        <is>
          <t>company statement: Dallmann's sage cough drops lead German pharmacies by number of bags sold.</t>
        </is>
      </c>
      <c r="I744" s="2" t="inlineStr">
        <is>
          <t>S3</t>
        </is>
      </c>
      <c r="J744" s="2" t="n">
        <v>19</v>
      </c>
      <c r="K744" s="3" t="inlineStr">
        <is>
          <t>is the leader in German pharmacies in terms of number of bags sold.</t>
        </is>
      </c>
      <c r="L744" s="2" t="inlineStr">
        <is>
          <t>ok</t>
        </is>
      </c>
      <c r="M744" s="2" t="inlineStr">
        <is>
          <t>demo reviewer</t>
        </is>
      </c>
      <c r="N744" s="2" t="n"/>
      <c r="O744" s="3" t="inlineStr">
        <is>
          <t>https://vanillabonds.com/dossier-data/pdf/katjes/katjes-2025-annual-report.pdf#page=19</t>
        </is>
      </c>
    </row>
    <row r="745">
      <c r="A745" s="2" t="inlineStr">
        <is>
          <t>F744</t>
        </is>
      </c>
      <c r="B745" s="2" t="inlineStr">
        <is>
          <t>market</t>
        </is>
      </c>
      <c r="C745" s="2" t="inlineStr">
        <is>
          <t>market_fact</t>
        </is>
      </c>
      <c r="D745" s="3" t="inlineStr">
        <is>
          <t>Market: size, growth, share, competitor capacity, regulation (source named)</t>
        </is>
      </c>
      <c r="E745" s="2" t="n"/>
      <c r="F745" s="2" t="n"/>
      <c r="G745" s="2" t="n"/>
      <c r="H745" s="3" t="inlineStr">
        <is>
          <t>company statement: Harlekijntjes produces the best-selling liquorice product in the Netherlands by volume.</t>
        </is>
      </c>
      <c r="I745" s="2" t="inlineStr">
        <is>
          <t>S3</t>
        </is>
      </c>
      <c r="J745" s="2" t="n">
        <v>19</v>
      </c>
      <c r="K745" s="3" t="inlineStr">
        <is>
          <t>which produces the best-selling liquorice product in the Netherlands by volume.</t>
        </is>
      </c>
      <c r="L745" s="2" t="inlineStr">
        <is>
          <t>ok</t>
        </is>
      </c>
      <c r="M745" s="2" t="inlineStr">
        <is>
          <t>demo reviewer</t>
        </is>
      </c>
      <c r="N745" s="2" t="n"/>
      <c r="O745" s="3" t="inlineStr">
        <is>
          <t>https://vanillabonds.com/dossier-data/pdf/katjes/katjes-2025-annual-report.pdf#page=19</t>
        </is>
      </c>
    </row>
    <row r="746">
      <c r="A746" s="2" t="inlineStr">
        <is>
          <t>F745</t>
        </is>
      </c>
      <c r="B746" s="2" t="inlineStr">
        <is>
          <t>market</t>
        </is>
      </c>
      <c r="C746" s="2" t="inlineStr">
        <is>
          <t>market_fact</t>
        </is>
      </c>
      <c r="D746" s="3" t="inlineStr">
        <is>
          <t>Market: size, growth, share, competitor capacity, regulation (source named)</t>
        </is>
      </c>
      <c r="E746" s="2" t="n"/>
      <c r="F746" s="2" t="n"/>
      <c r="G746" s="2" t="n"/>
      <c r="H746" s="3" t="inlineStr">
        <is>
          <t>company statement: Sperlari is one of the largest suppliers in the Italian sugar confectionery market and market leader in seasonal products, sweeteners and sugar-free candies.</t>
        </is>
      </c>
      <c r="I746" s="2" t="inlineStr">
        <is>
          <t>S3</t>
        </is>
      </c>
      <c r="J746" s="2" t="n">
        <v>19</v>
      </c>
      <c r="K746" s="3" t="inlineStr">
        <is>
          <t>Sperlari is one of the largest supplier in the Italian sugar confectionery market and the market leader in the segment for seasonal products, sweeteners and sugar-free candies.</t>
        </is>
      </c>
      <c r="L746" s="2" t="inlineStr">
        <is>
          <t>ok</t>
        </is>
      </c>
      <c r="M746" s="2" t="inlineStr">
        <is>
          <t>demo reviewer</t>
        </is>
      </c>
      <c r="N746" s="2" t="n"/>
      <c r="O746" s="3" t="inlineStr">
        <is>
          <t>https://vanillabonds.com/dossier-data/pdf/katjes/katjes-2025-annual-report.pdf#page=19</t>
        </is>
      </c>
    </row>
    <row r="747">
      <c r="A747" s="2" t="inlineStr">
        <is>
          <t>F746</t>
        </is>
      </c>
      <c r="B747" s="2" t="inlineStr">
        <is>
          <t>market</t>
        </is>
      </c>
      <c r="C747" s="2" t="inlineStr">
        <is>
          <t>market_fact</t>
        </is>
      </c>
      <c r="D747" s="3" t="inlineStr">
        <is>
          <t>Market: size, growth, share, competitor capacity, regulation (source named)</t>
        </is>
      </c>
      <c r="E747" s="2" t="n"/>
      <c r="F747" s="2" t="n"/>
      <c r="G747" s="2" t="n"/>
      <c r="H747" s="3" t="inlineStr">
        <is>
          <t>company statement: Vademecum is the number 1 organic toothpaste in France by sales volume; Oral Care brands present mainly in Germany, Italy, France and Spain.</t>
        </is>
      </c>
      <c r="I747" s="2" t="inlineStr">
        <is>
          <t>S3</t>
        </is>
      </c>
      <c r="J747" s="2" t="n">
        <v>19</v>
      </c>
      <c r="K747" s="3" t="inlineStr">
        <is>
          <t>For example, Vademecum is the number 1 organic too- thpaste in France in terms of sales volume.</t>
        </is>
      </c>
      <c r="L747" s="2" t="inlineStr">
        <is>
          <t>ok</t>
        </is>
      </c>
      <c r="M747" s="2" t="inlineStr">
        <is>
          <t>demo reviewer</t>
        </is>
      </c>
      <c r="N747" s="2" t="n"/>
      <c r="O747" s="3" t="inlineStr">
        <is>
          <t>https://vanillabonds.com/dossier-data/pdf/katjes/katjes-2025-annual-report.pdf#page=19</t>
        </is>
      </c>
    </row>
    <row r="748">
      <c r="A748" s="2" t="inlineStr">
        <is>
          <t>F747</t>
        </is>
      </c>
      <c r="B748" s="2" t="inlineStr">
        <is>
          <t>market</t>
        </is>
      </c>
      <c r="C748" s="2" t="inlineStr">
        <is>
          <t>market_fact</t>
        </is>
      </c>
      <c r="D748" s="3" t="inlineStr">
        <is>
          <t>Market: size, growth, share, competitor capacity, regulation (source named)</t>
        </is>
      </c>
      <c r="E748" s="2" t="n"/>
      <c r="F748" s="2" t="n"/>
      <c r="G748" s="2" t="n"/>
      <c r="H748" s="3" t="inlineStr">
        <is>
          <t>company statement: Candy Kittens is one of the UK's fastest growing gourmet fruit gum brands (majority stake approximately 88%).</t>
        </is>
      </c>
      <c r="I748" s="2" t="inlineStr">
        <is>
          <t>S3</t>
        </is>
      </c>
      <c r="J748" s="2" t="n">
        <v>19</v>
      </c>
      <c r="K748" s="3" t="inlineStr">
        <is>
          <t>With Candy Kittens, Katjes International holds a majority stake in one of the UK’s fastest growing gourmet fruit gum brands.</t>
        </is>
      </c>
      <c r="L748" s="2" t="inlineStr">
        <is>
          <t>ok</t>
        </is>
      </c>
      <c r="M748" s="2" t="inlineStr">
        <is>
          <t>demo reviewer</t>
        </is>
      </c>
      <c r="N748" s="2" t="n"/>
      <c r="O748" s="3" t="inlineStr">
        <is>
          <t>https://vanillabonds.com/dossier-data/pdf/katjes/katjes-2025-annual-report.pdf#page=19</t>
        </is>
      </c>
    </row>
    <row r="749">
      <c r="A749" s="2" t="inlineStr">
        <is>
          <t>F748</t>
        </is>
      </c>
      <c r="B749" s="2" t="inlineStr">
        <is>
          <t>market</t>
        </is>
      </c>
      <c r="C749" s="2" t="inlineStr">
        <is>
          <t>market_fact</t>
        </is>
      </c>
      <c r="D749" s="3" t="inlineStr">
        <is>
          <t>Market: size, growth, share, competitor capacity, regulation (source named)</t>
        </is>
      </c>
      <c r="E749" s="2" t="n"/>
      <c r="F749" s="2" t="n"/>
      <c r="G749" s="2" t="n"/>
      <c r="H749" s="3" t="inlineStr">
        <is>
          <t>company statement: the Bogner Group is the largest family-owned luxury apparel brand in Germany; core markets Germany, Austria, Switzerland and the United States, growth regions China, Japan and other European markets.</t>
        </is>
      </c>
      <c r="I749" s="2" t="inlineStr">
        <is>
          <t>S3</t>
        </is>
      </c>
      <c r="J749" s="2" t="n">
        <v>20</v>
      </c>
      <c r="K749" s="3" t="inlineStr">
        <is>
          <t>The internationally active Bogner Group is the largest family-owned luxury apparel brand in Germany.</t>
        </is>
      </c>
      <c r="L749" s="2" t="inlineStr">
        <is>
          <t>ok</t>
        </is>
      </c>
      <c r="M749" s="2" t="inlineStr">
        <is>
          <t>demo reviewer</t>
        </is>
      </c>
      <c r="N749" s="2" t="n"/>
      <c r="O749" s="3" t="inlineStr">
        <is>
          <t>https://vanillabonds.com/dossier-data/pdf/katjes/katjes-2025-annual-report.pdf#page=20</t>
        </is>
      </c>
    </row>
    <row r="750">
      <c r="A750" s="2" t="inlineStr">
        <is>
          <t>F749</t>
        </is>
      </c>
      <c r="B750" s="2" t="inlineStr">
        <is>
          <t>market</t>
        </is>
      </c>
      <c r="C750" s="2" t="inlineStr">
        <is>
          <t>market_fact</t>
        </is>
      </c>
      <c r="D750" s="3" t="inlineStr">
        <is>
          <t>Market: size, growth, share, competitor capacity, regulation (source named)</t>
        </is>
      </c>
      <c r="E750" s="2" t="n"/>
      <c r="F750" s="2" t="n"/>
      <c r="G750" s="2" t="n"/>
      <c r="H750" s="3" t="inlineStr">
        <is>
          <t>company statement: consumer goods sales markets are characterised by low cyclicality and high economic resilience; 2025 confectionery growth driven by normalised in-store buying and manufacturer price increases, chocolate strongest on cocoa-driven prices.</t>
        </is>
      </c>
      <c r="I750" s="2" t="inlineStr">
        <is>
          <t>S3</t>
        </is>
      </c>
      <c r="J750" s="2" t="n">
        <v>21</v>
      </c>
      <c r="K750" s="3" t="inlineStr">
        <is>
          <t>The sales markets for consumer goods that are material for the Group are generally characterised by low cyclicality and high economic resilience, which was also observed in 2025.</t>
        </is>
      </c>
      <c r="L750" s="2" t="inlineStr">
        <is>
          <t>ok</t>
        </is>
      </c>
      <c r="M750" s="2" t="inlineStr">
        <is>
          <t>demo reviewer</t>
        </is>
      </c>
      <c r="N750" s="2" t="n"/>
      <c r="O750" s="3" t="inlineStr">
        <is>
          <t>https://vanillabonds.com/dossier-data/pdf/katjes/katjes-2025-annual-report.pdf#page=21</t>
        </is>
      </c>
    </row>
    <row r="751">
      <c r="A751" s="2" t="inlineStr">
        <is>
          <t>F750</t>
        </is>
      </c>
      <c r="B751" s="2" t="inlineStr">
        <is>
          <t>market</t>
        </is>
      </c>
      <c r="C751" s="2" t="inlineStr">
        <is>
          <t>market_fact</t>
        </is>
      </c>
      <c r="D751" s="3" t="inlineStr">
        <is>
          <t>Market: size, growth, share, competitor capacity, regulation (source named)</t>
        </is>
      </c>
      <c r="E751" s="2" t="n"/>
      <c r="F751" s="2" t="n"/>
      <c r="G751" s="2" t="n"/>
      <c r="H751" s="3" t="inlineStr">
        <is>
          <t>cites McKinsey 'The State of Fashion 2025': Europe and the United States expected to offer the greatest luxury growth potential in 2025, driven by declining inflation and higher disposable income; management says Bogner is positioned in the 'accessible and affordable luxury segment'.</t>
        </is>
      </c>
      <c r="I751" s="2" t="inlineStr">
        <is>
          <t>S3</t>
        </is>
      </c>
      <c r="J751" s="2" t="n">
        <v>23</v>
      </c>
      <c r="K751" s="3" t="inlineStr">
        <is>
          <t>Europe and the United States are expected to offer the greatest growth potential in the luxury segment in 2025, driven by declining inflation and higher disposable income.</t>
        </is>
      </c>
      <c r="L751" s="2" t="inlineStr">
        <is>
          <t>ok</t>
        </is>
      </c>
      <c r="M751" s="2" t="inlineStr">
        <is>
          <t>demo reviewer</t>
        </is>
      </c>
      <c r="N751" s="2" t="n"/>
      <c r="O751" s="3" t="inlineStr">
        <is>
          <t>https://vanillabonds.com/dossier-data/pdf/katjes/katjes-2025-annual-report.pdf#page=23</t>
        </is>
      </c>
    </row>
    <row r="752">
      <c r="A752" s="2" t="inlineStr">
        <is>
          <t>F751</t>
        </is>
      </c>
      <c r="B752" s="2" t="inlineStr">
        <is>
          <t>market</t>
        </is>
      </c>
      <c r="C752" s="2" t="inlineStr">
        <is>
          <t>concentration</t>
        </is>
      </c>
      <c r="D752" s="3" t="inlineStr">
        <is>
          <t>Concentration: top customers / suppliers share, key contracts, sites</t>
        </is>
      </c>
      <c r="E752" s="2" t="n"/>
      <c r="F752" s="2" t="n"/>
      <c r="G752" s="2" t="n"/>
      <c r="H752" s="3" t="inlineStr">
        <is>
          <t>Management names concentration risk from major customers, particularly in food retail, and dependence on certain suppliers.</t>
        </is>
      </c>
      <c r="I752" s="2" t="inlineStr">
        <is>
          <t>S3</t>
        </is>
      </c>
      <c r="J752" s="2" t="n">
        <v>31</v>
      </c>
      <c r="K752" s="3" t="inlineStr">
        <is>
          <t>Concentration risks may arise from major customers, particularly in the food retail sector.</t>
        </is>
      </c>
      <c r="L752" s="2" t="inlineStr">
        <is>
          <t>ok</t>
        </is>
      </c>
      <c r="M752" s="2" t="inlineStr">
        <is>
          <t>demo reviewer</t>
        </is>
      </c>
      <c r="N752" s="2" t="n"/>
      <c r="O752" s="3" t="inlineStr">
        <is>
          <t>https://vanillabonds.com/dossier-data/pdf/katjes/katjes-2025-annual-report.pdf#page=31</t>
        </is>
      </c>
    </row>
    <row r="753">
      <c r="A753" s="2" t="inlineStr">
        <is>
          <t>F752</t>
        </is>
      </c>
      <c r="B753" s="2" t="inlineStr">
        <is>
          <t>market</t>
        </is>
      </c>
      <c r="C753" s="2" t="inlineStr">
        <is>
          <t>concentration</t>
        </is>
      </c>
      <c r="D753" s="3" t="inlineStr">
        <is>
          <t>Concentration: top customers / suppliers share, key contracts, sites</t>
        </is>
      </c>
      <c r="E753" s="2" t="n"/>
      <c r="F753" s="2" t="n"/>
      <c r="G753" s="2" t="n"/>
      <c r="H753" s="3" t="inlineStr">
        <is>
          <t>Lifestyle segment (Bogner): key parts of production concentrated on various suppliers; sourcing of fabrics, leather, down and functional materials.</t>
        </is>
      </c>
      <c r="I753" s="2" t="inlineStr">
        <is>
          <t>S3</t>
        </is>
      </c>
      <c r="J753" s="2" t="n">
        <v>31</v>
      </c>
      <c r="K753" s="3" t="inlineStr">
        <is>
          <t>and from dependencies on various suppliers, on whom key parts of production are concentrated.</t>
        </is>
      </c>
      <c r="L753" s="2" t="inlineStr">
        <is>
          <t>ok</t>
        </is>
      </c>
      <c r="M753" s="2" t="inlineStr">
        <is>
          <t>demo reviewer</t>
        </is>
      </c>
      <c r="N753" s="2" t="n"/>
      <c r="O753" s="3" t="inlineStr">
        <is>
          <t>https://vanillabonds.com/dossier-data/pdf/katjes/katjes-2025-annual-report.pdf#page=31</t>
        </is>
      </c>
    </row>
    <row r="754">
      <c r="A754" s="2" t="inlineStr">
        <is>
          <t>F753</t>
        </is>
      </c>
      <c r="B754" s="2" t="inlineStr">
        <is>
          <t>market</t>
        </is>
      </c>
      <c r="C754" s="2" t="inlineStr">
        <is>
          <t>concentration</t>
        </is>
      </c>
      <c r="D754" s="3" t="inlineStr">
        <is>
          <t>Concentration: top customers / suppliers share, key contracts, sites</t>
        </is>
      </c>
      <c r="E754" s="2" t="n"/>
      <c r="F754" s="2" t="n"/>
      <c r="G754" s="2" t="n"/>
      <c r="H754" s="3" t="inlineStr">
        <is>
          <t>Credit risk: no significant concentrations at the reporting date; maximum default exposure equals receivables carrying amount 100.6 (2024: 59.2); customer relationships described as long-standing.</t>
        </is>
      </c>
      <c r="I754" s="2" t="inlineStr">
        <is>
          <t>S3</t>
        </is>
      </c>
      <c r="J754" s="2" t="n">
        <v>56</v>
      </c>
      <c r="K754" s="3" t="inlineStr">
        <is>
          <t>As at the reporting date, there were no significant concentrations of risk.</t>
        </is>
      </c>
      <c r="L754" s="2" t="inlineStr">
        <is>
          <t>ok</t>
        </is>
      </c>
      <c r="M754" s="2" t="inlineStr">
        <is>
          <t>demo reviewer</t>
        </is>
      </c>
      <c r="N754" s="2" t="n"/>
      <c r="O754" s="3" t="inlineStr">
        <is>
          <t>https://vanillabonds.com/dossier-data/pdf/katjes/katjes-2025-annual-report.pdf#page=56</t>
        </is>
      </c>
    </row>
    <row r="755">
      <c r="A755" s="2" t="inlineStr">
        <is>
          <t>F754</t>
        </is>
      </c>
      <c r="B755" s="2" t="inlineStr">
        <is>
          <t>plan</t>
        </is>
      </c>
      <c r="C755" s="2" t="inlineStr">
        <is>
          <t>debt_maturing</t>
        </is>
      </c>
      <c r="D755" s="2" t="inlineStr">
        <is>
          <t>Debt principal falling due in the period</t>
        </is>
      </c>
      <c r="E755" s="2" t="inlineStr">
        <is>
          <t>FY2026E</t>
        </is>
      </c>
      <c r="F755" s="2" t="n">
        <v>74.3</v>
      </c>
      <c r="G755" s="2" t="inlineStr">
        <is>
          <t>EUR m</t>
        </is>
      </c>
      <c r="H755" s="3" t="inlineStr">
        <is>
          <t>Current financial liabilities due within one year at 31 Dec 2025 incl. lease liabilities 16.7 and interest liabilities 3.8 (maturity table, partly undiscounted)</t>
        </is>
      </c>
      <c r="I755" s="2" t="inlineStr">
        <is>
          <t>S3</t>
        </is>
      </c>
      <c r="J755" s="2" t="n">
        <v>57</v>
      </c>
      <c r="K755" s="3" t="inlineStr">
        <is>
          <t>Current financial liabilities (incl. liabilities from leases) 74.3 0.0 0.0 0.0 74.3 74.3</t>
        </is>
      </c>
      <c r="L755" s="2" t="inlineStr">
        <is>
          <t>pend</t>
        </is>
      </c>
      <c r="M755" s="2" t="n"/>
      <c r="N755" s="3" t="inlineStr">
        <is>
          <t>conflict: S2·p59 12.3 vs S3·p57 74.3; primary per fact agent: S3 p57 - S3's maturity table at 31 Dec 2025 is the later audited measurement of amounts due in 2026; S2's 12.3 is the one-to-two-year band at 31 Dec 2024.</t>
        </is>
      </c>
      <c r="O755" s="3" t="inlineStr">
        <is>
          <t>https://vanillabonds.com/dossier-data/pdf/katjes/katjes-2025-annual-report.pdf#page=57</t>
        </is>
      </c>
    </row>
    <row r="756">
      <c r="A756" s="2" t="inlineStr">
        <is>
          <t>F755</t>
        </is>
      </c>
      <c r="B756" s="2" t="inlineStr">
        <is>
          <t>plan</t>
        </is>
      </c>
      <c r="C756" s="2" t="inlineStr">
        <is>
          <t>debt_maturing</t>
        </is>
      </c>
      <c r="D756" s="2" t="inlineStr">
        <is>
          <t>Debt principal falling due in the period</t>
        </is>
      </c>
      <c r="E756" s="2" t="inlineStr">
        <is>
          <t>FY2027E</t>
        </is>
      </c>
      <c r="F756" s="2" t="n">
        <v>30.7</v>
      </c>
      <c r="G756" s="2" t="inlineStr">
        <is>
          <t>EUR m</t>
        </is>
      </c>
      <c r="H756" s="3" t="inlineStr">
        <is>
          <t>Non-current financial liabilities due in one to two years at 31 Dec 2025 incl. lease liabilities 15.8 (maturity table, partly undiscounted)</t>
        </is>
      </c>
      <c r="I756" s="2" t="inlineStr">
        <is>
          <t>S3</t>
        </is>
      </c>
      <c r="J756" s="2" t="n">
        <v>57</v>
      </c>
      <c r="K756" s="3" t="inlineStr">
        <is>
          <t>As of 31 Dec 2025 Non-current financial liabilities (incl. liabilities from leases) 0.0 30.7 232.6 15.2 278.5 278.5</t>
        </is>
      </c>
      <c r="L756" s="2" t="inlineStr">
        <is>
          <t>ok</t>
        </is>
      </c>
      <c r="M756" s="2" t="inlineStr">
        <is>
          <t>demo reviewer</t>
        </is>
      </c>
      <c r="N756" s="2" t="n"/>
      <c r="O756" s="3" t="inlineStr">
        <is>
          <t>https://vanillabonds.com/dossier-data/pdf/katjes/katjes-2025-annual-report.pdf#page=57</t>
        </is>
      </c>
    </row>
    <row r="757">
      <c r="A757" s="2" t="inlineStr">
        <is>
          <t>F756</t>
        </is>
      </c>
      <c r="B757" s="2" t="inlineStr">
        <is>
          <t>plan</t>
        </is>
      </c>
      <c r="C757" s="2" t="inlineStr">
        <is>
          <t>debt_maturing</t>
        </is>
      </c>
      <c r="D757" s="2" t="inlineStr">
        <is>
          <t>Debt principal falling due in the period</t>
        </is>
      </c>
      <c r="E757" s="2" t="inlineStr">
        <is>
          <t>FY2028E</t>
        </is>
      </c>
      <c r="F757" s="2" t="n">
        <v>185</v>
      </c>
      <c r="G757" s="2" t="inlineStr">
        <is>
          <t>EUR m</t>
        </is>
      </c>
      <c r="H757" s="3" t="inlineStr">
        <is>
          <t>2023/2028 corporate bond outstanding 185.0 at 31 Dec 2025 due 2028 (increased to 200.0 in March 2026); maturity table shows 232.6 of non-current financial liabilities incl. leases due in two to five years</t>
        </is>
      </c>
      <c r="I757" s="2" t="inlineStr">
        <is>
          <t>S3</t>
        </is>
      </c>
      <c r="J757" s="2" t="n">
        <v>57</v>
      </c>
      <c r="K757" s="3" t="inlineStr">
        <is>
          <t>As of 31 Dec 2025 Non-current financial liabilities (incl. liabilities from leases) 0.0 30.7 232.6 15.2 278.5 278.5</t>
        </is>
      </c>
      <c r="L757" s="2" t="inlineStr">
        <is>
          <t>ok</t>
        </is>
      </c>
      <c r="M757" s="2" t="inlineStr">
        <is>
          <t>demo reviewer</t>
        </is>
      </c>
      <c r="N757" s="2" t="n"/>
      <c r="O757" s="3" t="inlineStr">
        <is>
          <t>https://vanillabonds.com/dossier-data/pdf/katjes/katjes-2025-annual-report.pdf#page=57</t>
        </is>
      </c>
    </row>
    <row r="758">
      <c r="A758" s="2" t="inlineStr">
        <is>
          <t>F757</t>
        </is>
      </c>
      <c r="B758" s="2" t="inlineStr">
        <is>
          <t>plan</t>
        </is>
      </c>
      <c r="C758" s="2" t="inlineStr">
        <is>
          <t>bank_line</t>
        </is>
      </c>
      <c r="D758" s="3" t="inlineStr">
        <is>
          <t>Bank facility: lender, amount, maturity, renewal history</t>
        </is>
      </c>
      <c r="E758" s="2" t="n"/>
      <c r="F758" s="2" t="n">
        <v>40</v>
      </c>
      <c r="G758" s="2" t="n"/>
      <c r="H758" s="3" t="inlineStr">
        <is>
          <t>Revolving line of up to kEUR 40,000 at 6.65%, drawn EUR 16.3m at 31 Dec 2025 (2024: undrawn); lender and maturity not named.</t>
        </is>
      </c>
      <c r="I758" s="2" t="inlineStr">
        <is>
          <t>S3</t>
        </is>
      </c>
      <c r="J758" s="2" t="n">
        <v>63</v>
      </c>
      <c r="K758" s="3" t="inlineStr">
        <is>
          <t>Revolving line up kEUR 40.000 6.65 16.3 0.0</t>
        </is>
      </c>
      <c r="L758" s="2" t="inlineStr">
        <is>
          <t>ok</t>
        </is>
      </c>
      <c r="M758" s="2" t="inlineStr">
        <is>
          <t>demo reviewer</t>
        </is>
      </c>
      <c r="N758" s="2" t="n"/>
      <c r="O758" s="3" t="inlineStr">
        <is>
          <t>https://vanillabonds.com/dossier-data/pdf/katjes/katjes-2025-annual-report.pdf#page=63</t>
        </is>
      </c>
    </row>
    <row r="759">
      <c r="A759" s="2" t="inlineStr">
        <is>
          <t>F758</t>
        </is>
      </c>
      <c r="B759" s="2" t="inlineStr">
        <is>
          <t>governance</t>
        </is>
      </c>
      <c r="C759" s="2" t="inlineStr">
        <is>
          <t>group_entity</t>
        </is>
      </c>
      <c r="D759" s="3" t="inlineStr">
        <is>
          <t>Group entity: entity; jurisdiction; revenue; ebitda; assets; debt; guarantor (yes / no)</t>
        </is>
      </c>
      <c r="E759" s="2" t="n"/>
      <c r="F759" s="2" t="n">
        <v>200</v>
      </c>
      <c r="G759" s="2" t="n"/>
      <c r="H759" s="3" t="inlineStr">
        <is>
          <t>entity: Willy Bogner GmbH, München (Bogner Group, 60% since 1 Sep 2025, fully consolidated); jurisdiction: DE; revenue: approximately 200 for FY2025 (profitable); debt: financial liabilities 98.9 at acquisition</t>
        </is>
      </c>
      <c r="I759" s="2" t="inlineStr">
        <is>
          <t>S3</t>
        </is>
      </c>
      <c r="J759" s="2" t="n">
        <v>53</v>
      </c>
      <c r="K759" s="3" t="inlineStr">
        <is>
          <t>In the financial year 2025, the Bogner Group generated revenue of approximately EUR 200 million and was profitable.</t>
        </is>
      </c>
      <c r="L759" s="2" t="inlineStr">
        <is>
          <t>ok</t>
        </is>
      </c>
      <c r="M759" s="2" t="inlineStr">
        <is>
          <t>demo reviewer</t>
        </is>
      </c>
      <c r="N759" s="2" t="n"/>
      <c r="O759" s="3" t="inlineStr">
        <is>
          <t>https://vanillabonds.com/dossier-data/pdf/katjes/katjes-2025-annual-report.pdf#page=53</t>
        </is>
      </c>
    </row>
    <row r="760">
      <c r="A760" s="2" t="inlineStr">
        <is>
          <t>F759</t>
        </is>
      </c>
      <c r="B760" s="2" t="inlineStr">
        <is>
          <t>governance</t>
        </is>
      </c>
      <c r="C760" s="2" t="inlineStr">
        <is>
          <t>group_entity</t>
        </is>
      </c>
      <c r="D760" s="3" t="inlineStr">
        <is>
          <t>Group entity: entity; jurisdiction; revenue; ebitda; assets; debt; guarantor (yes / no)</t>
        </is>
      </c>
      <c r="E760" s="2" t="n"/>
      <c r="F760" s="2" t="n"/>
      <c r="G760" s="2" t="n"/>
      <c r="H760" s="3" t="inlineStr">
        <is>
          <t>entity: Katjes Quiet Luxury GmbH, Düsseldorf (acquisition vehicle for Bogner, new in 2025); jurisdiction: DE; share 100%</t>
        </is>
      </c>
      <c r="I760" s="2" t="inlineStr">
        <is>
          <t>S3</t>
        </is>
      </c>
      <c r="J760" s="2" t="n">
        <v>83</v>
      </c>
      <c r="K760" s="3" t="inlineStr">
        <is>
          <t>Katjes Quiet Luxury GmbH, Düsseldorf 100 A</t>
        </is>
      </c>
      <c r="L760" s="2" t="inlineStr">
        <is>
          <t>ok</t>
        </is>
      </c>
      <c r="M760" s="2" t="inlineStr">
        <is>
          <t>demo reviewer</t>
        </is>
      </c>
      <c r="N760" s="2" t="n"/>
      <c r="O760" s="3" t="inlineStr">
        <is>
          <t>https://vanillabonds.com/dossier-data/pdf/katjes/katjes-2025-annual-report.pdf#page=83</t>
        </is>
      </c>
    </row>
    <row r="761">
      <c r="A761" s="2" t="inlineStr">
        <is>
          <t>F760</t>
        </is>
      </c>
      <c r="B761" s="2" t="inlineStr">
        <is>
          <t>governance</t>
        </is>
      </c>
      <c r="C761" s="2" t="inlineStr">
        <is>
          <t>group_entity</t>
        </is>
      </c>
      <c r="D761" s="3" t="inlineStr">
        <is>
          <t>Group entity: entity; jurisdiction; revenue; ebitda; assets; debt; guarantor (yes / no)</t>
        </is>
      </c>
      <c r="E761" s="2" t="n"/>
      <c r="F761" s="2" t="n"/>
      <c r="G761" s="2" t="n"/>
      <c r="H761" s="3" t="inlineStr">
        <is>
          <t>entity: Piasten GmbH, Forchheim (with Treets GmbH and CCV-Vertriebs-GmbH); jurisdiction: DE; share 100%, fully consolidated; uses Section 264 (3) HGB exemption</t>
        </is>
      </c>
      <c r="I761" s="2" t="inlineStr">
        <is>
          <t>S3</t>
        </is>
      </c>
      <c r="J761" s="2" t="n">
        <v>83</v>
      </c>
      <c r="K761" s="2" t="inlineStr">
        <is>
          <t>Piasten GmbH, Forchheim 100 A</t>
        </is>
      </c>
      <c r="L761" s="2" t="inlineStr">
        <is>
          <t>ok</t>
        </is>
      </c>
      <c r="M761" s="2" t="inlineStr">
        <is>
          <t>demo reviewer</t>
        </is>
      </c>
      <c r="N761" s="2" t="n"/>
      <c r="O761" s="3" t="inlineStr">
        <is>
          <t>https://vanillabonds.com/dossier-data/pdf/katjes/katjes-2025-annual-report.pdf#page=83</t>
        </is>
      </c>
    </row>
    <row r="762">
      <c r="A762" s="2" t="inlineStr">
        <is>
          <t>F761</t>
        </is>
      </c>
      <c r="B762" s="2" t="inlineStr">
        <is>
          <t>governance</t>
        </is>
      </c>
      <c r="C762" s="2" t="inlineStr">
        <is>
          <t>group_entity</t>
        </is>
      </c>
      <c r="D762" s="3" t="inlineStr">
        <is>
          <t>Group entity: entity; jurisdiction; revenue; ebitda; assets; debt; guarantor (yes / no)</t>
        </is>
      </c>
      <c r="E762" s="2" t="n"/>
      <c r="F762" s="2" t="n"/>
      <c r="G762" s="2" t="n"/>
      <c r="H762" s="3" t="inlineStr">
        <is>
          <t>entity: Dallmann's Pharma Candy GmbH, Hofheim am Taunus; jurisdiction: DE; share 100%, fully consolidated</t>
        </is>
      </c>
      <c r="I762" s="2" t="inlineStr">
        <is>
          <t>S3</t>
        </is>
      </c>
      <c r="J762" s="2" t="n">
        <v>83</v>
      </c>
      <c r="K762" s="3" t="inlineStr">
        <is>
          <t>Dallmann’s Pharma Candy GmbH, Hofheim am Taunus 100 A</t>
        </is>
      </c>
      <c r="L762" s="2" t="inlineStr">
        <is>
          <t>ok</t>
        </is>
      </c>
      <c r="M762" s="2" t="inlineStr">
        <is>
          <t>demo reviewer</t>
        </is>
      </c>
      <c r="N762" s="2" t="n"/>
      <c r="O762" s="3" t="inlineStr">
        <is>
          <t>https://vanillabonds.com/dossier-data/pdf/katjes/katjes-2025-annual-report.pdf#page=83</t>
        </is>
      </c>
    </row>
    <row r="763">
      <c r="A763" s="2" t="inlineStr">
        <is>
          <t>F762</t>
        </is>
      </c>
      <c r="B763" s="2" t="inlineStr">
        <is>
          <t>governance</t>
        </is>
      </c>
      <c r="C763" s="2" t="inlineStr">
        <is>
          <t>group_entity</t>
        </is>
      </c>
      <c r="D763" s="3" t="inlineStr">
        <is>
          <t>Group entity: entity; jurisdiction; revenue; ebitda; assets; debt; guarantor (yes / no)</t>
        </is>
      </c>
      <c r="E763" s="2" t="n"/>
      <c r="F763" s="2" t="n"/>
      <c r="G763" s="2" t="n"/>
      <c r="H763" s="3" t="inlineStr">
        <is>
          <t>entity: Bübchen Skincare GmbH (former Dallmann's Pharma GmbH), Hofheim am Taunus, with Bübchen-Werk Ewald Hermes Pharmazeutische Fabrik GmbH, Soest; jurisdiction: DE; share 100%</t>
        </is>
      </c>
      <c r="I763" s="2" t="inlineStr">
        <is>
          <t>S3</t>
        </is>
      </c>
      <c r="J763" s="2" t="n">
        <v>83</v>
      </c>
      <c r="K763" s="3" t="inlineStr">
        <is>
          <t>Bübchen Skincare GmbH (former: Dallmann’s Pharma GmbH), Hofheim am Taunus 100 A</t>
        </is>
      </c>
      <c r="L763" s="2" t="inlineStr">
        <is>
          <t>ok</t>
        </is>
      </c>
      <c r="M763" s="2" t="inlineStr">
        <is>
          <t>demo reviewer</t>
        </is>
      </c>
      <c r="N763" s="2" t="n"/>
      <c r="O763" s="3" t="inlineStr">
        <is>
          <t>https://vanillabonds.com/dossier-data/pdf/katjes/katjes-2025-annual-report.pdf#page=83</t>
        </is>
      </c>
    </row>
    <row r="764">
      <c r="A764" s="2" t="inlineStr">
        <is>
          <t>F763</t>
        </is>
      </c>
      <c r="B764" s="2" t="inlineStr">
        <is>
          <t>governance</t>
        </is>
      </c>
      <c r="C764" s="2" t="inlineStr">
        <is>
          <t>group_entity</t>
        </is>
      </c>
      <c r="D764" s="3" t="inlineStr">
        <is>
          <t>Group entity: entity; jurisdiction; revenue; ebitda; assets; debt; guarantor (yes / no)</t>
        </is>
      </c>
      <c r="E764" s="2" t="n"/>
      <c r="F764" s="2" t="n"/>
      <c r="G764" s="2" t="n"/>
      <c r="H764" s="3" t="inlineStr">
        <is>
          <t>entity: Bübchen Bodycare GmbH, Düsseldorf (oral care competence centre, site Viersen; with Theramed, Smile Cosmetics, Antica Erboristeria, Laboratoires Vademecum, Licor del Polo, Barnängen GmbHs); jurisdiction: DE; share 100%</t>
        </is>
      </c>
      <c r="I764" s="2" t="inlineStr">
        <is>
          <t>S3</t>
        </is>
      </c>
      <c r="J764" s="2" t="n">
        <v>83</v>
      </c>
      <c r="K764" s="2" t="inlineStr">
        <is>
          <t>Bübchen Bodycare GmbH, Düsseldorf 100 A</t>
        </is>
      </c>
      <c r="L764" s="2" t="inlineStr">
        <is>
          <t>ok</t>
        </is>
      </c>
      <c r="M764" s="2" t="inlineStr">
        <is>
          <t>demo reviewer</t>
        </is>
      </c>
      <c r="N764" s="2" t="n"/>
      <c r="O764" s="3" t="inlineStr">
        <is>
          <t>https://vanillabonds.com/dossier-data/pdf/katjes/katjes-2025-annual-report.pdf#page=83</t>
        </is>
      </c>
    </row>
    <row r="765">
      <c r="A765" s="2" t="inlineStr">
        <is>
          <t>F764</t>
        </is>
      </c>
      <c r="B765" s="2" t="inlineStr">
        <is>
          <t>governance</t>
        </is>
      </c>
      <c r="C765" s="2" t="inlineStr">
        <is>
          <t>group_entity</t>
        </is>
      </c>
      <c r="D765" s="3" t="inlineStr">
        <is>
          <t>Group entity: entity; jurisdiction; revenue; ebitda; assets; debt; guarantor (yes / no)</t>
        </is>
      </c>
      <c r="E765" s="2" t="n"/>
      <c r="F765" s="2" t="n"/>
      <c r="G765" s="2" t="n"/>
      <c r="H765" s="3" t="inlineStr">
        <is>
          <t>entity: Bogner GCA IP Management GmbH and Bogner GCA IP GmbH &amp; Co. KG, Grünwald (brand IP holding entities); jurisdiction: DE; share 60%</t>
        </is>
      </c>
      <c r="I765" s="2" t="inlineStr">
        <is>
          <t>S3</t>
        </is>
      </c>
      <c r="J765" s="2" t="n">
        <v>83</v>
      </c>
      <c r="K765" s="3" t="inlineStr">
        <is>
          <t>Bogner GCA IP GmbH &amp; Co. KG, Grünwald 60 A</t>
        </is>
      </c>
      <c r="L765" s="2" t="inlineStr">
        <is>
          <t>ok</t>
        </is>
      </c>
      <c r="M765" s="2" t="inlineStr">
        <is>
          <t>demo reviewer</t>
        </is>
      </c>
      <c r="N765" s="2" t="n"/>
      <c r="O765" s="3" t="inlineStr">
        <is>
          <t>https://vanillabonds.com/dossier-data/pdf/katjes/katjes-2025-annual-report.pdf#page=83</t>
        </is>
      </c>
    </row>
    <row r="766">
      <c r="A766" s="2" t="inlineStr">
        <is>
          <t>F765</t>
        </is>
      </c>
      <c r="B766" s="2" t="inlineStr">
        <is>
          <t>governance</t>
        </is>
      </c>
      <c r="C766" s="2" t="inlineStr">
        <is>
          <t>group_entity</t>
        </is>
      </c>
      <c r="D766" s="3" t="inlineStr">
        <is>
          <t>Group entity: entity; jurisdiction; revenue; ebitda; assets; debt; guarantor (yes / no)</t>
        </is>
      </c>
      <c r="E766" s="2" t="n"/>
      <c r="F766" s="2" t="n"/>
      <c r="G766" s="2" t="n"/>
      <c r="H766" s="3" t="inlineStr">
        <is>
          <t>entity: Shirin Beauty GmbH, Düsseldorf (joint venture IFRS 11); jurisdiction: DE; share 50%; share of profit 0.8 in 2025</t>
        </is>
      </c>
      <c r="I766" s="2" t="inlineStr">
        <is>
          <t>S3</t>
        </is>
      </c>
      <c r="J766" s="2" t="n">
        <v>83</v>
      </c>
      <c r="K766" s="2" t="inlineStr">
        <is>
          <t>Shirin Beauty GmbH, Düsseldorf 50 C</t>
        </is>
      </c>
      <c r="L766" s="2" t="inlineStr">
        <is>
          <t>ok</t>
        </is>
      </c>
      <c r="M766" s="2" t="inlineStr">
        <is>
          <t>demo reviewer</t>
        </is>
      </c>
      <c r="N766" s="2" t="n"/>
      <c r="O766" s="3" t="inlineStr">
        <is>
          <t>https://vanillabonds.com/dossier-data/pdf/katjes/katjes-2025-annual-report.pdf#page=83</t>
        </is>
      </c>
    </row>
    <row r="767">
      <c r="A767" s="2" t="inlineStr">
        <is>
          <t>F766</t>
        </is>
      </c>
      <c r="B767" s="2" t="inlineStr">
        <is>
          <t>governance</t>
        </is>
      </c>
      <c r="C767" s="2" t="inlineStr">
        <is>
          <t>group_entity</t>
        </is>
      </c>
      <c r="D767" s="3" t="inlineStr">
        <is>
          <t>Group entity: entity; jurisdiction; revenue; ebitda; assets; debt; guarantor (yes / no)</t>
        </is>
      </c>
      <c r="E767" s="2" t="n"/>
      <c r="F767" s="2" t="n"/>
      <c r="G767" s="2" t="n"/>
      <c r="H767" s="3" t="inlineStr">
        <is>
          <t>entity: Sperlari S.r.l., Cremona (incl. brands Sperlari, Saila, Dietorelle); jurisdiction: IT; share 100%, fully consolidated</t>
        </is>
      </c>
      <c r="I767" s="2" t="inlineStr">
        <is>
          <t>S3</t>
        </is>
      </c>
      <c r="J767" s="2" t="n">
        <v>84</v>
      </c>
      <c r="K767" s="2" t="inlineStr">
        <is>
          <t>Sperlari S.r.l., Cremona, Italy 100 A</t>
        </is>
      </c>
      <c r="L767" s="2" t="inlineStr">
        <is>
          <t>ok</t>
        </is>
      </c>
      <c r="M767" s="2" t="inlineStr">
        <is>
          <t>demo reviewer</t>
        </is>
      </c>
      <c r="N767" s="2" t="n"/>
      <c r="O767" s="3" t="inlineStr">
        <is>
          <t>https://vanillabonds.com/dossier-data/pdf/katjes/katjes-2025-annual-report.pdf#page=84</t>
        </is>
      </c>
    </row>
    <row r="768">
      <c r="A768" s="2" t="inlineStr">
        <is>
          <t>F767</t>
        </is>
      </c>
      <c r="B768" s="2" t="inlineStr">
        <is>
          <t>governance</t>
        </is>
      </c>
      <c r="C768" s="2" t="inlineStr">
        <is>
          <t>group_entity</t>
        </is>
      </c>
      <c r="D768" s="3" t="inlineStr">
        <is>
          <t>Group entity: entity; jurisdiction; revenue; ebitda; assets; debt; guarantor (yes / no)</t>
        </is>
      </c>
      <c r="E768" s="2" t="n"/>
      <c r="F768" s="2" t="n"/>
      <c r="G768" s="2" t="n"/>
      <c r="H768" s="3" t="inlineStr">
        <is>
          <t>entity: Dulcioliva S.r.l., Borgo San Dalmazzo; jurisdiction: IT; share 75% with option on the remaining 25%, fully consolidated</t>
        </is>
      </c>
      <c r="I768" s="2" t="inlineStr">
        <is>
          <t>S3</t>
        </is>
      </c>
      <c r="J768" s="2" t="n">
        <v>84</v>
      </c>
      <c r="K768" s="3" t="inlineStr">
        <is>
          <t>Dulcioliva S.r.l., Borgo San Dalmazzo, Italy 75 A</t>
        </is>
      </c>
      <c r="L768" s="2" t="inlineStr">
        <is>
          <t>ok</t>
        </is>
      </c>
      <c r="M768" s="2" t="inlineStr">
        <is>
          <t>demo reviewer</t>
        </is>
      </c>
      <c r="N768" s="2" t="n"/>
      <c r="O768" s="3" t="inlineStr">
        <is>
          <t>https://vanillabonds.com/dossier-data/pdf/katjes/katjes-2025-annual-report.pdf#page=84</t>
        </is>
      </c>
    </row>
    <row r="769">
      <c r="A769" s="2" t="inlineStr">
        <is>
          <t>F768</t>
        </is>
      </c>
      <c r="B769" s="2" t="inlineStr">
        <is>
          <t>governance</t>
        </is>
      </c>
      <c r="C769" s="2" t="inlineStr">
        <is>
          <t>group_entity</t>
        </is>
      </c>
      <c r="D769" s="3" t="inlineStr">
        <is>
          <t>Group entity: entity; jurisdiction; revenue; ebitda; assets; debt; guarantor (yes / no)</t>
        </is>
      </c>
      <c r="E769" s="2" t="n"/>
      <c r="F769" s="2" t="n"/>
      <c r="G769" s="2" t="n"/>
      <c r="H769" s="3" t="inlineStr">
        <is>
          <t>entity: Paluani 1921 S.r.l., Verona; jurisdiction: IT; share 100%, fully consolidated</t>
        </is>
      </c>
      <c r="I769" s="2" t="inlineStr">
        <is>
          <t>S3</t>
        </is>
      </c>
      <c r="J769" s="2" t="n">
        <v>84</v>
      </c>
      <c r="K769" s="2" t="inlineStr">
        <is>
          <t>Paluani 1921 S.r.l., Verona, Italy 100 A</t>
        </is>
      </c>
      <c r="L769" s="2" t="inlineStr">
        <is>
          <t>ok</t>
        </is>
      </c>
      <c r="M769" s="2" t="inlineStr">
        <is>
          <t>demo reviewer</t>
        </is>
      </c>
      <c r="N769" s="2" t="n"/>
      <c r="O769" s="3" t="inlineStr">
        <is>
          <t>https://vanillabonds.com/dossier-data/pdf/katjes/katjes-2025-annual-report.pdf#page=84</t>
        </is>
      </c>
    </row>
    <row r="770">
      <c r="A770" s="2" t="inlineStr">
        <is>
          <t>F769</t>
        </is>
      </c>
      <c r="B770" s="2" t="inlineStr">
        <is>
          <t>governance</t>
        </is>
      </c>
      <c r="C770" s="2" t="inlineStr">
        <is>
          <t>group_entity</t>
        </is>
      </c>
      <c r="D770" s="3" t="inlineStr">
        <is>
          <t>Group entity: entity; jurisdiction; revenue; ebitda; assets; debt; guarantor (yes / no)</t>
        </is>
      </c>
      <c r="E770" s="2" t="n"/>
      <c r="F770" s="2" t="n"/>
      <c r="G770" s="2" t="n"/>
      <c r="H770" s="3" t="inlineStr">
        <is>
          <t>entity: Candy Kittens Ltd., London (with Longaim Ltd 88% and Tuckshop Ltd 75%); jurisdiction: UK; share 88.0%, fully consolidated</t>
        </is>
      </c>
      <c r="I770" s="2" t="inlineStr">
        <is>
          <t>S3</t>
        </is>
      </c>
      <c r="J770" s="2" t="n">
        <v>84</v>
      </c>
      <c r="K770" s="2" t="inlineStr">
        <is>
          <t>Candy Kittens Ltd., London, UK 88.0 A</t>
        </is>
      </c>
      <c r="L770" s="2" t="inlineStr">
        <is>
          <t>ok</t>
        </is>
      </c>
      <c r="M770" s="2" t="inlineStr">
        <is>
          <t>demo reviewer</t>
        </is>
      </c>
      <c r="N770" s="2" t="n"/>
      <c r="O770" s="3" t="inlineStr">
        <is>
          <t>https://vanillabonds.com/dossier-data/pdf/katjes/katjes-2025-annual-report.pdf#page=84</t>
        </is>
      </c>
    </row>
    <row r="771">
      <c r="A771" s="2" t="inlineStr">
        <is>
          <t>F770</t>
        </is>
      </c>
      <c r="B771" s="2" t="inlineStr">
        <is>
          <t>governance</t>
        </is>
      </c>
      <c r="C771" s="2" t="inlineStr">
        <is>
          <t>group_entity</t>
        </is>
      </c>
      <c r="D771" s="3" t="inlineStr">
        <is>
          <t>Group entity: entity; jurisdiction; revenue; ebitda; assets; debt; guarantor (yes / no)</t>
        </is>
      </c>
      <c r="E771" s="2" t="n"/>
      <c r="F771" s="2" t="n"/>
      <c r="G771" s="2" t="n"/>
      <c r="H771" s="3" t="inlineStr">
        <is>
          <t>entity: Harlekijntjes B.V., Nijkerk (with Heel Veel Snoepjes B.V.); jurisdiction: NL; share 100%, fully consolidated</t>
        </is>
      </c>
      <c r="I771" s="2" t="inlineStr">
        <is>
          <t>S3</t>
        </is>
      </c>
      <c r="J771" s="2" t="n">
        <v>84</v>
      </c>
      <c r="K771" s="3" t="inlineStr">
        <is>
          <t>Harlekĳntjes B.V., Nĳkerk, Netherlands 100 A</t>
        </is>
      </c>
      <c r="L771" s="2" t="inlineStr">
        <is>
          <t>ok</t>
        </is>
      </c>
      <c r="M771" s="2" t="inlineStr">
        <is>
          <t>demo reviewer</t>
        </is>
      </c>
      <c r="N771" s="2" t="n"/>
      <c r="O771" s="3" t="inlineStr">
        <is>
          <t>https://vanillabonds.com/dossier-data/pdf/katjes/katjes-2025-annual-report.pdf#page=84</t>
        </is>
      </c>
    </row>
    <row r="772">
      <c r="A772" s="2" t="inlineStr">
        <is>
          <t>F771</t>
        </is>
      </c>
      <c r="B772" s="2" t="inlineStr">
        <is>
          <t>governance</t>
        </is>
      </c>
      <c r="C772" s="2" t="inlineStr">
        <is>
          <t>group_entity</t>
        </is>
      </c>
      <c r="D772" s="3" t="inlineStr">
        <is>
          <t>Group entity: entity; jurisdiction; revenue; ebitda; assets; debt; guarantor (yes / no)</t>
        </is>
      </c>
      <c r="E772" s="2" t="n"/>
      <c r="F772" s="2" t="n"/>
      <c r="G772" s="2" t="n"/>
      <c r="H772" s="3" t="inlineStr">
        <is>
          <t>entity: Bogner Sport AG, Zürich; jurisdiction: CH; share 60%, fully consolidated since 2025</t>
        </is>
      </c>
      <c r="I772" s="2" t="inlineStr">
        <is>
          <t>S3</t>
        </is>
      </c>
      <c r="J772" s="2" t="n">
        <v>84</v>
      </c>
      <c r="K772" s="3" t="inlineStr">
        <is>
          <t>Bogner Sport AG, Zürich, Switzerland 60 A</t>
        </is>
      </c>
      <c r="L772" s="2" t="inlineStr">
        <is>
          <t>ok</t>
        </is>
      </c>
      <c r="M772" s="2" t="inlineStr">
        <is>
          <t>demo reviewer</t>
        </is>
      </c>
      <c r="N772" s="2" t="n"/>
      <c r="O772" s="3" t="inlineStr">
        <is>
          <t>https://vanillabonds.com/dossier-data/pdf/katjes/katjes-2025-annual-report.pdf#page=84</t>
        </is>
      </c>
    </row>
    <row r="773">
      <c r="A773" s="2" t="inlineStr">
        <is>
          <t>F772</t>
        </is>
      </c>
      <c r="B773" s="2" t="inlineStr">
        <is>
          <t>governance</t>
        </is>
      </c>
      <c r="C773" s="2" t="inlineStr">
        <is>
          <t>group_entity</t>
        </is>
      </c>
      <c r="D773" s="3" t="inlineStr">
        <is>
          <t>Group entity: entity; jurisdiction; revenue; ebitda; assets; debt; guarantor (yes / no)</t>
        </is>
      </c>
      <c r="E773" s="2" t="n"/>
      <c r="F773" s="2" t="n"/>
      <c r="G773" s="2" t="n"/>
      <c r="H773" s="3" t="inlineStr">
        <is>
          <t>entity: Bogner of America Inc., New York City; jurisdiction: US; share 60%, fully consolidated since 2025 (plus Bogner du Canada LLC, Cowansville, 60%)</t>
        </is>
      </c>
      <c r="I773" s="2" t="inlineStr">
        <is>
          <t>S3</t>
        </is>
      </c>
      <c r="J773" s="2" t="n">
        <v>84</v>
      </c>
      <c r="K773" s="3" t="inlineStr">
        <is>
          <t>Bogner of America Inc., New York City, USA 60 A</t>
        </is>
      </c>
      <c r="L773" s="2" t="inlineStr">
        <is>
          <t>ok</t>
        </is>
      </c>
      <c r="M773" s="2" t="inlineStr">
        <is>
          <t>demo reviewer</t>
        </is>
      </c>
      <c r="N773" s="2" t="n"/>
      <c r="O773" s="3" t="inlineStr">
        <is>
          <t>https://vanillabonds.com/dossier-data/pdf/katjes/katjes-2025-annual-report.pdf#page=84</t>
        </is>
      </c>
    </row>
    <row r="774">
      <c r="A774" s="2" t="inlineStr">
        <is>
          <t>F773</t>
        </is>
      </c>
      <c r="B774" s="2" t="inlineStr">
        <is>
          <t>governance</t>
        </is>
      </c>
      <c r="C774" s="2" t="inlineStr">
        <is>
          <t>group_entity</t>
        </is>
      </c>
      <c r="D774" s="3" t="inlineStr">
        <is>
          <t>Group entity: entity; jurisdiction; revenue; ebitda; assets; debt; guarantor (yes / no)</t>
        </is>
      </c>
      <c r="E774" s="2" t="n"/>
      <c r="F774" s="2" t="n"/>
      <c r="G774" s="2" t="n"/>
      <c r="H774" s="3" t="inlineStr">
        <is>
          <t>entity: Bogner Vertriebsgesellschaft GmbH, Salzburg; jurisdiction: AT; share 60%, fully consolidated since 2025</t>
        </is>
      </c>
      <c r="I774" s="2" t="inlineStr">
        <is>
          <t>S3</t>
        </is>
      </c>
      <c r="J774" s="2" t="n">
        <v>84</v>
      </c>
      <c r="K774" s="3" t="inlineStr">
        <is>
          <t>Bogner Vertriebsgesellschaft GmbH, Salzburg, Austria 60 A</t>
        </is>
      </c>
      <c r="L774" s="2" t="inlineStr">
        <is>
          <t>ok</t>
        </is>
      </c>
      <c r="M774" s="2" t="inlineStr">
        <is>
          <t>demo reviewer</t>
        </is>
      </c>
      <c r="N774" s="2" t="n"/>
      <c r="O774" s="3" t="inlineStr">
        <is>
          <t>https://vanillabonds.com/dossier-data/pdf/katjes/katjes-2025-annual-report.pdf#page=84</t>
        </is>
      </c>
    </row>
    <row r="775">
      <c r="A775" s="2" t="inlineStr">
        <is>
          <t>F774</t>
        </is>
      </c>
      <c r="B775" s="2" t="inlineStr">
        <is>
          <t>governance</t>
        </is>
      </c>
      <c r="C775" s="2" t="inlineStr">
        <is>
          <t>group_entity</t>
        </is>
      </c>
      <c r="D775" s="3" t="inlineStr">
        <is>
          <t>Group entity: entity; jurisdiction; revenue; ebitda; assets; debt; guarantor (yes / no)</t>
        </is>
      </c>
      <c r="E775" s="2" t="n"/>
      <c r="F775" s="2" t="n"/>
      <c r="G775" s="2" t="n"/>
      <c r="H775" s="3" t="inlineStr">
        <is>
          <t>entity: Bogner Eastern Europe LLC, Moscow; jurisdiction: RU; share 60%, fully consolidated since 2025</t>
        </is>
      </c>
      <c r="I775" s="2" t="inlineStr">
        <is>
          <t>S3</t>
        </is>
      </c>
      <c r="J775" s="2" t="n">
        <v>84</v>
      </c>
      <c r="K775" s="3" t="inlineStr">
        <is>
          <t>Bogner Eastern Europe LLC, Moscow, Russia 60 A</t>
        </is>
      </c>
      <c r="L775" s="2" t="inlineStr">
        <is>
          <t>ok</t>
        </is>
      </c>
      <c r="M775" s="2" t="inlineStr">
        <is>
          <t>demo reviewer</t>
        </is>
      </c>
      <c r="N775" s="2" t="n"/>
      <c r="O775" s="3" t="inlineStr">
        <is>
          <t>https://vanillabonds.com/dossier-data/pdf/katjes/katjes-2025-annual-report.pdf#page=84</t>
        </is>
      </c>
    </row>
    <row r="776">
      <c r="A776" s="2" t="inlineStr">
        <is>
          <t>F775</t>
        </is>
      </c>
      <c r="B776" s="2" t="inlineStr">
        <is>
          <t>governance</t>
        </is>
      </c>
      <c r="C776" s="2" t="inlineStr">
        <is>
          <t>group_entity</t>
        </is>
      </c>
      <c r="D776" s="3" t="inlineStr">
        <is>
          <t>Group entity: entity; jurisdiction; revenue; ebitda; assets; debt; guarantor (yes / no)</t>
        </is>
      </c>
      <c r="E776" s="2" t="n"/>
      <c r="F776" s="2" t="n"/>
      <c r="G776" s="2" t="n"/>
      <c r="H776" s="3" t="inlineStr">
        <is>
          <t>entity: Bogner Asia, Ltd., Hong Kong/China and Bogner France SARL, La Bâthie; jurisdiction: HK / FR; share 60%, fully consolidated since 2025</t>
        </is>
      </c>
      <c r="I776" s="2" t="inlineStr">
        <is>
          <t>S3</t>
        </is>
      </c>
      <c r="J776" s="2" t="n">
        <v>84</v>
      </c>
      <c r="K776" s="2" t="inlineStr">
        <is>
          <t>Bogner Asia, Ltd., Hong Kong/China 60 A</t>
        </is>
      </c>
      <c r="L776" s="2" t="inlineStr">
        <is>
          <t>ok</t>
        </is>
      </c>
      <c r="M776" s="2" t="inlineStr">
        <is>
          <t>demo reviewer</t>
        </is>
      </c>
      <c r="N776" s="2" t="n"/>
      <c r="O776" s="3" t="inlineStr">
        <is>
          <t>https://vanillabonds.com/dossier-data/pdf/katjes/katjes-2025-annual-report.pdf#page=84</t>
        </is>
      </c>
    </row>
    <row r="777">
      <c r="A777" s="2" t="inlineStr">
        <is>
          <t>F776</t>
        </is>
      </c>
      <c r="B777" s="2" t="inlineStr">
        <is>
          <t>governance</t>
        </is>
      </c>
      <c r="C777" s="2" t="inlineStr">
        <is>
          <t>group_entity</t>
        </is>
      </c>
      <c r="D777" s="3" t="inlineStr">
        <is>
          <t>Group entity: entity; jurisdiction; revenue; ebitda; assets; debt; guarantor (yes / no)</t>
        </is>
      </c>
      <c r="E777" s="2" t="n"/>
      <c r="F777" s="2" t="n"/>
      <c r="G777" s="2" t="n"/>
      <c r="H777" s="3" t="inlineStr">
        <is>
          <t>entity: Future Snacks Ltd., London (vehicle for the Graze acquisition Feb 2026); jurisdiction: UK; share 100%, fully consolidated</t>
        </is>
      </c>
      <c r="I777" s="2" t="inlineStr">
        <is>
          <t>S3</t>
        </is>
      </c>
      <c r="J777" s="2" t="n">
        <v>84</v>
      </c>
      <c r="K777" s="2" t="inlineStr">
        <is>
          <t>Future Snacks Ltd., London, UK 100 A</t>
        </is>
      </c>
      <c r="L777" s="2" t="inlineStr">
        <is>
          <t>ok</t>
        </is>
      </c>
      <c r="M777" s="2" t="inlineStr">
        <is>
          <t>demo reviewer</t>
        </is>
      </c>
      <c r="N777" s="2" t="n"/>
      <c r="O777" s="3" t="inlineStr">
        <is>
          <t>https://vanillabonds.com/dossier-data/pdf/katjes/katjes-2025-annual-report.pdf#page=84</t>
        </is>
      </c>
    </row>
    <row r="778">
      <c r="A778" s="2" t="inlineStr">
        <is>
          <t>F777</t>
        </is>
      </c>
      <c r="B778" s="2" t="inlineStr">
        <is>
          <t>governance</t>
        </is>
      </c>
      <c r="C778" s="2" t="inlineStr">
        <is>
          <t>group_entity</t>
        </is>
      </c>
      <c r="D778" s="3" t="inlineStr">
        <is>
          <t>Group entity: entity; jurisdiction; revenue; ebitda; assets; debt; guarantor (yes / no)</t>
        </is>
      </c>
      <c r="E778" s="2" t="n"/>
      <c r="F778" s="2" t="n">
        <v>4.3</v>
      </c>
      <c r="G778" s="2" t="n"/>
      <c r="H778" s="3" t="inlineStr">
        <is>
          <t>entity: Bogner GCA Holding PTE. Ltd., Singapore (associate, equity method); jurisdiction: SG; share 45%; revenue: 4.3 (summarised 2025 information); share of loss -1.8 in 2025</t>
        </is>
      </c>
      <c r="I778" s="2" t="inlineStr">
        <is>
          <t>S3</t>
        </is>
      </c>
      <c r="J778" s="2" t="n">
        <v>84</v>
      </c>
      <c r="K778" s="3" t="inlineStr">
        <is>
          <t>Bogner GCA Holding PTE. Ltd., Singapore 45 B</t>
        </is>
      </c>
      <c r="L778" s="2" t="inlineStr">
        <is>
          <t>ok</t>
        </is>
      </c>
      <c r="M778" s="2" t="inlineStr">
        <is>
          <t>demo reviewer</t>
        </is>
      </c>
      <c r="N778" s="2" t="n"/>
      <c r="O778" s="3" t="inlineStr">
        <is>
          <t>https://vanillabonds.com/dossier-data/pdf/katjes/katjes-2025-annual-report.pdf#page=84</t>
        </is>
      </c>
    </row>
    <row r="779">
      <c r="A779" s="2" t="inlineStr">
        <is>
          <t>F778</t>
        </is>
      </c>
      <c r="B779" s="2" t="inlineStr">
        <is>
          <t>governance</t>
        </is>
      </c>
      <c r="C779" s="2" t="inlineStr">
        <is>
          <t>group_entity</t>
        </is>
      </c>
      <c r="D779" s="3" t="inlineStr">
        <is>
          <t>Group entity: entity; jurisdiction; revenue; ebitda; assets; debt; guarantor (yes / no)</t>
        </is>
      </c>
      <c r="E779" s="2" t="n"/>
      <c r="F779" s="2" t="n"/>
      <c r="G779" s="2" t="n"/>
      <c r="H779" s="3" t="inlineStr">
        <is>
          <t>entity: Shades Snacks Ltd., London (joint venture IFRS 11); jurisdiction: UK; share 49%; share of profit 0.5 in 2025</t>
        </is>
      </c>
      <c r="I779" s="2" t="inlineStr">
        <is>
          <t>S3</t>
        </is>
      </c>
      <c r="J779" s="2" t="n">
        <v>84</v>
      </c>
      <c r="K779" s="2" t="inlineStr">
        <is>
          <t>Shades Snacks Ltd., London, UK 49 C</t>
        </is>
      </c>
      <c r="L779" s="2" t="inlineStr">
        <is>
          <t>ok</t>
        </is>
      </c>
      <c r="M779" s="2" t="inlineStr">
        <is>
          <t>demo reviewer</t>
        </is>
      </c>
      <c r="N779" s="2" t="n"/>
      <c r="O779" s="3" t="inlineStr">
        <is>
          <t>https://vanillabonds.com/dossier-data/pdf/katjes/katjes-2025-annual-report.pdf#page=84</t>
        </is>
      </c>
    </row>
    <row r="780">
      <c r="A780" s="2" t="inlineStr">
        <is>
          <t>F779</t>
        </is>
      </c>
      <c r="B780" s="2" t="inlineStr">
        <is>
          <t>governance</t>
        </is>
      </c>
      <c r="C780" s="2" t="inlineStr">
        <is>
          <t>group_entity</t>
        </is>
      </c>
      <c r="D780" s="3" t="inlineStr">
        <is>
          <t>Group entity: entity; jurisdiction; revenue; ebitda; assets; debt; guarantor (yes / no)</t>
        </is>
      </c>
      <c r="E780" s="2" t="n"/>
      <c r="F780" s="2" t="n"/>
      <c r="G780" s="2" t="n"/>
      <c r="H780" s="3" t="inlineStr">
        <is>
          <t>entity: Nuud Snacks Ltd., London (minority interest, not consolidated); jurisdiction: UK; share 8%</t>
        </is>
      </c>
      <c r="I780" s="2" t="inlineStr">
        <is>
          <t>S3</t>
        </is>
      </c>
      <c r="J780" s="2" t="n">
        <v>84</v>
      </c>
      <c r="K780" s="2" t="inlineStr">
        <is>
          <t>Nuud Snacks Ltd., London, UK 8</t>
        </is>
      </c>
      <c r="L780" s="2" t="inlineStr">
        <is>
          <t>ok</t>
        </is>
      </c>
      <c r="M780" s="2" t="inlineStr">
        <is>
          <t>demo reviewer</t>
        </is>
      </c>
      <c r="N780" s="2" t="n"/>
      <c r="O780" s="3" t="inlineStr">
        <is>
          <t>https://vanillabonds.com/dossier-data/pdf/katjes/katjes-2025-annual-report.pdf#page=84</t>
        </is>
      </c>
    </row>
    <row r="781">
      <c r="A781" s="2" t="inlineStr">
        <is>
          <t>F780</t>
        </is>
      </c>
      <c r="B781" s="2" t="inlineStr">
        <is>
          <t>governance</t>
        </is>
      </c>
      <c r="C781" s="2" t="inlineStr">
        <is>
          <t>group_entity</t>
        </is>
      </c>
      <c r="D781" s="3" t="inlineStr">
        <is>
          <t>Group entity: entity; jurisdiction; revenue; ebitda; assets; debt; guarantor (yes / no)</t>
        </is>
      </c>
      <c r="E781" s="2" t="n"/>
      <c r="F781" s="2" t="n"/>
      <c r="G781" s="2" t="n"/>
      <c r="H781" s="3" t="inlineStr">
        <is>
          <t>entity: CPK S.A.S., Paris (23% associate in 2024, disposed in Q4 2025); jurisdiction: FR; share 0% at 31 Dec 2025</t>
        </is>
      </c>
      <c r="I781" s="2" t="inlineStr">
        <is>
          <t>S3</t>
        </is>
      </c>
      <c r="J781" s="2" t="n">
        <v>84</v>
      </c>
      <c r="K781" s="2" t="inlineStr">
        <is>
          <t>CPK S.A.S., Paris, France - - 23 B</t>
        </is>
      </c>
      <c r="L781" s="2" t="inlineStr">
        <is>
          <t>ok</t>
        </is>
      </c>
      <c r="M781" s="2" t="inlineStr">
        <is>
          <t>demo reviewer</t>
        </is>
      </c>
      <c r="N781" s="2" t="n"/>
      <c r="O781" s="3" t="inlineStr">
        <is>
          <t>https://vanillabonds.com/dossier-data/pdf/katjes/katjes-2025-annual-report.pdf#page=84</t>
        </is>
      </c>
    </row>
    <row r="782">
      <c r="A782" s="2" t="inlineStr">
        <is>
          <t>F781</t>
        </is>
      </c>
      <c r="B782" s="2" t="inlineStr">
        <is>
          <t>governance</t>
        </is>
      </c>
      <c r="C782" s="2" t="inlineStr">
        <is>
          <t>board_member</t>
        </is>
      </c>
      <c r="D782" s="3" t="inlineStr">
        <is>
          <t>Board member: name; body (management / supervisory); role; since; independent (yes / no); committees</t>
        </is>
      </c>
      <c r="E782" s="2" t="n"/>
      <c r="F782" s="2" t="n"/>
      <c r="G782" s="2" t="n"/>
      <c r="H782" s="3" t="inlineStr">
        <is>
          <t>name: Tobias Bachmüller; body: management; role: Managing Shareholder, shareholder of the general partner and limited partner; since: 1996; independent: no</t>
        </is>
      </c>
      <c r="I782" s="2" t="inlineStr">
        <is>
          <t>S3</t>
        </is>
      </c>
      <c r="J782" s="2" t="n">
        <v>6</v>
      </c>
      <c r="K782" s="3" t="inlineStr">
        <is>
          <t>since 1996 – Managing Shareholder of Katjes International</t>
        </is>
      </c>
      <c r="L782" s="2" t="inlineStr">
        <is>
          <t>ok</t>
        </is>
      </c>
      <c r="M782" s="2" t="inlineStr">
        <is>
          <t>demo reviewer</t>
        </is>
      </c>
      <c r="N782" s="2" t="n"/>
      <c r="O782" s="3" t="inlineStr">
        <is>
          <t>https://vanillabonds.com/dossier-data/pdf/katjes/katjes-2025-annual-report.pdf#page=6</t>
        </is>
      </c>
    </row>
    <row r="783">
      <c r="A783" s="2" t="inlineStr">
        <is>
          <t>F782</t>
        </is>
      </c>
      <c r="B783" s="2" t="inlineStr">
        <is>
          <t>governance</t>
        </is>
      </c>
      <c r="C783" s="2" t="inlineStr">
        <is>
          <t>board_member</t>
        </is>
      </c>
      <c r="D783" s="3" t="inlineStr">
        <is>
          <t>Board member: name; body (management / supervisory); role; since; independent (yes / no); committees</t>
        </is>
      </c>
      <c r="E783" s="2" t="n"/>
      <c r="F783" s="2" t="n"/>
      <c r="G783" s="2" t="n"/>
      <c r="H783" s="3" t="inlineStr">
        <is>
          <t>name: Stephan Milde; body: management; role: CFO, managing director of the general partner; since: 2012; independent: no</t>
        </is>
      </c>
      <c r="I783" s="2" t="inlineStr">
        <is>
          <t>S3</t>
        </is>
      </c>
      <c r="J783" s="2" t="n">
        <v>44</v>
      </c>
      <c r="K783" s="3" t="inlineStr">
        <is>
          <t>In addition to the two shareholders, Stephan Milde is also appointed as managing</t>
        </is>
      </c>
      <c r="L783" s="2" t="inlineStr">
        <is>
          <t>ok</t>
        </is>
      </c>
      <c r="M783" s="2" t="inlineStr">
        <is>
          <t>demo reviewer</t>
        </is>
      </c>
      <c r="N783" s="2" t="n"/>
      <c r="O783" s="3" t="inlineStr">
        <is>
          <t>https://vanillabonds.com/dossier-data/pdf/katjes/katjes-2025-annual-report.pdf#page=44</t>
        </is>
      </c>
    </row>
    <row r="784">
      <c r="A784" s="2" t="inlineStr">
        <is>
          <t>F783</t>
        </is>
      </c>
      <c r="B784" s="2" t="inlineStr">
        <is>
          <t>governance</t>
        </is>
      </c>
      <c r="C784" s="2" t="inlineStr">
        <is>
          <t>board_member</t>
        </is>
      </c>
      <c r="D784" s="3" t="inlineStr">
        <is>
          <t>Board member: name; body (management / supervisory); role; since; independent (yes / no); committees</t>
        </is>
      </c>
      <c r="E784" s="2" t="n"/>
      <c r="F784" s="2" t="n"/>
      <c r="G784" s="2" t="n"/>
      <c r="H784" s="3" t="inlineStr">
        <is>
          <t>name: Bastian Fassin; body: management; role: Managing Shareholder, shareholder of the general partner Xaver Fassin International GmbH and limited partner; since: 2004; independent: no</t>
        </is>
      </c>
      <c r="I784" s="2" t="inlineStr">
        <is>
          <t>S3</t>
        </is>
      </c>
      <c r="J784" s="2" t="n">
        <v>80</v>
      </c>
      <c r="K784" s="3" t="inlineStr">
        <is>
          <t>The management of the parent company is carried out by the general partner, Xaver Fassin International GmbH, whose shareholders are Mr Bastian Fassin and Mr Tobias Bachmüller.</t>
        </is>
      </c>
      <c r="L784" s="2" t="inlineStr">
        <is>
          <t>ok</t>
        </is>
      </c>
      <c r="M784" s="2" t="inlineStr">
        <is>
          <t>demo reviewer</t>
        </is>
      </c>
      <c r="N784" s="2" t="n"/>
      <c r="O784" s="3" t="inlineStr">
        <is>
          <t>https://vanillabonds.com/dossier-data/pdf/katjes/katjes-2025-annual-report.pdf#page=80</t>
        </is>
      </c>
    </row>
    <row r="785">
      <c r="A785" s="2" t="inlineStr">
        <is>
          <t>F784</t>
        </is>
      </c>
      <c r="B785" s="2" t="inlineStr">
        <is>
          <t>governance</t>
        </is>
      </c>
      <c r="C785" s="2" t="inlineStr">
        <is>
          <t>related_party_flow</t>
        </is>
      </c>
      <c r="D785" s="3" t="inlineStr">
        <is>
          <t>Related-party flow: counterparty; kind (fee, rent, dividend, buyback, loan); amount; year; terms</t>
        </is>
      </c>
      <c r="E785" s="2" t="n"/>
      <c r="F785" s="2" t="n">
        <v>20</v>
      </c>
      <c r="G785" s="2" t="n"/>
      <c r="H785" s="3" t="inlineStr">
        <is>
          <t>counterparty: related parties (Katjes Group sister companies and shareholders); kind: purchase of goods and services; amount: 20.0; year: 2025; terms: arm's length, not secured</t>
        </is>
      </c>
      <c r="I785" s="2" t="inlineStr">
        <is>
          <t>S3</t>
        </is>
      </c>
      <c r="J785" s="2" t="n">
        <v>80</v>
      </c>
      <c r="K785" s="3" t="inlineStr">
        <is>
          <t>Purchase of goods and services from related parties 20.0 13.1</t>
        </is>
      </c>
      <c r="L785" s="2" t="inlineStr">
        <is>
          <t>ok</t>
        </is>
      </c>
      <c r="M785" s="2" t="inlineStr">
        <is>
          <t>demo reviewer</t>
        </is>
      </c>
      <c r="N785" s="2" t="n"/>
      <c r="O785" s="3" t="inlineStr">
        <is>
          <t>https://vanillabonds.com/dossier-data/pdf/katjes/katjes-2025-annual-report.pdf#page=80</t>
        </is>
      </c>
    </row>
    <row r="786">
      <c r="A786" s="2" t="inlineStr">
        <is>
          <t>F785</t>
        </is>
      </c>
      <c r="B786" s="2" t="inlineStr">
        <is>
          <t>governance</t>
        </is>
      </c>
      <c r="C786" s="2" t="inlineStr">
        <is>
          <t>related_party_flow</t>
        </is>
      </c>
      <c r="D786" s="3" t="inlineStr">
        <is>
          <t>Related-party flow: counterparty; kind (fee, rent, dividend, buyback, loan); amount; year; terms</t>
        </is>
      </c>
      <c r="E786" s="2" t="n"/>
      <c r="F786" s="2" t="n">
        <v>13.1</v>
      </c>
      <c r="G786" s="2" t="n"/>
      <c r="H786" s="3" t="inlineStr">
        <is>
          <t>counterparty: related parties; kind: purchase of goods and services; amount: 13.1; year: 2024; terms: arm's length, not secured</t>
        </is>
      </c>
      <c r="I786" s="2" t="inlineStr">
        <is>
          <t>S3</t>
        </is>
      </c>
      <c r="J786" s="2" t="n">
        <v>80</v>
      </c>
      <c r="K786" s="3" t="inlineStr">
        <is>
          <t>Purchase of goods and services from related parties 20.0 13.1</t>
        </is>
      </c>
      <c r="L786" s="2" t="inlineStr">
        <is>
          <t>ok</t>
        </is>
      </c>
      <c r="M786" s="2" t="inlineStr">
        <is>
          <t>demo reviewer</t>
        </is>
      </c>
      <c r="N786" s="2" t="n"/>
      <c r="O786" s="3" t="inlineStr">
        <is>
          <t>https://vanillabonds.com/dossier-data/pdf/katjes/katjes-2025-annual-report.pdf#page=80</t>
        </is>
      </c>
    </row>
    <row r="787">
      <c r="A787" s="2" t="inlineStr">
        <is>
          <t>F786</t>
        </is>
      </c>
      <c r="B787" s="2" t="inlineStr">
        <is>
          <t>governance</t>
        </is>
      </c>
      <c r="C787" s="2" t="inlineStr">
        <is>
          <t>related_party_flow</t>
        </is>
      </c>
      <c r="D787" s="3" t="inlineStr">
        <is>
          <t>Related-party flow: counterparty; kind (fee, rent, dividend, buyback, loan); amount; year; terms</t>
        </is>
      </c>
      <c r="E787" s="2" t="n"/>
      <c r="F787" s="2" t="n">
        <v>7.4</v>
      </c>
      <c r="G787" s="2" t="n"/>
      <c r="H787" s="3" t="inlineStr">
        <is>
          <t>counterparty: related parties; kind: sale of goods; amount: 7.4; year: 2025 (2024: 0.0); terms: arm's length</t>
        </is>
      </c>
      <c r="I787" s="2" t="inlineStr">
        <is>
          <t>S3</t>
        </is>
      </c>
      <c r="J787" s="2" t="n">
        <v>80</v>
      </c>
      <c r="K787" s="2" t="inlineStr">
        <is>
          <t>Sale of goods to related parties 7.4 0.0</t>
        </is>
      </c>
      <c r="L787" s="2" t="inlineStr">
        <is>
          <t>ok</t>
        </is>
      </c>
      <c r="M787" s="2" t="inlineStr">
        <is>
          <t>demo reviewer</t>
        </is>
      </c>
      <c r="N787" s="2" t="n"/>
      <c r="O787" s="3" t="inlineStr">
        <is>
          <t>https://vanillabonds.com/dossier-data/pdf/katjes/katjes-2025-annual-report.pdf#page=80</t>
        </is>
      </c>
    </row>
    <row r="788">
      <c r="A788" s="2" t="inlineStr">
        <is>
          <t>F787</t>
        </is>
      </c>
      <c r="B788" s="2" t="inlineStr">
        <is>
          <t>governance</t>
        </is>
      </c>
      <c r="C788" s="2" t="inlineStr">
        <is>
          <t>related_party_flow</t>
        </is>
      </c>
      <c r="D788" s="3" t="inlineStr">
        <is>
          <t>Related-party flow: counterparty; kind (fee, rent, dividend, buyback, loan); amount; year; terms</t>
        </is>
      </c>
      <c r="E788" s="2" t="n"/>
      <c r="F788" s="2" t="n">
        <v>6</v>
      </c>
      <c r="G788" s="2" t="n"/>
      <c r="H788" s="3" t="inlineStr">
        <is>
          <t>counterparty: related parties; kind: trade payable for goods and services at year end; amount: 6.0; year: 2025 (2024: 2.7)</t>
        </is>
      </c>
      <c r="I788" s="2" t="inlineStr">
        <is>
          <t>S3</t>
        </is>
      </c>
      <c r="J788" s="2" t="n">
        <v>80</v>
      </c>
      <c r="K788" s="3" t="inlineStr">
        <is>
          <t>Trade payable for goods and services to related parties 6.0 2.7</t>
        </is>
      </c>
      <c r="L788" s="2" t="inlineStr">
        <is>
          <t>ok</t>
        </is>
      </c>
      <c r="M788" s="2" t="inlineStr">
        <is>
          <t>demo reviewer</t>
        </is>
      </c>
      <c r="N788" s="2" t="n"/>
      <c r="O788" s="3" t="inlineStr">
        <is>
          <t>https://vanillabonds.com/dossier-data/pdf/katjes/katjes-2025-annual-report.pdf#page=80</t>
        </is>
      </c>
    </row>
    <row r="789">
      <c r="A789" s="2" t="inlineStr">
        <is>
          <t>F788</t>
        </is>
      </c>
      <c r="B789" s="2" t="inlineStr">
        <is>
          <t>governance</t>
        </is>
      </c>
      <c r="C789" s="2" t="inlineStr">
        <is>
          <t>related_party_flow</t>
        </is>
      </c>
      <c r="D789" s="3" t="inlineStr">
        <is>
          <t>Related-party flow: counterparty; kind (fee, rent, dividend, buyback, loan); amount; year; terms</t>
        </is>
      </c>
      <c r="E789" s="2" t="n"/>
      <c r="F789" s="2" t="n">
        <v>0.4</v>
      </c>
      <c r="G789" s="2" t="n"/>
      <c r="H789" s="3" t="inlineStr">
        <is>
          <t>counterparty: related parties; kind: trade receivables at year end; amount: 0.4; year: 2025 (2024: 0.0)</t>
        </is>
      </c>
      <c r="I789" s="2" t="inlineStr">
        <is>
          <t>S3</t>
        </is>
      </c>
      <c r="J789" s="2" t="n">
        <v>80</v>
      </c>
      <c r="K789" s="3" t="inlineStr">
        <is>
          <t>Trade receivables to related parties 0.4 0.0</t>
        </is>
      </c>
      <c r="L789" s="2" t="inlineStr">
        <is>
          <t>ok</t>
        </is>
      </c>
      <c r="M789" s="2" t="inlineStr">
        <is>
          <t>demo reviewer</t>
        </is>
      </c>
      <c r="N789" s="2" t="n"/>
      <c r="O789" s="3" t="inlineStr">
        <is>
          <t>https://vanillabonds.com/dossier-data/pdf/katjes/katjes-2025-annual-report.pdf#page=80</t>
        </is>
      </c>
    </row>
    <row r="790">
      <c r="A790" s="2" t="inlineStr">
        <is>
          <t>F789</t>
        </is>
      </c>
      <c r="B790" s="2" t="inlineStr">
        <is>
          <t>governance</t>
        </is>
      </c>
      <c r="C790" s="2" t="inlineStr">
        <is>
          <t>related_party_flow</t>
        </is>
      </c>
      <c r="D790" s="3" t="inlineStr">
        <is>
          <t>Related-party flow: counterparty; kind (fee, rent, dividend, buyback, loan); amount; year; terms</t>
        </is>
      </c>
      <c r="E790" s="2" t="n"/>
      <c r="F790" s="2" t="n">
        <v>4.8</v>
      </c>
      <c r="G790" s="2" t="n"/>
      <c r="H790" s="3" t="inlineStr">
        <is>
          <t>counterparty: related companies; kind: loan (granted by the Group); amount: 4.8; year: 2025; terms: interest income 0.3, not secured</t>
        </is>
      </c>
      <c r="I790" s="2" t="inlineStr">
        <is>
          <t>S3</t>
        </is>
      </c>
      <c r="J790" s="2" t="n">
        <v>80</v>
      </c>
      <c r="K790" s="2" t="inlineStr">
        <is>
          <t>Loans to related companies 4.8 4.2</t>
        </is>
      </c>
      <c r="L790" s="2" t="inlineStr">
        <is>
          <t>ok</t>
        </is>
      </c>
      <c r="M790" s="2" t="inlineStr">
        <is>
          <t>demo reviewer</t>
        </is>
      </c>
      <c r="N790" s="2" t="n"/>
      <c r="O790" s="3" t="inlineStr">
        <is>
          <t>https://vanillabonds.com/dossier-data/pdf/katjes/katjes-2025-annual-report.pdf#page=80</t>
        </is>
      </c>
    </row>
    <row r="791">
      <c r="A791" s="2" t="inlineStr">
        <is>
          <t>F790</t>
        </is>
      </c>
      <c r="B791" s="2" t="inlineStr">
        <is>
          <t>governance</t>
        </is>
      </c>
      <c r="C791" s="2" t="inlineStr">
        <is>
          <t>related_party_flow</t>
        </is>
      </c>
      <c r="D791" s="3" t="inlineStr">
        <is>
          <t>Related-party flow: counterparty; kind (fee, rent, dividend, buyback, loan); amount; year; terms</t>
        </is>
      </c>
      <c r="E791" s="2" t="n"/>
      <c r="F791" s="2" t="n">
        <v>4.2</v>
      </c>
      <c r="G791" s="2" t="n"/>
      <c r="H791" s="3" t="inlineStr">
        <is>
          <t>counterparty: related companies; kind: loan (granted by the Group); amount: 4.2; year: 2024; terms: interest income 0.1</t>
        </is>
      </c>
      <c r="I791" s="2" t="inlineStr">
        <is>
          <t>S3</t>
        </is>
      </c>
      <c r="J791" s="2" t="n">
        <v>80</v>
      </c>
      <c r="K791" s="2" t="inlineStr">
        <is>
          <t>Loans to related companies 4.8 4.2</t>
        </is>
      </c>
      <c r="L791" s="2" t="inlineStr">
        <is>
          <t>ok</t>
        </is>
      </c>
      <c r="M791" s="2" t="inlineStr">
        <is>
          <t>demo reviewer</t>
        </is>
      </c>
      <c r="N791" s="2" t="n"/>
      <c r="O791" s="3" t="inlineStr">
        <is>
          <t>https://vanillabonds.com/dossier-data/pdf/katjes/katjes-2025-annual-report.pdf#page=80</t>
        </is>
      </c>
    </row>
    <row r="792">
      <c r="A792" s="2" t="inlineStr">
        <is>
          <t>F791</t>
        </is>
      </c>
      <c r="B792" s="2" t="inlineStr">
        <is>
          <t>governance</t>
        </is>
      </c>
      <c r="C792" s="2" t="inlineStr">
        <is>
          <t>related_party_flow</t>
        </is>
      </c>
      <c r="D792" s="3" t="inlineStr">
        <is>
          <t>Related-party flow: counterparty; kind (fee, rent, dividend, buyback, loan); amount; year; terms</t>
        </is>
      </c>
      <c r="E792" s="2" t="n"/>
      <c r="F792" s="2" t="n">
        <v>0.3</v>
      </c>
      <c r="G792" s="2" t="n"/>
      <c r="H792" s="3" t="inlineStr">
        <is>
          <t>counterparty: related parties; kind: interest income on loans; amount: 0.3; year: 2025 (2024: 0.1)</t>
        </is>
      </c>
      <c r="I792" s="2" t="inlineStr">
        <is>
          <t>S3</t>
        </is>
      </c>
      <c r="J792" s="2" t="n">
        <v>80</v>
      </c>
      <c r="K792" s="3" t="inlineStr">
        <is>
          <t>Interest income from loans to related parties 0.3 0.1</t>
        </is>
      </c>
      <c r="L792" s="2" t="inlineStr">
        <is>
          <t>ok</t>
        </is>
      </c>
      <c r="M792" s="2" t="inlineStr">
        <is>
          <t>demo reviewer</t>
        </is>
      </c>
      <c r="N792" s="2" t="n"/>
      <c r="O792" s="3" t="inlineStr">
        <is>
          <t>https://vanillabonds.com/dossier-data/pdf/katjes/katjes-2025-annual-report.pdf#page=80</t>
        </is>
      </c>
    </row>
    <row r="793">
      <c r="A793" s="2" t="inlineStr">
        <is>
          <t>F792</t>
        </is>
      </c>
      <c r="B793" s="2" t="inlineStr">
        <is>
          <t>governance</t>
        </is>
      </c>
      <c r="C793" s="2" t="inlineStr">
        <is>
          <t>shareholder_loan</t>
        </is>
      </c>
      <c r="D793" s="3" t="inlineStr">
        <is>
          <t>Shareholder loan: lender; amount; rate; maturity; subordinated (yes / no)</t>
        </is>
      </c>
      <c r="E793" s="2" t="n"/>
      <c r="F793" s="2" t="n"/>
      <c r="G793" s="2" t="n"/>
      <c r="H793" s="3" t="inlineStr">
        <is>
          <t>lender: limited partners Bastian Fassin and Tobias Bachmüller (interest-bearing current accounts); amount: not stated; rate: 5.0% (2024: 5.0%); subordinated: not stated</t>
        </is>
      </c>
      <c r="I793" s="2" t="inlineStr">
        <is>
          <t>S3</t>
        </is>
      </c>
      <c r="J793" s="2" t="n">
        <v>80</v>
      </c>
      <c r="K793" s="3" t="inlineStr">
        <is>
          <t>The interest-bearing current accounts of the limited partners bear interest at 5.0% (2024: 5.0%).</t>
        </is>
      </c>
      <c r="L793" s="2" t="inlineStr">
        <is>
          <t>ok</t>
        </is>
      </c>
      <c r="M793" s="2" t="inlineStr">
        <is>
          <t>demo reviewer</t>
        </is>
      </c>
      <c r="N793" s="2" t="n"/>
      <c r="O793" s="3" t="inlineStr">
        <is>
          <t>https://vanillabonds.com/dossier-data/pdf/katjes/katjes-2025-annual-report.pdf#page=80</t>
        </is>
      </c>
    </row>
    <row r="794">
      <c r="A794" s="2" t="inlineStr">
        <is>
          <t>F793</t>
        </is>
      </c>
      <c r="B794" s="2" t="inlineStr">
        <is>
          <t>market</t>
        </is>
      </c>
      <c r="C794" s="2" t="inlineStr">
        <is>
          <t>market_series</t>
        </is>
      </c>
      <c r="D794" s="3" t="inlineStr">
        <is>
          <t>Market variable: variable; year; value; unit; source (a distribution adds n; median; spread; p10; p25; p75; p90)</t>
        </is>
      </c>
      <c r="E794" s="2" t="n"/>
      <c r="F794" s="2" t="n">
        <v>12.2</v>
      </c>
      <c r="G794" s="2" t="n"/>
      <c r="H794" s="3" t="inlineStr">
        <is>
          <t>variable: European confectionery market growth Western Europe; year: 2025; value: 12.2; unit: % yoy; source: company statement in the group management report (Eastern Europe 6.9%)</t>
        </is>
      </c>
      <c r="I794" s="2" t="inlineStr">
        <is>
          <t>S3</t>
        </is>
      </c>
      <c r="J794" s="2" t="n">
        <v>21</v>
      </c>
      <c r="K794" s="3" t="inlineStr">
        <is>
          <t>In 2025, Western Europe recorded an increase of 12.2% compared to the previous year, while Eastern Europe recorded an increase of 6.9%.</t>
        </is>
      </c>
      <c r="L794" s="2" t="inlineStr">
        <is>
          <t>ok</t>
        </is>
      </c>
      <c r="M794" s="2" t="inlineStr">
        <is>
          <t>demo reviewer</t>
        </is>
      </c>
      <c r="N794" s="2" t="n"/>
      <c r="O794" s="3" t="inlineStr">
        <is>
          <t>https://vanillabonds.com/dossier-data/pdf/katjes/katjes-2025-annual-report.pdf#page=21</t>
        </is>
      </c>
    </row>
    <row r="795">
      <c r="A795" s="2" t="inlineStr">
        <is>
          <t>F794</t>
        </is>
      </c>
      <c r="B795" s="2" t="inlineStr">
        <is>
          <t>market</t>
        </is>
      </c>
      <c r="C795" s="2" t="inlineStr">
        <is>
          <t>market_series</t>
        </is>
      </c>
      <c r="D795" s="3" t="inlineStr">
        <is>
          <t>Market variable: variable; year; value; unit; source (a distribution adds n; median; spread; p10; p25; p75; p90)</t>
        </is>
      </c>
      <c r="E795" s="2" t="n"/>
      <c r="F795" s="2" t="n">
        <v>110</v>
      </c>
      <c r="G795" s="2" t="n"/>
      <c r="H795" s="3" t="inlineStr">
        <is>
          <t>variable: European confectionery market volume forecast (sugar confectionery and chocolate); year: 2030; value: 110; unit: EUR bn; source: Euromonitor International forecast as cited</t>
        </is>
      </c>
      <c r="I795" s="2" t="inlineStr">
        <is>
          <t>S3</t>
        </is>
      </c>
      <c r="J795" s="2" t="n">
        <v>21</v>
      </c>
      <c r="K795" s="3" t="inlineStr">
        <is>
          <t>Expert (Euromonitor International) forecasts expect the Euro- pean confectionery market (sugar confectionery and chocolate products) to grow to a volume of approximately EUR 110 billion by 2030.</t>
        </is>
      </c>
      <c r="L795" s="2" t="inlineStr">
        <is>
          <t>ok</t>
        </is>
      </c>
      <c r="M795" s="2" t="inlineStr">
        <is>
          <t>demo reviewer</t>
        </is>
      </c>
      <c r="N795" s="2" t="n"/>
      <c r="O795" s="3" t="inlineStr">
        <is>
          <t>https://vanillabonds.com/dossier-data/pdf/katjes/katjes-2025-annual-report.pdf#page=21</t>
        </is>
      </c>
    </row>
    <row r="796">
      <c r="A796" s="2" t="inlineStr">
        <is>
          <t>F795</t>
        </is>
      </c>
      <c r="B796" s="2" t="inlineStr">
        <is>
          <t>market</t>
        </is>
      </c>
      <c r="C796" s="2" t="inlineStr">
        <is>
          <t>market_series</t>
        </is>
      </c>
      <c r="D796" s="3" t="inlineStr">
        <is>
          <t>Market variable: variable; year; value; unit; source (a distribution adds n; median; spread; p10; p25; p75; p90)</t>
        </is>
      </c>
      <c r="E796" s="2" t="n"/>
      <c r="F796" s="2" t="n">
        <v>1.4</v>
      </c>
      <c r="G796" s="2" t="n"/>
      <c r="H796" s="3" t="inlineStr">
        <is>
          <t>variable: GDP growth euro area; year: 2025; value: 1.4; unit: % (2024: 0.8); source: OECD Economic Outlook December 2025, updated March 2026 (as cited)</t>
        </is>
      </c>
      <c r="I796" s="2" t="inlineStr">
        <is>
          <t>S3</t>
        </is>
      </c>
      <c r="J796" s="2" t="n">
        <v>21</v>
      </c>
      <c r="K796" s="3" t="inlineStr">
        <is>
          <t>Gross domestic product (GDP) increased by 1.4% (2024: 0.8%)</t>
        </is>
      </c>
      <c r="L796" s="2" t="inlineStr">
        <is>
          <t>ok</t>
        </is>
      </c>
      <c r="M796" s="2" t="inlineStr">
        <is>
          <t>demo reviewer</t>
        </is>
      </c>
      <c r="N796" s="2" t="n"/>
      <c r="O796" s="3" t="inlineStr">
        <is>
          <t>https://vanillabonds.com/dossier-data/pdf/katjes/katjes-2025-annual-report.pdf#page=21</t>
        </is>
      </c>
    </row>
    <row r="797">
      <c r="A797" s="2" t="inlineStr">
        <is>
          <t>F796</t>
        </is>
      </c>
      <c r="B797" s="2" t="inlineStr">
        <is>
          <t>market</t>
        </is>
      </c>
      <c r="C797" s="2" t="inlineStr">
        <is>
          <t>market_series</t>
        </is>
      </c>
      <c r="D797" s="3" t="inlineStr">
        <is>
          <t>Market variable: variable; year; value; unit; source (a distribution adds n; median; spread; p10; p25; p75; p90)</t>
        </is>
      </c>
      <c r="E797" s="2" t="n"/>
      <c r="F797" s="2" t="n">
        <v>0.4</v>
      </c>
      <c r="G797" s="2" t="n"/>
      <c r="H797" s="3" t="inlineStr">
        <is>
          <t>variable: GDP growth Germany; year: 2025; value: 0.4; unit: % (2024: -0.5); source: OECD Economic Outlook December 2025, updated March 2026 (as cited)</t>
        </is>
      </c>
      <c r="I797" s="2" t="inlineStr">
        <is>
          <t>S3</t>
        </is>
      </c>
      <c r="J797" s="2" t="n">
        <v>21</v>
      </c>
      <c r="K797" s="3" t="inlineStr">
        <is>
          <t>The German economy recorded a sideways trend, with growth of 0.4% (2024: -0.5%).</t>
        </is>
      </c>
      <c r="L797" s="2" t="inlineStr">
        <is>
          <t>ok</t>
        </is>
      </c>
      <c r="M797" s="2" t="inlineStr">
        <is>
          <t>demo reviewer</t>
        </is>
      </c>
      <c r="N797" s="2" t="n"/>
      <c r="O797" s="3" t="inlineStr">
        <is>
          <t>https://vanillabonds.com/dossier-data/pdf/katjes/katjes-2025-annual-report.pdf#page=21</t>
        </is>
      </c>
    </row>
    <row r="798">
      <c r="A798" s="2" t="inlineStr">
        <is>
          <t>F797</t>
        </is>
      </c>
      <c r="B798" s="2" t="inlineStr">
        <is>
          <t>market</t>
        </is>
      </c>
      <c r="C798" s="2" t="inlineStr">
        <is>
          <t>market_series</t>
        </is>
      </c>
      <c r="D798" s="3" t="inlineStr">
        <is>
          <t>Market variable: variable; year; value; unit; source (a distribution adds n; median; spread; p10; p25; p75; p90)</t>
        </is>
      </c>
      <c r="E798" s="2" t="n"/>
      <c r="F798" s="2" t="n">
        <v>0.5</v>
      </c>
      <c r="G798" s="2" t="n"/>
      <c r="H798" s="3" t="inlineStr">
        <is>
          <t>variable: GDP growth Italy; year: 2025; value: 0.5; unit: % (2024: 0.7; France 0.9); source: OECD Economic Outlook December 2025, updated March 2026 (as cited)</t>
        </is>
      </c>
      <c r="I798" s="2" t="inlineStr">
        <is>
          <t>S3</t>
        </is>
      </c>
      <c r="J798" s="2" t="n">
        <v>21</v>
      </c>
      <c r="K798" s="3" t="inlineStr">
        <is>
          <t>Economic growth in Italy amounted to 0.5% (2024: 0.7%), while France, the second-largest economy in the euro area, recorded growth of 0.9% (2024: 1.1%).</t>
        </is>
      </c>
      <c r="L798" s="2" t="inlineStr">
        <is>
          <t>ok</t>
        </is>
      </c>
      <c r="M798" s="2" t="inlineStr">
        <is>
          <t>demo reviewer</t>
        </is>
      </c>
      <c r="N798" s="2" t="n"/>
      <c r="O798" s="3" t="inlineStr">
        <is>
          <t>https://vanillabonds.com/dossier-data/pdf/katjes/katjes-2025-annual-report.pdf#page=21</t>
        </is>
      </c>
    </row>
    <row r="799">
      <c r="A799" s="2" t="inlineStr">
        <is>
          <t>F798</t>
        </is>
      </c>
      <c r="B799" s="2" t="inlineStr">
        <is>
          <t>market</t>
        </is>
      </c>
      <c r="C799" s="2" t="inlineStr">
        <is>
          <t>market_series</t>
        </is>
      </c>
      <c r="D799" s="3" t="inlineStr">
        <is>
          <t>Market variable: variable; year; value; unit; source (a distribution adds n; median; spread; p10; p25; p75; p90)</t>
        </is>
      </c>
      <c r="E799" s="2" t="n"/>
      <c r="F799" s="2" t="n">
        <v>1.3</v>
      </c>
      <c r="G799" s="2" t="n"/>
      <c r="H799" s="3" t="inlineStr">
        <is>
          <t>variable: GDP growth United Kingdom; year: 2025; value: 1.3; unit: % (2024: 1.1); Netherlands 1.7 (2024: 1.1); source: OECD Economic Outlook December 2025, updated March 2026 (as cited)</t>
        </is>
      </c>
      <c r="I799" s="2" t="inlineStr">
        <is>
          <t>S3</t>
        </is>
      </c>
      <c r="J799" s="2" t="n">
        <v>21</v>
      </c>
      <c r="K799" s="3" t="inlineStr">
        <is>
          <t>The United Kingdom developed positively, with growth of 1.3% (2024: 1.1%), while GDP growth in the Netherlands amounted to 1.7% (2024: 1.1%).</t>
        </is>
      </c>
      <c r="L799" s="2" t="inlineStr">
        <is>
          <t>ok</t>
        </is>
      </c>
      <c r="M799" s="2" t="inlineStr">
        <is>
          <t>demo reviewer</t>
        </is>
      </c>
      <c r="N799" s="2" t="n"/>
      <c r="O799" s="3" t="inlineStr">
        <is>
          <t>https://vanillabonds.com/dossier-data/pdf/katjes/katjes-2025-annual-report.pdf#page=21</t>
        </is>
      </c>
    </row>
    <row r="800">
      <c r="A800" s="2" t="inlineStr">
        <is>
          <t>F799</t>
        </is>
      </c>
      <c r="B800" s="2" t="inlineStr">
        <is>
          <t>market</t>
        </is>
      </c>
      <c r="C800" s="2" t="inlineStr">
        <is>
          <t>market_series</t>
        </is>
      </c>
      <c r="D800" s="3" t="inlineStr">
        <is>
          <t>Market variable: variable; year; value; unit; source (a distribution adds n; median; spread; p10; p25; p75; p90)</t>
        </is>
      </c>
      <c r="E800" s="2" t="n"/>
      <c r="F800" s="2" t="n">
        <v>1.1</v>
      </c>
      <c r="G800" s="2" t="n"/>
      <c r="H800" s="3" t="inlineStr">
        <is>
          <t>variable: GDP growth Switzerland; year: 2025; value: 1.1; unit: % (2024: 1.4); Austria 0.3 (2024: -0.8); source: OECD Economic Outlook December 2025, updated March 2026 (as cited)</t>
        </is>
      </c>
      <c r="I800" s="2" t="inlineStr">
        <is>
          <t>S3</t>
        </is>
      </c>
      <c r="J800" s="2" t="n">
        <v>21</v>
      </c>
      <c r="K800" s="3" t="inlineStr">
        <is>
          <t>The Swiss economy grew by 1.1%, representing a slight decline (2024: 1.4%).</t>
        </is>
      </c>
      <c r="L800" s="2" t="inlineStr">
        <is>
          <t>ok</t>
        </is>
      </c>
      <c r="M800" s="2" t="inlineStr">
        <is>
          <t>demo reviewer</t>
        </is>
      </c>
      <c r="N800" s="2" t="n"/>
      <c r="O800" s="3" t="inlineStr">
        <is>
          <t>https://vanillabonds.com/dossier-data/pdf/katjes/katjes-2025-annual-report.pdf#page=21</t>
        </is>
      </c>
    </row>
    <row r="801">
      <c r="A801" s="2" t="inlineStr">
        <is>
          <t>F800</t>
        </is>
      </c>
      <c r="B801" s="2" t="inlineStr">
        <is>
          <t>market</t>
        </is>
      </c>
      <c r="C801" s="2" t="inlineStr">
        <is>
          <t>market_series</t>
        </is>
      </c>
      <c r="D801" s="3" t="inlineStr">
        <is>
          <t>Market variable: variable; year; value; unit; source (a distribution adds n; median; spread; p10; p25; p75; p90)</t>
        </is>
      </c>
      <c r="E801" s="2" t="n"/>
      <c r="F801" s="2" t="n">
        <v>2.1</v>
      </c>
      <c r="G801" s="2" t="n"/>
      <c r="H801" s="3" t="inlineStr">
        <is>
          <t>variable: GDP growth United States; year: 2025; value: 2.1; unit: % (2024: 2.8); source: OECD Economic Outlook December 2025, updated March 2026 (as cited)</t>
        </is>
      </c>
      <c r="I801" s="2" t="inlineStr">
        <is>
          <t>S3</t>
        </is>
      </c>
      <c r="J801" s="2" t="n">
        <v>21</v>
      </c>
      <c r="K801" s="3" t="inlineStr">
        <is>
          <t>The United States recorded GDP growth of 2.1%, representing solid growth, albeit slightly below the prior year (2024: 2.8%).</t>
        </is>
      </c>
      <c r="L801" s="2" t="inlineStr">
        <is>
          <t>ok</t>
        </is>
      </c>
      <c r="M801" s="2" t="inlineStr">
        <is>
          <t>demo reviewer</t>
        </is>
      </c>
      <c r="N801" s="2" t="n"/>
      <c r="O801" s="3" t="inlineStr">
        <is>
          <t>https://vanillabonds.com/dossier-data/pdf/katjes/katjes-2025-annual-report.pdf#page=21</t>
        </is>
      </c>
    </row>
    <row r="802">
      <c r="A802" s="2" t="inlineStr">
        <is>
          <t>F801</t>
        </is>
      </c>
      <c r="B802" s="2" t="inlineStr">
        <is>
          <t>market</t>
        </is>
      </c>
      <c r="C802" s="2" t="inlineStr">
        <is>
          <t>market_series</t>
        </is>
      </c>
      <c r="D802" s="3" t="inlineStr">
        <is>
          <t>Market variable: variable; year; value; unit; source (a distribution adds n; median; spread; p10; p25; p75; p90)</t>
        </is>
      </c>
      <c r="E802" s="2" t="n"/>
      <c r="F802" s="2" t="n">
        <v>15.4</v>
      </c>
      <c r="G802" s="2" t="n"/>
      <c r="H802" s="3" t="inlineStr">
        <is>
          <t>variable: confectionery market volume Germany; year: 2025; value: 15.4; unit: EUR bn; source: Euromonitor International (as cited in the group management report)</t>
        </is>
      </c>
      <c r="I802" s="2" t="inlineStr">
        <is>
          <t>S3</t>
        </is>
      </c>
      <c r="J802" s="2" t="n">
        <v>22</v>
      </c>
      <c r="K802" s="2" t="inlineStr">
        <is>
          <t>Germany 15.4 13.7</t>
        </is>
      </c>
      <c r="L802" s="2" t="inlineStr">
        <is>
          <t>ok</t>
        </is>
      </c>
      <c r="M802" s="2" t="inlineStr">
        <is>
          <t>demo reviewer</t>
        </is>
      </c>
      <c r="N802" s="2" t="n"/>
      <c r="O802" s="3" t="inlineStr">
        <is>
          <t>https://vanillabonds.com/dossier-data/pdf/katjes/katjes-2025-annual-report.pdf#page=22</t>
        </is>
      </c>
    </row>
    <row r="803">
      <c r="A803" s="2" t="inlineStr">
        <is>
          <t>F802</t>
        </is>
      </c>
      <c r="B803" s="2" t="inlineStr">
        <is>
          <t>market</t>
        </is>
      </c>
      <c r="C803" s="2" t="inlineStr">
        <is>
          <t>market_series</t>
        </is>
      </c>
      <c r="D803" s="3" t="inlineStr">
        <is>
          <t>Market variable: variable; year; value; unit; source (a distribution adds n; median; spread; p10; p25; p75; p90)</t>
        </is>
      </c>
      <c r="E803" s="2" t="n"/>
      <c r="F803" s="2" t="n">
        <v>13.7</v>
      </c>
      <c r="G803" s="2" t="n"/>
      <c r="H803" s="3" t="inlineStr">
        <is>
          <t>variable: confectionery market volume Germany; year: 2024; value: 13.7; unit: EUR bn; source: Euromonitor International (as cited in the group management report)</t>
        </is>
      </c>
      <c r="I803" s="2" t="inlineStr">
        <is>
          <t>S3</t>
        </is>
      </c>
      <c r="J803" s="2" t="n">
        <v>22</v>
      </c>
      <c r="K803" s="2" t="inlineStr">
        <is>
          <t>Germany 15.4 13.7</t>
        </is>
      </c>
      <c r="L803" s="2" t="inlineStr">
        <is>
          <t>ok</t>
        </is>
      </c>
      <c r="M803" s="2" t="inlineStr">
        <is>
          <t>demo reviewer</t>
        </is>
      </c>
      <c r="N803" s="2" t="n"/>
      <c r="O803" s="3" t="inlineStr">
        <is>
          <t>https://vanillabonds.com/dossier-data/pdf/katjes/katjes-2025-annual-report.pdf#page=22</t>
        </is>
      </c>
    </row>
    <row r="804">
      <c r="A804" s="2" t="inlineStr">
        <is>
          <t>F803</t>
        </is>
      </c>
      <c r="B804" s="2" t="inlineStr">
        <is>
          <t>market</t>
        </is>
      </c>
      <c r="C804" s="2" t="inlineStr">
        <is>
          <t>market_series</t>
        </is>
      </c>
      <c r="D804" s="3" t="inlineStr">
        <is>
          <t>Market variable: variable; year; value; unit; source (a distribution adds n; median; spread; p10; p25; p75; p90)</t>
        </is>
      </c>
      <c r="E804" s="2" t="n"/>
      <c r="F804" s="2" t="n">
        <v>13.9</v>
      </c>
      <c r="G804" s="2" t="n"/>
      <c r="H804" s="3" t="inlineStr">
        <is>
          <t>variable: confectionery market volume United Kingdom; year: 2025; value: 13.9; unit: EUR bn; source: Euromonitor International (as cited in the group management report)</t>
        </is>
      </c>
      <c r="I804" s="2" t="inlineStr">
        <is>
          <t>S3</t>
        </is>
      </c>
      <c r="J804" s="2" t="n">
        <v>22</v>
      </c>
      <c r="K804" s="2" t="inlineStr">
        <is>
          <t>United Kingdom 13.9 12.6</t>
        </is>
      </c>
      <c r="L804" s="2" t="inlineStr">
        <is>
          <t>ok</t>
        </is>
      </c>
      <c r="M804" s="2" t="inlineStr">
        <is>
          <t>demo reviewer</t>
        </is>
      </c>
      <c r="N804" s="2" t="n"/>
      <c r="O804" s="3" t="inlineStr">
        <is>
          <t>https://vanillabonds.com/dossier-data/pdf/katjes/katjes-2025-annual-report.pdf#page=22</t>
        </is>
      </c>
    </row>
    <row r="805">
      <c r="A805" s="2" t="inlineStr">
        <is>
          <t>F804</t>
        </is>
      </c>
      <c r="B805" s="2" t="inlineStr">
        <is>
          <t>market</t>
        </is>
      </c>
      <c r="C805" s="2" t="inlineStr">
        <is>
          <t>market_series</t>
        </is>
      </c>
      <c r="D805" s="3" t="inlineStr">
        <is>
          <t>Market variable: variable; year; value; unit; source (a distribution adds n; median; spread; p10; p25; p75; p90)</t>
        </is>
      </c>
      <c r="E805" s="2" t="n"/>
      <c r="F805" s="2" t="n">
        <v>12.6</v>
      </c>
      <c r="G805" s="2" t="n"/>
      <c r="H805" s="3" t="inlineStr">
        <is>
          <t>variable: confectionery market volume United Kingdom; year: 2024; value: 12.6; unit: EUR bn; source: Euromonitor International (as cited in the group management report)</t>
        </is>
      </c>
      <c r="I805" s="2" t="inlineStr">
        <is>
          <t>S3</t>
        </is>
      </c>
      <c r="J805" s="2" t="n">
        <v>22</v>
      </c>
      <c r="K805" s="2" t="inlineStr">
        <is>
          <t>United Kingdom 13.9 12.6</t>
        </is>
      </c>
      <c r="L805" s="2" t="inlineStr">
        <is>
          <t>ok</t>
        </is>
      </c>
      <c r="M805" s="2" t="inlineStr">
        <is>
          <t>demo reviewer</t>
        </is>
      </c>
      <c r="N805" s="2" t="n"/>
      <c r="O805" s="3" t="inlineStr">
        <is>
          <t>https://vanillabonds.com/dossier-data/pdf/katjes/katjes-2025-annual-report.pdf#page=22</t>
        </is>
      </c>
    </row>
    <row r="806">
      <c r="A806" s="2" t="inlineStr">
        <is>
          <t>F805</t>
        </is>
      </c>
      <c r="B806" s="2" t="inlineStr">
        <is>
          <t>market</t>
        </is>
      </c>
      <c r="C806" s="2" t="inlineStr">
        <is>
          <t>market_series</t>
        </is>
      </c>
      <c r="D806" s="3" t="inlineStr">
        <is>
          <t>Market variable: variable; year; value; unit; source (a distribution adds n; median; spread; p10; p25; p75; p90)</t>
        </is>
      </c>
      <c r="E806" s="2" t="n"/>
      <c r="F806" s="2" t="n">
        <v>9</v>
      </c>
      <c r="G806" s="2" t="n"/>
      <c r="H806" s="3" t="inlineStr">
        <is>
          <t>variable: confectionery market volume France; year: 2025; value: 9.0; unit: EUR bn; source: Euromonitor International (as cited in the group management report)</t>
        </is>
      </c>
      <c r="I806" s="2" t="inlineStr">
        <is>
          <t>S3</t>
        </is>
      </c>
      <c r="J806" s="2" t="n">
        <v>22</v>
      </c>
      <c r="K806" s="2" t="inlineStr">
        <is>
          <t>France 9.0 7.8</t>
        </is>
      </c>
      <c r="L806" s="2" t="inlineStr">
        <is>
          <t>ok</t>
        </is>
      </c>
      <c r="M806" s="2" t="inlineStr">
        <is>
          <t>demo reviewer</t>
        </is>
      </c>
      <c r="N806" s="2" t="n"/>
      <c r="O806" s="3" t="inlineStr">
        <is>
          <t>https://vanillabonds.com/dossier-data/pdf/katjes/katjes-2025-annual-report.pdf#page=22</t>
        </is>
      </c>
    </row>
    <row r="807">
      <c r="A807" s="2" t="inlineStr">
        <is>
          <t>F806</t>
        </is>
      </c>
      <c r="B807" s="2" t="inlineStr">
        <is>
          <t>market</t>
        </is>
      </c>
      <c r="C807" s="2" t="inlineStr">
        <is>
          <t>market_series</t>
        </is>
      </c>
      <c r="D807" s="3" t="inlineStr">
        <is>
          <t>Market variable: variable; year; value; unit; source (a distribution adds n; median; spread; p10; p25; p75; p90)</t>
        </is>
      </c>
      <c r="E807" s="2" t="n"/>
      <c r="F807" s="2" t="n">
        <v>7.8</v>
      </c>
      <c r="G807" s="2" t="n"/>
      <c r="H807" s="3" t="inlineStr">
        <is>
          <t>variable: confectionery market volume France; year: 2024; value: 7.8; unit: EUR bn; source: Euromonitor International (as cited in the group management report)</t>
        </is>
      </c>
      <c r="I807" s="2" t="inlineStr">
        <is>
          <t>S3</t>
        </is>
      </c>
      <c r="J807" s="2" t="n">
        <v>22</v>
      </c>
      <c r="K807" s="2" t="inlineStr">
        <is>
          <t>France 9.0 7.8</t>
        </is>
      </c>
      <c r="L807" s="2" t="inlineStr">
        <is>
          <t>ok</t>
        </is>
      </c>
      <c r="M807" s="2" t="inlineStr">
        <is>
          <t>demo reviewer</t>
        </is>
      </c>
      <c r="N807" s="2" t="n"/>
      <c r="O807" s="3" t="inlineStr">
        <is>
          <t>https://vanillabonds.com/dossier-data/pdf/katjes/katjes-2025-annual-report.pdf#page=22</t>
        </is>
      </c>
    </row>
    <row r="808">
      <c r="A808" s="2" t="inlineStr">
        <is>
          <t>F807</t>
        </is>
      </c>
      <c r="B808" s="2" t="inlineStr">
        <is>
          <t>market</t>
        </is>
      </c>
      <c r="C808" s="2" t="inlineStr">
        <is>
          <t>market_series</t>
        </is>
      </c>
      <c r="D808" s="3" t="inlineStr">
        <is>
          <t>Market variable: variable; year; value; unit; source (a distribution adds n; median; spread; p10; p25; p75; p90)</t>
        </is>
      </c>
      <c r="E808" s="2" t="n"/>
      <c r="F808" s="2" t="n">
        <v>4.2</v>
      </c>
      <c r="G808" s="2" t="n"/>
      <c r="H808" s="3" t="inlineStr">
        <is>
          <t>variable: confectionery market volume Italy; year: 2025; value: 4.2; unit: EUR bn; source: Euromonitor International (as cited in the group management report)</t>
        </is>
      </c>
      <c r="I808" s="2" t="inlineStr">
        <is>
          <t>S3</t>
        </is>
      </c>
      <c r="J808" s="2" t="n">
        <v>22</v>
      </c>
      <c r="K808" s="2" t="inlineStr">
        <is>
          <t>Italy 4.2 3.8</t>
        </is>
      </c>
      <c r="L808" s="2" t="inlineStr">
        <is>
          <t>ok</t>
        </is>
      </c>
      <c r="M808" s="2" t="inlineStr">
        <is>
          <t>demo reviewer</t>
        </is>
      </c>
      <c r="N808" s="2" t="n"/>
      <c r="O808" s="3" t="inlineStr">
        <is>
          <t>https://vanillabonds.com/dossier-data/pdf/katjes/katjes-2025-annual-report.pdf#page=22</t>
        </is>
      </c>
    </row>
    <row r="809">
      <c r="A809" s="2" t="inlineStr">
        <is>
          <t>F808</t>
        </is>
      </c>
      <c r="B809" s="2" t="inlineStr">
        <is>
          <t>market</t>
        </is>
      </c>
      <c r="C809" s="2" t="inlineStr">
        <is>
          <t>market_series</t>
        </is>
      </c>
      <c r="D809" s="3" t="inlineStr">
        <is>
          <t>Market variable: variable; year; value; unit; source (a distribution adds n; median; spread; p10; p25; p75; p90)</t>
        </is>
      </c>
      <c r="E809" s="2" t="n"/>
      <c r="F809" s="2" t="n">
        <v>3.8</v>
      </c>
      <c r="G809" s="2" t="n"/>
      <c r="H809" s="3" t="inlineStr">
        <is>
          <t>variable: confectionery market volume Italy; year: 2024; value: 3.8; unit: EUR bn; source: Euromonitor International (as cited in the group management report)</t>
        </is>
      </c>
      <c r="I809" s="2" t="inlineStr">
        <is>
          <t>S3</t>
        </is>
      </c>
      <c r="J809" s="2" t="n">
        <v>22</v>
      </c>
      <c r="K809" s="2" t="inlineStr">
        <is>
          <t>Italy 4.2 3.8</t>
        </is>
      </c>
      <c r="L809" s="2" t="inlineStr">
        <is>
          <t>ok</t>
        </is>
      </c>
      <c r="M809" s="2" t="inlineStr">
        <is>
          <t>demo reviewer</t>
        </is>
      </c>
      <c r="N809" s="2" t="n"/>
      <c r="O809" s="3" t="inlineStr">
        <is>
          <t>https://vanillabonds.com/dossier-data/pdf/katjes/katjes-2025-annual-report.pdf#page=22</t>
        </is>
      </c>
    </row>
    <row r="810">
      <c r="A810" s="2" t="inlineStr">
        <is>
          <t>F809</t>
        </is>
      </c>
      <c r="B810" s="2" t="inlineStr">
        <is>
          <t>market</t>
        </is>
      </c>
      <c r="C810" s="2" t="inlineStr">
        <is>
          <t>market_series</t>
        </is>
      </c>
      <c r="D810" s="3" t="inlineStr">
        <is>
          <t>Market variable: variable; year; value; unit; source (a distribution adds n; median; spread; p10; p25; p75; p90)</t>
        </is>
      </c>
      <c r="E810" s="2" t="n"/>
      <c r="F810" s="2" t="n">
        <v>2.3</v>
      </c>
      <c r="G810" s="2" t="n"/>
      <c r="H810" s="3" t="inlineStr">
        <is>
          <t>variable: confectionery market volume Netherlands; year: 2025; value: 2.3; unit: EUR bn; source: Euromonitor International (as cited in the group management report)</t>
        </is>
      </c>
      <c r="I810" s="2" t="inlineStr">
        <is>
          <t>S3</t>
        </is>
      </c>
      <c r="J810" s="2" t="n">
        <v>22</v>
      </c>
      <c r="K810" s="2" t="inlineStr">
        <is>
          <t>Netherlands 2.3 2.1</t>
        </is>
      </c>
      <c r="L810" s="2" t="inlineStr">
        <is>
          <t>ok</t>
        </is>
      </c>
      <c r="M810" s="2" t="inlineStr">
        <is>
          <t>demo reviewer</t>
        </is>
      </c>
      <c r="N810" s="2" t="n"/>
      <c r="O810" s="3" t="inlineStr">
        <is>
          <t>https://vanillabonds.com/dossier-data/pdf/katjes/katjes-2025-annual-report.pdf#page=22</t>
        </is>
      </c>
    </row>
    <row r="811">
      <c r="A811" s="2" t="inlineStr">
        <is>
          <t>F810</t>
        </is>
      </c>
      <c r="B811" s="2" t="inlineStr">
        <is>
          <t>market</t>
        </is>
      </c>
      <c r="C811" s="2" t="inlineStr">
        <is>
          <t>market_series</t>
        </is>
      </c>
      <c r="D811" s="3" t="inlineStr">
        <is>
          <t>Market variable: variable; year; value; unit; source (a distribution adds n; median; spread; p10; p25; p75; p90)</t>
        </is>
      </c>
      <c r="E811" s="2" t="n"/>
      <c r="F811" s="2" t="n">
        <v>2.1</v>
      </c>
      <c r="G811" s="2" t="n"/>
      <c r="H811" s="3" t="inlineStr">
        <is>
          <t>variable: confectionery market volume Netherlands; year: 2024; value: 2.1; unit: EUR bn; source: Euromonitor International (as cited in the group management report)</t>
        </is>
      </c>
      <c r="I811" s="2" t="inlineStr">
        <is>
          <t>S3</t>
        </is>
      </c>
      <c r="J811" s="2" t="n">
        <v>22</v>
      </c>
      <c r="K811" s="2" t="inlineStr">
        <is>
          <t>Netherlands 2.3 2.1</t>
        </is>
      </c>
      <c r="L811" s="2" t="inlineStr">
        <is>
          <t>ok</t>
        </is>
      </c>
      <c r="M811" s="2" t="inlineStr">
        <is>
          <t>demo reviewer</t>
        </is>
      </c>
      <c r="N811" s="2" t="n"/>
      <c r="O811" s="3" t="inlineStr">
        <is>
          <t>https://vanillabonds.com/dossier-data/pdf/katjes/katjes-2025-annual-report.pdf#page=22</t>
        </is>
      </c>
    </row>
    <row r="812">
      <c r="A812" s="2" t="inlineStr">
        <is>
          <t>F811</t>
        </is>
      </c>
      <c r="B812" s="2" t="inlineStr">
        <is>
          <t>market</t>
        </is>
      </c>
      <c r="C812" s="2" t="inlineStr">
        <is>
          <t>market_series</t>
        </is>
      </c>
      <c r="D812" s="3" t="inlineStr">
        <is>
          <t>Market variable: variable; year; value; unit; source (a distribution adds n; median; spread; p10; p25; p75; p90)</t>
        </is>
      </c>
      <c r="E812" s="2" t="n"/>
      <c r="F812" s="2" t="n">
        <v>566</v>
      </c>
      <c r="G812" s="2" t="n"/>
      <c r="H812" s="3" t="inlineStr">
        <is>
          <t>variable: baby and children's care market volume Germany; year: 2025; value: 566; unit: EUR m; source: Nielsen (as cited); -1.4% vs 2024, sales volume -3.7%</t>
        </is>
      </c>
      <c r="I812" s="2" t="inlineStr">
        <is>
          <t>S3</t>
        </is>
      </c>
      <c r="J812" s="2" t="n">
        <v>22</v>
      </c>
      <c r="K812" s="3" t="inlineStr">
        <is>
          <t>According to Nielsen data, the market volume in Germany amounted to EUR 566 million in 2025 (2024: EUR 574 million).</t>
        </is>
      </c>
      <c r="L812" s="2" t="inlineStr">
        <is>
          <t>ok</t>
        </is>
      </c>
      <c r="M812" s="2" t="inlineStr">
        <is>
          <t>demo reviewer</t>
        </is>
      </c>
      <c r="N812" s="2" t="n"/>
      <c r="O812" s="3" t="inlineStr">
        <is>
          <t>https://vanillabonds.com/dossier-data/pdf/katjes/katjes-2025-annual-report.pdf#page=22</t>
        </is>
      </c>
    </row>
    <row r="813">
      <c r="A813" s="2" t="inlineStr">
        <is>
          <t>F812</t>
        </is>
      </c>
      <c r="B813" s="2" t="inlineStr">
        <is>
          <t>market</t>
        </is>
      </c>
      <c r="C813" s="2" t="inlineStr">
        <is>
          <t>market_series</t>
        </is>
      </c>
      <c r="D813" s="3" t="inlineStr">
        <is>
          <t>Market variable: variable; year; value; unit; source (a distribution adds n; median; spread; p10; p25; p75; p90)</t>
        </is>
      </c>
      <c r="E813" s="2" t="n"/>
      <c r="F813" s="2" t="n">
        <v>574</v>
      </c>
      <c r="G813" s="2" t="n"/>
      <c r="H813" s="3" t="inlineStr">
        <is>
          <t>variable: baby and children's care market volume Germany; year: 2024; value: 574; unit: EUR m; source: Nielsen (as cited); +1.0% vs 2023</t>
        </is>
      </c>
      <c r="I813" s="2" t="inlineStr">
        <is>
          <t>S3</t>
        </is>
      </c>
      <c r="J813" s="2" t="n">
        <v>22</v>
      </c>
      <c r="K813" s="3" t="inlineStr">
        <is>
          <t>According to Nielsen data, the market volume in Germany amounted to EUR 566 million in 2025 (2024: EUR 574 million).</t>
        </is>
      </c>
      <c r="L813" s="2" t="inlineStr">
        <is>
          <t>ok</t>
        </is>
      </c>
      <c r="M813" s="2" t="inlineStr">
        <is>
          <t>demo reviewer</t>
        </is>
      </c>
      <c r="N813" s="2" t="n"/>
      <c r="O813" s="3" t="inlineStr">
        <is>
          <t>https://vanillabonds.com/dossier-data/pdf/katjes/katjes-2025-annual-report.pdf#page=22</t>
        </is>
      </c>
    </row>
    <row r="814">
      <c r="A814" s="2" t="inlineStr">
        <is>
          <t>F813</t>
        </is>
      </c>
      <c r="B814" s="2" t="inlineStr">
        <is>
          <t>market</t>
        </is>
      </c>
      <c r="C814" s="2" t="inlineStr">
        <is>
          <t>market_series</t>
        </is>
      </c>
      <c r="D814" s="3" t="inlineStr">
        <is>
          <t>Market variable: variable; year; value; unit; source (a distribution adds n; median; spread; p10; p25; p75; p90)</t>
        </is>
      </c>
      <c r="E814" s="2" t="n"/>
      <c r="F814" s="2" t="n">
        <v>2080</v>
      </c>
      <c r="G814" s="2" t="n"/>
      <c r="H814" s="3" t="inlineStr">
        <is>
          <t>variable: dental and oral care revenue Germany; year: 2025; value: 2,080; unit: EUR m; source: Circana (as cited); +2.8% yoy</t>
        </is>
      </c>
      <c r="I814" s="2" t="inlineStr">
        <is>
          <t>S3</t>
        </is>
      </c>
      <c r="J814" s="2" t="n">
        <v>23</v>
      </c>
      <c r="K814" s="3" t="inlineStr">
        <is>
          <t>Revenue generated with products in this segment amounted to approximately EUR 2.08 billion in 2025 and, according to Circana data, increased by +2.8% compared to the previous year.</t>
        </is>
      </c>
      <c r="L814" s="2" t="inlineStr">
        <is>
          <t>ok</t>
        </is>
      </c>
      <c r="M814" s="2" t="inlineStr">
        <is>
          <t>demo reviewer</t>
        </is>
      </c>
      <c r="N814" s="2" t="n"/>
      <c r="O814" s="3" t="inlineStr">
        <is>
          <t>https://vanillabonds.com/dossier-data/pdf/katjes/katjes-2025-annual-report.pdf#page=23</t>
        </is>
      </c>
    </row>
    <row r="815">
      <c r="A815" s="2" t="inlineStr">
        <is>
          <t>F814</t>
        </is>
      </c>
      <c r="B815" s="2" t="inlineStr">
        <is>
          <t>market</t>
        </is>
      </c>
      <c r="C815" s="2" t="inlineStr">
        <is>
          <t>market_series</t>
        </is>
      </c>
      <c r="D815" s="3" t="inlineStr">
        <is>
          <t>Market variable: variable; year; value; unit; source (a distribution adds n; median; spread; p10; p25; p75; p90)</t>
        </is>
      </c>
      <c r="E815" s="2" t="n"/>
      <c r="F815" s="2" t="n">
        <v>4.7</v>
      </c>
      <c r="G815" s="2" t="n"/>
      <c r="H815" s="3" t="inlineStr">
        <is>
          <t>variable: confectionery market volume growth forecast Western Europe; year: 2026; value: 4.7; unit: %; source: group management report forecast (Eastern Europe 2.6%)</t>
        </is>
      </c>
      <c r="I815" s="2" t="inlineStr">
        <is>
          <t>S3</t>
        </is>
      </c>
      <c r="J815" s="2" t="n">
        <v>35</v>
      </c>
      <c r="K815" s="3" t="inlineStr">
        <is>
          <t>In the confectionery segment, the market volume in Western Europe is expected to increase by approximately 4.7% in 2026, while Eastern Europe is expected to grow by 2.6%</t>
        </is>
      </c>
      <c r="L815" s="2" t="inlineStr">
        <is>
          <t>ok</t>
        </is>
      </c>
      <c r="M815" s="2" t="inlineStr">
        <is>
          <t>demo reviewer</t>
        </is>
      </c>
      <c r="N815" s="2" t="n"/>
      <c r="O815" s="3" t="inlineStr">
        <is>
          <t>https://vanillabonds.com/dossier-data/pdf/katjes/katjes-2025-annual-report.pdf#page=35</t>
        </is>
      </c>
    </row>
    <row r="816">
      <c r="A816" s="2" t="inlineStr">
        <is>
          <t>F815</t>
        </is>
      </c>
      <c r="B816" s="2" t="inlineStr">
        <is>
          <t>market</t>
        </is>
      </c>
      <c r="C816" s="2" t="inlineStr">
        <is>
          <t>market_series</t>
        </is>
      </c>
      <c r="D816" s="3" t="inlineStr">
        <is>
          <t>Market variable: variable; year; value; unit; source (a distribution adds n; median; spread; p10; p25; p75; p90)</t>
        </is>
      </c>
      <c r="E816" s="2" t="n"/>
      <c r="F816" s="2" t="n">
        <v>1.7</v>
      </c>
      <c r="G816" s="2" t="n"/>
      <c r="H816" s="3" t="inlineStr">
        <is>
          <t>variable: baby and children's care market growth forecast Germany; year: 2026; value: 1.7; unit: %; source: Euromonitor International (as cited in the group management report)</t>
        </is>
      </c>
      <c r="I816" s="2" t="inlineStr">
        <is>
          <t>S3</t>
        </is>
      </c>
      <c r="J816" s="2" t="n">
        <v>35</v>
      </c>
      <c r="K816" s="3" t="inlineStr">
        <is>
          <t>According to Euromonitor data, the market for baby and children’s care products in Germany is also expected to grow by 1.7% in 2026.</t>
        </is>
      </c>
      <c r="L816" s="2" t="inlineStr">
        <is>
          <t>ok</t>
        </is>
      </c>
      <c r="M816" s="2" t="inlineStr">
        <is>
          <t>demo reviewer</t>
        </is>
      </c>
      <c r="N816" s="2" t="n"/>
      <c r="O816" s="3" t="inlineStr">
        <is>
          <t>https://vanillabonds.com/dossier-data/pdf/katjes/katjes-2025-annual-report.pdf#page=35</t>
        </is>
      </c>
    </row>
    <row r="817">
      <c r="A817" s="2" t="inlineStr">
        <is>
          <t>F816</t>
        </is>
      </c>
      <c r="B817" s="2" t="inlineStr">
        <is>
          <t>market</t>
        </is>
      </c>
      <c r="C817" s="2" t="inlineStr">
        <is>
          <t>market_series</t>
        </is>
      </c>
      <c r="D817" s="3" t="inlineStr">
        <is>
          <t>Market variable: variable; year; value; unit; source (a distribution adds n; median; spread; p10; p25; p75; p90)</t>
        </is>
      </c>
      <c r="E817" s="2" t="n"/>
      <c r="F817" s="2" t="n">
        <v>4</v>
      </c>
      <c r="G817" s="2" t="n"/>
      <c r="H817" s="3" t="inlineStr">
        <is>
          <t>variable: oral care market growth forecast Germany; year: 2026; value: nearly 4; unit: %; source: Euromonitor International (as cited in the group management report)</t>
        </is>
      </c>
      <c r="I817" s="2" t="inlineStr">
        <is>
          <t>S3</t>
        </is>
      </c>
      <c r="J817" s="2" t="n">
        <v>35</v>
      </c>
      <c r="K817" s="3" t="inlineStr">
        <is>
          <t>The oral care market in Germany is expected to grow by nearly 4% in 2026, according to Euromonitor data.</t>
        </is>
      </c>
      <c r="L817" s="2" t="inlineStr">
        <is>
          <t>ok</t>
        </is>
      </c>
      <c r="M817" s="2" t="inlineStr">
        <is>
          <t>demo reviewer</t>
        </is>
      </c>
      <c r="N817" s="2" t="n"/>
      <c r="O817" s="3" t="inlineStr">
        <is>
          <t>https://vanillabonds.com/dossier-data/pdf/katjes/katjes-2025-annual-report.pdf#page=35</t>
        </is>
      </c>
    </row>
    <row r="818">
      <c r="A818" s="2" t="inlineStr">
        <is>
          <t>F817</t>
        </is>
      </c>
      <c r="B818" s="2" t="inlineStr">
        <is>
          <t>market</t>
        </is>
      </c>
      <c r="C818" s="2" t="inlineStr">
        <is>
          <t>market_series</t>
        </is>
      </c>
      <c r="D818" s="3" t="inlineStr">
        <is>
          <t>Market variable: variable; year; value; unit; source (a distribution adds n; median; spread; p10; p25; p75; p90)</t>
        </is>
      </c>
      <c r="E818" s="2" t="n"/>
      <c r="F818" s="2" t="n">
        <v>2</v>
      </c>
      <c r="G818" s="2" t="n"/>
      <c r="H818" s="3" t="inlineStr">
        <is>
          <t>variable: designer apparel market growth forecast Germany; year: 2026; value: nearly 2; unit: %; source: Euromonitor International (as cited in the group management report)</t>
        </is>
      </c>
      <c r="I818" s="2" t="inlineStr">
        <is>
          <t>S3</t>
        </is>
      </c>
      <c r="J818" s="2" t="n">
        <v>35</v>
      </c>
      <c r="K818" s="3" t="inlineStr">
        <is>
          <t>The designer apparel market in Germany is expected to grow by nearly 2% in 2026, according to Euromonitor data.</t>
        </is>
      </c>
      <c r="L818" s="2" t="inlineStr">
        <is>
          <t>ok</t>
        </is>
      </c>
      <c r="M818" s="2" t="inlineStr">
        <is>
          <t>demo reviewer</t>
        </is>
      </c>
      <c r="N818" s="2" t="n"/>
      <c r="O818" s="3" t="inlineStr">
        <is>
          <t>https://vanillabonds.com/dossier-data/pdf/katjes/katjes-2025-annual-report.pdf#page=35</t>
        </is>
      </c>
    </row>
    <row r="819">
      <c r="A819" s="2" t="inlineStr">
        <is>
          <t>F818</t>
        </is>
      </c>
      <c r="B819" s="2" t="inlineStr">
        <is>
          <t>market</t>
        </is>
      </c>
      <c r="C819" s="2" t="inlineStr">
        <is>
          <t>market_series</t>
        </is>
      </c>
      <c r="D819" s="3" t="inlineStr">
        <is>
          <t>Market variable: variable; year; value; unit; source (a distribution adds n; median; spread; p10; p25; p75; p90)</t>
        </is>
      </c>
      <c r="E819" s="2" t="n"/>
      <c r="F819" s="2" t="n">
        <v>0.8</v>
      </c>
      <c r="G819" s="2" t="n"/>
      <c r="H819" s="3" t="inlineStr">
        <is>
          <t>variable: GDP growth forecast euro area; year: 2026; value: 0.8; unit: %; Germany 0.8, Netherlands 1.4; source: OECD Economic Outlook December 2025, updated March 2026 (as cited)</t>
        </is>
      </c>
      <c r="I819" s="2" t="inlineStr">
        <is>
          <t>S3</t>
        </is>
      </c>
      <c r="J819" s="2" t="n">
        <v>35</v>
      </c>
      <c r="K819" s="3" t="inlineStr">
        <is>
          <t>The OECD expects gross domestic product (GDP) in the euro area to increase by 0.8% in 2026. Growth of 0.8% is expected for the Federal Republic of Germany and 1.4% for the Netherlands.</t>
        </is>
      </c>
      <c r="L819" s="2" t="inlineStr">
        <is>
          <t>ok</t>
        </is>
      </c>
      <c r="M819" s="2" t="inlineStr">
        <is>
          <t>demo reviewer</t>
        </is>
      </c>
      <c r="N819" s="2" t="n"/>
      <c r="O819" s="3" t="inlineStr">
        <is>
          <t>https://vanillabonds.com/dossier-data/pdf/katjes/katjes-2025-annual-report.pdf#page=35</t>
        </is>
      </c>
    </row>
    <row r="820">
      <c r="A820" s="2" t="inlineStr">
        <is>
          <t>F819</t>
        </is>
      </c>
      <c r="B820" s="2" t="inlineStr">
        <is>
          <t>market</t>
        </is>
      </c>
      <c r="C820" s="2" t="inlineStr">
        <is>
          <t>market_series</t>
        </is>
      </c>
      <c r="D820" s="3" t="inlineStr">
        <is>
          <t>Market variable: variable; year; value; unit; source (a distribution adds n; median; spread; p10; p25; p75; p90)</t>
        </is>
      </c>
      <c r="E820" s="2" t="n"/>
      <c r="F820" s="2" t="n">
        <v>0.4</v>
      </c>
      <c r="G820" s="2" t="n"/>
      <c r="H820" s="3" t="inlineStr">
        <is>
          <t>variable: GDP growth forecast Italy; year: 2026; value: 0.4; unit: %; France 0.8, United Kingdom 0.7; source: OECD Economic Outlook December 2025, updated March 2026 (as cited)</t>
        </is>
      </c>
      <c r="I820" s="2" t="inlineStr">
        <is>
          <t>S3</t>
        </is>
      </c>
      <c r="J820" s="2" t="n">
        <v>35</v>
      </c>
      <c r="K820" s="3" t="inlineStr">
        <is>
          <t>Economic output in Italy is expected to increase by 0.4%. Growth of 0.8% is forecast for France, while GDP in the United Kingdom is expected to rise by 0.7%.</t>
        </is>
      </c>
      <c r="L820" s="2" t="inlineStr">
        <is>
          <t>ok</t>
        </is>
      </c>
      <c r="M820" s="2" t="inlineStr">
        <is>
          <t>demo reviewer</t>
        </is>
      </c>
      <c r="N820" s="2" t="n"/>
      <c r="O820" s="3" t="inlineStr">
        <is>
          <t>https://vanillabonds.com/dossier-data/pdf/katjes/katjes-2025-annual-report.pdf#page=35</t>
        </is>
      </c>
    </row>
    <row r="821">
      <c r="A821" s="2" t="inlineStr">
        <is>
          <t>F820</t>
        </is>
      </c>
      <c r="B821" s="2" t="inlineStr">
        <is>
          <t>market</t>
        </is>
      </c>
      <c r="C821" s="2" t="inlineStr">
        <is>
          <t>market_series</t>
        </is>
      </c>
      <c r="D821" s="3" t="inlineStr">
        <is>
          <t>Market variable: variable; year; value; unit; source (a distribution adds n; median; spread; p10; p25; p75; p90)</t>
        </is>
      </c>
      <c r="E821" s="2" t="n"/>
      <c r="F821" s="2" t="n">
        <v>2</v>
      </c>
      <c r="G821" s="2" t="n"/>
      <c r="H821" s="3" t="inlineStr">
        <is>
          <t>variable: GDP growth forecast United States; year: 2026; value: 2.0; unit: %; Switzerland 1.2, Austria 0.9; source: OECD Economic Outlook December 2025, updated March 2026 (as cited)</t>
        </is>
      </c>
      <c r="I821" s="2" t="inlineStr">
        <is>
          <t>S3</t>
        </is>
      </c>
      <c r="J821" s="2" t="n">
        <v>35</v>
      </c>
      <c r="K821" s="3" t="inlineStr">
        <is>
          <t>GDP growth of 1.2% is expected for Switzerland and 0.9% for Austria. For the United States, growth of 2.0% is forecast.</t>
        </is>
      </c>
      <c r="L821" s="2" t="inlineStr">
        <is>
          <t>ok</t>
        </is>
      </c>
      <c r="M821" s="2" t="inlineStr">
        <is>
          <t>demo reviewer</t>
        </is>
      </c>
      <c r="N821" s="2" t="n"/>
      <c r="O821" s="3" t="inlineStr">
        <is>
          <t>https://vanillabonds.com/dossier-data/pdf/katjes/katjes-2025-annual-report.pdf#page=35</t>
        </is>
      </c>
    </row>
    <row r="822">
      <c r="A822" s="2" t="inlineStr">
        <is>
          <t>F821</t>
        </is>
      </c>
      <c r="B822" s="2" t="inlineStr">
        <is>
          <t>market</t>
        </is>
      </c>
      <c r="C822" s="2" t="inlineStr">
        <is>
          <t>regulation_item</t>
        </is>
      </c>
      <c r="D822" s="3" t="inlineStr">
        <is>
          <t>Regulation: measure; effective; effect on the company as stated; source</t>
        </is>
      </c>
      <c r="E822" s="2" t="n"/>
      <c r="F822" s="2" t="n"/>
      <c r="G822" s="2" t="n"/>
      <c r="H822" s="3" t="inlineStr">
        <is>
          <t>measure: gradual reduction of the German corporate income tax rate resolved in July 2025 (tax investment programme); effective: from 2025 enactment onward; effect on the company as stated: deferred taxes affected, tax rate change income of 3.3 in 2025; source: group management report</t>
        </is>
      </c>
      <c r="I822" s="2" t="inlineStr">
        <is>
          <t>S3</t>
        </is>
      </c>
      <c r="J822" s="2" t="n">
        <v>28</v>
      </c>
      <c r="K822" s="3" t="inlineStr">
        <is>
          <t>the gradual reduction of the corporate income tax rate resolved in July 2025 as part of the German tax investment programme</t>
        </is>
      </c>
      <c r="L822" s="2" t="inlineStr">
        <is>
          <t>ok</t>
        </is>
      </c>
      <c r="M822" s="2" t="inlineStr">
        <is>
          <t>demo reviewer</t>
        </is>
      </c>
      <c r="N822" s="2" t="n"/>
      <c r="O822" s="3" t="inlineStr">
        <is>
          <t>https://vanillabonds.com/dossier-data/pdf/katjes/katjes-2025-annual-report.pdf#page=28</t>
        </is>
      </c>
    </row>
    <row r="823">
      <c r="A823" s="2" t="inlineStr">
        <is>
          <t>F822</t>
        </is>
      </c>
      <c r="B823" s="2" t="inlineStr">
        <is>
          <t>market</t>
        </is>
      </c>
      <c r="C823" s="2" t="inlineStr">
        <is>
          <t>regulation_item</t>
        </is>
      </c>
      <c r="D823" s="3" t="inlineStr">
        <is>
          <t>Regulation: measure; effective; effect on the company as stated; source</t>
        </is>
      </c>
      <c r="E823" s="2" t="n"/>
      <c r="F823" s="2" t="n"/>
      <c r="G823" s="2" t="n"/>
      <c r="H823" s="3" t="inlineStr">
        <is>
          <t>measure: changes in legal frameworks or regulatory interventions; effect on the company as stated: may restrict production or sale of products in their current form or volume; source: opportunities and risks report</t>
        </is>
      </c>
      <c r="I823" s="2" t="inlineStr">
        <is>
          <t>S3</t>
        </is>
      </c>
      <c r="J823" s="2" t="n">
        <v>31</v>
      </c>
      <c r="K823" s="3" t="inlineStr">
        <is>
          <t>Changes in legal frameworks or other regulatory interventions may restrict the production or sale of products in their current form or volume.</t>
        </is>
      </c>
      <c r="L823" s="2" t="inlineStr">
        <is>
          <t>ok</t>
        </is>
      </c>
      <c r="M823" s="2" t="inlineStr">
        <is>
          <t>demo reviewer</t>
        </is>
      </c>
      <c r="N823" s="2" t="n"/>
      <c r="O823" s="3" t="inlineStr">
        <is>
          <t>https://vanillabonds.com/dossier-data/pdf/katjes/katjes-2025-annual-report.pdf#page=31</t>
        </is>
      </c>
    </row>
    <row r="824">
      <c r="A824" s="2" t="inlineStr">
        <is>
          <t>F823</t>
        </is>
      </c>
      <c r="B824" s="2" t="inlineStr">
        <is>
          <t>market</t>
        </is>
      </c>
      <c r="C824" s="2" t="inlineStr">
        <is>
          <t>regulation_item</t>
        </is>
      </c>
      <c r="D824" s="3" t="inlineStr">
        <is>
          <t>Regulation: measure; effective; effect on the company as stated; source</t>
        </is>
      </c>
      <c r="E824" s="2" t="n"/>
      <c r="F824" s="2" t="n"/>
      <c r="G824" s="2" t="n"/>
      <c r="H824" s="3" t="inlineStr">
        <is>
          <t>measure: IFRS 18 and IFRS 19; effective: financial years from January 1, 2027 (IFRS 9/IFRS 7 amendments from 2026); effect on the company as stated: presentation changes under IFRS 18, otherwise no material impact; source: notes 2.2</t>
        </is>
      </c>
      <c r="I824" s="2" t="inlineStr">
        <is>
          <t>S3</t>
        </is>
      </c>
      <c r="J824" s="2" t="n">
        <v>46</v>
      </c>
      <c r="K824" s="3" t="inlineStr">
        <is>
          <t>Except for the presentation changes required by IFRS 18, no material impact on the consolidated financial statements</t>
        </is>
      </c>
      <c r="L824" s="2" t="inlineStr">
        <is>
          <t>ok</t>
        </is>
      </c>
      <c r="M824" s="2" t="inlineStr">
        <is>
          <t>demo reviewer</t>
        </is>
      </c>
      <c r="N824" s="2" t="n"/>
      <c r="O824" s="3" t="inlineStr">
        <is>
          <t>https://vanillabonds.com/dossier-data/pdf/katjes/katjes-2025-annual-report.pdf#page=46</t>
        </is>
      </c>
    </row>
    <row r="825">
      <c r="A825" s="2" t="inlineStr">
        <is>
          <t>F824</t>
        </is>
      </c>
      <c r="B825" s="2" t="inlineStr">
        <is>
          <t>market</t>
        </is>
      </c>
      <c r="C825" s="2" t="inlineStr">
        <is>
          <t>regulation_item</t>
        </is>
      </c>
      <c r="D825" s="3" t="inlineStr">
        <is>
          <t>Regulation: measure; effective; effect on the company as stated; source</t>
        </is>
      </c>
      <c r="E825" s="2" t="n"/>
      <c r="F825" s="2" t="n"/>
      <c r="G825" s="2" t="n"/>
      <c r="H825" s="3" t="inlineStr">
        <is>
          <t>measure: OECD BEPS Pillar II global minimum tax (GloBE Rules); effective: 2025; effect on the company as stated: not applicable as revenue thresholds not exceeded; source: notes 2.3</t>
        </is>
      </c>
      <c r="I825" s="2" t="inlineStr">
        <is>
          <t>S3</t>
        </is>
      </c>
      <c r="J825" s="2" t="n">
        <v>50</v>
      </c>
      <c r="K825" s="3" t="inlineStr">
        <is>
          <t>The rules on global minimum taxation under OECD BEPS Pillar II (GloBE Rules) are not applicable to the Katjes International Group in the financial year 2025</t>
        </is>
      </c>
      <c r="L825" s="2" t="inlineStr">
        <is>
          <t>ok</t>
        </is>
      </c>
      <c r="M825" s="2" t="inlineStr">
        <is>
          <t>demo reviewer</t>
        </is>
      </c>
      <c r="N825" s="2" t="n"/>
      <c r="O825" s="3" t="inlineStr">
        <is>
          <t>https://vanillabonds.com/dossier-data/pdf/katjes/katjes-2025-annual-report.pdf#page=50</t>
        </is>
      </c>
    </row>
    <row r="826">
      <c r="A826" s="2" t="inlineStr">
        <is>
          <t>F825</t>
        </is>
      </c>
      <c r="B826" s="2" t="inlineStr">
        <is>
          <t>market</t>
        </is>
      </c>
      <c r="C826" s="2" t="inlineStr">
        <is>
          <t>industry_assessment</t>
        </is>
      </c>
      <c r="D826" s="3" t="inlineStr">
        <is>
          <t>Third-party industry assessment, quoted verbatim: source; date; text; licence (T)</t>
        </is>
      </c>
      <c r="E826" s="2" t="n"/>
      <c r="F826" s="2" t="n"/>
      <c r="G826" s="2" t="n"/>
      <c r="H826" s="3" t="inlineStr">
        <is>
          <t>source: McKinsey report 'The State of Fashion 2025'; date: 2025; text: 'the luxury fashion market is facing significant global challenges. For the coming years, a neutral to positive development with growth between 0% and 5% is expected.'; licence: not stated</t>
        </is>
      </c>
      <c r="I826" s="2" t="inlineStr">
        <is>
          <t>S3</t>
        </is>
      </c>
      <c r="J826" s="2" t="n">
        <v>23</v>
      </c>
      <c r="K826" s="3" t="inlineStr">
        <is>
          <t>For the coming years, a neutral to positive development with growth between 0% and 5% is expected.</t>
        </is>
      </c>
      <c r="L826" s="2" t="inlineStr">
        <is>
          <t>ok</t>
        </is>
      </c>
      <c r="M826" s="2" t="inlineStr">
        <is>
          <t>demo reviewer</t>
        </is>
      </c>
      <c r="N826" s="2" t="n"/>
      <c r="O826" s="3" t="inlineStr">
        <is>
          <t>https://vanillabonds.com/dossier-data/pdf/katjes/katjes-2025-annual-report.pdf#page=23</t>
        </is>
      </c>
    </row>
    <row r="827">
      <c r="A827" s="2" t="inlineStr">
        <is>
          <t>F826</t>
        </is>
      </c>
      <c r="B827" s="2" t="inlineStr">
        <is>
          <t>market</t>
        </is>
      </c>
      <c r="C827" s="2" t="inlineStr">
        <is>
          <t>contract_term</t>
        </is>
      </c>
      <c r="D827" s="3" t="inlineStr">
        <is>
          <t>Key contract: counterparty; share (of revenue or purchases, 0-1); duration; termination; indexation</t>
        </is>
      </c>
      <c r="E827" s="2" t="n"/>
      <c r="F827" s="2" t="n"/>
      <c r="G827" s="2" t="n"/>
      <c r="H827" s="3" t="inlineStr">
        <is>
          <t>counterparty: BBC (licensing partnership for the brand Bluey, Bübchen); duration: first products in retail since November 2025</t>
        </is>
      </c>
      <c r="I827" s="2" t="inlineStr">
        <is>
          <t>S3</t>
        </is>
      </c>
      <c r="J827" s="2" t="n">
        <v>13</v>
      </c>
      <c r="K827" s="3" t="inlineStr">
        <is>
          <t>Through a new licensing partnership with the BBC for the internationally successful brand Bluey, Bübchen is bringing fresh momentum to the toddler segment.</t>
        </is>
      </c>
      <c r="L827" s="2" t="inlineStr">
        <is>
          <t>ok</t>
        </is>
      </c>
      <c r="M827" s="2" t="inlineStr">
        <is>
          <t>demo reviewer</t>
        </is>
      </c>
      <c r="N827" s="2" t="n"/>
      <c r="O827" s="3" t="inlineStr">
        <is>
          <t>https://vanillabonds.com/dossier-data/pdf/katjes/katjes-2025-annual-report.pdf#page=13</t>
        </is>
      </c>
    </row>
    <row r="828">
      <c r="A828" s="2" t="inlineStr">
        <is>
          <t>F827</t>
        </is>
      </c>
      <c r="B828" s="2" t="inlineStr">
        <is>
          <t>market</t>
        </is>
      </c>
      <c r="C828" s="2" t="inlineStr">
        <is>
          <t>contract_term</t>
        </is>
      </c>
      <c r="D828" s="3" t="inlineStr">
        <is>
          <t>Key contract: counterparty; share (of revenue or purchases, 0-1); duration; termination; indexation</t>
        </is>
      </c>
      <c r="E828" s="2" t="n"/>
      <c r="F828" s="2" t="n"/>
      <c r="G828" s="2" t="n"/>
      <c r="H828" s="3" t="inlineStr">
        <is>
          <t>counterparty: Hasbro (Peppa Pig licence, Theramed children's toothpaste); duration: launched September 2025</t>
        </is>
      </c>
      <c r="I828" s="2" t="inlineStr">
        <is>
          <t>S3</t>
        </is>
      </c>
      <c r="J828" s="2" t="n">
        <v>14</v>
      </c>
      <c r="K828" s="3" t="inlineStr">
        <is>
          <t>As part of a licensing partnership with Hasbro, Theramed launched a children’s toothpaste featuring the popular Peppa Pig licence in September.</t>
        </is>
      </c>
      <c r="L828" s="2" t="inlineStr">
        <is>
          <t>ok</t>
        </is>
      </c>
      <c r="M828" s="2" t="inlineStr">
        <is>
          <t>demo reviewer</t>
        </is>
      </c>
      <c r="N828" s="2" t="n"/>
      <c r="O828" s="3" t="inlineStr">
        <is>
          <t>https://vanillabonds.com/dossier-data/pdf/katjes/katjes-2025-annual-report.pdf#page=14</t>
        </is>
      </c>
    </row>
    <row r="829">
      <c r="A829" s="2" t="inlineStr">
        <is>
          <t>F828</t>
        </is>
      </c>
      <c r="B829" s="2" t="inlineStr">
        <is>
          <t>market</t>
        </is>
      </c>
      <c r="C829" s="2" t="inlineStr">
        <is>
          <t>contract_term</t>
        </is>
      </c>
      <c r="D829" s="3" t="inlineStr">
        <is>
          <t>Key contract: counterparty; share (of revenue or purchases, 0-1); duration; termination; indexation</t>
        </is>
      </c>
      <c r="E829" s="2" t="n"/>
      <c r="F829" s="2" t="n"/>
      <c r="G829" s="2" t="n"/>
      <c r="H829" s="3" t="inlineStr">
        <is>
          <t>counterparty: Marks &amp; Spencer (first branded confectionery listing, exclusive range of three SKUs for Candy Kittens)</t>
        </is>
      </c>
      <c r="I829" s="2" t="inlineStr">
        <is>
          <t>S3</t>
        </is>
      </c>
      <c r="J829" s="2" t="n">
        <v>15</v>
      </c>
      <c r="K829" s="3" t="inlineStr">
        <is>
          <t>Candy Kittens became the first branded confectionery product to be listed by Marks &amp; Spencer</t>
        </is>
      </c>
      <c r="L829" s="2" t="inlineStr">
        <is>
          <t>ok</t>
        </is>
      </c>
      <c r="M829" s="2" t="inlineStr">
        <is>
          <t>demo reviewer</t>
        </is>
      </c>
      <c r="N829" s="2" t="n"/>
      <c r="O829" s="3" t="inlineStr">
        <is>
          <t>https://vanillabonds.com/dossier-data/pdf/katjes/katjes-2025-annual-report.pdf#page=15</t>
        </is>
      </c>
    </row>
    <row r="830">
      <c r="A830" s="2" t="inlineStr">
        <is>
          <t>F829</t>
        </is>
      </c>
      <c r="B830" s="2" t="inlineStr">
        <is>
          <t>market</t>
        </is>
      </c>
      <c r="C830" s="2" t="inlineStr">
        <is>
          <t>contract_term</t>
        </is>
      </c>
      <c r="D830" s="3" t="inlineStr">
        <is>
          <t>Key contract: counterparty; share (of revenue or purchases, 0-1); duration; termination; indexation</t>
        </is>
      </c>
      <c r="E830" s="2" t="n"/>
      <c r="F830" s="2" t="n"/>
      <c r="G830" s="2" t="n"/>
      <c r="H830" s="3" t="inlineStr">
        <is>
          <t>counterparty: German Ski Association (Bogner equips World Cup athletes); duration: more than 70 years</t>
        </is>
      </c>
      <c r="I830" s="2" t="inlineStr">
        <is>
          <t>S3</t>
        </is>
      </c>
      <c r="J830" s="2" t="n">
        <v>16</v>
      </c>
      <c r="K830" s="3" t="inlineStr">
        <is>
          <t>For more than 70 years, BOGNER has equipped athletes of the German Ski Association for the World Cup season</t>
        </is>
      </c>
      <c r="L830" s="2" t="inlineStr">
        <is>
          <t>ok</t>
        </is>
      </c>
      <c r="M830" s="2" t="inlineStr">
        <is>
          <t>demo reviewer</t>
        </is>
      </c>
      <c r="N830" s="2" t="n"/>
      <c r="O830" s="3" t="inlineStr">
        <is>
          <t>https://vanillabonds.com/dossier-data/pdf/katjes/katjes-2025-annual-report.pdf#page=16</t>
        </is>
      </c>
    </row>
    <row r="831">
      <c r="A831" s="2" t="inlineStr">
        <is>
          <t>F830</t>
        </is>
      </c>
      <c r="B831" s="2" t="inlineStr">
        <is>
          <t>market</t>
        </is>
      </c>
      <c r="C831" s="2" t="inlineStr">
        <is>
          <t>contract_term</t>
        </is>
      </c>
      <c r="D831" s="3" t="inlineStr">
        <is>
          <t>Key contract: counterparty; share (of revenue or purchases, 0-1); duration; termination; indexation</t>
        </is>
      </c>
      <c r="E831" s="2" t="n"/>
      <c r="F831" s="2" t="n"/>
      <c r="G831" s="2" t="n"/>
      <c r="H831" s="3" t="inlineStr">
        <is>
          <t>counterparty: raw material suppliers (sugar, glucose, cocoa, nuts, panthenol, energy); duration: contracts typically 3 to 24 months; indexation: fixed-price agreements used short term</t>
        </is>
      </c>
      <c r="I831" s="2" t="inlineStr">
        <is>
          <t>S3</t>
        </is>
      </c>
      <c r="J831" s="2" t="n">
        <v>55</v>
      </c>
      <c r="K831" s="3" t="inlineStr">
        <is>
          <t>The Group addresses this risk by entering into contracts with suppliers, which typically have terms of between 3 and 24 months.</t>
        </is>
      </c>
      <c r="L831" s="2" t="inlineStr">
        <is>
          <t>ok</t>
        </is>
      </c>
      <c r="M831" s="2" t="inlineStr">
        <is>
          <t>demo reviewer</t>
        </is>
      </c>
      <c r="N831" s="2" t="n"/>
      <c r="O831" s="3" t="inlineStr">
        <is>
          <t>https://vanillabonds.com/dossier-data/pdf/katjes/katjes-2025-annual-report.pdf#page=55</t>
        </is>
      </c>
    </row>
    <row r="832">
      <c r="A832" s="2" t="inlineStr">
        <is>
          <t>F831</t>
        </is>
      </c>
      <c r="B832" s="2" t="inlineStr">
        <is>
          <t>market</t>
        </is>
      </c>
      <c r="C832" s="2" t="inlineStr">
        <is>
          <t>price_cost_series</t>
        </is>
      </c>
      <c r="D832" s="3" t="inlineStr">
        <is>
          <t>Price or input-cost series: variable; year; value; unit; source</t>
        </is>
      </c>
      <c r="E832" s="2" t="n"/>
      <c r="F832" s="2" t="n"/>
      <c r="G832" s="2" t="n"/>
      <c r="H832" s="3" t="inlineStr">
        <is>
          <t>variable: cocoa price; year: 2025; value: record high in H1 2025, declined in H2, sugar prices stabilised; unit: n/a; source: company statement in the group management report</t>
        </is>
      </c>
      <c r="I832" s="2" t="inlineStr">
        <is>
          <t>S3</t>
        </is>
      </c>
      <c r="J832" s="2" t="n">
        <v>21</v>
      </c>
      <c r="K832" s="3" t="inlineStr">
        <is>
          <t>While sugar prices stabilised over the course of the year, cocoa prices remained volatile and rose to a record high in the first half of the year before declining in the second half.</t>
        </is>
      </c>
      <c r="L832" s="2" t="inlineStr">
        <is>
          <t>ok</t>
        </is>
      </c>
      <c r="M832" s="2" t="inlineStr">
        <is>
          <t>demo reviewer</t>
        </is>
      </c>
      <c r="N832" s="2" t="n"/>
      <c r="O832" s="3" t="inlineStr">
        <is>
          <t>https://vanillabonds.com/dossier-data/pdf/katjes/katjes-2025-annual-report.pdf#page=21</t>
        </is>
      </c>
    </row>
    <row r="833">
      <c r="A833" s="2" t="inlineStr">
        <is>
          <t>F832</t>
        </is>
      </c>
      <c r="B833" s="2" t="inlineStr">
        <is>
          <t>market</t>
        </is>
      </c>
      <c r="C833" s="2" t="inlineStr">
        <is>
          <t>price_cost_series</t>
        </is>
      </c>
      <c r="D833" s="3" t="inlineStr">
        <is>
          <t>Price or input-cost series: variable; year; value; unit; source</t>
        </is>
      </c>
      <c r="E833" s="2" t="n"/>
      <c r="F833" s="2" t="n"/>
      <c r="G833" s="2" t="n"/>
      <c r="H833" s="3" t="inlineStr">
        <is>
          <t>variable: raw materials named as price-volatile inputs (sugar, cocoa, nuts, glucose, panthenol, packaging); year: 2025; source: opportunities and risks report; the company 'may not be able to fully or partially offset such increases or pass them on to customers'</t>
        </is>
      </c>
      <c r="I833" s="2" t="inlineStr">
        <is>
          <t>S3</t>
        </is>
      </c>
      <c r="J833" s="2" t="n">
        <v>31</v>
      </c>
      <c r="K833" s="3" t="inlineStr">
        <is>
          <t>Katjes International may not be able to fully or partially offset such increases or pass them on to customers.</t>
        </is>
      </c>
      <c r="L833" s="2" t="inlineStr">
        <is>
          <t>ok</t>
        </is>
      </c>
      <c r="M833" s="2" t="inlineStr">
        <is>
          <t>demo reviewer</t>
        </is>
      </c>
      <c r="N833" s="2" t="n"/>
      <c r="O833" s="3" t="inlineStr">
        <is>
          <t>https://vanillabonds.com/dossier-data/pdf/katjes/katjes-2025-annual-report.pdf#page=31</t>
        </is>
      </c>
    </row>
    <row r="834">
      <c r="A834" s="2" t="inlineStr">
        <is>
          <t>F833</t>
        </is>
      </c>
      <c r="B834" s="2" t="inlineStr">
        <is>
          <t>market</t>
        </is>
      </c>
      <c r="C834" s="2" t="inlineStr">
        <is>
          <t>price_cost_series</t>
        </is>
      </c>
      <c r="D834" s="3" t="inlineStr">
        <is>
          <t>Price or input-cost series: variable; year; value; unit; source</t>
        </is>
      </c>
      <c r="E834" s="2" t="n"/>
      <c r="F834" s="2" t="n">
        <v>246.2</v>
      </c>
      <c r="G834" s="2" t="n"/>
      <c r="H834" s="3" t="inlineStr">
        <is>
          <t>variable: raw materials, consumables and goods purchased in cost of sales; year: 2025; value: 246.2 (2024: 192.3); unit: EUR m; source: notes 7.2</t>
        </is>
      </c>
      <c r="I834" s="2" t="inlineStr">
        <is>
          <t>S3</t>
        </is>
      </c>
      <c r="J834" s="2" t="n">
        <v>74</v>
      </c>
      <c r="K834" s="3" t="inlineStr">
        <is>
          <t>as well as goods purchased in the amount of EUR 246.2 million (2024: EUR 192.3 million)</t>
        </is>
      </c>
      <c r="L834" s="2" t="inlineStr">
        <is>
          <t>ok</t>
        </is>
      </c>
      <c r="M834" s="2" t="inlineStr">
        <is>
          <t>demo reviewer</t>
        </is>
      </c>
      <c r="N834" s="2" t="n"/>
      <c r="O834" s="3" t="inlineStr">
        <is>
          <t>https://vanillabonds.com/dossier-data/pdf/katjes/katjes-2025-annual-report.pdf#page=74</t>
        </is>
      </c>
    </row>
    <row r="835">
      <c r="A835" s="2" t="inlineStr">
        <is>
          <t>F834</t>
        </is>
      </c>
      <c r="B835" s="2" t="inlineStr">
        <is>
          <t>market</t>
        </is>
      </c>
      <c r="C835" s="2" t="inlineStr">
        <is>
          <t>permit</t>
        </is>
      </c>
      <c r="D835" s="3" t="inlineStr">
        <is>
          <t>Certification, licence, permit or patent: item; issuer; expiry; register</t>
        </is>
      </c>
      <c r="E835" s="2" t="n"/>
      <c r="F835" s="2" t="n"/>
      <c r="G835" s="2" t="n"/>
      <c r="H835" s="3" t="inlineStr">
        <is>
          <t>item: IFS (International Featured Standards) or BRC (British Retail Consortium) food production certification plus quality, hygiene and occupational safety certifications at production sites; issuer: IFS / BRC</t>
        </is>
      </c>
      <c r="I835" s="2" t="inlineStr">
        <is>
          <t>S3</t>
        </is>
      </c>
      <c r="J835" s="2" t="n">
        <v>29</v>
      </c>
      <c r="K835" s="3" t="inlineStr">
        <is>
          <t>the key investments in the confectionery and personal care segments regularly undergo food and quality</t>
        </is>
      </c>
      <c r="L835" s="2" t="inlineStr">
        <is>
          <t>ok</t>
        </is>
      </c>
      <c r="M835" s="2" t="inlineStr">
        <is>
          <t>demo reviewer</t>
        </is>
      </c>
      <c r="N835" s="2" t="n"/>
      <c r="O835" s="3" t="inlineStr">
        <is>
          <t>https://vanillabonds.com/dossier-data/pdf/katjes/katjes-2025-annual-report.pdf#page=29</t>
        </is>
      </c>
    </row>
    <row r="836">
      <c r="A836" s="2" t="inlineStr">
        <is>
          <t>F835</t>
        </is>
      </c>
      <c r="B836" s="2" t="inlineStr">
        <is>
          <t>financials</t>
        </is>
      </c>
      <c r="C836" s="2" t="inlineStr">
        <is>
          <t>one_off</t>
        </is>
      </c>
      <c r="D836" s="3" t="inlineStr">
        <is>
          <t>One-off item: item; amount; recurrence (years in which it recurred)</t>
        </is>
      </c>
      <c r="E836" s="2" t="inlineStr">
        <is>
          <t>FY2024</t>
        </is>
      </c>
      <c r="F836" s="2" t="n">
        <v>6.9</v>
      </c>
      <c r="G836" s="2" t="n"/>
      <c r="H836" s="3" t="inlineStr">
        <is>
          <t>item: non-recurring deferred tax expense from exercising the corporate income tax option; amount: -6.9 tax expense; recurrence: none (0.0 in 2025)</t>
        </is>
      </c>
      <c r="I836" s="2" t="inlineStr">
        <is>
          <t>S3</t>
        </is>
      </c>
      <c r="J836" s="2" t="n">
        <v>37</v>
      </c>
      <c r="K836" s="3" t="inlineStr">
        <is>
          <t>Thereof non-recurring due to the exercise of the corporate income tax option: EUR 0.0 million (previous year: EUR -6.9 million)</t>
        </is>
      </c>
      <c r="L836" s="2" t="inlineStr">
        <is>
          <t>ok</t>
        </is>
      </c>
      <c r="M836" s="2" t="inlineStr">
        <is>
          <t>demo reviewer</t>
        </is>
      </c>
      <c r="N836" s="2" t="n"/>
      <c r="O836" s="3" t="inlineStr">
        <is>
          <t>https://vanillabonds.com/dossier-data/pdf/katjes/katjes-2025-annual-report.pdf#page=37</t>
        </is>
      </c>
    </row>
    <row r="837">
      <c r="A837" s="2" t="inlineStr">
        <is>
          <t>F836</t>
        </is>
      </c>
      <c r="B837" s="2" t="inlineStr">
        <is>
          <t>financials</t>
        </is>
      </c>
      <c r="C837" s="2" t="inlineStr">
        <is>
          <t>one_off</t>
        </is>
      </c>
      <c r="D837" s="3" t="inlineStr">
        <is>
          <t>One-off item: item; amount; recurrence (years in which it recurred)</t>
        </is>
      </c>
      <c r="E837" s="2" t="inlineStr">
        <is>
          <t>FY2024</t>
        </is>
      </c>
      <c r="F837" s="2" t="n"/>
      <c r="G837" s="2" t="n"/>
      <c r="H837" s="3" t="inlineStr">
        <is>
          <t>item: income from a legal case decided in the Group's favour (other operating income, other); amount: not stated; recurrence: none</t>
        </is>
      </c>
      <c r="I837" s="2" t="inlineStr">
        <is>
          <t>S3</t>
        </is>
      </c>
      <c r="J837" s="2" t="n">
        <v>75</v>
      </c>
      <c r="K837" s="3" t="inlineStr">
        <is>
          <t>In the previous year, the line item “Other” included, among other things, income from a legal case that was decided in the Group’s favor.</t>
        </is>
      </c>
      <c r="L837" s="2" t="inlineStr">
        <is>
          <t>ok</t>
        </is>
      </c>
      <c r="M837" s="2" t="inlineStr">
        <is>
          <t>demo reviewer</t>
        </is>
      </c>
      <c r="N837" s="2" t="n"/>
      <c r="O837" s="3" t="inlineStr">
        <is>
          <t>https://vanillabonds.com/dossier-data/pdf/katjes/katjes-2025-annual-report.pdf#page=75</t>
        </is>
      </c>
    </row>
    <row r="838">
      <c r="A838" s="2" t="inlineStr">
        <is>
          <t>F837</t>
        </is>
      </c>
      <c r="B838" s="2" t="inlineStr">
        <is>
          <t>financials</t>
        </is>
      </c>
      <c r="C838" s="2" t="inlineStr">
        <is>
          <t>one_off</t>
        </is>
      </c>
      <c r="D838" s="3" t="inlineStr">
        <is>
          <t>One-off item: item; amount; recurrence (years in which it recurred)</t>
        </is>
      </c>
      <c r="E838" s="2" t="inlineStr">
        <is>
          <t>FY2025</t>
        </is>
      </c>
      <c r="F838" s="2" t="n">
        <v>35.1</v>
      </c>
      <c r="G838" s="2" t="n"/>
      <c r="H838" s="3" t="inlineStr">
        <is>
          <t>item: badwill from initial consolidation of Bogner (other operating income); amount: 35.1; recurrence: none</t>
        </is>
      </c>
      <c r="I838" s="2" t="inlineStr">
        <is>
          <t>S3</t>
        </is>
      </c>
      <c r="J838" s="2" t="n">
        <v>75</v>
      </c>
      <c r="K838" s="2" t="inlineStr">
        <is>
          <t>Income from badwill 35.1 0.0</t>
        </is>
      </c>
      <c r="L838" s="2" t="inlineStr">
        <is>
          <t>ok</t>
        </is>
      </c>
      <c r="M838" s="2" t="inlineStr">
        <is>
          <t>demo reviewer</t>
        </is>
      </c>
      <c r="N838" s="2" t="n"/>
      <c r="O838" s="3" t="inlineStr">
        <is>
          <t>https://vanillabonds.com/dossier-data/pdf/katjes/katjes-2025-annual-report.pdf#page=75</t>
        </is>
      </c>
    </row>
    <row r="839">
      <c r="A839" s="2" t="inlineStr">
        <is>
          <t>F838</t>
        </is>
      </c>
      <c r="B839" s="2" t="inlineStr">
        <is>
          <t>financials</t>
        </is>
      </c>
      <c r="C839" s="2" t="inlineStr">
        <is>
          <t>one_off</t>
        </is>
      </c>
      <c r="D839" s="3" t="inlineStr">
        <is>
          <t>One-off item: item; amount; recurrence (years in which it recurred)</t>
        </is>
      </c>
      <c r="E839" s="2" t="inlineStr">
        <is>
          <t>FY2025</t>
        </is>
      </c>
      <c r="F839" s="2" t="n">
        <v>20.1</v>
      </c>
      <c r="G839" s="2" t="n"/>
      <c r="H839" s="3" t="inlineStr">
        <is>
          <t>item: gain on disposal of the 23% CPK minority interest (other operating income); amount: 20.1; recurrence: none</t>
        </is>
      </c>
      <c r="I839" s="2" t="inlineStr">
        <is>
          <t>S3</t>
        </is>
      </c>
      <c r="J839" s="2" t="n">
        <v>75</v>
      </c>
      <c r="K839" s="3" t="inlineStr">
        <is>
          <t>Gains on disposal of fixed assets 20.1 0.0</t>
        </is>
      </c>
      <c r="L839" s="2" t="inlineStr">
        <is>
          <t>ok</t>
        </is>
      </c>
      <c r="M839" s="2" t="inlineStr">
        <is>
          <t>demo reviewer</t>
        </is>
      </c>
      <c r="N839" s="2" t="n"/>
      <c r="O839" s="3" t="inlineStr">
        <is>
          <t>https://vanillabonds.com/dossier-data/pdf/katjes/katjes-2025-annual-report.pdf#page=75</t>
        </is>
      </c>
    </row>
    <row r="840">
      <c r="A840" s="2" t="inlineStr">
        <is>
          <t>F839</t>
        </is>
      </c>
      <c r="B840" s="2" t="inlineStr">
        <is>
          <t>financials</t>
        </is>
      </c>
      <c r="C840" s="2" t="inlineStr">
        <is>
          <t>one_off</t>
        </is>
      </c>
      <c r="D840" s="3" t="inlineStr">
        <is>
          <t>One-off item: item; amount; recurrence (years in which it recurred)</t>
        </is>
      </c>
      <c r="E840" s="2" t="inlineStr">
        <is>
          <t>FY2025</t>
        </is>
      </c>
      <c r="F840" s="2" t="n">
        <v>1.3</v>
      </c>
      <c r="G840" s="2" t="n"/>
      <c r="H840" s="3" t="inlineStr">
        <is>
          <t>item: fees in connection with the repayment of loans (financial expenses, other); amount: 1.3; recurrence: none</t>
        </is>
      </c>
      <c r="I840" s="2" t="inlineStr">
        <is>
          <t>S3</t>
        </is>
      </c>
      <c r="J840" s="2" t="n">
        <v>75</v>
      </c>
      <c r="K840" s="3" t="inlineStr">
        <is>
          <t>fees in connection with the repayment of loans in the reporting year (EUR 1.3 million)</t>
        </is>
      </c>
      <c r="L840" s="2" t="inlineStr">
        <is>
          <t>ok</t>
        </is>
      </c>
      <c r="M840" s="2" t="inlineStr">
        <is>
          <t>demo reviewer</t>
        </is>
      </c>
      <c r="N840" s="2" t="n"/>
      <c r="O840" s="3" t="inlineStr">
        <is>
          <t>https://vanillabonds.com/dossier-data/pdf/katjes/katjes-2025-annual-report.pdf#page=75</t>
        </is>
      </c>
    </row>
    <row r="841">
      <c r="A841" s="2" t="inlineStr">
        <is>
          <t>F840</t>
        </is>
      </c>
      <c r="B841" s="2" t="inlineStr">
        <is>
          <t>financials</t>
        </is>
      </c>
      <c r="C841" s="2" t="inlineStr">
        <is>
          <t>one_off</t>
        </is>
      </c>
      <c r="D841" s="3" t="inlineStr">
        <is>
          <t>One-off item: item; amount; recurrence (years in which it recurred)</t>
        </is>
      </c>
      <c r="E841" s="2" t="inlineStr">
        <is>
          <t>FY2025</t>
        </is>
      </c>
      <c r="F841" s="2" t="n">
        <v>1.5</v>
      </c>
      <c r="G841" s="2" t="n"/>
      <c r="H841" s="3" t="inlineStr">
        <is>
          <t>item: expenses from changes in fair value of stand-alone derivatives (financial expenses, other); amount: 1.5; recurrence: none</t>
        </is>
      </c>
      <c r="I841" s="2" t="inlineStr">
        <is>
          <t>S3</t>
        </is>
      </c>
      <c r="J841" s="2" t="n">
        <v>75</v>
      </c>
      <c r="K841" s="3" t="inlineStr">
        <is>
          <t>the fair value of stand-alone derivatives (EUR 1.5</t>
        </is>
      </c>
      <c r="L841" s="2" t="inlineStr">
        <is>
          <t>ok</t>
        </is>
      </c>
      <c r="M841" s="2" t="inlineStr">
        <is>
          <t>demo reviewer</t>
        </is>
      </c>
      <c r="N841" s="2" t="n"/>
      <c r="O841" s="3" t="inlineStr">
        <is>
          <t>https://vanillabonds.com/dossier-data/pdf/katjes/katjes-2025-annual-report.pdf#page=75</t>
        </is>
      </c>
    </row>
    <row r="842">
      <c r="A842" s="2" t="inlineStr">
        <is>
          <t>F841</t>
        </is>
      </c>
      <c r="B842" s="2" t="inlineStr">
        <is>
          <t>financials</t>
        </is>
      </c>
      <c r="C842" s="2" t="inlineStr">
        <is>
          <t>one_off</t>
        </is>
      </c>
      <c r="D842" s="3" t="inlineStr">
        <is>
          <t>One-off item: item; amount; recurrence (years in which it recurred)</t>
        </is>
      </c>
      <c r="E842" s="2" t="inlineStr">
        <is>
          <t>FY2025</t>
        </is>
      </c>
      <c r="F842" s="2" t="n">
        <v>0.6</v>
      </c>
      <c r="G842" s="2" t="n"/>
      <c r="H842" s="3" t="inlineStr">
        <is>
          <t>item: severance payments; amount: 0.6 (2024: 0.8); recurrence: 2024</t>
        </is>
      </c>
      <c r="I842" s="2" t="inlineStr">
        <is>
          <t>S3</t>
        </is>
      </c>
      <c r="J842" s="2" t="n">
        <v>75</v>
      </c>
      <c r="K842" s="3" t="inlineStr">
        <is>
          <t>ments amounted to EUR 0.6 million (2024: EUR 0.8 million).</t>
        </is>
      </c>
      <c r="L842" s="2" t="inlineStr">
        <is>
          <t>ok</t>
        </is>
      </c>
      <c r="M842" s="2" t="inlineStr">
        <is>
          <t>demo reviewer</t>
        </is>
      </c>
      <c r="N842" s="2" t="n"/>
      <c r="O842" s="3" t="inlineStr">
        <is>
          <t>https://vanillabonds.com/dossier-data/pdf/katjes/katjes-2025-annual-report.pdf#page=75</t>
        </is>
      </c>
    </row>
    <row r="843">
      <c r="A843" s="2" t="inlineStr">
        <is>
          <t>F842</t>
        </is>
      </c>
      <c r="B843" s="2" t="inlineStr">
        <is>
          <t>financials</t>
        </is>
      </c>
      <c r="C843" s="2" t="inlineStr">
        <is>
          <t>offbalance_item</t>
        </is>
      </c>
      <c r="D843" s="3" t="inlineStr">
        <is>
          <t>Off-balance item: kind (lease, factoring, guarantee given, pension deficit, earn-out, litigation provision); amount; counterparty</t>
        </is>
      </c>
      <c r="E843" s="2" t="inlineStr">
        <is>
          <t>FY2024</t>
        </is>
      </c>
      <c r="F843" s="2" t="n">
        <v>8.9</v>
      </c>
      <c r="G843" s="2" t="n"/>
      <c r="H843" s="3" t="inlineStr">
        <is>
          <t>kind: pension deficit; amount: 8.9 provision for pensions and similar obligations at 31 Dec 2024; counterparty: defined benefit plans in Germany, Italy and Switzerland</t>
        </is>
      </c>
      <c r="I843" s="2" t="inlineStr">
        <is>
          <t>S3</t>
        </is>
      </c>
      <c r="J843" s="2" t="n">
        <v>40</v>
      </c>
      <c r="K843" s="3" t="inlineStr">
        <is>
          <t>Provisions for pensions and similar obligations 6.12 16.1 8.9</t>
        </is>
      </c>
      <c r="L843" s="2" t="inlineStr">
        <is>
          <t>ok</t>
        </is>
      </c>
      <c r="M843" s="2" t="inlineStr">
        <is>
          <t>demo reviewer</t>
        </is>
      </c>
      <c r="N843" s="2" t="n"/>
      <c r="O843" s="3" t="inlineStr">
        <is>
          <t>https://vanillabonds.com/dossier-data/pdf/katjes/katjes-2025-annual-report.pdf#page=40</t>
        </is>
      </c>
    </row>
    <row r="844">
      <c r="A844" s="2" t="inlineStr">
        <is>
          <t>F843</t>
        </is>
      </c>
      <c r="B844" s="2" t="inlineStr">
        <is>
          <t>financials</t>
        </is>
      </c>
      <c r="C844" s="2" t="inlineStr">
        <is>
          <t>offbalance_item</t>
        </is>
      </c>
      <c r="D844" s="3" t="inlineStr">
        <is>
          <t>Off-balance item: kind (lease, factoring, guarantee given, pension deficit, earn-out, litigation provision); amount; counterparty</t>
        </is>
      </c>
      <c r="E844" s="2" t="inlineStr">
        <is>
          <t>FY2025</t>
        </is>
      </c>
      <c r="F844" s="2" t="n">
        <v>16.1</v>
      </c>
      <c r="G844" s="2" t="n"/>
      <c r="H844" s="3" t="inlineStr">
        <is>
          <t>kind: pension deficit; amount: 16.1 provision for pensions and similar obligations (2024: 8.9), funded DBO 17.2 less plan assets 14.8 plus unfunded obligations; counterparty: defined benefit plans in Germany, Italy and Switzerland, 8.6 added from Bogner</t>
        </is>
      </c>
      <c r="I844" s="2" t="inlineStr">
        <is>
          <t>S3</t>
        </is>
      </c>
      <c r="J844" s="2" t="n">
        <v>40</v>
      </c>
      <c r="K844" s="3" t="inlineStr">
        <is>
          <t>Provisions for pensions and similar obligations 6.12 16.1 8.9</t>
        </is>
      </c>
      <c r="L844" s="2" t="inlineStr">
        <is>
          <t>ok</t>
        </is>
      </c>
      <c r="M844" s="2" t="inlineStr">
        <is>
          <t>demo reviewer</t>
        </is>
      </c>
      <c r="N844" s="2" t="n"/>
      <c r="O844" s="3" t="inlineStr">
        <is>
          <t>https://vanillabonds.com/dossier-data/pdf/katjes/katjes-2025-annual-report.pdf#page=40</t>
        </is>
      </c>
    </row>
    <row r="845">
      <c r="A845" s="2" t="inlineStr">
        <is>
          <t>F844</t>
        </is>
      </c>
      <c r="B845" s="2" t="inlineStr">
        <is>
          <t>financials</t>
        </is>
      </c>
      <c r="C845" s="2" t="inlineStr">
        <is>
          <t>offbalance_item</t>
        </is>
      </c>
      <c r="D845" s="3" t="inlineStr">
        <is>
          <t>Off-balance item: kind (lease, factoring, guarantee given, pension deficit, earn-out, litigation provision); amount; counterparty</t>
        </is>
      </c>
      <c r="E845" s="2" t="inlineStr">
        <is>
          <t>FY2025</t>
        </is>
      </c>
      <c r="F845" s="2" t="n">
        <v>7.1</v>
      </c>
      <c r="G845" s="2" t="n"/>
      <c r="H845" s="3" t="inlineStr">
        <is>
          <t>kind: earn-out (minority option liabilities); amount: 7.1 other financial liabilities at fair value (Dulcioliva purchase option 1.6 and Bogner put option 5.5); counterparty: Dulcioliva and Bogner minority shareholders</t>
        </is>
      </c>
      <c r="I845" s="2" t="inlineStr">
        <is>
          <t>S3</t>
        </is>
      </c>
      <c r="J845" s="2" t="n">
        <v>62</v>
      </c>
      <c r="K845" s="3" t="inlineStr">
        <is>
          <t>Other financial liabilities³ 7.1 7.1** FV PL | FV OCI</t>
        </is>
      </c>
      <c r="L845" s="2" t="inlineStr">
        <is>
          <t>ok</t>
        </is>
      </c>
      <c r="M845" s="2" t="inlineStr">
        <is>
          <t>demo reviewer</t>
        </is>
      </c>
      <c r="N845" s="2" t="n"/>
      <c r="O845" s="3" t="inlineStr">
        <is>
          <t>https://vanillabonds.com/dossier-data/pdf/katjes/katjes-2025-annual-report.pdf#page=62</t>
        </is>
      </c>
    </row>
    <row r="846">
      <c r="A846" s="2" t="inlineStr">
        <is>
          <t>F845</t>
        </is>
      </c>
      <c r="B846" s="2" t="inlineStr">
        <is>
          <t>financials</t>
        </is>
      </c>
      <c r="C846" s="2" t="inlineStr">
        <is>
          <t>offbalance_item</t>
        </is>
      </c>
      <c r="D846" s="3" t="inlineStr">
        <is>
          <t>Off-balance item: kind (lease, factoring, guarantee given, pension deficit, earn-out, litigation provision); amount; counterparty</t>
        </is>
      </c>
      <c r="E846" s="2" t="inlineStr">
        <is>
          <t>FY2025</t>
        </is>
      </c>
      <c r="F846" s="2" t="n"/>
      <c r="G846" s="2" t="n"/>
      <c r="H846" s="3" t="inlineStr">
        <is>
          <t>kind: factoring; amount: not stated (69% of Piasten's, around 50% of Sperlari's and 43% of Bübchen Skincare's trade receivables sold and derecognised under IFRS 9.3.2.3); counterparty: factoring companies or similar service providers; finance expense for factoring 0.7</t>
        </is>
      </c>
      <c r="I846" s="2" t="inlineStr">
        <is>
          <t>S3</t>
        </is>
      </c>
      <c r="J846" s="2" t="n">
        <v>66</v>
      </c>
      <c r="K846" s="3" t="inlineStr">
        <is>
          <t>In the reporting year, 69% of Piasten’s trade receivables, around 50% of Sperlari’s and 43% of Bübchen Skincare’s were sold to factoring companies or similar service providers.</t>
        </is>
      </c>
      <c r="L846" s="2" t="inlineStr">
        <is>
          <t>ok</t>
        </is>
      </c>
      <c r="M846" s="2" t="inlineStr">
        <is>
          <t>demo reviewer</t>
        </is>
      </c>
      <c r="N846" s="2" t="n"/>
      <c r="O846" s="3" t="inlineStr">
        <is>
          <t>https://vanillabonds.com/dossier-data/pdf/katjes/katjes-2025-annual-report.pdf#page=66</t>
        </is>
      </c>
    </row>
    <row r="847">
      <c r="A847" s="2" t="inlineStr">
        <is>
          <t>F846</t>
        </is>
      </c>
      <c r="B847" s="2" t="inlineStr">
        <is>
          <t>financials</t>
        </is>
      </c>
      <c r="C847" s="2" t="inlineStr">
        <is>
          <t>offbalance_item</t>
        </is>
      </c>
      <c r="D847" s="3" t="inlineStr">
        <is>
          <t>Off-balance item: kind (lease, factoring, guarantee given, pension deficit, earn-out, litigation provision); amount; counterparty</t>
        </is>
      </c>
      <c r="E847" s="2" t="inlineStr">
        <is>
          <t>FY2025</t>
        </is>
      </c>
      <c r="F847" s="2" t="n">
        <v>2.1</v>
      </c>
      <c r="G847" s="2" t="n"/>
      <c r="H847" s="3" t="inlineStr">
        <is>
          <t>kind: supplier financing (reverse factoring); amount: 2.1 recognised as liabilities to banks (2024: 3.0), of which 2.1 already paid to suppliers; counterparty: bank; average payment term approximately 60 days</t>
        </is>
      </c>
      <c r="I847" s="2" t="inlineStr">
        <is>
          <t>S3</t>
        </is>
      </c>
      <c r="J847" s="2" t="n">
        <v>69</v>
      </c>
      <c r="K847" s="3" t="inlineStr">
        <is>
          <t>As at December 31, 2025, an amount of EUR 2.1 million</t>
        </is>
      </c>
      <c r="L847" s="2" t="inlineStr">
        <is>
          <t>ok</t>
        </is>
      </c>
      <c r="M847" s="2" t="inlineStr">
        <is>
          <t>demo reviewer</t>
        </is>
      </c>
      <c r="N847" s="2" t="n"/>
      <c r="O847" s="3" t="inlineStr">
        <is>
          <t>https://vanillabonds.com/dossier-data/pdf/katjes/katjes-2025-annual-report.pdf#page=69</t>
        </is>
      </c>
    </row>
    <row r="848">
      <c r="A848" s="2" t="inlineStr">
        <is>
          <t>F847</t>
        </is>
      </c>
      <c r="B848" s="2" t="inlineStr">
        <is>
          <t>financials</t>
        </is>
      </c>
      <c r="C848" s="2" t="inlineStr">
        <is>
          <t>audit_adjustment</t>
        </is>
      </c>
      <c r="D848" s="3" t="inlineStr">
        <is>
          <t>Audit facts: adjustments (number); management_letter_points (number); restatements; key_audit_matters</t>
        </is>
      </c>
      <c r="E848" s="2" t="inlineStr">
        <is>
          <t>FY2025</t>
        </is>
      </c>
      <c r="F848" s="2" t="n"/>
      <c r="G848" s="2" t="n"/>
      <c r="H848" s="3" t="inlineStr">
        <is>
          <t>adjustments: not stated; restatements: prior-year regional revenue figures adjusted in certain areas to reflect the Bogner entities; key_audit_matters: none presented in the reproduced auditor's report; Bogner purchase price allocation preliminary regarding deferred taxes</t>
        </is>
      </c>
      <c r="I848" s="2" t="inlineStr">
        <is>
          <t>S3</t>
        </is>
      </c>
      <c r="J848" s="2" t="n">
        <v>77</v>
      </c>
      <c r="K848" s="3" t="inlineStr">
        <is>
          <t>To reflect the inclusion of the Bogner entities, prior year figures have been adjusted in certain areas.</t>
        </is>
      </c>
      <c r="L848" s="2" t="inlineStr">
        <is>
          <t>ok</t>
        </is>
      </c>
      <c r="M848" s="2" t="inlineStr">
        <is>
          <t>demo reviewer</t>
        </is>
      </c>
      <c r="N848" s="2" t="n"/>
      <c r="O848" s="3" t="inlineStr">
        <is>
          <t>https://vanillabonds.com/dossier-data/pdf/katjes/katjes-2025-annual-report.pdf#page=77</t>
        </is>
      </c>
    </row>
    <row r="849">
      <c r="A849" s="2" t="inlineStr">
        <is>
          <t>F848</t>
        </is>
      </c>
      <c r="B849" s="2" t="inlineStr">
        <is>
          <t>financials</t>
        </is>
      </c>
      <c r="C849" s="2" t="inlineStr">
        <is>
          <t>filing_days</t>
        </is>
      </c>
      <c r="D849" s="3" t="inlineStr">
        <is>
          <t>Days from year end to filing of the accounts</t>
        </is>
      </c>
      <c r="E849" s="2" t="inlineStr">
        <is>
          <t>FY2025</t>
        </is>
      </c>
      <c r="F849" s="2" t="n">
        <v>92</v>
      </c>
      <c r="G849" s="2" t="n"/>
      <c r="H849" s="3" t="inlineStr">
        <is>
          <t>Year end 31 Dec 2025 to auditor's report dated April 2, 2026 (consolidated statements approved for publication the same day)</t>
        </is>
      </c>
      <c r="I849" s="2" t="inlineStr">
        <is>
          <t>S3</t>
        </is>
      </c>
      <c r="J849" s="2" t="n">
        <v>91</v>
      </c>
      <c r="K849" s="2" t="inlineStr">
        <is>
          <t>Köln, April 2, 2026 EY GmbH &amp; Co. KG</t>
        </is>
      </c>
      <c r="L849" s="2" t="inlineStr">
        <is>
          <t>ok</t>
        </is>
      </c>
      <c r="M849" s="2" t="inlineStr">
        <is>
          <t>demo reviewer</t>
        </is>
      </c>
      <c r="N849" s="2" t="n"/>
      <c r="O849" s="3" t="inlineStr">
        <is>
          <t>https://vanillabonds.com/dossier-data/pdf/katjes/katjes-2025-annual-report.pdf#page=91</t>
        </is>
      </c>
    </row>
    <row r="850">
      <c r="A850" s="2" t="inlineStr">
        <is>
          <t>F849</t>
        </is>
      </c>
      <c r="B850" s="2" t="inlineStr">
        <is>
          <t>financials</t>
        </is>
      </c>
      <c r="C850" s="2" t="inlineStr">
        <is>
          <t>tax_item</t>
        </is>
      </c>
      <c r="D850" s="3" t="inlineStr">
        <is>
          <t>Tax item: position, open assessment, dispute, ruling, payment-behaviour statement</t>
        </is>
      </c>
      <c r="E850" s="2" t="n"/>
      <c r="F850" s="2" t="n"/>
      <c r="G850" s="2" t="n"/>
      <c r="H850" s="3" t="inlineStr">
        <is>
          <t>The partnership exercised the corporate income tax option with effect from January 1, 2025 (taxed as a corporation); management expects a 'more predictable and stable tax burden'.</t>
        </is>
      </c>
      <c r="I850" s="2" t="inlineStr">
        <is>
          <t>S3</t>
        </is>
      </c>
      <c r="J850" s="2" t="n">
        <v>24</v>
      </c>
      <c r="K850" s="3" t="inlineStr">
        <is>
          <t>exercised the so-called corporate income tax option with effect from January 1, 2025</t>
        </is>
      </c>
      <c r="L850" s="2" t="inlineStr">
        <is>
          <t>ok</t>
        </is>
      </c>
      <c r="M850" s="2" t="inlineStr">
        <is>
          <t>demo reviewer</t>
        </is>
      </c>
      <c r="N850" s="2" t="n"/>
      <c r="O850" s="3" t="inlineStr">
        <is>
          <t>https://vanillabonds.com/dossier-data/pdf/katjes/katjes-2025-annual-report.pdf#page=24</t>
        </is>
      </c>
    </row>
    <row r="851">
      <c r="A851" s="2" t="inlineStr">
        <is>
          <t>F850</t>
        </is>
      </c>
      <c r="B851" s="2" t="inlineStr">
        <is>
          <t>financials</t>
        </is>
      </c>
      <c r="C851" s="2" t="inlineStr">
        <is>
          <t>tax_item</t>
        </is>
      </c>
      <c r="D851" s="3" t="inlineStr">
        <is>
          <t>Tax item: position, open assessment, dispute, ruling, payment-behaviour statement</t>
        </is>
      </c>
      <c r="E851" s="2" t="n"/>
      <c r="F851" s="2" t="n">
        <v>52.4</v>
      </c>
      <c r="G851" s="2" t="n"/>
      <c r="H851" s="3" t="inlineStr">
        <is>
          <t>Deferred tax liabilities EUR 52.4m at 31 Dec 2025 (2024: 31.1), increase mainly from the Bogner purchase price allocation; deferred tax assets 13.2 (3.5).</t>
        </is>
      </c>
      <c r="I851" s="2" t="inlineStr">
        <is>
          <t>S3</t>
        </is>
      </c>
      <c r="J851" s="2" t="n">
        <v>40</v>
      </c>
      <c r="K851" s="2" t="inlineStr">
        <is>
          <t>Deferred tax liabilities 6.11 52.4 31.1</t>
        </is>
      </c>
      <c r="L851" s="2" t="inlineStr">
        <is>
          <t>ok</t>
        </is>
      </c>
      <c r="M851" s="2" t="inlineStr">
        <is>
          <t>demo reviewer</t>
        </is>
      </c>
      <c r="N851" s="2" t="n"/>
      <c r="O851" s="3" t="inlineStr">
        <is>
          <t>https://vanillabonds.com/dossier-data/pdf/katjes/katjes-2025-annual-report.pdf#page=40</t>
        </is>
      </c>
    </row>
    <row r="852">
      <c r="A852" s="2" t="inlineStr">
        <is>
          <t>F851</t>
        </is>
      </c>
      <c r="B852" s="2" t="inlineStr">
        <is>
          <t>financials</t>
        </is>
      </c>
      <c r="C852" s="2" t="inlineStr">
        <is>
          <t>tax_item</t>
        </is>
      </c>
      <c r="D852" s="3" t="inlineStr">
        <is>
          <t>Tax item: position, open assessment, dispute, ruling, payment-behaviour statement</t>
        </is>
      </c>
      <c r="E852" s="2" t="n"/>
      <c r="F852" s="2" t="n">
        <v>43.6</v>
      </c>
      <c r="G852" s="2" t="n"/>
      <c r="H852" s="3" t="inlineStr">
        <is>
          <t>No deferred tax assets on corporate income tax loss carryforwards of EUR 43.6m (2024: 33.7), trade tax loss carryforwards 8.0 (7.5) and other unrecognised loss carryforwards 8.6 (8.7); six-year planning horizon for recognised losses.</t>
        </is>
      </c>
      <c r="I852" s="2" t="inlineStr">
        <is>
          <t>S3</t>
        </is>
      </c>
      <c r="J852" s="2" t="n">
        <v>70</v>
      </c>
      <c r="K852" s="3" t="inlineStr">
        <is>
          <t>No deferred taxes were recognised on corporate income tax loss carryforwards amounting to EUR 43.6 million (2024: EUR 33.7 million) and on trade tax loss carryforwards amounting to EUR 8.0 million</t>
        </is>
      </c>
      <c r="L852" s="2" t="inlineStr">
        <is>
          <t>ok</t>
        </is>
      </c>
      <c r="M852" s="2" t="inlineStr">
        <is>
          <t>demo reviewer</t>
        </is>
      </c>
      <c r="N852" s="2" t="n"/>
      <c r="O852" s="3" t="inlineStr">
        <is>
          <t>https://vanillabonds.com/dossier-data/pdf/katjes/katjes-2025-annual-report.pdf#page=70</t>
        </is>
      </c>
    </row>
    <row r="853">
      <c r="A853" s="2" t="inlineStr">
        <is>
          <t>F852</t>
        </is>
      </c>
      <c r="B853" s="2" t="inlineStr">
        <is>
          <t>financials</t>
        </is>
      </c>
      <c r="C853" s="2" t="inlineStr">
        <is>
          <t>tax_item</t>
        </is>
      </c>
      <c r="D853" s="3" t="inlineStr">
        <is>
          <t>Tax item: position, open assessment, dispute, ruling, payment-behaviour statement</t>
        </is>
      </c>
      <c r="E853" s="2" t="n"/>
      <c r="F853" s="2" t="n">
        <v>0.3</v>
      </c>
      <c r="G853" s="2" t="n"/>
      <c r="H853" s="3" t="inlineStr">
        <is>
          <t>Dutch corporate income tax loss carryforwards of EUR 0.3m (2024: 0.8) expire within one year; other loss carryforwards available indefinitely.</t>
        </is>
      </c>
      <c r="I853" s="2" t="inlineStr">
        <is>
          <t>S3</t>
        </is>
      </c>
      <c r="J853" s="2" t="n">
        <v>70</v>
      </c>
      <c r="K853" s="3" t="inlineStr">
        <is>
          <t>Dutch corporate income tax loss carryforwards amounting to EUR 0.3 million (2024: EUR 0.8 million) expire within one year.</t>
        </is>
      </c>
      <c r="L853" s="2" t="inlineStr">
        <is>
          <t>ok</t>
        </is>
      </c>
      <c r="M853" s="2" t="inlineStr">
        <is>
          <t>demo reviewer</t>
        </is>
      </c>
      <c r="N853" s="2" t="n"/>
      <c r="O853" s="3" t="inlineStr">
        <is>
          <t>https://vanillabonds.com/dossier-data/pdf/katjes/katjes-2025-annual-report.pdf#page=70</t>
        </is>
      </c>
    </row>
    <row r="854">
      <c r="A854" s="2" t="inlineStr">
        <is>
          <t>F853</t>
        </is>
      </c>
      <c r="B854" s="2" t="inlineStr">
        <is>
          <t>financials</t>
        </is>
      </c>
      <c r="C854" s="2" t="inlineStr">
        <is>
          <t>tax_item</t>
        </is>
      </c>
      <c r="D854" s="3" t="inlineStr">
        <is>
          <t>Tax item: position, open assessment, dispute, ruling, payment-behaviour statement</t>
        </is>
      </c>
      <c r="E854" s="2" t="n"/>
      <c r="F854" s="2" t="n"/>
      <c r="G854" s="2" t="n"/>
      <c r="H854" s="3" t="inlineStr">
        <is>
          <t>Expected group tax rate 28.9% (2024: 12.9%), the average long-term rate of the German parent; different rates applied to deferred taxes after the enacted gradual CIT rate reduction.</t>
        </is>
      </c>
      <c r="I854" s="2" t="inlineStr">
        <is>
          <t>S3</t>
        </is>
      </c>
      <c r="J854" s="2" t="n">
        <v>76</v>
      </c>
      <c r="K854" s="3" t="inlineStr">
        <is>
          <t>The expected tax rate of 28.9% (2024: 12.9%) represents the average long-term tax rate of the German parent company.</t>
        </is>
      </c>
      <c r="L854" s="2" t="inlineStr">
        <is>
          <t>ok</t>
        </is>
      </c>
      <c r="M854" s="2" t="inlineStr">
        <is>
          <t>demo reviewer</t>
        </is>
      </c>
      <c r="N854" s="2" t="n"/>
      <c r="O854" s="3" t="inlineStr">
        <is>
          <t>https://vanillabonds.com/dossier-data/pdf/katjes/katjes-2025-annual-report.pdf#page=76</t>
        </is>
      </c>
    </row>
    <row r="855">
      <c r="A855" s="2" t="inlineStr">
        <is>
          <t>F854</t>
        </is>
      </c>
      <c r="B855" s="2" t="inlineStr">
        <is>
          <t>financials</t>
        </is>
      </c>
      <c r="C855" s="2" t="inlineStr">
        <is>
          <t>tax_item</t>
        </is>
      </c>
      <c r="D855" s="3" t="inlineStr">
        <is>
          <t>Tax item: position, open assessment, dispute, ruling, payment-behaviour statement</t>
        </is>
      </c>
      <c r="E855" s="2" t="n"/>
      <c r="F855" s="2" t="n">
        <v>1.3</v>
      </c>
      <c r="G855" s="2" t="n"/>
      <c r="H855" s="3" t="inlineStr">
        <is>
          <t>2025 tax income EUR 1.3m (2024: expense 10.2): current tax expense 3.5 (Germany 2.2, other 1.3; 2024: 3.3) and deferred tax income -4.8 (2024: expense 6.9); reconciliation includes tax rate changes -3.3 and initial consolidation -9.7.</t>
        </is>
      </c>
      <c r="I855" s="2" t="inlineStr">
        <is>
          <t>S3</t>
        </is>
      </c>
      <c r="J855" s="2" t="n">
        <v>76</v>
      </c>
      <c r="K855" s="3" t="inlineStr">
        <is>
          <t>Current tax expense/(income): Germany 2.2 2.7 Other countries 1.3 0.6 3.5 3.3</t>
        </is>
      </c>
      <c r="L855" s="2" t="inlineStr">
        <is>
          <t>ok</t>
        </is>
      </c>
      <c r="M855" s="2" t="inlineStr">
        <is>
          <t>demo reviewer</t>
        </is>
      </c>
      <c r="N855" s="2" t="n"/>
      <c r="O855" s="3" t="inlineStr">
        <is>
          <t>https://vanillabonds.com/dossier-data/pdf/katjes/katjes-2025-annual-report.pdf#page=76</t>
        </is>
      </c>
    </row>
    <row r="856">
      <c r="A856" s="2" t="inlineStr">
        <is>
          <t>F855</t>
        </is>
      </c>
      <c r="B856" s="2" t="inlineStr">
        <is>
          <t>financials</t>
        </is>
      </c>
      <c r="C856" s="2" t="inlineStr">
        <is>
          <t>tax_item</t>
        </is>
      </c>
      <c r="D856" s="3" t="inlineStr">
        <is>
          <t>Tax item: position, open assessment, dispute, ruling, payment-behaviour statement</t>
        </is>
      </c>
      <c r="E856" s="2" t="n"/>
      <c r="F856" s="2" t="n">
        <v>851.9</v>
      </c>
      <c r="G856" s="2" t="n"/>
      <c r="H856" s="3" t="inlineStr">
        <is>
          <t>No deferred tax liabilities on taxable temporary differences of EUR 851.9m (2024: 671.1) relating to investments in subsidiaries, as reversal is controlled and not expected.</t>
        </is>
      </c>
      <c r="I856" s="2" t="inlineStr">
        <is>
          <t>S3</t>
        </is>
      </c>
      <c r="J856" s="2" t="n">
        <v>76</v>
      </c>
      <c r="K856" s="3" t="inlineStr">
        <is>
          <t>No deferred taxes were recognised as at December 31, 2025 for taxable temporary differences in connection with investments in subsidiaries amounting to EUR 851.9 million (2024: EUR 671.1</t>
        </is>
      </c>
      <c r="L856" s="2" t="inlineStr">
        <is>
          <t>ok</t>
        </is>
      </c>
      <c r="M856" s="2" t="inlineStr">
        <is>
          <t>demo reviewer</t>
        </is>
      </c>
      <c r="N856" s="2" t="n"/>
      <c r="O856" s="3" t="inlineStr">
        <is>
          <t>https://vanillabonds.com/dossier-data/pdf/katjes/katjes-2025-annual-report.pdf#page=76</t>
        </is>
      </c>
    </row>
    <row r="857">
      <c r="A857" s="2" t="inlineStr">
        <is>
          <t>F856</t>
        </is>
      </c>
      <c r="B857" s="2" t="inlineStr">
        <is>
          <t>financials</t>
        </is>
      </c>
      <c r="C857" s="2" t="inlineStr">
        <is>
          <t>segment</t>
        </is>
      </c>
      <c r="D857" s="3" t="inlineStr">
        <is>
          <t>Segment: segment; revenue; ebitda; assets</t>
        </is>
      </c>
      <c r="E857" s="2" t="inlineStr">
        <is>
          <t>FY2024</t>
        </is>
      </c>
      <c r="F857" s="2" t="n">
        <v>160</v>
      </c>
      <c r="G857" s="2" t="n"/>
      <c r="H857" s="3" t="inlineStr">
        <is>
          <t>segment: Confectionery (business line, revenue only; single IFRS 8 operating segment); revenue: 160.0</t>
        </is>
      </c>
      <c r="I857" s="2" t="inlineStr">
        <is>
          <t>S3</t>
        </is>
      </c>
      <c r="J857" s="2" t="n">
        <v>74</v>
      </c>
      <c r="K857" s="2" t="inlineStr">
        <is>
          <t>Confectionery 174.9 160.0</t>
        </is>
      </c>
      <c r="L857" s="2" t="inlineStr">
        <is>
          <t>ok</t>
        </is>
      </c>
      <c r="M857" s="2" t="inlineStr">
        <is>
          <t>demo reviewer</t>
        </is>
      </c>
      <c r="N857" s="2" t="n"/>
      <c r="O857" s="3" t="inlineStr">
        <is>
          <t>https://vanillabonds.com/dossier-data/pdf/katjes/katjes-2025-annual-report.pdf#page=74</t>
        </is>
      </c>
    </row>
    <row r="858">
      <c r="A858" s="2" t="inlineStr">
        <is>
          <t>F857</t>
        </is>
      </c>
      <c r="B858" s="2" t="inlineStr">
        <is>
          <t>financials</t>
        </is>
      </c>
      <c r="C858" s="2" t="inlineStr">
        <is>
          <t>segment</t>
        </is>
      </c>
      <c r="D858" s="3" t="inlineStr">
        <is>
          <t>Segment: segment; revenue; ebitda; assets</t>
        </is>
      </c>
      <c r="E858" s="2" t="inlineStr">
        <is>
          <t>FY2024</t>
        </is>
      </c>
      <c r="F858" s="2" t="n">
        <v>54.7</v>
      </c>
      <c r="G858" s="2" t="n"/>
      <c r="H858" s="3" t="inlineStr">
        <is>
          <t>segment: Seasonals (business line, revenue only; single IFRS 8 operating segment); revenue: 54.7</t>
        </is>
      </c>
      <c r="I858" s="2" t="inlineStr">
        <is>
          <t>S3</t>
        </is>
      </c>
      <c r="J858" s="2" t="n">
        <v>74</v>
      </c>
      <c r="K858" s="2" t="inlineStr">
        <is>
          <t>Seasonals 145.1 54.7</t>
        </is>
      </c>
      <c r="L858" s="2" t="inlineStr">
        <is>
          <t>ok</t>
        </is>
      </c>
      <c r="M858" s="2" t="inlineStr">
        <is>
          <t>demo reviewer</t>
        </is>
      </c>
      <c r="N858" s="2" t="n"/>
      <c r="O858" s="3" t="inlineStr">
        <is>
          <t>https://vanillabonds.com/dossier-data/pdf/katjes/katjes-2025-annual-report.pdf#page=74</t>
        </is>
      </c>
    </row>
    <row r="859">
      <c r="A859" s="2" t="inlineStr">
        <is>
          <t>F858</t>
        </is>
      </c>
      <c r="B859" s="2" t="inlineStr">
        <is>
          <t>financials</t>
        </is>
      </c>
      <c r="C859" s="2" t="inlineStr">
        <is>
          <t>segment</t>
        </is>
      </c>
      <c r="D859" s="3" t="inlineStr">
        <is>
          <t>Segment: segment; revenue; ebitda; assets</t>
        </is>
      </c>
      <c r="E859" s="2" t="inlineStr">
        <is>
          <t>FY2024</t>
        </is>
      </c>
      <c r="F859" s="2" t="n">
        <v>90.40000000000001</v>
      </c>
      <c r="G859" s="2" t="n"/>
      <c r="H859" s="3" t="inlineStr">
        <is>
          <t>segment: Body care products (business line, revenue only; single IFRS 8 operating segment); revenue: 90.4</t>
        </is>
      </c>
      <c r="I859" s="2" t="inlineStr">
        <is>
          <t>S3</t>
        </is>
      </c>
      <c r="J859" s="2" t="n">
        <v>74</v>
      </c>
      <c r="K859" s="2" t="inlineStr">
        <is>
          <t>Body care products 97.1 90.4</t>
        </is>
      </c>
      <c r="L859" s="2" t="inlineStr">
        <is>
          <t>ok</t>
        </is>
      </c>
      <c r="M859" s="2" t="inlineStr">
        <is>
          <t>demo reviewer</t>
        </is>
      </c>
      <c r="N859" s="2" t="n"/>
      <c r="O859" s="3" t="inlineStr">
        <is>
          <t>https://vanillabonds.com/dossier-data/pdf/katjes/katjes-2025-annual-report.pdf#page=74</t>
        </is>
      </c>
    </row>
    <row r="860">
      <c r="A860" s="2" t="inlineStr">
        <is>
          <t>F859</t>
        </is>
      </c>
      <c r="B860" s="2" t="inlineStr">
        <is>
          <t>financials</t>
        </is>
      </c>
      <c r="C860" s="2" t="inlineStr">
        <is>
          <t>segment</t>
        </is>
      </c>
      <c r="D860" s="3" t="inlineStr">
        <is>
          <t>Segment: segment; revenue; ebitda; assets</t>
        </is>
      </c>
      <c r="E860" s="2" t="inlineStr">
        <is>
          <t>FY2024</t>
        </is>
      </c>
      <c r="F860" s="2" t="n">
        <v>57.8</v>
      </c>
      <c r="G860" s="2" t="n"/>
      <c r="H860" s="3" t="inlineStr">
        <is>
          <t>segment: Chocolate (business line, revenue only; single IFRS 8 operating segment); revenue: 57.8</t>
        </is>
      </c>
      <c r="I860" s="2" t="inlineStr">
        <is>
          <t>S3</t>
        </is>
      </c>
      <c r="J860" s="2" t="n">
        <v>74</v>
      </c>
      <c r="K860" s="2" t="inlineStr">
        <is>
          <t>Chocolate 57.3 57.8</t>
        </is>
      </c>
      <c r="L860" s="2" t="inlineStr">
        <is>
          <t>ok</t>
        </is>
      </c>
      <c r="M860" s="2" t="inlineStr">
        <is>
          <t>demo reviewer</t>
        </is>
      </c>
      <c r="N860" s="2" t="n"/>
      <c r="O860" s="3" t="inlineStr">
        <is>
          <t>https://vanillabonds.com/dossier-data/pdf/katjes/katjes-2025-annual-report.pdf#page=74</t>
        </is>
      </c>
    </row>
    <row r="861">
      <c r="A861" s="2" t="inlineStr">
        <is>
          <t>F860</t>
        </is>
      </c>
      <c r="B861" s="2" t="inlineStr">
        <is>
          <t>financials</t>
        </is>
      </c>
      <c r="C861" s="2" t="inlineStr">
        <is>
          <t>segment</t>
        </is>
      </c>
      <c r="D861" s="3" t="inlineStr">
        <is>
          <t>Segment: segment; revenue; ebitda; assets</t>
        </is>
      </c>
      <c r="E861" s="2" t="inlineStr">
        <is>
          <t>FY2024</t>
        </is>
      </c>
      <c r="F861" s="2" t="n">
        <v>29.7</v>
      </c>
      <c r="G861" s="2" t="n"/>
      <c r="H861" s="3" t="inlineStr">
        <is>
          <t>segment: Other (business line, revenue only; single IFRS 8 operating segment); revenue: 29.7</t>
        </is>
      </c>
      <c r="I861" s="2" t="inlineStr">
        <is>
          <t>S3</t>
        </is>
      </c>
      <c r="J861" s="2" t="n">
        <v>74</v>
      </c>
      <c r="K861" s="2" t="inlineStr">
        <is>
          <t>Other 28.6 29.7</t>
        </is>
      </c>
      <c r="L861" s="2" t="inlineStr">
        <is>
          <t>ok</t>
        </is>
      </c>
      <c r="M861" s="2" t="inlineStr">
        <is>
          <t>demo reviewer</t>
        </is>
      </c>
      <c r="N861" s="2" t="n"/>
      <c r="O861" s="3" t="inlineStr">
        <is>
          <t>https://vanillabonds.com/dossier-data/pdf/katjes/katjes-2025-annual-report.pdf#page=74</t>
        </is>
      </c>
    </row>
    <row r="862">
      <c r="A862" s="2" t="inlineStr">
        <is>
          <t>F861</t>
        </is>
      </c>
      <c r="B862" s="2" t="inlineStr">
        <is>
          <t>financials</t>
        </is>
      </c>
      <c r="C862" s="2" t="inlineStr">
        <is>
          <t>segment</t>
        </is>
      </c>
      <c r="D862" s="3" t="inlineStr">
        <is>
          <t>Segment: segment; revenue; ebitda; assets</t>
        </is>
      </c>
      <c r="E862" s="2" t="inlineStr">
        <is>
          <t>FY2024</t>
        </is>
      </c>
      <c r="F862" s="2" t="n">
        <v>106.8</v>
      </c>
      <c r="G862" s="2" t="n"/>
      <c r="H862" s="3" t="inlineStr">
        <is>
          <t>segment: Germany (region, revenue; prior-year figures adjusted for Bogner inclusion); revenue: 106.8</t>
        </is>
      </c>
      <c r="I862" s="2" t="inlineStr">
        <is>
          <t>S3</t>
        </is>
      </c>
      <c r="J862" s="2" t="n">
        <v>77</v>
      </c>
      <c r="K862" s="2" t="inlineStr">
        <is>
          <t>Germany 158.1 106.8</t>
        </is>
      </c>
      <c r="L862" s="2" t="inlineStr">
        <is>
          <t>ok</t>
        </is>
      </c>
      <c r="M862" s="2" t="inlineStr">
        <is>
          <t>demo reviewer</t>
        </is>
      </c>
      <c r="N862" s="2" t="n"/>
      <c r="O862" s="3" t="inlineStr">
        <is>
          <t>https://vanillabonds.com/dossier-data/pdf/katjes/katjes-2025-annual-report.pdf#page=77</t>
        </is>
      </c>
    </row>
    <row r="863">
      <c r="A863" s="2" t="inlineStr">
        <is>
          <t>F862</t>
        </is>
      </c>
      <c r="B863" s="2" t="inlineStr">
        <is>
          <t>financials</t>
        </is>
      </c>
      <c r="C863" s="2" t="inlineStr">
        <is>
          <t>segment</t>
        </is>
      </c>
      <c r="D863" s="3" t="inlineStr">
        <is>
          <t>Segment: segment; revenue; ebitda; assets</t>
        </is>
      </c>
      <c r="E863" s="2" t="inlineStr">
        <is>
          <t>FY2024</t>
        </is>
      </c>
      <c r="F863" s="2" t="n">
        <v>122.8</v>
      </c>
      <c r="G863" s="2" t="n"/>
      <c r="H863" s="3" t="inlineStr">
        <is>
          <t>segment: Italy (region, revenue; prior-year figures adjusted for Bogner inclusion); revenue: 122.8</t>
        </is>
      </c>
      <c r="I863" s="2" t="inlineStr">
        <is>
          <t>S3</t>
        </is>
      </c>
      <c r="J863" s="2" t="n">
        <v>77</v>
      </c>
      <c r="K863" s="2" t="inlineStr">
        <is>
          <t>Italy 119.1 122.8</t>
        </is>
      </c>
      <c r="L863" s="2" t="inlineStr">
        <is>
          <t>ok</t>
        </is>
      </c>
      <c r="M863" s="2" t="inlineStr">
        <is>
          <t>demo reviewer</t>
        </is>
      </c>
      <c r="N863" s="2" t="n"/>
      <c r="O863" s="3" t="inlineStr">
        <is>
          <t>https://vanillabonds.com/dossier-data/pdf/katjes/katjes-2025-annual-report.pdf#page=77</t>
        </is>
      </c>
    </row>
    <row r="864">
      <c r="A864" s="2" t="inlineStr">
        <is>
          <t>F863</t>
        </is>
      </c>
      <c r="B864" s="2" t="inlineStr">
        <is>
          <t>financials</t>
        </is>
      </c>
      <c r="C864" s="2" t="inlineStr">
        <is>
          <t>segment</t>
        </is>
      </c>
      <c r="D864" s="3" t="inlineStr">
        <is>
          <t>Segment: segment; revenue; ebitda; assets</t>
        </is>
      </c>
      <c r="E864" s="2" t="inlineStr">
        <is>
          <t>FY2024</t>
        </is>
      </c>
      <c r="F864" s="2" t="n">
        <v>24.4</v>
      </c>
      <c r="G864" s="2" t="n"/>
      <c r="H864" s="3" t="inlineStr">
        <is>
          <t>segment: Switzerland (region, revenue; prior-year figures adjusted for Bogner inclusion); revenue: 24.4</t>
        </is>
      </c>
      <c r="I864" s="2" t="inlineStr">
        <is>
          <t>S3</t>
        </is>
      </c>
      <c r="J864" s="2" t="n">
        <v>77</v>
      </c>
      <c r="K864" s="2" t="inlineStr">
        <is>
          <t>Switzerland 41.5 24.4</t>
        </is>
      </c>
      <c r="L864" s="2" t="inlineStr">
        <is>
          <t>ok</t>
        </is>
      </c>
      <c r="M864" s="2" t="inlineStr">
        <is>
          <t>demo reviewer</t>
        </is>
      </c>
      <c r="N864" s="2" t="n"/>
      <c r="O864" s="3" t="inlineStr">
        <is>
          <t>https://vanillabonds.com/dossier-data/pdf/katjes/katjes-2025-annual-report.pdf#page=77</t>
        </is>
      </c>
    </row>
    <row r="865">
      <c r="A865" s="2" t="inlineStr">
        <is>
          <t>F864</t>
        </is>
      </c>
      <c r="B865" s="2" t="inlineStr">
        <is>
          <t>financials</t>
        </is>
      </c>
      <c r="C865" s="2" t="inlineStr">
        <is>
          <t>segment</t>
        </is>
      </c>
      <c r="D865" s="3" t="inlineStr">
        <is>
          <t>Segment: segment; revenue; ebitda; assets</t>
        </is>
      </c>
      <c r="E865" s="2" t="inlineStr">
        <is>
          <t>FY2024</t>
        </is>
      </c>
      <c r="F865" s="2" t="n">
        <v>18.7</v>
      </c>
      <c r="G865" s="2" t="n"/>
      <c r="H865" s="3" t="inlineStr">
        <is>
          <t>segment: UK (region, revenue; prior-year figures adjusted for Bogner inclusion); revenue: 18.7</t>
        </is>
      </c>
      <c r="I865" s="2" t="inlineStr">
        <is>
          <t>S3</t>
        </is>
      </c>
      <c r="J865" s="2" t="n">
        <v>77</v>
      </c>
      <c r="K865" s="2" t="inlineStr">
        <is>
          <t>UK 31.5 18.7</t>
        </is>
      </c>
      <c r="L865" s="2" t="inlineStr">
        <is>
          <t>ok</t>
        </is>
      </c>
      <c r="M865" s="2" t="inlineStr">
        <is>
          <t>demo reviewer</t>
        </is>
      </c>
      <c r="N865" s="2" t="n"/>
      <c r="O865" s="3" t="inlineStr">
        <is>
          <t>https://vanillabonds.com/dossier-data/pdf/katjes/katjes-2025-annual-report.pdf#page=77</t>
        </is>
      </c>
    </row>
    <row r="866">
      <c r="A866" s="2" t="inlineStr">
        <is>
          <t>F865</t>
        </is>
      </c>
      <c r="B866" s="2" t="inlineStr">
        <is>
          <t>financials</t>
        </is>
      </c>
      <c r="C866" s="2" t="inlineStr">
        <is>
          <t>segment</t>
        </is>
      </c>
      <c r="D866" s="3" t="inlineStr">
        <is>
          <t>Segment: segment; revenue; ebitda; assets</t>
        </is>
      </c>
      <c r="E866" s="2" t="inlineStr">
        <is>
          <t>FY2024</t>
        </is>
      </c>
      <c r="F866" s="2" t="n">
        <v>5.3</v>
      </c>
      <c r="G866" s="2" t="n"/>
      <c r="H866" s="3" t="inlineStr">
        <is>
          <t>segment: North America (region, revenue; prior-year figures adjusted for Bogner inclusion); revenue: 5.3</t>
        </is>
      </c>
      <c r="I866" s="2" t="inlineStr">
        <is>
          <t>S3</t>
        </is>
      </c>
      <c r="J866" s="2" t="n">
        <v>77</v>
      </c>
      <c r="K866" s="2" t="inlineStr">
        <is>
          <t>North America 22.0 5.3</t>
        </is>
      </c>
      <c r="L866" s="2" t="inlineStr">
        <is>
          <t>ok</t>
        </is>
      </c>
      <c r="M866" s="2" t="inlineStr">
        <is>
          <t>demo reviewer</t>
        </is>
      </c>
      <c r="N866" s="2" t="n"/>
      <c r="O866" s="3" t="inlineStr">
        <is>
          <t>https://vanillabonds.com/dossier-data/pdf/katjes/katjes-2025-annual-report.pdf#page=77</t>
        </is>
      </c>
    </row>
    <row r="867">
      <c r="A867" s="2" t="inlineStr">
        <is>
          <t>F866</t>
        </is>
      </c>
      <c r="B867" s="2" t="inlineStr">
        <is>
          <t>financials</t>
        </is>
      </c>
      <c r="C867" s="2" t="inlineStr">
        <is>
          <t>segment</t>
        </is>
      </c>
      <c r="D867" s="3" t="inlineStr">
        <is>
          <t>Segment: segment; revenue; ebitda; assets</t>
        </is>
      </c>
      <c r="E867" s="2" t="inlineStr">
        <is>
          <t>FY2024</t>
        </is>
      </c>
      <c r="F867" s="2" t="n">
        <v>16.1</v>
      </c>
      <c r="G867" s="2" t="n"/>
      <c r="H867" s="3" t="inlineStr">
        <is>
          <t>segment: Netherlands (region, revenue; prior-year figures adjusted for Bogner inclusion); revenue: 16.1</t>
        </is>
      </c>
      <c r="I867" s="2" t="inlineStr">
        <is>
          <t>S3</t>
        </is>
      </c>
      <c r="J867" s="2" t="n">
        <v>77</v>
      </c>
      <c r="K867" s="2" t="inlineStr">
        <is>
          <t>Netherlands 19.1 16.1</t>
        </is>
      </c>
      <c r="L867" s="2" t="inlineStr">
        <is>
          <t>ok</t>
        </is>
      </c>
      <c r="M867" s="2" t="inlineStr">
        <is>
          <t>demo reviewer</t>
        </is>
      </c>
      <c r="N867" s="2" t="n"/>
      <c r="O867" s="3" t="inlineStr">
        <is>
          <t>https://vanillabonds.com/dossier-data/pdf/katjes/katjes-2025-annual-report.pdf#page=77</t>
        </is>
      </c>
    </row>
    <row r="868">
      <c r="A868" s="2" t="inlineStr">
        <is>
          <t>F867</t>
        </is>
      </c>
      <c r="B868" s="2" t="inlineStr">
        <is>
          <t>financials</t>
        </is>
      </c>
      <c r="C868" s="2" t="inlineStr">
        <is>
          <t>segment</t>
        </is>
      </c>
      <c r="D868" s="3" t="inlineStr">
        <is>
          <t>Segment: segment; revenue; ebitda; assets</t>
        </is>
      </c>
      <c r="E868" s="2" t="inlineStr">
        <is>
          <t>FY2024</t>
        </is>
      </c>
      <c r="F868" s="2" t="n">
        <v>81.2</v>
      </c>
      <c r="G868" s="2" t="n"/>
      <c r="H868" s="3" t="inlineStr">
        <is>
          <t>segment: Other EU countries (region, revenue; prior-year figures adjusted for Bogner inclusion); revenue: 81.2</t>
        </is>
      </c>
      <c r="I868" s="2" t="inlineStr">
        <is>
          <t>S3</t>
        </is>
      </c>
      <c r="J868" s="2" t="n">
        <v>77</v>
      </c>
      <c r="K868" s="2" t="inlineStr">
        <is>
          <t>Other EU countries 91.3 81.2</t>
        </is>
      </c>
      <c r="L868" s="2" t="inlineStr">
        <is>
          <t>ok</t>
        </is>
      </c>
      <c r="M868" s="2" t="inlineStr">
        <is>
          <t>demo reviewer</t>
        </is>
      </c>
      <c r="N868" s="2" t="n"/>
      <c r="O868" s="3" t="inlineStr">
        <is>
          <t>https://vanillabonds.com/dossier-data/pdf/katjes/katjes-2025-annual-report.pdf#page=77</t>
        </is>
      </c>
    </row>
    <row r="869">
      <c r="A869" s="2" t="inlineStr">
        <is>
          <t>F868</t>
        </is>
      </c>
      <c r="B869" s="2" t="inlineStr">
        <is>
          <t>financials</t>
        </is>
      </c>
      <c r="C869" s="2" t="inlineStr">
        <is>
          <t>segment</t>
        </is>
      </c>
      <c r="D869" s="3" t="inlineStr">
        <is>
          <t>Segment: segment; revenue; ebitda; assets</t>
        </is>
      </c>
      <c r="E869" s="2" t="inlineStr">
        <is>
          <t>FY2024</t>
        </is>
      </c>
      <c r="F869" s="2" t="n">
        <v>17.3</v>
      </c>
      <c r="G869" s="2" t="n"/>
      <c r="H869" s="3" t="inlineStr">
        <is>
          <t>segment: Non-EU countries (region, revenue; prior-year figures adjusted for Bogner inclusion); revenue: 17.3</t>
        </is>
      </c>
      <c r="I869" s="2" t="inlineStr">
        <is>
          <t>S3</t>
        </is>
      </c>
      <c r="J869" s="2" t="n">
        <v>77</v>
      </c>
      <c r="K869" s="2" t="inlineStr">
        <is>
          <t>Non-EU countries 20.4 17.3</t>
        </is>
      </c>
      <c r="L869" s="2" t="inlineStr">
        <is>
          <t>ok</t>
        </is>
      </c>
      <c r="M869" s="2" t="inlineStr">
        <is>
          <t>demo reviewer</t>
        </is>
      </c>
      <c r="N869" s="2" t="n"/>
      <c r="O869" s="3" t="inlineStr">
        <is>
          <t>https://vanillabonds.com/dossier-data/pdf/katjes/katjes-2025-annual-report.pdf#page=77</t>
        </is>
      </c>
    </row>
    <row r="870">
      <c r="A870" s="2" t="inlineStr">
        <is>
          <t>F869</t>
        </is>
      </c>
      <c r="B870" s="2" t="inlineStr">
        <is>
          <t>financials</t>
        </is>
      </c>
      <c r="C870" s="2" t="inlineStr">
        <is>
          <t>segment</t>
        </is>
      </c>
      <c r="D870" s="3" t="inlineStr">
        <is>
          <t>Segment: segment; revenue; ebitda; assets</t>
        </is>
      </c>
      <c r="E870" s="2" t="inlineStr">
        <is>
          <t>FY2024</t>
        </is>
      </c>
      <c r="F870" s="2" t="n">
        <v>141.4</v>
      </c>
      <c r="G870" s="2" t="n"/>
      <c r="H870" s="3" t="inlineStr">
        <is>
          <t>segment: Germany (region, non-current assets); assets: 141.4</t>
        </is>
      </c>
      <c r="I870" s="2" t="inlineStr">
        <is>
          <t>S3</t>
        </is>
      </c>
      <c r="J870" s="2" t="n">
        <v>78</v>
      </c>
      <c r="K870" s="2" t="inlineStr">
        <is>
          <t>Germany 200.5 141.4</t>
        </is>
      </c>
      <c r="L870" s="2" t="inlineStr">
        <is>
          <t>ok</t>
        </is>
      </c>
      <c r="M870" s="2" t="inlineStr">
        <is>
          <t>demo reviewer</t>
        </is>
      </c>
      <c r="N870" s="2" t="n"/>
      <c r="O870" s="3" t="inlineStr">
        <is>
          <t>https://vanillabonds.com/dossier-data/pdf/katjes/katjes-2025-annual-report.pdf#page=78</t>
        </is>
      </c>
    </row>
    <row r="871">
      <c r="A871" s="2" t="inlineStr">
        <is>
          <t>F870</t>
        </is>
      </c>
      <c r="B871" s="2" t="inlineStr">
        <is>
          <t>financials</t>
        </is>
      </c>
      <c r="C871" s="2" t="inlineStr">
        <is>
          <t>segment</t>
        </is>
      </c>
      <c r="D871" s="3" t="inlineStr">
        <is>
          <t>Segment: segment; revenue; ebitda; assets</t>
        </is>
      </c>
      <c r="E871" s="2" t="inlineStr">
        <is>
          <t>FY2024</t>
        </is>
      </c>
      <c r="F871" s="2" t="n">
        <v>95.59999999999999</v>
      </c>
      <c r="G871" s="2" t="n"/>
      <c r="H871" s="3" t="inlineStr">
        <is>
          <t>segment: Italy (region, non-current assets); assets: 95.6</t>
        </is>
      </c>
      <c r="I871" s="2" t="inlineStr">
        <is>
          <t>S3</t>
        </is>
      </c>
      <c r="J871" s="2" t="n">
        <v>78</v>
      </c>
      <c r="K871" s="2" t="inlineStr">
        <is>
          <t>Italy 93.5 95.6</t>
        </is>
      </c>
      <c r="L871" s="2" t="inlineStr">
        <is>
          <t>ok</t>
        </is>
      </c>
      <c r="M871" s="2" t="inlineStr">
        <is>
          <t>demo reviewer</t>
        </is>
      </c>
      <c r="N871" s="2" t="n"/>
      <c r="O871" s="3" t="inlineStr">
        <is>
          <t>https://vanillabonds.com/dossier-data/pdf/katjes/katjes-2025-annual-report.pdf#page=78</t>
        </is>
      </c>
    </row>
    <row r="872">
      <c r="A872" s="2" t="inlineStr">
        <is>
          <t>F871</t>
        </is>
      </c>
      <c r="B872" s="2" t="inlineStr">
        <is>
          <t>financials</t>
        </is>
      </c>
      <c r="C872" s="2" t="inlineStr">
        <is>
          <t>segment</t>
        </is>
      </c>
      <c r="D872" s="3" t="inlineStr">
        <is>
          <t>Segment: segment; revenue; ebitda; assets</t>
        </is>
      </c>
      <c r="E872" s="2" t="inlineStr">
        <is>
          <t>FY2024</t>
        </is>
      </c>
      <c r="F872" s="2" t="n">
        <v>72.3</v>
      </c>
      <c r="G872" s="2" t="n"/>
      <c r="H872" s="3" t="inlineStr">
        <is>
          <t>segment: Netherlands (region, non-current assets); assets: 72.3</t>
        </is>
      </c>
      <c r="I872" s="2" t="inlineStr">
        <is>
          <t>S3</t>
        </is>
      </c>
      <c r="J872" s="2" t="n">
        <v>78</v>
      </c>
      <c r="K872" s="2" t="inlineStr">
        <is>
          <t>Netherlands 12.3 72.3</t>
        </is>
      </c>
      <c r="L872" s="2" t="inlineStr">
        <is>
          <t>ok</t>
        </is>
      </c>
      <c r="M872" s="2" t="inlineStr">
        <is>
          <t>demo reviewer</t>
        </is>
      </c>
      <c r="N872" s="2" t="n"/>
      <c r="O872" s="3" t="inlineStr">
        <is>
          <t>https://vanillabonds.com/dossier-data/pdf/katjes/katjes-2025-annual-report.pdf#page=78</t>
        </is>
      </c>
    </row>
    <row r="873">
      <c r="A873" s="2" t="inlineStr">
        <is>
          <t>F872</t>
        </is>
      </c>
      <c r="B873" s="2" t="inlineStr">
        <is>
          <t>financials</t>
        </is>
      </c>
      <c r="C873" s="2" t="inlineStr">
        <is>
          <t>segment</t>
        </is>
      </c>
      <c r="D873" s="3" t="inlineStr">
        <is>
          <t>Segment: segment; revenue; ebitda; assets</t>
        </is>
      </c>
      <c r="E873" s="2" t="inlineStr">
        <is>
          <t>FY2024</t>
        </is>
      </c>
      <c r="F873" s="2" t="n">
        <v>0</v>
      </c>
      <c r="G873" s="2" t="n"/>
      <c r="H873" s="3" t="inlineStr">
        <is>
          <t>segment: Switzerland (region, non-current assets); assets: 0.0</t>
        </is>
      </c>
      <c r="I873" s="2" t="inlineStr">
        <is>
          <t>S3</t>
        </is>
      </c>
      <c r="J873" s="2" t="n">
        <v>78</v>
      </c>
      <c r="K873" s="2" t="inlineStr">
        <is>
          <t>Switzerland 12.2 0.0</t>
        </is>
      </c>
      <c r="L873" s="2" t="inlineStr">
        <is>
          <t>ok</t>
        </is>
      </c>
      <c r="M873" s="2" t="inlineStr">
        <is>
          <t>demo reviewer</t>
        </is>
      </c>
      <c r="N873" s="2" t="n"/>
      <c r="O873" s="3" t="inlineStr">
        <is>
          <t>https://vanillabonds.com/dossier-data/pdf/katjes/katjes-2025-annual-report.pdf#page=78</t>
        </is>
      </c>
    </row>
    <row r="874">
      <c r="A874" s="2" t="inlineStr">
        <is>
          <t>F873</t>
        </is>
      </c>
      <c r="B874" s="2" t="inlineStr">
        <is>
          <t>financials</t>
        </is>
      </c>
      <c r="C874" s="2" t="inlineStr">
        <is>
          <t>segment</t>
        </is>
      </c>
      <c r="D874" s="3" t="inlineStr">
        <is>
          <t>Segment: segment; revenue; ebitda; assets</t>
        </is>
      </c>
      <c r="E874" s="2" t="inlineStr">
        <is>
          <t>FY2024</t>
        </is>
      </c>
      <c r="F874" s="2" t="n">
        <v>11.4</v>
      </c>
      <c r="G874" s="2" t="n"/>
      <c r="H874" s="3" t="inlineStr">
        <is>
          <t>segment: UK (region, non-current assets); assets: 11.4</t>
        </is>
      </c>
      <c r="I874" s="2" t="inlineStr">
        <is>
          <t>S3</t>
        </is>
      </c>
      <c r="J874" s="2" t="n">
        <v>78</v>
      </c>
      <c r="K874" s="2" t="inlineStr">
        <is>
          <t>UK 10.9 11.4</t>
        </is>
      </c>
      <c r="L874" s="2" t="inlineStr">
        <is>
          <t>ok</t>
        </is>
      </c>
      <c r="M874" s="2" t="inlineStr">
        <is>
          <t>demo reviewer</t>
        </is>
      </c>
      <c r="N874" s="2" t="n"/>
      <c r="O874" s="3" t="inlineStr">
        <is>
          <t>https://vanillabonds.com/dossier-data/pdf/katjes/katjes-2025-annual-report.pdf#page=78</t>
        </is>
      </c>
    </row>
    <row r="875">
      <c r="A875" s="2" t="inlineStr">
        <is>
          <t>F874</t>
        </is>
      </c>
      <c r="B875" s="2" t="inlineStr">
        <is>
          <t>financials</t>
        </is>
      </c>
      <c r="C875" s="2" t="inlineStr">
        <is>
          <t>segment</t>
        </is>
      </c>
      <c r="D875" s="3" t="inlineStr">
        <is>
          <t>Segment: segment; revenue; ebitda; assets</t>
        </is>
      </c>
      <c r="E875" s="2" t="inlineStr">
        <is>
          <t>FY2024</t>
        </is>
      </c>
      <c r="F875" s="2" t="n">
        <v>0</v>
      </c>
      <c r="G875" s="2" t="n"/>
      <c r="H875" s="3" t="inlineStr">
        <is>
          <t>segment: North America (region, non-current assets); assets: 0.0</t>
        </is>
      </c>
      <c r="I875" s="2" t="inlineStr">
        <is>
          <t>S3</t>
        </is>
      </c>
      <c r="J875" s="2" t="n">
        <v>78</v>
      </c>
      <c r="K875" s="2" t="inlineStr">
        <is>
          <t>North America 9.7 0.0</t>
        </is>
      </c>
      <c r="L875" s="2" t="inlineStr">
        <is>
          <t>ok</t>
        </is>
      </c>
      <c r="M875" s="2" t="inlineStr">
        <is>
          <t>demo reviewer</t>
        </is>
      </c>
      <c r="N875" s="2" t="n"/>
      <c r="O875" s="3" t="inlineStr">
        <is>
          <t>https://vanillabonds.com/dossier-data/pdf/katjes/katjes-2025-annual-report.pdf#page=78</t>
        </is>
      </c>
    </row>
    <row r="876">
      <c r="A876" s="2" t="inlineStr">
        <is>
          <t>F875</t>
        </is>
      </c>
      <c r="B876" s="2" t="inlineStr">
        <is>
          <t>financials</t>
        </is>
      </c>
      <c r="C876" s="2" t="inlineStr">
        <is>
          <t>segment</t>
        </is>
      </c>
      <c r="D876" s="3" t="inlineStr">
        <is>
          <t>Segment: segment; revenue; ebitda; assets</t>
        </is>
      </c>
      <c r="E876" s="2" t="inlineStr">
        <is>
          <t>FY2024</t>
        </is>
      </c>
      <c r="F876" s="2" t="n">
        <v>0</v>
      </c>
      <c r="G876" s="2" t="n"/>
      <c r="H876" s="3" t="inlineStr">
        <is>
          <t>segment: Austria (region, non-current assets); assets: 0.0</t>
        </is>
      </c>
      <c r="I876" s="2" t="inlineStr">
        <is>
          <t>S3</t>
        </is>
      </c>
      <c r="J876" s="2" t="n">
        <v>78</v>
      </c>
      <c r="K876" s="2" t="inlineStr">
        <is>
          <t>Austria 1.1 0.0</t>
        </is>
      </c>
      <c r="L876" s="2" t="inlineStr">
        <is>
          <t>ok</t>
        </is>
      </c>
      <c r="M876" s="2" t="inlineStr">
        <is>
          <t>demo reviewer</t>
        </is>
      </c>
      <c r="N876" s="2" t="n"/>
      <c r="O876" s="3" t="inlineStr">
        <is>
          <t>https://vanillabonds.com/dossier-data/pdf/katjes/katjes-2025-annual-report.pdf#page=78</t>
        </is>
      </c>
    </row>
    <row r="877">
      <c r="A877" s="2" t="inlineStr">
        <is>
          <t>F876</t>
        </is>
      </c>
      <c r="B877" s="2" t="inlineStr">
        <is>
          <t>financials</t>
        </is>
      </c>
      <c r="C877" s="2" t="inlineStr">
        <is>
          <t>segment</t>
        </is>
      </c>
      <c r="D877" s="3" t="inlineStr">
        <is>
          <t>Segment: segment; revenue; ebitda; assets</t>
        </is>
      </c>
      <c r="E877" s="2" t="inlineStr">
        <is>
          <t>FY2024</t>
        </is>
      </c>
      <c r="F877" s="2" t="n">
        <v>320.7</v>
      </c>
      <c r="G877" s="2" t="n"/>
      <c r="H877" s="3" t="inlineStr">
        <is>
          <t>segment: Group total (non-current assets by region); assets: 320.7</t>
        </is>
      </c>
      <c r="I877" s="2" t="inlineStr">
        <is>
          <t>S3</t>
        </is>
      </c>
      <c r="J877" s="2" t="n">
        <v>78</v>
      </c>
      <c r="K877" s="2" t="inlineStr">
        <is>
          <t>Total 340.7 320.7</t>
        </is>
      </c>
      <c r="L877" s="2" t="inlineStr">
        <is>
          <t>ok</t>
        </is>
      </c>
      <c r="M877" s="2" t="inlineStr">
        <is>
          <t>demo reviewer</t>
        </is>
      </c>
      <c r="N877" s="2" t="n"/>
      <c r="O877" s="3" t="inlineStr">
        <is>
          <t>https://vanillabonds.com/dossier-data/pdf/katjes/katjes-2025-annual-report.pdf#page=78</t>
        </is>
      </c>
    </row>
    <row r="878">
      <c r="A878" s="2" t="inlineStr">
        <is>
          <t>F877</t>
        </is>
      </c>
      <c r="B878" s="2" t="inlineStr">
        <is>
          <t>financials</t>
        </is>
      </c>
      <c r="C878" s="2" t="inlineStr">
        <is>
          <t>segment</t>
        </is>
      </c>
      <c r="D878" s="3" t="inlineStr">
        <is>
          <t>Segment: segment; revenue; ebitda; assets</t>
        </is>
      </c>
      <c r="E878" s="2" t="inlineStr">
        <is>
          <t>FY2025</t>
        </is>
      </c>
      <c r="F878" s="2" t="n">
        <v>174.9</v>
      </c>
      <c r="G878" s="2" t="n"/>
      <c r="H878" s="3" t="inlineStr">
        <is>
          <t>segment: Confectionery (business line, revenue only; single IFRS 8 operating segment); revenue: 174.9</t>
        </is>
      </c>
      <c r="I878" s="2" t="inlineStr">
        <is>
          <t>S3</t>
        </is>
      </c>
      <c r="J878" s="2" t="n">
        <v>74</v>
      </c>
      <c r="K878" s="2" t="inlineStr">
        <is>
          <t>Confectionery 174.9 160.0</t>
        </is>
      </c>
      <c r="L878" s="2" t="inlineStr">
        <is>
          <t>ok</t>
        </is>
      </c>
      <c r="M878" s="2" t="inlineStr">
        <is>
          <t>demo reviewer</t>
        </is>
      </c>
      <c r="N878" s="2" t="n"/>
      <c r="O878" s="3" t="inlineStr">
        <is>
          <t>https://vanillabonds.com/dossier-data/pdf/katjes/katjes-2025-annual-report.pdf#page=74</t>
        </is>
      </c>
    </row>
    <row r="879">
      <c r="A879" s="2" t="inlineStr">
        <is>
          <t>F878</t>
        </is>
      </c>
      <c r="B879" s="2" t="inlineStr">
        <is>
          <t>financials</t>
        </is>
      </c>
      <c r="C879" s="2" t="inlineStr">
        <is>
          <t>segment</t>
        </is>
      </c>
      <c r="D879" s="3" t="inlineStr">
        <is>
          <t>Segment: segment; revenue; ebitda; assets</t>
        </is>
      </c>
      <c r="E879" s="2" t="inlineStr">
        <is>
          <t>FY2025</t>
        </is>
      </c>
      <c r="F879" s="2" t="n">
        <v>145.1</v>
      </c>
      <c r="G879" s="2" t="n"/>
      <c r="H879" s="3" t="inlineStr">
        <is>
          <t>segment: Seasonals (business line, revenue only; single IFRS 8 operating segment); revenue: 145.1</t>
        </is>
      </c>
      <c r="I879" s="2" t="inlineStr">
        <is>
          <t>S3</t>
        </is>
      </c>
      <c r="J879" s="2" t="n">
        <v>74</v>
      </c>
      <c r="K879" s="2" t="inlineStr">
        <is>
          <t>Seasonals 145.1 54.7</t>
        </is>
      </c>
      <c r="L879" s="2" t="inlineStr">
        <is>
          <t>ok</t>
        </is>
      </c>
      <c r="M879" s="2" t="inlineStr">
        <is>
          <t>demo reviewer</t>
        </is>
      </c>
      <c r="N879" s="2" t="n"/>
      <c r="O879" s="3" t="inlineStr">
        <is>
          <t>https://vanillabonds.com/dossier-data/pdf/katjes/katjes-2025-annual-report.pdf#page=74</t>
        </is>
      </c>
    </row>
    <row r="880">
      <c r="A880" s="2" t="inlineStr">
        <is>
          <t>F879</t>
        </is>
      </c>
      <c r="B880" s="2" t="inlineStr">
        <is>
          <t>financials</t>
        </is>
      </c>
      <c r="C880" s="2" t="inlineStr">
        <is>
          <t>segment</t>
        </is>
      </c>
      <c r="D880" s="3" t="inlineStr">
        <is>
          <t>Segment: segment; revenue; ebitda; assets</t>
        </is>
      </c>
      <c r="E880" s="2" t="inlineStr">
        <is>
          <t>FY2025</t>
        </is>
      </c>
      <c r="F880" s="2" t="n">
        <v>97.09999999999999</v>
      </c>
      <c r="G880" s="2" t="n"/>
      <c r="H880" s="3" t="inlineStr">
        <is>
          <t>segment: Body care products (business line, revenue only; single IFRS 8 operating segment); revenue: 97.1</t>
        </is>
      </c>
      <c r="I880" s="2" t="inlineStr">
        <is>
          <t>S3</t>
        </is>
      </c>
      <c r="J880" s="2" t="n">
        <v>74</v>
      </c>
      <c r="K880" s="2" t="inlineStr">
        <is>
          <t>Body care products 97.1 90.4</t>
        </is>
      </c>
      <c r="L880" s="2" t="inlineStr">
        <is>
          <t>ok</t>
        </is>
      </c>
      <c r="M880" s="2" t="inlineStr">
        <is>
          <t>demo reviewer</t>
        </is>
      </c>
      <c r="N880" s="2" t="n"/>
      <c r="O880" s="3" t="inlineStr">
        <is>
          <t>https://vanillabonds.com/dossier-data/pdf/katjes/katjes-2025-annual-report.pdf#page=74</t>
        </is>
      </c>
    </row>
    <row r="881">
      <c r="A881" s="2" t="inlineStr">
        <is>
          <t>F880</t>
        </is>
      </c>
      <c r="B881" s="2" t="inlineStr">
        <is>
          <t>financials</t>
        </is>
      </c>
      <c r="C881" s="2" t="inlineStr">
        <is>
          <t>segment</t>
        </is>
      </c>
      <c r="D881" s="3" t="inlineStr">
        <is>
          <t>Segment: segment; revenue; ebitda; assets</t>
        </is>
      </c>
      <c r="E881" s="2" t="inlineStr">
        <is>
          <t>FY2025</t>
        </is>
      </c>
      <c r="F881" s="2" t="n">
        <v>57.3</v>
      </c>
      <c r="G881" s="2" t="n"/>
      <c r="H881" s="3" t="inlineStr">
        <is>
          <t>segment: Chocolate (business line, revenue only; single IFRS 8 operating segment); revenue: 57.3</t>
        </is>
      </c>
      <c r="I881" s="2" t="inlineStr">
        <is>
          <t>S3</t>
        </is>
      </c>
      <c r="J881" s="2" t="n">
        <v>74</v>
      </c>
      <c r="K881" s="2" t="inlineStr">
        <is>
          <t>Chocolate 57.3 57.8</t>
        </is>
      </c>
      <c r="L881" s="2" t="inlineStr">
        <is>
          <t>ok</t>
        </is>
      </c>
      <c r="M881" s="2" t="inlineStr">
        <is>
          <t>demo reviewer</t>
        </is>
      </c>
      <c r="N881" s="2" t="n"/>
      <c r="O881" s="3" t="inlineStr">
        <is>
          <t>https://vanillabonds.com/dossier-data/pdf/katjes/katjes-2025-annual-report.pdf#page=74</t>
        </is>
      </c>
    </row>
    <row r="882">
      <c r="A882" s="2" t="inlineStr">
        <is>
          <t>F881</t>
        </is>
      </c>
      <c r="B882" s="2" t="inlineStr">
        <is>
          <t>financials</t>
        </is>
      </c>
      <c r="C882" s="2" t="inlineStr">
        <is>
          <t>segment</t>
        </is>
      </c>
      <c r="D882" s="3" t="inlineStr">
        <is>
          <t>Segment: segment; revenue; ebitda; assets</t>
        </is>
      </c>
      <c r="E882" s="2" t="inlineStr">
        <is>
          <t>FY2025</t>
        </is>
      </c>
      <c r="F882" s="2" t="n">
        <v>28.6</v>
      </c>
      <c r="G882" s="2" t="n"/>
      <c r="H882" s="3" t="inlineStr">
        <is>
          <t>segment: Other (business line, revenue only; single IFRS 8 operating segment); revenue: 28.6</t>
        </is>
      </c>
      <c r="I882" s="2" t="inlineStr">
        <is>
          <t>S3</t>
        </is>
      </c>
      <c r="J882" s="2" t="n">
        <v>74</v>
      </c>
      <c r="K882" s="2" t="inlineStr">
        <is>
          <t>Other 28.6 29.7</t>
        </is>
      </c>
      <c r="L882" s="2" t="inlineStr">
        <is>
          <t>ok</t>
        </is>
      </c>
      <c r="M882" s="2" t="inlineStr">
        <is>
          <t>demo reviewer</t>
        </is>
      </c>
      <c r="N882" s="2" t="n"/>
      <c r="O882" s="3" t="inlineStr">
        <is>
          <t>https://vanillabonds.com/dossier-data/pdf/katjes/katjes-2025-annual-report.pdf#page=74</t>
        </is>
      </c>
    </row>
    <row r="883">
      <c r="A883" s="2" t="inlineStr">
        <is>
          <t>F882</t>
        </is>
      </c>
      <c r="B883" s="2" t="inlineStr">
        <is>
          <t>financials</t>
        </is>
      </c>
      <c r="C883" s="2" t="inlineStr">
        <is>
          <t>segment</t>
        </is>
      </c>
      <c r="D883" s="3" t="inlineStr">
        <is>
          <t>Segment: segment; revenue; ebitda; assets</t>
        </is>
      </c>
      <c r="E883" s="2" t="inlineStr">
        <is>
          <t>FY2025</t>
        </is>
      </c>
      <c r="F883" s="2" t="n">
        <v>158.1</v>
      </c>
      <c r="G883" s="2" t="n"/>
      <c r="H883" s="3" t="inlineStr">
        <is>
          <t>segment: Germany (region, revenue by customer location); revenue: 158.1</t>
        </is>
      </c>
      <c r="I883" s="2" t="inlineStr">
        <is>
          <t>S3</t>
        </is>
      </c>
      <c r="J883" s="2" t="n">
        <v>77</v>
      </c>
      <c r="K883" s="2" t="inlineStr">
        <is>
          <t>Germany 158.1 106.8</t>
        </is>
      </c>
      <c r="L883" s="2" t="inlineStr">
        <is>
          <t>ok</t>
        </is>
      </c>
      <c r="M883" s="2" t="inlineStr">
        <is>
          <t>demo reviewer</t>
        </is>
      </c>
      <c r="N883" s="2" t="n"/>
      <c r="O883" s="3" t="inlineStr">
        <is>
          <t>https://vanillabonds.com/dossier-data/pdf/katjes/katjes-2025-annual-report.pdf#page=77</t>
        </is>
      </c>
    </row>
    <row r="884">
      <c r="A884" s="2" t="inlineStr">
        <is>
          <t>F883</t>
        </is>
      </c>
      <c r="B884" s="2" t="inlineStr">
        <is>
          <t>financials</t>
        </is>
      </c>
      <c r="C884" s="2" t="inlineStr">
        <is>
          <t>segment</t>
        </is>
      </c>
      <c r="D884" s="3" t="inlineStr">
        <is>
          <t>Segment: segment; revenue; ebitda; assets</t>
        </is>
      </c>
      <c r="E884" s="2" t="inlineStr">
        <is>
          <t>FY2025</t>
        </is>
      </c>
      <c r="F884" s="2" t="n">
        <v>119.1</v>
      </c>
      <c r="G884" s="2" t="n"/>
      <c r="H884" s="3" t="inlineStr">
        <is>
          <t>segment: Italy (region, revenue by customer location); revenue: 119.1</t>
        </is>
      </c>
      <c r="I884" s="2" t="inlineStr">
        <is>
          <t>S3</t>
        </is>
      </c>
      <c r="J884" s="2" t="n">
        <v>77</v>
      </c>
      <c r="K884" s="2" t="inlineStr">
        <is>
          <t>Italy 119.1 122.8</t>
        </is>
      </c>
      <c r="L884" s="2" t="inlineStr">
        <is>
          <t>ok</t>
        </is>
      </c>
      <c r="M884" s="2" t="inlineStr">
        <is>
          <t>demo reviewer</t>
        </is>
      </c>
      <c r="N884" s="2" t="n"/>
      <c r="O884" s="3" t="inlineStr">
        <is>
          <t>https://vanillabonds.com/dossier-data/pdf/katjes/katjes-2025-annual-report.pdf#page=77</t>
        </is>
      </c>
    </row>
    <row r="885">
      <c r="A885" s="2" t="inlineStr">
        <is>
          <t>F884</t>
        </is>
      </c>
      <c r="B885" s="2" t="inlineStr">
        <is>
          <t>financials</t>
        </is>
      </c>
      <c r="C885" s="2" t="inlineStr">
        <is>
          <t>segment</t>
        </is>
      </c>
      <c r="D885" s="3" t="inlineStr">
        <is>
          <t>Segment: segment; revenue; ebitda; assets</t>
        </is>
      </c>
      <c r="E885" s="2" t="inlineStr">
        <is>
          <t>FY2025</t>
        </is>
      </c>
      <c r="F885" s="2" t="n">
        <v>41.5</v>
      </c>
      <c r="G885" s="2" t="n"/>
      <c r="H885" s="3" t="inlineStr">
        <is>
          <t>segment: Switzerland (region, revenue by customer location); revenue: 41.5</t>
        </is>
      </c>
      <c r="I885" s="2" t="inlineStr">
        <is>
          <t>S3</t>
        </is>
      </c>
      <c r="J885" s="2" t="n">
        <v>77</v>
      </c>
      <c r="K885" s="2" t="inlineStr">
        <is>
          <t>Switzerland 41.5 24.4</t>
        </is>
      </c>
      <c r="L885" s="2" t="inlineStr">
        <is>
          <t>ok</t>
        </is>
      </c>
      <c r="M885" s="2" t="inlineStr">
        <is>
          <t>demo reviewer</t>
        </is>
      </c>
      <c r="N885" s="2" t="n"/>
      <c r="O885" s="3" t="inlineStr">
        <is>
          <t>https://vanillabonds.com/dossier-data/pdf/katjes/katjes-2025-annual-report.pdf#page=77</t>
        </is>
      </c>
    </row>
    <row r="886">
      <c r="A886" s="2" t="inlineStr">
        <is>
          <t>F885</t>
        </is>
      </c>
      <c r="B886" s="2" t="inlineStr">
        <is>
          <t>financials</t>
        </is>
      </c>
      <c r="C886" s="2" t="inlineStr">
        <is>
          <t>segment</t>
        </is>
      </c>
      <c r="D886" s="3" t="inlineStr">
        <is>
          <t>Segment: segment; revenue; ebitda; assets</t>
        </is>
      </c>
      <c r="E886" s="2" t="inlineStr">
        <is>
          <t>FY2025</t>
        </is>
      </c>
      <c r="F886" s="2" t="n">
        <v>31.5</v>
      </c>
      <c r="G886" s="2" t="n"/>
      <c r="H886" s="3" t="inlineStr">
        <is>
          <t>segment: UK (region, revenue by customer location); revenue: 31.5</t>
        </is>
      </c>
      <c r="I886" s="2" t="inlineStr">
        <is>
          <t>S3</t>
        </is>
      </c>
      <c r="J886" s="2" t="n">
        <v>77</v>
      </c>
      <c r="K886" s="2" t="inlineStr">
        <is>
          <t>UK 31.5 18.7</t>
        </is>
      </c>
      <c r="L886" s="2" t="inlineStr">
        <is>
          <t>ok</t>
        </is>
      </c>
      <c r="M886" s="2" t="inlineStr">
        <is>
          <t>demo reviewer</t>
        </is>
      </c>
      <c r="N886" s="2" t="n"/>
      <c r="O886" s="3" t="inlineStr">
        <is>
          <t>https://vanillabonds.com/dossier-data/pdf/katjes/katjes-2025-annual-report.pdf#page=77</t>
        </is>
      </c>
    </row>
    <row r="887">
      <c r="A887" s="2" t="inlineStr">
        <is>
          <t>F886</t>
        </is>
      </c>
      <c r="B887" s="2" t="inlineStr">
        <is>
          <t>financials</t>
        </is>
      </c>
      <c r="C887" s="2" t="inlineStr">
        <is>
          <t>segment</t>
        </is>
      </c>
      <c r="D887" s="3" t="inlineStr">
        <is>
          <t>Segment: segment; revenue; ebitda; assets</t>
        </is>
      </c>
      <c r="E887" s="2" t="inlineStr">
        <is>
          <t>FY2025</t>
        </is>
      </c>
      <c r="F887" s="2" t="n">
        <v>22</v>
      </c>
      <c r="G887" s="2" t="n"/>
      <c r="H887" s="3" t="inlineStr">
        <is>
          <t>segment: North America (region, revenue by customer location); revenue: 22.0</t>
        </is>
      </c>
      <c r="I887" s="2" t="inlineStr">
        <is>
          <t>S3</t>
        </is>
      </c>
      <c r="J887" s="2" t="n">
        <v>77</v>
      </c>
      <c r="K887" s="2" t="inlineStr">
        <is>
          <t>North America 22.0 5.3</t>
        </is>
      </c>
      <c r="L887" s="2" t="inlineStr">
        <is>
          <t>ok</t>
        </is>
      </c>
      <c r="M887" s="2" t="inlineStr">
        <is>
          <t>demo reviewer</t>
        </is>
      </c>
      <c r="N887" s="2" t="n"/>
      <c r="O887" s="3" t="inlineStr">
        <is>
          <t>https://vanillabonds.com/dossier-data/pdf/katjes/katjes-2025-annual-report.pdf#page=77</t>
        </is>
      </c>
    </row>
    <row r="888">
      <c r="A888" s="2" t="inlineStr">
        <is>
          <t>F887</t>
        </is>
      </c>
      <c r="B888" s="2" t="inlineStr">
        <is>
          <t>financials</t>
        </is>
      </c>
      <c r="C888" s="2" t="inlineStr">
        <is>
          <t>segment</t>
        </is>
      </c>
      <c r="D888" s="3" t="inlineStr">
        <is>
          <t>Segment: segment; revenue; ebitda; assets</t>
        </is>
      </c>
      <c r="E888" s="2" t="inlineStr">
        <is>
          <t>FY2025</t>
        </is>
      </c>
      <c r="F888" s="2" t="n">
        <v>19.1</v>
      </c>
      <c r="G888" s="2" t="n"/>
      <c r="H888" s="3" t="inlineStr">
        <is>
          <t>segment: Netherlands (region, revenue by customer location); revenue: 19.1</t>
        </is>
      </c>
      <c r="I888" s="2" t="inlineStr">
        <is>
          <t>S3</t>
        </is>
      </c>
      <c r="J888" s="2" t="n">
        <v>77</v>
      </c>
      <c r="K888" s="2" t="inlineStr">
        <is>
          <t>Netherlands 19.1 16.1</t>
        </is>
      </c>
      <c r="L888" s="2" t="inlineStr">
        <is>
          <t>ok</t>
        </is>
      </c>
      <c r="M888" s="2" t="inlineStr">
        <is>
          <t>demo reviewer</t>
        </is>
      </c>
      <c r="N888" s="2" t="n"/>
      <c r="O888" s="3" t="inlineStr">
        <is>
          <t>https://vanillabonds.com/dossier-data/pdf/katjes/katjes-2025-annual-report.pdf#page=77</t>
        </is>
      </c>
    </row>
    <row r="889">
      <c r="A889" s="2" t="inlineStr">
        <is>
          <t>F888</t>
        </is>
      </c>
      <c r="B889" s="2" t="inlineStr">
        <is>
          <t>financials</t>
        </is>
      </c>
      <c r="C889" s="2" t="inlineStr">
        <is>
          <t>segment</t>
        </is>
      </c>
      <c r="D889" s="3" t="inlineStr">
        <is>
          <t>Segment: segment; revenue; ebitda; assets</t>
        </is>
      </c>
      <c r="E889" s="2" t="inlineStr">
        <is>
          <t>FY2025</t>
        </is>
      </c>
      <c r="F889" s="2" t="n">
        <v>91.3</v>
      </c>
      <c r="G889" s="2" t="n"/>
      <c r="H889" s="3" t="inlineStr">
        <is>
          <t>segment: Other EU countries (region, revenue by customer location); revenue: 91.3</t>
        </is>
      </c>
      <c r="I889" s="2" t="inlineStr">
        <is>
          <t>S3</t>
        </is>
      </c>
      <c r="J889" s="2" t="n">
        <v>77</v>
      </c>
      <c r="K889" s="2" t="inlineStr">
        <is>
          <t>Other EU countries 91.3 81.2</t>
        </is>
      </c>
      <c r="L889" s="2" t="inlineStr">
        <is>
          <t>ok</t>
        </is>
      </c>
      <c r="M889" s="2" t="inlineStr">
        <is>
          <t>demo reviewer</t>
        </is>
      </c>
      <c r="N889" s="2" t="n"/>
      <c r="O889" s="3" t="inlineStr">
        <is>
          <t>https://vanillabonds.com/dossier-data/pdf/katjes/katjes-2025-annual-report.pdf#page=77</t>
        </is>
      </c>
    </row>
    <row r="890">
      <c r="A890" s="2" t="inlineStr">
        <is>
          <t>F889</t>
        </is>
      </c>
      <c r="B890" s="2" t="inlineStr">
        <is>
          <t>financials</t>
        </is>
      </c>
      <c r="C890" s="2" t="inlineStr">
        <is>
          <t>segment</t>
        </is>
      </c>
      <c r="D890" s="3" t="inlineStr">
        <is>
          <t>Segment: segment; revenue; ebitda; assets</t>
        </is>
      </c>
      <c r="E890" s="2" t="inlineStr">
        <is>
          <t>FY2025</t>
        </is>
      </c>
      <c r="F890" s="2" t="n">
        <v>20.4</v>
      </c>
      <c r="G890" s="2" t="n"/>
      <c r="H890" s="3" t="inlineStr">
        <is>
          <t>segment: Non-EU countries (region, revenue by customer location); revenue: 20.4</t>
        </is>
      </c>
      <c r="I890" s="2" t="inlineStr">
        <is>
          <t>S3</t>
        </is>
      </c>
      <c r="J890" s="2" t="n">
        <v>77</v>
      </c>
      <c r="K890" s="2" t="inlineStr">
        <is>
          <t>Non-EU countries 20.4 17.3</t>
        </is>
      </c>
      <c r="L890" s="2" t="inlineStr">
        <is>
          <t>ok</t>
        </is>
      </c>
      <c r="M890" s="2" t="inlineStr">
        <is>
          <t>demo reviewer</t>
        </is>
      </c>
      <c r="N890" s="2" t="n"/>
      <c r="O890" s="3" t="inlineStr">
        <is>
          <t>https://vanillabonds.com/dossier-data/pdf/katjes/katjes-2025-annual-report.pdf#page=77</t>
        </is>
      </c>
    </row>
    <row r="891">
      <c r="A891" s="2" t="inlineStr">
        <is>
          <t>F890</t>
        </is>
      </c>
      <c r="B891" s="2" t="inlineStr">
        <is>
          <t>financials</t>
        </is>
      </c>
      <c r="C891" s="2" t="inlineStr">
        <is>
          <t>segment</t>
        </is>
      </c>
      <c r="D891" s="3" t="inlineStr">
        <is>
          <t>Segment: segment; revenue; ebitda; assets</t>
        </is>
      </c>
      <c r="E891" s="2" t="inlineStr">
        <is>
          <t>FY2025</t>
        </is>
      </c>
      <c r="F891" s="2" t="n">
        <v>200.5</v>
      </c>
      <c r="G891" s="2" t="n"/>
      <c r="H891" s="3" t="inlineStr">
        <is>
          <t>segment: Germany (region, non-current assets: PP&amp;E, intangibles, other financial assets, investments); assets: 200.5</t>
        </is>
      </c>
      <c r="I891" s="2" t="inlineStr">
        <is>
          <t>S3</t>
        </is>
      </c>
      <c r="J891" s="2" t="n">
        <v>78</v>
      </c>
      <c r="K891" s="2" t="inlineStr">
        <is>
          <t>Germany 200.5 141.4</t>
        </is>
      </c>
      <c r="L891" s="2" t="inlineStr">
        <is>
          <t>ok</t>
        </is>
      </c>
      <c r="M891" s="2" t="inlineStr">
        <is>
          <t>demo reviewer</t>
        </is>
      </c>
      <c r="N891" s="2" t="n"/>
      <c r="O891" s="3" t="inlineStr">
        <is>
          <t>https://vanillabonds.com/dossier-data/pdf/katjes/katjes-2025-annual-report.pdf#page=78</t>
        </is>
      </c>
    </row>
    <row r="892">
      <c r="A892" s="2" t="inlineStr">
        <is>
          <t>F891</t>
        </is>
      </c>
      <c r="B892" s="2" t="inlineStr">
        <is>
          <t>financials</t>
        </is>
      </c>
      <c r="C892" s="2" t="inlineStr">
        <is>
          <t>segment</t>
        </is>
      </c>
      <c r="D892" s="3" t="inlineStr">
        <is>
          <t>Segment: segment; revenue; ebitda; assets</t>
        </is>
      </c>
      <c r="E892" s="2" t="inlineStr">
        <is>
          <t>FY2025</t>
        </is>
      </c>
      <c r="F892" s="2" t="n">
        <v>93.5</v>
      </c>
      <c r="G892" s="2" t="n"/>
      <c r="H892" s="3" t="inlineStr">
        <is>
          <t>segment: Italy (region, non-current assets: PP&amp;E, intangibles, other financial assets, investments); assets: 93.5</t>
        </is>
      </c>
      <c r="I892" s="2" t="inlineStr">
        <is>
          <t>S3</t>
        </is>
      </c>
      <c r="J892" s="2" t="n">
        <v>78</v>
      </c>
      <c r="K892" s="2" t="inlineStr">
        <is>
          <t>Italy 93.5 95.6</t>
        </is>
      </c>
      <c r="L892" s="2" t="inlineStr">
        <is>
          <t>ok</t>
        </is>
      </c>
      <c r="M892" s="2" t="inlineStr">
        <is>
          <t>demo reviewer</t>
        </is>
      </c>
      <c r="N892" s="2" t="n"/>
      <c r="O892" s="3" t="inlineStr">
        <is>
          <t>https://vanillabonds.com/dossier-data/pdf/katjes/katjes-2025-annual-report.pdf#page=78</t>
        </is>
      </c>
    </row>
    <row r="893">
      <c r="A893" s="2" t="inlineStr">
        <is>
          <t>F892</t>
        </is>
      </c>
      <c r="B893" s="2" t="inlineStr">
        <is>
          <t>financials</t>
        </is>
      </c>
      <c r="C893" s="2" t="inlineStr">
        <is>
          <t>segment</t>
        </is>
      </c>
      <c r="D893" s="3" t="inlineStr">
        <is>
          <t>Segment: segment; revenue; ebitda; assets</t>
        </is>
      </c>
      <c r="E893" s="2" t="inlineStr">
        <is>
          <t>FY2025</t>
        </is>
      </c>
      <c r="F893" s="2" t="n">
        <v>12.3</v>
      </c>
      <c r="G893" s="2" t="n"/>
      <c r="H893" s="3" t="inlineStr">
        <is>
          <t>segment: Netherlands (region, non-current assets: PP&amp;E, intangibles, other financial assets, investments); assets: 12.3</t>
        </is>
      </c>
      <c r="I893" s="2" t="inlineStr">
        <is>
          <t>S3</t>
        </is>
      </c>
      <c r="J893" s="2" t="n">
        <v>78</v>
      </c>
      <c r="K893" s="2" t="inlineStr">
        <is>
          <t>Netherlands 12.3 72.3</t>
        </is>
      </c>
      <c r="L893" s="2" t="inlineStr">
        <is>
          <t>ok</t>
        </is>
      </c>
      <c r="M893" s="2" t="inlineStr">
        <is>
          <t>demo reviewer</t>
        </is>
      </c>
      <c r="N893" s="2" t="n"/>
      <c r="O893" s="3" t="inlineStr">
        <is>
          <t>https://vanillabonds.com/dossier-data/pdf/katjes/katjes-2025-annual-report.pdf#page=78</t>
        </is>
      </c>
    </row>
    <row r="894">
      <c r="A894" s="2" t="inlineStr">
        <is>
          <t>F893</t>
        </is>
      </c>
      <c r="B894" s="2" t="inlineStr">
        <is>
          <t>financials</t>
        </is>
      </c>
      <c r="C894" s="2" t="inlineStr">
        <is>
          <t>segment</t>
        </is>
      </c>
      <c r="D894" s="3" t="inlineStr">
        <is>
          <t>Segment: segment; revenue; ebitda; assets</t>
        </is>
      </c>
      <c r="E894" s="2" t="inlineStr">
        <is>
          <t>FY2025</t>
        </is>
      </c>
      <c r="F894" s="2" t="n">
        <v>12.2</v>
      </c>
      <c r="G894" s="2" t="n"/>
      <c r="H894" s="3" t="inlineStr">
        <is>
          <t>segment: Switzerland (region, non-current assets: PP&amp;E, intangibles, other financial assets, investments); assets: 12.2</t>
        </is>
      </c>
      <c r="I894" s="2" t="inlineStr">
        <is>
          <t>S3</t>
        </is>
      </c>
      <c r="J894" s="2" t="n">
        <v>78</v>
      </c>
      <c r="K894" s="2" t="inlineStr">
        <is>
          <t>Switzerland 12.2 0.0</t>
        </is>
      </c>
      <c r="L894" s="2" t="inlineStr">
        <is>
          <t>ok</t>
        </is>
      </c>
      <c r="M894" s="2" t="inlineStr">
        <is>
          <t>demo reviewer</t>
        </is>
      </c>
      <c r="N894" s="2" t="n"/>
      <c r="O894" s="3" t="inlineStr">
        <is>
          <t>https://vanillabonds.com/dossier-data/pdf/katjes/katjes-2025-annual-report.pdf#page=78</t>
        </is>
      </c>
    </row>
    <row r="895">
      <c r="A895" s="2" t="inlineStr">
        <is>
          <t>F894</t>
        </is>
      </c>
      <c r="B895" s="2" t="inlineStr">
        <is>
          <t>financials</t>
        </is>
      </c>
      <c r="C895" s="2" t="inlineStr">
        <is>
          <t>segment</t>
        </is>
      </c>
      <c r="D895" s="3" t="inlineStr">
        <is>
          <t>Segment: segment; revenue; ebitda; assets</t>
        </is>
      </c>
      <c r="E895" s="2" t="inlineStr">
        <is>
          <t>FY2025</t>
        </is>
      </c>
      <c r="F895" s="2" t="n">
        <v>10.9</v>
      </c>
      <c r="G895" s="2" t="n"/>
      <c r="H895" s="3" t="inlineStr">
        <is>
          <t>segment: UK (region, non-current assets: PP&amp;E, intangibles, other financial assets, investments); assets: 10.9</t>
        </is>
      </c>
      <c r="I895" s="2" t="inlineStr">
        <is>
          <t>S3</t>
        </is>
      </c>
      <c r="J895" s="2" t="n">
        <v>78</v>
      </c>
      <c r="K895" s="2" t="inlineStr">
        <is>
          <t>UK 10.9 11.4</t>
        </is>
      </c>
      <c r="L895" s="2" t="inlineStr">
        <is>
          <t>ok</t>
        </is>
      </c>
      <c r="M895" s="2" t="inlineStr">
        <is>
          <t>demo reviewer</t>
        </is>
      </c>
      <c r="N895" s="2" t="n"/>
      <c r="O895" s="3" t="inlineStr">
        <is>
          <t>https://vanillabonds.com/dossier-data/pdf/katjes/katjes-2025-annual-report.pdf#page=78</t>
        </is>
      </c>
    </row>
    <row r="896">
      <c r="A896" s="2" t="inlineStr">
        <is>
          <t>F895</t>
        </is>
      </c>
      <c r="B896" s="2" t="inlineStr">
        <is>
          <t>financials</t>
        </is>
      </c>
      <c r="C896" s="2" t="inlineStr">
        <is>
          <t>segment</t>
        </is>
      </c>
      <c r="D896" s="3" t="inlineStr">
        <is>
          <t>Segment: segment; revenue; ebitda; assets</t>
        </is>
      </c>
      <c r="E896" s="2" t="inlineStr">
        <is>
          <t>FY2025</t>
        </is>
      </c>
      <c r="F896" s="2" t="n">
        <v>9.699999999999999</v>
      </c>
      <c r="G896" s="2" t="n"/>
      <c r="H896" s="3" t="inlineStr">
        <is>
          <t>segment: North America (region, non-current assets: PP&amp;E, intangibles, other financial assets, investments); assets: 9.7</t>
        </is>
      </c>
      <c r="I896" s="2" t="inlineStr">
        <is>
          <t>S3</t>
        </is>
      </c>
      <c r="J896" s="2" t="n">
        <v>78</v>
      </c>
      <c r="K896" s="2" t="inlineStr">
        <is>
          <t>North America 9.7 0.0</t>
        </is>
      </c>
      <c r="L896" s="2" t="inlineStr">
        <is>
          <t>ok</t>
        </is>
      </c>
      <c r="M896" s="2" t="inlineStr">
        <is>
          <t>demo reviewer</t>
        </is>
      </c>
      <c r="N896" s="2" t="n"/>
      <c r="O896" s="3" t="inlineStr">
        <is>
          <t>https://vanillabonds.com/dossier-data/pdf/katjes/katjes-2025-annual-report.pdf#page=78</t>
        </is>
      </c>
    </row>
    <row r="897">
      <c r="A897" s="2" t="inlineStr">
        <is>
          <t>F896</t>
        </is>
      </c>
      <c r="B897" s="2" t="inlineStr">
        <is>
          <t>financials</t>
        </is>
      </c>
      <c r="C897" s="2" t="inlineStr">
        <is>
          <t>segment</t>
        </is>
      </c>
      <c r="D897" s="3" t="inlineStr">
        <is>
          <t>Segment: segment; revenue; ebitda; assets</t>
        </is>
      </c>
      <c r="E897" s="2" t="inlineStr">
        <is>
          <t>FY2025</t>
        </is>
      </c>
      <c r="F897" s="2" t="n">
        <v>1.1</v>
      </c>
      <c r="G897" s="2" t="n"/>
      <c r="H897" s="3" t="inlineStr">
        <is>
          <t>segment: Austria (region, non-current assets: PP&amp;E, intangibles, other financial assets, investments); assets: 1.1</t>
        </is>
      </c>
      <c r="I897" s="2" t="inlineStr">
        <is>
          <t>S3</t>
        </is>
      </c>
      <c r="J897" s="2" t="n">
        <v>78</v>
      </c>
      <c r="K897" s="2" t="inlineStr">
        <is>
          <t>Austria 1.1 0.0</t>
        </is>
      </c>
      <c r="L897" s="2" t="inlineStr">
        <is>
          <t>ok</t>
        </is>
      </c>
      <c r="M897" s="2" t="inlineStr">
        <is>
          <t>demo reviewer</t>
        </is>
      </c>
      <c r="N897" s="2" t="n"/>
      <c r="O897" s="3" t="inlineStr">
        <is>
          <t>https://vanillabonds.com/dossier-data/pdf/katjes/katjes-2025-annual-report.pdf#page=78</t>
        </is>
      </c>
    </row>
    <row r="898">
      <c r="A898" s="2" t="inlineStr">
        <is>
          <t>F897</t>
        </is>
      </c>
      <c r="B898" s="2" t="inlineStr">
        <is>
          <t>financials</t>
        </is>
      </c>
      <c r="C898" s="2" t="inlineStr">
        <is>
          <t>segment</t>
        </is>
      </c>
      <c r="D898" s="3" t="inlineStr">
        <is>
          <t>Segment: segment; revenue; ebitda; assets</t>
        </is>
      </c>
      <c r="E898" s="2" t="inlineStr">
        <is>
          <t>FY2025</t>
        </is>
      </c>
      <c r="F898" s="2" t="n">
        <v>340.7</v>
      </c>
      <c r="G898" s="2" t="n"/>
      <c r="H898" s="3" t="inlineStr">
        <is>
          <t>segment: Group total (non-current assets by region); assets: 340.7</t>
        </is>
      </c>
      <c r="I898" s="2" t="inlineStr">
        <is>
          <t>S3</t>
        </is>
      </c>
      <c r="J898" s="2" t="n">
        <v>78</v>
      </c>
      <c r="K898" s="2" t="inlineStr">
        <is>
          <t>Total 340.7 320.7</t>
        </is>
      </c>
      <c r="L898" s="2" t="inlineStr">
        <is>
          <t>ok</t>
        </is>
      </c>
      <c r="M898" s="2" t="inlineStr">
        <is>
          <t>demo reviewer</t>
        </is>
      </c>
      <c r="N898" s="2" t="n"/>
      <c r="O898" s="3" t="inlineStr">
        <is>
          <t>https://vanillabonds.com/dossier-data/pdf/katjes/katjes-2025-annual-report.pdf#page=78</t>
        </is>
      </c>
    </row>
    <row r="899">
      <c r="A899" s="2" t="inlineStr">
        <is>
          <t>F898</t>
        </is>
      </c>
      <c r="B899" s="2" t="inlineStr">
        <is>
          <t>financials</t>
        </is>
      </c>
      <c r="C899" s="2" t="inlineStr">
        <is>
          <t>tax_paid</t>
        </is>
      </c>
      <c r="D899" s="2" t="inlineStr">
        <is>
          <t>Income taxes paid (cash flow statement)</t>
        </is>
      </c>
      <c r="E899" s="2" t="inlineStr">
        <is>
          <t>FY2024</t>
        </is>
      </c>
      <c r="F899" s="2" t="n">
        <v>2.5</v>
      </c>
      <c r="G899" s="2" t="inlineStr">
        <is>
          <t>EUR m</t>
        </is>
      </c>
      <c r="H899" s="3" t="inlineStr">
        <is>
          <t>Income taxes paid per cash flow statement</t>
        </is>
      </c>
      <c r="I899" s="2" t="inlineStr">
        <is>
          <t>S3</t>
        </is>
      </c>
      <c r="J899" s="2" t="n">
        <v>42</v>
      </c>
      <c r="K899" s="2" t="inlineStr">
        <is>
          <t>Income taxes paid -0.6 -2.5</t>
        </is>
      </c>
      <c r="L899" s="2" t="inlineStr">
        <is>
          <t>ok</t>
        </is>
      </c>
      <c r="M899" s="2" t="inlineStr">
        <is>
          <t>demo reviewer</t>
        </is>
      </c>
      <c r="N899" s="2" t="n"/>
      <c r="O899" s="3" t="inlineStr">
        <is>
          <t>https://vanillabonds.com/dossier-data/pdf/katjes/katjes-2025-annual-report.pdf#page=42</t>
        </is>
      </c>
    </row>
    <row r="900">
      <c r="A900" s="2" t="inlineStr">
        <is>
          <t>F899</t>
        </is>
      </c>
      <c r="B900" s="2" t="inlineStr">
        <is>
          <t>financials</t>
        </is>
      </c>
      <c r="C900" s="2" t="inlineStr">
        <is>
          <t>tax_paid</t>
        </is>
      </c>
      <c r="D900" s="2" t="inlineStr">
        <is>
          <t>Income taxes paid (cash flow statement)</t>
        </is>
      </c>
      <c r="E900" s="2" t="inlineStr">
        <is>
          <t>FY2025</t>
        </is>
      </c>
      <c r="F900" s="2" t="n">
        <v>0.6</v>
      </c>
      <c r="G900" s="2" t="inlineStr">
        <is>
          <t>EUR m</t>
        </is>
      </c>
      <c r="H900" s="3" t="inlineStr">
        <is>
          <t>Income taxes paid per cash flow statement</t>
        </is>
      </c>
      <c r="I900" s="2" t="inlineStr">
        <is>
          <t>S3</t>
        </is>
      </c>
      <c r="J900" s="2" t="n">
        <v>42</v>
      </c>
      <c r="K900" s="2" t="inlineStr">
        <is>
          <t>Income taxes paid -0.6 -2.5</t>
        </is>
      </c>
      <c r="L900" s="2" t="inlineStr">
        <is>
          <t>ok</t>
        </is>
      </c>
      <c r="M900" s="2" t="inlineStr">
        <is>
          <t>demo reviewer</t>
        </is>
      </c>
      <c r="N900" s="2" t="n"/>
      <c r="O900" s="3" t="inlineStr">
        <is>
          <t>https://vanillabonds.com/dossier-data/pdf/katjes/katjes-2025-annual-report.pdf#page=42</t>
        </is>
      </c>
    </row>
    <row r="901">
      <c r="A901" s="2" t="inlineStr">
        <is>
          <t>F900</t>
        </is>
      </c>
      <c r="B901" s="2" t="inlineStr">
        <is>
          <t>debt</t>
        </is>
      </c>
      <c r="C901" s="2" t="inlineStr">
        <is>
          <t>hedge</t>
        </is>
      </c>
      <c r="D901" s="3" t="inlineStr">
        <is>
          <t>Hedge: instrument; counterparty; notional; maturity; hedged item (rate, FX)</t>
        </is>
      </c>
      <c r="E901" s="2" t="n"/>
      <c r="F901" s="2" t="n">
        <v>3.6</v>
      </c>
      <c r="G901" s="2" t="n"/>
      <c r="H901" s="3" t="inlineStr">
        <is>
          <t>instrument: interest rate swap; notional: 3.6 (2024: 3.7); hedged item: rate (increase in variable interest rates); fair value change 0.0</t>
        </is>
      </c>
      <c r="I901" s="2" t="inlineStr">
        <is>
          <t>S3</t>
        </is>
      </c>
      <c r="J901" s="2" t="n">
        <v>63</v>
      </c>
      <c r="K901" s="3" t="inlineStr">
        <is>
          <t>As at December 31, 2025, the Group had one interest rate swap (December 31, 2024: one interest rate swap) with a nominal amount outstanding of EUR 3.6 million (2024: EUR 3.7 million).</t>
        </is>
      </c>
      <c r="L901" s="2" t="inlineStr">
        <is>
          <t>ok</t>
        </is>
      </c>
      <c r="M901" s="2" t="inlineStr">
        <is>
          <t>demo reviewer</t>
        </is>
      </c>
      <c r="N901" s="2" t="n"/>
      <c r="O901" s="3" t="inlineStr">
        <is>
          <t>https://vanillabonds.com/dossier-data/pdf/katjes/katjes-2025-annual-report.pdf#page=63</t>
        </is>
      </c>
    </row>
    <row r="902">
      <c r="A902" s="2" t="inlineStr">
        <is>
          <t>F901</t>
        </is>
      </c>
      <c r="B902" s="2" t="inlineStr">
        <is>
          <t>debt</t>
        </is>
      </c>
      <c r="C902" s="2" t="inlineStr">
        <is>
          <t>hedge</t>
        </is>
      </c>
      <c r="D902" s="3" t="inlineStr">
        <is>
          <t>Hedge: instrument; counterparty; notional; maturity; hedged item (rate, FX)</t>
        </is>
      </c>
      <c r="E902" s="2" t="n"/>
      <c r="F902" s="2" t="n">
        <v>0.2</v>
      </c>
      <c r="G902" s="2" t="n"/>
      <c r="H902" s="3" t="inlineStr">
        <is>
          <t>instrument: hedging reserve; notional: 0.2 at 31 Dec 2025; fair value of derivative financial liabilities 1.1 (non-current 0.7, current 0.9 per note 6.2)</t>
        </is>
      </c>
      <c r="I902" s="2" t="inlineStr">
        <is>
          <t>S3</t>
        </is>
      </c>
      <c r="J902" s="2" t="n">
        <v>64</v>
      </c>
      <c r="K902" s="3" t="inlineStr">
        <is>
          <t>As at the reporting date, the hedging reserve amounted to EUR 0.2 million.</t>
        </is>
      </c>
      <c r="L902" s="2" t="inlineStr">
        <is>
          <t>ok</t>
        </is>
      </c>
      <c r="M902" s="2" t="inlineStr">
        <is>
          <t>demo reviewer</t>
        </is>
      </c>
      <c r="N902" s="2" t="n"/>
      <c r="O902" s="3" t="inlineStr">
        <is>
          <t>https://vanillabonds.com/dossier-data/pdf/katjes/katjes-2025-annual-report.pdf#page=64</t>
        </is>
      </c>
    </row>
    <row r="903">
      <c r="A903" s="2" t="inlineStr">
        <is>
          <t>F902</t>
        </is>
      </c>
      <c r="B903" s="2" t="inlineStr">
        <is>
          <t>debt</t>
        </is>
      </c>
      <c r="C903" s="2" t="inlineStr">
        <is>
          <t>hedge</t>
        </is>
      </c>
      <c r="D903" s="3" t="inlineStr">
        <is>
          <t>Hedge: instrument; counterparty; notional; maturity; hedged item (rate, FX)</t>
        </is>
      </c>
      <c r="E903" s="2" t="n"/>
      <c r="F903" s="2" t="n">
        <v>92</v>
      </c>
      <c r="G903" s="2" t="n"/>
      <c r="H903" s="3" t="inlineStr">
        <is>
          <t>instrument: foreign exchange forward contracts in cash flow hedges; notional: 92.0 (51.6 within 1 year, 40.4 in 1-2 years); maturity: up to early 2028; hedged item: FX (expected EUR revenues and USD purchases), newly designated at Bogner acquisition 1 Sep 2025</t>
        </is>
      </c>
      <c r="I903" s="2" t="inlineStr">
        <is>
          <t>S3</t>
        </is>
      </c>
      <c r="J903" s="2" t="n">
        <v>65</v>
      </c>
      <c r="K903" s="2" t="inlineStr">
        <is>
          <t>51.6 40.4 0.0 92.0</t>
        </is>
      </c>
      <c r="L903" s="2" t="inlineStr">
        <is>
          <t>ok</t>
        </is>
      </c>
      <c r="M903" s="2" t="inlineStr">
        <is>
          <t>demo reviewer</t>
        </is>
      </c>
      <c r="N903" s="2" t="n"/>
      <c r="O903" s="3" t="inlineStr">
        <is>
          <t>https://vanillabonds.com/dossier-data/pdf/katjes/katjes-2025-annual-report.pdf#page=65</t>
        </is>
      </c>
    </row>
    <row r="904">
      <c r="A904" s="2" t="inlineStr">
        <is>
          <t>F903</t>
        </is>
      </c>
      <c r="B904" s="2" t="inlineStr">
        <is>
          <t>debt</t>
        </is>
      </c>
      <c r="C904" s="2" t="inlineStr">
        <is>
          <t>rate_type</t>
        </is>
      </c>
      <c r="D904" s="3" t="inlineStr">
        <is>
          <t>Rate structure of the debt: floating_share (0-1); base rate; fixed_share; fx mismatch revenue vs cost</t>
        </is>
      </c>
      <c r="E904" s="2" t="n"/>
      <c r="F904" s="2" t="n"/>
      <c r="G904" s="2" t="n"/>
      <c r="H904" s="3" t="inlineStr">
        <is>
          <t>base rate: 3-month and 2-month Euribor (factoring agreements), variable liabilities in euro; fixed_share: corporate bond 185.0 at 6.75% fixed and bank loans at fixed rates 2.0-8.5%, other loans variable and fixed; fx mismatch revenue vs cost: USD purchases hedged by forwards; a 1% rate move changes profit after tax by 0.3 (2024: 0.4)</t>
        </is>
      </c>
      <c r="I904" s="2" t="inlineStr">
        <is>
          <t>S3</t>
        </is>
      </c>
      <c r="J904" s="2" t="n">
        <v>55</v>
      </c>
      <c r="K904" s="3" t="inlineStr">
        <is>
          <t>If these interest rates had increased/decreased by 1%, profit after tax in the reporting year would have been EUR 0.3 million lower/EUR 0.3 million higher</t>
        </is>
      </c>
      <c r="L904" s="2" t="inlineStr">
        <is>
          <t>ok</t>
        </is>
      </c>
      <c r="M904" s="2" t="inlineStr">
        <is>
          <t>demo reviewer</t>
        </is>
      </c>
      <c r="N904" s="2" t="n"/>
      <c r="O904" s="3" t="inlineStr">
        <is>
          <t>https://vanillabonds.com/dossier-data/pdf/katjes/katjes-2025-annual-report.pdf#page=55</t>
        </is>
      </c>
    </row>
    <row r="905">
      <c r="A905" s="2" t="inlineStr">
        <is>
          <t>F904</t>
        </is>
      </c>
      <c r="B905" s="2" t="inlineStr">
        <is>
          <t>debt</t>
        </is>
      </c>
      <c r="C905" s="2" t="inlineStr">
        <is>
          <t>rollover_event</t>
        </is>
      </c>
      <c r="D905" s="3" t="inlineStr">
        <is>
          <t>Past maturity: instrument; amount; due; outcome (repaid, refinanced, extended, waived)</t>
        </is>
      </c>
      <c r="E905" s="2" t="n"/>
      <c r="F905" s="2" t="n">
        <v>115</v>
      </c>
      <c r="G905" s="2" t="n"/>
      <c r="H905" s="3" t="inlineStr">
        <is>
          <t>instrument: 2019/2024 bond; due: 2024; outcome: refinanced early in 2023 at 100.5% by the 2023/2028 bond of EUR 115m at 6.75%</t>
        </is>
      </c>
      <c r="I905" s="2" t="inlineStr">
        <is>
          <t>S3</t>
        </is>
      </c>
      <c r="J905" s="2" t="n">
        <v>68</v>
      </c>
      <c r="K905" s="3" t="inlineStr">
        <is>
          <t>The 2019/2024 bond was refinanced early in 2023 at 100.5%. For this purpose, the 2023/2028 bond bearing interest at 6.75% was issued in September 2023</t>
        </is>
      </c>
      <c r="L905" s="2" t="inlineStr">
        <is>
          <t>ok</t>
        </is>
      </c>
      <c r="M905" s="2" t="inlineStr">
        <is>
          <t>demo reviewer</t>
        </is>
      </c>
      <c r="N905" s="2" t="n"/>
      <c r="O905" s="3" t="inlineStr">
        <is>
          <t>https://vanillabonds.com/dossier-data/pdf/katjes/katjes-2025-annual-report.pdf#page=68</t>
        </is>
      </c>
    </row>
    <row r="906">
      <c r="A906" s="2" t="inlineStr">
        <is>
          <t>F905</t>
        </is>
      </c>
      <c r="B906" s="2" t="inlineStr">
        <is>
          <t>management</t>
        </is>
      </c>
      <c r="C906" s="2" t="inlineStr">
        <is>
          <t>project_outcome</t>
        </is>
      </c>
      <c r="D906" s="3" t="inlineStr">
        <is>
          <t>Project or acquisition: name; approved budget; approved timing; realised cost; realised timing; realised result</t>
        </is>
      </c>
      <c r="E906" s="2" t="n"/>
      <c r="F906" s="2" t="n">
        <v>61.2</v>
      </c>
      <c r="G906" s="2" t="n"/>
      <c r="H906" s="3" t="inlineStr">
        <is>
          <t>name: Bogner 60% acquisition; realised cost: 61.2 cash outflow; realised timing: closed 1 Sep 2025, financial year-end aligned to 31 Dec; realised result: badwill 35.1 in other operating income, Bogner contributed revenue in Germany, Switzerland, North America and Austria from September</t>
        </is>
      </c>
      <c r="I906" s="2" t="inlineStr">
        <is>
          <t>S3</t>
        </is>
      </c>
      <c r="J906" s="2" t="n">
        <v>53</v>
      </c>
      <c r="K906" s="3" t="inlineStr">
        <is>
          <t>In the financial year 2025, the Bogner Group generated revenue of approximately EUR 200 million and was profitable.</t>
        </is>
      </c>
      <c r="L906" s="2" t="inlineStr">
        <is>
          <t>ok</t>
        </is>
      </c>
      <c r="M906" s="2" t="inlineStr">
        <is>
          <t>demo reviewer</t>
        </is>
      </c>
      <c r="N906" s="2" t="n"/>
      <c r="O906" s="3" t="inlineStr">
        <is>
          <t>https://vanillabonds.com/dossier-data/pdf/katjes/katjes-2025-annual-report.pdf#page=53</t>
        </is>
      </c>
    </row>
    <row r="907">
      <c r="A907" s="2" t="inlineStr">
        <is>
          <t>F906</t>
        </is>
      </c>
      <c r="B907" s="2" t="inlineStr">
        <is>
          <t>management</t>
        </is>
      </c>
      <c r="C907" s="2" t="inlineStr">
        <is>
          <t>strategy_statement</t>
        </is>
      </c>
      <c r="D907" s="3" t="inlineStr">
        <is>
          <t>Stated strategy: year; statement; what happened; source</t>
        </is>
      </c>
      <c r="E907" s="2" t="n"/>
      <c r="F907" s="2" t="n"/>
      <c r="G907" s="2" t="n"/>
      <c r="H907" s="3" t="inlineStr">
        <is>
          <t>year: 2025; statement: the Company generally does not dispose of majority interests; what happened: only the 23% CPK minority was sold in 2025; source: management foreword</t>
        </is>
      </c>
      <c r="I907" s="2" t="inlineStr">
        <is>
          <t>S3</t>
        </is>
      </c>
      <c r="J907" s="2" t="n">
        <v>4</v>
      </c>
      <c r="K907" s="3" t="inlineStr">
        <is>
          <t>While we generally do not dispose of majority interests, this</t>
        </is>
      </c>
      <c r="L907" s="2" t="inlineStr">
        <is>
          <t>ok</t>
        </is>
      </c>
      <c r="M907" s="2" t="inlineStr">
        <is>
          <t>demo reviewer</t>
        </is>
      </c>
      <c r="N907" s="2" t="n"/>
      <c r="O907" s="3" t="inlineStr">
        <is>
          <t>https://vanillabonds.com/dossier-data/pdf/katjes/katjes-2025-annual-report.pdf#page=4</t>
        </is>
      </c>
    </row>
    <row r="908">
      <c r="A908" s="2" t="inlineStr">
        <is>
          <t>F907</t>
        </is>
      </c>
      <c r="B908" s="2" t="inlineStr">
        <is>
          <t>management</t>
        </is>
      </c>
      <c r="C908" s="2" t="inlineStr">
        <is>
          <t>strategy_statement</t>
        </is>
      </c>
      <c r="D908" s="3" t="inlineStr">
        <is>
          <t>Stated strategy: year; statement; what happened; source</t>
        </is>
      </c>
      <c r="E908" s="2" t="n"/>
      <c r="F908" s="2" t="n"/>
      <c r="G908" s="2" t="n"/>
      <c r="H908" s="3" t="inlineStr">
        <is>
          <t>year: 2025; statement: brand holding and carve-out investor acquiring 'strong brands' in European consumer goods from large corporations that lost critical size; what happened: Bogner 60% acquired Sep 2025, CPK minority sold, Graze and Missoni signed; source: group management report 1.2</t>
        </is>
      </c>
      <c r="I908" s="2" t="inlineStr">
        <is>
          <t>S3</t>
        </is>
      </c>
      <c r="J908" s="2" t="n">
        <v>18</v>
      </c>
      <c r="K908" s="3" t="inlineStr">
        <is>
          <t>acquiring businesses from large corporations that, for example, have lost critical size within the respective group.</t>
        </is>
      </c>
      <c r="L908" s="2" t="inlineStr">
        <is>
          <t>ok</t>
        </is>
      </c>
      <c r="M908" s="2" t="inlineStr">
        <is>
          <t>demo reviewer</t>
        </is>
      </c>
      <c r="N908" s="3" t="inlineStr">
        <is>
          <t>text: company wording put in quotation marks (reviewer, 20 Oct 2026)</t>
        </is>
      </c>
      <c r="O908" s="3" t="inlineStr">
        <is>
          <t>https://vanillabonds.com/dossier-data/pdf/katjes/katjes-2025-annual-report.pdf#page=18</t>
        </is>
      </c>
    </row>
    <row r="909">
      <c r="A909" s="2" t="inlineStr">
        <is>
          <t>F908</t>
        </is>
      </c>
      <c r="B909" s="2" t="inlineStr">
        <is>
          <t>management</t>
        </is>
      </c>
      <c r="C909" s="2" t="inlineStr">
        <is>
          <t>strategy_statement</t>
        </is>
      </c>
      <c r="D909" s="3" t="inlineStr">
        <is>
          <t>Stated strategy: year; statement; what happened; source</t>
        </is>
      </c>
      <c r="E909" s="2" t="n"/>
      <c r="F909" s="2" t="n"/>
      <c r="G909" s="2" t="n"/>
      <c r="H909" s="3" t="inlineStr">
        <is>
          <t>year: 2026; statement: continue the proven strategy of organic growth plus acquisitions with a focus on 'strong consumer goods brands' with a European focus, targets from succession situations, carve-outs and market consolidation; source: forecast report</t>
        </is>
      </c>
      <c r="I909" s="2" t="inlineStr">
        <is>
          <t>S3</t>
        </is>
      </c>
      <c r="J909" s="2" t="n">
        <v>35</v>
      </c>
      <c r="K909" s="3" t="inlineStr">
        <is>
          <t>Katjes International will continue to pursue its proven strategy in 2026.</t>
        </is>
      </c>
      <c r="L909" s="2" t="inlineStr">
        <is>
          <t>ok</t>
        </is>
      </c>
      <c r="M909" s="2" t="inlineStr">
        <is>
          <t>demo reviewer</t>
        </is>
      </c>
      <c r="N909" s="3" t="inlineStr">
        <is>
          <t>text: company wording put in quotation marks (reviewer, 20 Oct 2026)</t>
        </is>
      </c>
      <c r="O909" s="3" t="inlineStr">
        <is>
          <t>https://vanillabonds.com/dossier-data/pdf/katjes/katjes-2025-annual-report.pdf#page=35</t>
        </is>
      </c>
    </row>
    <row r="910">
      <c r="A910" s="2" t="inlineStr">
        <is>
          <t>F909</t>
        </is>
      </c>
      <c r="B910" s="2" t="inlineStr">
        <is>
          <t>management</t>
        </is>
      </c>
      <c r="C910" s="2" t="inlineStr">
        <is>
          <t>strategy_statement</t>
        </is>
      </c>
      <c r="D910" s="3" t="inlineStr">
        <is>
          <t>Stated strategy: year; statement; what happened; source</t>
        </is>
      </c>
      <c r="E910" s="2" t="n"/>
      <c r="F910" s="2" t="n">
        <v>10</v>
      </c>
      <c r="G910" s="2" t="n"/>
      <c r="H910" s="3" t="inlineStr">
        <is>
          <t>year: 2026; statement: long-term objective of a sustainable average EBITDA margin of at least 10%; what happened: 19.7% in 2025 incl. badwill and disposal gain, 11.4% in 2024; source: forecast report</t>
        </is>
      </c>
      <c r="I910" s="2" t="inlineStr">
        <is>
          <t>S3</t>
        </is>
      </c>
      <c r="J910" s="2" t="n">
        <v>35</v>
      </c>
      <c r="K910" s="3" t="inlineStr">
        <is>
          <t>The Company’s long-term objective is to sustainably achieve an average EBITDA margin of at least 10%.</t>
        </is>
      </c>
      <c r="L910" s="2" t="inlineStr">
        <is>
          <t>ok</t>
        </is>
      </c>
      <c r="M910" s="2" t="inlineStr">
        <is>
          <t>demo reviewer</t>
        </is>
      </c>
      <c r="N910" s="2" t="n"/>
      <c r="O910" s="3" t="inlineStr">
        <is>
          <t>https://vanillabonds.com/dossier-data/pdf/katjes/katjes-2025-annual-report.pdf#page=35</t>
        </is>
      </c>
    </row>
    <row r="911">
      <c r="A911" s="2" t="inlineStr">
        <is>
          <t>F910</t>
        </is>
      </c>
      <c r="B911" s="2" t="inlineStr">
        <is>
          <t>management</t>
        </is>
      </c>
      <c r="C911" s="2" t="inlineStr">
        <is>
          <t>strategy_statement</t>
        </is>
      </c>
      <c r="D911" s="3" t="inlineStr">
        <is>
          <t>Stated strategy: year; statement; what happened; source</t>
        </is>
      </c>
      <c r="E911" s="2" t="n"/>
      <c r="F911" s="2" t="n"/>
      <c r="G911" s="2" t="n"/>
      <c r="H911" s="3" t="inlineStr">
        <is>
          <t>year: 2025; statement: acquired brands remain legally and organisationally independent with local management, steered at Group level; what happened: Bogner family retains 40% and local management; source: notes 8</t>
        </is>
      </c>
      <c r="I911" s="2" t="inlineStr">
        <is>
          <t>S3</t>
        </is>
      </c>
      <c r="J911" s="2" t="n">
        <v>77</v>
      </c>
      <c r="K911" s="3" t="inlineStr">
        <is>
          <t>Even after an acquisition, the brands and their respective companies remain organisationally independent</t>
        </is>
      </c>
      <c r="L911" s="2" t="inlineStr">
        <is>
          <t>ok</t>
        </is>
      </c>
      <c r="M911" s="2" t="inlineStr">
        <is>
          <t>demo reviewer</t>
        </is>
      </c>
      <c r="N911" s="2" t="n"/>
      <c r="O911" s="3" t="inlineStr">
        <is>
          <t>https://vanillabonds.com/dossier-data/pdf/katjes/katjes-2025-annual-report.pdf#page=77</t>
        </is>
      </c>
    </row>
    <row r="912">
      <c r="A912" s="2" t="inlineStr">
        <is>
          <t>F911</t>
        </is>
      </c>
      <c r="B912" s="2" t="inlineStr">
        <is>
          <t>management</t>
        </is>
      </c>
      <c r="C912" s="2" t="inlineStr">
        <is>
          <t>risk_policy</t>
        </is>
      </c>
      <c r="D912" s="3" t="inlineStr">
        <is>
          <t>Financial policy, stated and revealed: item (leverage target, dividend, hedging, cash held, acquisition funding); stated; realised; year</t>
        </is>
      </c>
      <c r="E912" s="2" t="n"/>
      <c r="F912" s="2" t="n"/>
      <c r="G912" s="2" t="n"/>
      <c r="H912" s="3" t="inlineStr">
        <is>
          <t>item: acquisition funding; stated: corporate bonds generally used to finance acquisitions, ongoing operations financed through internal financing, factoring, bank loans and credit lines; realised: bond tapped by 70.0 for Bogner in 2025 and by 15.0 for Missoni in 2026; year: 2025</t>
        </is>
      </c>
      <c r="I912" s="2" t="inlineStr">
        <is>
          <t>S3</t>
        </is>
      </c>
      <c r="J912" s="2" t="n">
        <v>26</v>
      </c>
      <c r="K912" s="3" t="inlineStr">
        <is>
          <t>The Company primarily finances its ongoing operations through internal financing, factoring, bank loans and available credit lines.</t>
        </is>
      </c>
      <c r="L912" s="2" t="inlineStr">
        <is>
          <t>ok</t>
        </is>
      </c>
      <c r="M912" s="2" t="inlineStr">
        <is>
          <t>demo reviewer</t>
        </is>
      </c>
      <c r="N912" s="2" t="n"/>
      <c r="O912" s="3" t="inlineStr">
        <is>
          <t>https://vanillabonds.com/dossier-data/pdf/katjes/katjes-2025-annual-report.pdf#page=26</t>
        </is>
      </c>
    </row>
    <row r="913">
      <c r="A913" s="2" t="inlineStr">
        <is>
          <t>F912</t>
        </is>
      </c>
      <c r="B913" s="2" t="inlineStr">
        <is>
          <t>management</t>
        </is>
      </c>
      <c r="C913" s="2" t="inlineStr">
        <is>
          <t>risk_policy</t>
        </is>
      </c>
      <c r="D913" s="3" t="inlineStr">
        <is>
          <t>Financial policy, stated and revealed: item (leverage target, dividend, hedging, cash held, acquisition funding); stated; realised; year</t>
        </is>
      </c>
      <c r="E913" s="2" t="n"/>
      <c r="F913" s="2" t="n"/>
      <c r="G913" s="2" t="n"/>
      <c r="H913" s="3" t="inlineStr">
        <is>
          <t>item: hedging; stated: derivatives (interest rate and currency swaps, FX forwards) used to an appropriate extent, hedge accounting where requirements are met, raw material price risk mitigated by fixed-price supplier agreements of 3-24 months, no permanent hedge possible; realised: one swap 3.6 and FX forwards 92.0 at year end; year: 2025</t>
        </is>
      </c>
      <c r="I913" s="2" t="inlineStr">
        <is>
          <t>S3</t>
        </is>
      </c>
      <c r="J913" s="2" t="n">
        <v>55</v>
      </c>
      <c r="K913" s="3" t="inlineStr">
        <is>
          <t>The Group addresses this risk by entering into contracts with suppliers, which typically have terms of between 3 and 24 months.</t>
        </is>
      </c>
      <c r="L913" s="2" t="inlineStr">
        <is>
          <t>ok</t>
        </is>
      </c>
      <c r="M913" s="2" t="inlineStr">
        <is>
          <t>demo reviewer</t>
        </is>
      </c>
      <c r="N913" s="2" t="n"/>
      <c r="O913" s="3" t="inlineStr">
        <is>
          <t>https://vanillabonds.com/dossier-data/pdf/katjes/katjes-2025-annual-report.pdf#page=55</t>
        </is>
      </c>
    </row>
    <row r="914">
      <c r="A914" s="2" t="inlineStr">
        <is>
          <t>F913</t>
        </is>
      </c>
      <c r="B914" s="2" t="inlineStr">
        <is>
          <t>management</t>
        </is>
      </c>
      <c r="C914" s="2" t="inlineStr">
        <is>
          <t>risk_policy</t>
        </is>
      </c>
      <c r="D914" s="3" t="inlineStr">
        <is>
          <t>Financial policy, stated and revealed: item (leverage target, dividend, hedging, cash held, acquisition funding); stated; realised; year</t>
        </is>
      </c>
      <c r="E914" s="2" t="n"/>
      <c r="F914" s="2" t="n"/>
      <c r="G914" s="2" t="n"/>
      <c r="H914" s="3" t="inlineStr">
        <is>
          <t>item: cash held; stated: finance non-current assets through long-term funding and keep 'sufficient credit lines' for short-term liquidity, cash planning regularly monitored; realised: cash 146.8 at 31 Dec 2025; year: 2025</t>
        </is>
      </c>
      <c r="I914" s="2" t="inlineStr">
        <is>
          <t>S3</t>
        </is>
      </c>
      <c r="J914" s="2" t="n">
        <v>56</v>
      </c>
      <c r="K914" s="3" t="inlineStr">
        <is>
          <t>The objective is to finance non-current assets through long-term funding and to ensure sufficient credit lines to cover short-term liquidity requirements.</t>
        </is>
      </c>
      <c r="L914" s="2" t="inlineStr">
        <is>
          <t>ok</t>
        </is>
      </c>
      <c r="M914" s="2" t="inlineStr">
        <is>
          <t>demo reviewer</t>
        </is>
      </c>
      <c r="N914" s="3" t="inlineStr">
        <is>
          <t>text: company wording put in quotation marks (reviewer, 20 Oct 2026)</t>
        </is>
      </c>
      <c r="O914" s="3" t="inlineStr">
        <is>
          <t>https://vanillabonds.com/dossier-data/pdf/katjes/katjes-2025-annual-report.pdf#page=56</t>
        </is>
      </c>
    </row>
    <row r="915">
      <c r="A915" s="2" t="inlineStr">
        <is>
          <t>F914</t>
        </is>
      </c>
      <c r="B915" s="2" t="inlineStr">
        <is>
          <t>management</t>
        </is>
      </c>
      <c r="C915" s="2" t="inlineStr">
        <is>
          <t>risk_policy</t>
        </is>
      </c>
      <c r="D915" s="3" t="inlineStr">
        <is>
          <t>Financial policy, stated and revealed: item (leverage target, dividend, hedging, cash held, acquisition funding); stated; realised; year</t>
        </is>
      </c>
      <c r="E915" s="2" t="n"/>
      <c r="F915" s="2" t="n">
        <v>0.44</v>
      </c>
      <c r="G915" s="2" t="n"/>
      <c r="H915" s="3" t="inlineStr">
        <is>
          <t>item: leverage target; stated: capital monitored on the leverage ratio net debt to total capital (equity plus net debt), objective an optimal capital structure; realised: 44% at 31 Dec 2025 (2024: 43%); year: 2025</t>
        </is>
      </c>
      <c r="I915" s="2" t="inlineStr">
        <is>
          <t>S3</t>
        </is>
      </c>
      <c r="J915" s="2" t="n">
        <v>58</v>
      </c>
      <c r="K915" s="2" t="inlineStr">
        <is>
          <t>Leverage ratio 44% 43%</t>
        </is>
      </c>
      <c r="L915" s="2" t="inlineStr">
        <is>
          <t>ok</t>
        </is>
      </c>
      <c r="M915" s="2" t="inlineStr">
        <is>
          <t>demo reviewer</t>
        </is>
      </c>
      <c r="N915" s="2" t="n"/>
      <c r="O915" s="3" t="inlineStr">
        <is>
          <t>https://vanillabonds.com/dossier-data/pdf/katjes/katjes-2025-annual-report.pdf#page=58</t>
        </is>
      </c>
    </row>
    <row r="916">
      <c r="A916" s="2" t="inlineStr">
        <is>
          <t>F915</t>
        </is>
      </c>
      <c r="B916" s="2" t="inlineStr">
        <is>
          <t>management</t>
        </is>
      </c>
      <c r="C916" s="2" t="inlineStr">
        <is>
          <t>insurance</t>
        </is>
      </c>
      <c r="D916" s="3" t="inlineStr">
        <is>
          <t>Insurance: cover (property, business interruption, key person, cyber, D&amp;O); insurer; sum; expiry</t>
        </is>
      </c>
      <c r="E916" s="2" t="n"/>
      <c r="F916" s="2" t="n"/>
      <c r="G916" s="2" t="n"/>
      <c r="H916" s="3" t="inlineStr">
        <is>
          <t>cover: insurance coverage maintained against relevant risks (quality and other operating risks); insurer: not named; sum: not stated</t>
        </is>
      </c>
      <c r="I916" s="2" t="inlineStr">
        <is>
          <t>S3</t>
        </is>
      </c>
      <c r="J916" s="2" t="n">
        <v>34</v>
      </c>
      <c r="K916" s="3" t="inlineStr">
        <is>
          <t>In addition, insurance coverage is maintained against relevant risks.</t>
        </is>
      </c>
      <c r="L916" s="2" t="inlineStr">
        <is>
          <t>ok</t>
        </is>
      </c>
      <c r="M916" s="2" t="inlineStr">
        <is>
          <t>demo reviewer</t>
        </is>
      </c>
      <c r="N916" s="2" t="n"/>
      <c r="O916" s="3" t="inlineStr">
        <is>
          <t>https://vanillabonds.com/dossier-data/pdf/katjes/katjes-2025-annual-report.pdf#page=34</t>
        </is>
      </c>
    </row>
    <row r="917">
      <c r="A917" s="2" t="inlineStr">
        <is>
          <t>F916</t>
        </is>
      </c>
      <c r="B917" s="2" t="inlineStr">
        <is>
          <t>management</t>
        </is>
      </c>
      <c r="C917" s="2" t="inlineStr">
        <is>
          <t>insurance</t>
        </is>
      </c>
      <c r="D917" s="3" t="inlineStr">
        <is>
          <t>Insurance: cover (property, business interruption, key person, cyber, D&amp;O); insurer; sum; expiry</t>
        </is>
      </c>
      <c r="E917" s="2" t="n"/>
      <c r="F917" s="2" t="n"/>
      <c r="G917" s="2" t="n"/>
      <c r="H917" s="3" t="inlineStr">
        <is>
          <t>cover: credit insurance on certain trade receivables; insurer: not named; sum: not stated</t>
        </is>
      </c>
      <c r="I917" s="2" t="inlineStr">
        <is>
          <t>S3</t>
        </is>
      </c>
      <c r="J917" s="2" t="n">
        <v>56</v>
      </c>
      <c r="K917" s="3" t="inlineStr">
        <is>
          <t>In addition, credit insurance is obtained for certain receivables.</t>
        </is>
      </c>
      <c r="L917" s="2" t="inlineStr">
        <is>
          <t>ok</t>
        </is>
      </c>
      <c r="M917" s="2" t="inlineStr">
        <is>
          <t>demo reviewer</t>
        </is>
      </c>
      <c r="N917" s="2" t="n"/>
      <c r="O917" s="3" t="inlineStr">
        <is>
          <t>https://vanillabonds.com/dossier-data/pdf/katjes/katjes-2025-annual-report.pdf#page=56</t>
        </is>
      </c>
    </row>
    <row r="918">
      <c r="A918" s="2" t="inlineStr">
        <is>
          <t>F917</t>
        </is>
      </c>
      <c r="B918" s="2" t="inlineStr">
        <is>
          <t>management</t>
        </is>
      </c>
      <c r="C918" s="2" t="inlineStr">
        <is>
          <t>remuneration</t>
        </is>
      </c>
      <c r="D918" s="3" t="inlineStr">
        <is>
          <t>Remuneration as disclosed in the filed accounts: person or body; amount; year</t>
        </is>
      </c>
      <c r="E918" s="2" t="n"/>
      <c r="F918" s="2" t="n">
        <v>0.3</v>
      </c>
      <c r="G918" s="2" t="n"/>
      <c r="H918" s="3" t="inlineStr">
        <is>
          <t>person or body: general partner Xaver Fassin International GmbH (total remuneration paid to the management); amount: 0.3; year: 2025</t>
        </is>
      </c>
      <c r="I918" s="2" t="inlineStr">
        <is>
          <t>S3</t>
        </is>
      </c>
      <c r="J918" s="2" t="n">
        <v>80</v>
      </c>
      <c r="K918" s="3" t="inlineStr">
        <is>
          <t>Total remuneration paid to the ma- nagement* 0.3 0.3</t>
        </is>
      </c>
      <c r="L918" s="2" t="inlineStr">
        <is>
          <t>ok</t>
        </is>
      </c>
      <c r="M918" s="2" t="inlineStr">
        <is>
          <t>demo reviewer</t>
        </is>
      </c>
      <c r="N918" s="2" t="n"/>
      <c r="O918" s="3" t="inlineStr">
        <is>
          <t>https://vanillabonds.com/dossier-data/pdf/katjes/katjes-2025-annual-report.pdf#page=80</t>
        </is>
      </c>
    </row>
    <row r="919">
      <c r="A919" s="2" t="inlineStr">
        <is>
          <t>F918</t>
        </is>
      </c>
      <c r="B919" s="2" t="inlineStr">
        <is>
          <t>management</t>
        </is>
      </c>
      <c r="C919" s="2" t="inlineStr">
        <is>
          <t>remuneration</t>
        </is>
      </c>
      <c r="D919" s="3" t="inlineStr">
        <is>
          <t>Remuneration as disclosed in the filed accounts: person or body; amount; year</t>
        </is>
      </c>
      <c r="E919" s="2" t="n"/>
      <c r="F919" s="2" t="n">
        <v>0.3</v>
      </c>
      <c r="G919" s="2" t="n"/>
      <c r="H919" s="3" t="inlineStr">
        <is>
          <t>person or body: general partner Xaver Fassin International GmbH; amount: 0.3; year: 2024</t>
        </is>
      </c>
      <c r="I919" s="2" t="inlineStr">
        <is>
          <t>S3</t>
        </is>
      </c>
      <c r="J919" s="2" t="n">
        <v>80</v>
      </c>
      <c r="K919" s="3" t="inlineStr">
        <is>
          <t>*Remuneration paid to the general partner.</t>
        </is>
      </c>
      <c r="L919" s="2" t="inlineStr">
        <is>
          <t>ok</t>
        </is>
      </c>
      <c r="M919" s="2" t="inlineStr">
        <is>
          <t>demo reviewer</t>
        </is>
      </c>
      <c r="N919" s="2" t="n"/>
      <c r="O919" s="3" t="inlineStr">
        <is>
          <t>https://vanillabonds.com/dossier-data/pdf/katjes/katjes-2025-annual-report.pdf#page=80</t>
        </is>
      </c>
    </row>
    <row r="920">
      <c r="A920" s="2" t="inlineStr">
        <is>
          <t>F919</t>
        </is>
      </c>
      <c r="B920" s="2" t="inlineStr">
        <is>
          <t>plan</t>
        </is>
      </c>
      <c r="C920" s="2" t="inlineStr">
        <is>
          <t>plan_variable</t>
        </is>
      </c>
      <c r="D920" s="3" t="inlineStr">
        <is>
          <t>Plan claim as a variable: variable; value; year; reference_class; n; median; spread; percentile; source</t>
        </is>
      </c>
      <c r="E920" s="2" t="n"/>
      <c r="F920" s="2" t="n"/>
      <c r="G920" s="2" t="n"/>
      <c r="H920" s="3" t="inlineStr">
        <is>
          <t>variable: EBITDA margin guidance; value: 9% to 10%; year: 2025; source: forecast report (realised 19.7%)</t>
        </is>
      </c>
      <c r="I920" s="2" t="inlineStr">
        <is>
          <t>S3</t>
        </is>
      </c>
      <c r="J920" s="2" t="n">
        <v>35</v>
      </c>
      <c r="K920" s="3" t="inlineStr">
        <is>
          <t>The EBITDA margin of Katjes International, which had been guided in a range of 9% to 10%, amounted to 19.7%</t>
        </is>
      </c>
      <c r="L920" s="2" t="inlineStr">
        <is>
          <t>ok</t>
        </is>
      </c>
      <c r="M920" s="2" t="inlineStr">
        <is>
          <t>demo reviewer</t>
        </is>
      </c>
      <c r="N920" s="2" t="n"/>
      <c r="O920" s="3" t="inlineStr">
        <is>
          <t>https://vanillabonds.com/dossier-data/pdf/katjes/katjes-2025-annual-report.pdf#page=35</t>
        </is>
      </c>
    </row>
    <row r="921">
      <c r="A921" s="2" t="inlineStr">
        <is>
          <t>F920</t>
        </is>
      </c>
      <c r="B921" s="2" t="inlineStr">
        <is>
          <t>plan</t>
        </is>
      </c>
      <c r="C921" s="2" t="inlineStr">
        <is>
          <t>plan_variable</t>
        </is>
      </c>
      <c r="D921" s="3" t="inlineStr">
        <is>
          <t>Plan claim as a variable: variable; value; year; reference_class; n; median; spread; percentile; source</t>
        </is>
      </c>
      <c r="E921" s="2" t="n"/>
      <c r="F921" s="2" t="n"/>
      <c r="G921" s="2" t="n"/>
      <c r="H921" s="3" t="inlineStr">
        <is>
          <t>variable: EBITDA margin guidance; value: 10% to 12%; year: 2026; source: forecast report</t>
        </is>
      </c>
      <c r="I921" s="2" t="inlineStr">
        <is>
          <t>S3</t>
        </is>
      </c>
      <c r="J921" s="2" t="n">
        <v>35</v>
      </c>
      <c r="K921" s="3" t="inlineStr">
        <is>
          <t>Katjes International plans to achieve an EBITDA margin between 10% and 12% in the financial year 2026.</t>
        </is>
      </c>
      <c r="L921" s="2" t="inlineStr">
        <is>
          <t>ok</t>
        </is>
      </c>
      <c r="M921" s="2" t="inlineStr">
        <is>
          <t>demo reviewer</t>
        </is>
      </c>
      <c r="N921" s="2" t="n"/>
      <c r="O921" s="3" t="inlineStr">
        <is>
          <t>https://vanillabonds.com/dossier-data/pdf/katjes/katjes-2025-annual-report.pdf#page=35</t>
        </is>
      </c>
    </row>
    <row r="922">
      <c r="A922" s="2" t="inlineStr">
        <is>
          <t>F921</t>
        </is>
      </c>
      <c r="B922" s="2" t="inlineStr">
        <is>
          <t>structure</t>
        </is>
      </c>
      <c r="C922" s="2" t="inlineStr">
        <is>
          <t>appraisal</t>
        </is>
      </c>
      <c r="D922" s="3" t="inlineStr">
        <is>
          <t>Appraisal: asset; date; appraiser; method; value</t>
        </is>
      </c>
      <c r="E922" s="2" t="n"/>
      <c r="F922" s="2" t="n">
        <v>6</v>
      </c>
      <c r="G922" s="2" t="n"/>
      <c r="H922" s="3" t="inlineStr">
        <is>
          <t>asset: brand Piasten; date: initial consolidation 2013/14; method: relief-from-royalty, royalty 2.0%, discount 7.5%, 40 years; value: 6.0</t>
        </is>
      </c>
      <c r="I922" s="2" t="inlineStr">
        <is>
          <t>S3</t>
        </is>
      </c>
      <c r="J922" s="2" t="n">
        <v>60</v>
      </c>
      <c r="K922" s="3" t="inlineStr">
        <is>
          <t>The discount rate was 7.5% and the useful life 40 years. The resul- ting brand value amounted to EUR 6.0 million.</t>
        </is>
      </c>
      <c r="L922" s="2" t="inlineStr">
        <is>
          <t>ok</t>
        </is>
      </c>
      <c r="M922" s="2" t="inlineStr">
        <is>
          <t>demo reviewer</t>
        </is>
      </c>
      <c r="N922" s="2" t="n"/>
      <c r="O922" s="3" t="inlineStr">
        <is>
          <t>https://vanillabonds.com/dossier-data/pdf/katjes/katjes-2025-annual-report.pdf#page=60</t>
        </is>
      </c>
    </row>
    <row r="923">
      <c r="A923" s="2" t="inlineStr">
        <is>
          <t>F922</t>
        </is>
      </c>
      <c r="B923" s="2" t="inlineStr">
        <is>
          <t>structure</t>
        </is>
      </c>
      <c r="C923" s="2" t="inlineStr">
        <is>
          <t>appraisal</t>
        </is>
      </c>
      <c r="D923" s="3" t="inlineStr">
        <is>
          <t>Appraisal: asset; date; appraiser; method; value</t>
        </is>
      </c>
      <c r="E923" s="2" t="n"/>
      <c r="F923" s="2" t="n">
        <v>4.9</v>
      </c>
      <c r="G923" s="2" t="n"/>
      <c r="H923" s="3" t="inlineStr">
        <is>
          <t>asset: brand Harlekijntjes; date: initial consolidation 2015/16; method: relief-from-royalty, royalty 6.0%, discount 6.3%, indefinite useful life; value: 4.9</t>
        </is>
      </c>
      <c r="I923" s="2" t="inlineStr">
        <is>
          <t>S3</t>
        </is>
      </c>
      <c r="J923" s="2" t="n">
        <v>60</v>
      </c>
      <c r="K923" s="3" t="inlineStr">
        <is>
          <t>The resulting brand value amounted to EUR 4.9 million.</t>
        </is>
      </c>
      <c r="L923" s="2" t="inlineStr">
        <is>
          <t>ok</t>
        </is>
      </c>
      <c r="M923" s="2" t="inlineStr">
        <is>
          <t>demo reviewer</t>
        </is>
      </c>
      <c r="N923" s="2" t="n"/>
      <c r="O923" s="3" t="inlineStr">
        <is>
          <t>https://vanillabonds.com/dossier-data/pdf/katjes/katjes-2025-annual-report.pdf#page=60</t>
        </is>
      </c>
    </row>
    <row r="924">
      <c r="A924" s="2" t="inlineStr">
        <is>
          <t>F923</t>
        </is>
      </c>
      <c r="B924" s="2" t="inlineStr">
        <is>
          <t>structure</t>
        </is>
      </c>
      <c r="C924" s="2" t="inlineStr">
        <is>
          <t>appraisal</t>
        </is>
      </c>
      <c r="D924" s="3" t="inlineStr">
        <is>
          <t>Appraisal: asset; date; appraiser; method; value</t>
        </is>
      </c>
      <c r="E924" s="2" t="n"/>
      <c r="F924" s="2" t="n">
        <v>112.5</v>
      </c>
      <c r="G924" s="2" t="n"/>
      <c r="H924" s="3" t="inlineStr">
        <is>
          <t>asset: brand Bogner; date: initial consolidation 1 Sep 2025; appraiser: company (purchase price allocation); method: relief-from-royalty, royalty rate 7%, discount rate 9.2%, useful life 40 years; value: 112.5</t>
        </is>
      </c>
      <c r="I924" s="2" t="inlineStr">
        <is>
          <t>S3</t>
        </is>
      </c>
      <c r="J924" s="2" t="n">
        <v>61</v>
      </c>
      <c r="K924" s="3" t="inlineStr">
        <is>
          <t>The re- sulting brand value amounted to EUR 112.5 million.</t>
        </is>
      </c>
      <c r="L924" s="2" t="inlineStr">
        <is>
          <t>ok</t>
        </is>
      </c>
      <c r="M924" s="2" t="inlineStr">
        <is>
          <t>demo reviewer</t>
        </is>
      </c>
      <c r="N924" s="2" t="n"/>
      <c r="O924" s="3" t="inlineStr">
        <is>
          <t>https://vanillabonds.com/dossier-data/pdf/katjes/katjes-2025-annual-report.pdf#page=61</t>
        </is>
      </c>
    </row>
    <row r="925">
      <c r="A925" s="2" t="inlineStr">
        <is>
          <t>F924</t>
        </is>
      </c>
      <c r="B925" s="2" t="inlineStr">
        <is>
          <t>structure</t>
        </is>
      </c>
      <c r="C925" s="2" t="inlineStr">
        <is>
          <t>appraisal</t>
        </is>
      </c>
      <c r="D925" s="3" t="inlineStr">
        <is>
          <t>Appraisal: asset; date; appraiser; method; value</t>
        </is>
      </c>
      <c r="E925" s="2" t="n"/>
      <c r="F925" s="2" t="n">
        <v>23.8</v>
      </c>
      <c r="G925" s="2" t="n"/>
      <c r="H925" s="3" t="inlineStr">
        <is>
          <t>asset: Oral Care brands (Theramed, Vademecum, Antica Erboristeria, Licor del Polo, Denivit); date: initial consolidation 2022; method: relief-from-royalty, royalty 4.0%, discount 5.7%, 40 years; value: 23.8</t>
        </is>
      </c>
      <c r="I925" s="2" t="inlineStr">
        <is>
          <t>S3</t>
        </is>
      </c>
      <c r="J925" s="2" t="n">
        <v>61</v>
      </c>
      <c r="K925" s="3" t="inlineStr">
        <is>
          <t>The resulting brand value amounted to EUR 23.8 million.</t>
        </is>
      </c>
      <c r="L925" s="2" t="inlineStr">
        <is>
          <t>ok</t>
        </is>
      </c>
      <c r="M925" s="2" t="inlineStr">
        <is>
          <t>demo reviewer</t>
        </is>
      </c>
      <c r="N925" s="2" t="n"/>
      <c r="O925" s="3" t="inlineStr">
        <is>
          <t>https://vanillabonds.com/dossier-data/pdf/katjes/katjes-2025-annual-report.pdf#page=61</t>
        </is>
      </c>
    </row>
    <row r="926">
      <c r="A926" s="2" t="inlineStr">
        <is>
          <t>F925</t>
        </is>
      </c>
      <c r="B926" s="2" t="inlineStr">
        <is>
          <t>structure</t>
        </is>
      </c>
      <c r="C926" s="2" t="inlineStr">
        <is>
          <t>appraisal</t>
        </is>
      </c>
      <c r="D926" s="3" t="inlineStr">
        <is>
          <t>Appraisal: asset; date; appraiser; method; value</t>
        </is>
      </c>
      <c r="E926" s="2" t="n"/>
      <c r="F926" s="2" t="n">
        <v>22.9</v>
      </c>
      <c r="G926" s="2" t="n"/>
      <c r="H926" s="3" t="inlineStr">
        <is>
          <t>asset: Sperlari brands; date: initial consolidation 2017; method: relief-from-royalty, royalty 3.5%, discount 6.4%, 40 years; value: 22.9</t>
        </is>
      </c>
      <c r="I926" s="2" t="inlineStr">
        <is>
          <t>S3</t>
        </is>
      </c>
      <c r="J926" s="2" t="n">
        <v>61</v>
      </c>
      <c r="K926" s="3" t="inlineStr">
        <is>
          <t>The resulting brand value amounted to EUR 22.9 million.</t>
        </is>
      </c>
      <c r="L926" s="2" t="inlineStr">
        <is>
          <t>ok</t>
        </is>
      </c>
      <c r="M926" s="2" t="inlineStr">
        <is>
          <t>demo reviewer</t>
        </is>
      </c>
      <c r="N926" s="2" t="n"/>
      <c r="O926" s="3" t="inlineStr">
        <is>
          <t>https://vanillabonds.com/dossier-data/pdf/katjes/katjes-2025-annual-report.pdf#page=61</t>
        </is>
      </c>
    </row>
    <row r="927">
      <c r="A927" s="2" t="inlineStr">
        <is>
          <t>F926</t>
        </is>
      </c>
      <c r="B927" s="2" t="inlineStr">
        <is>
          <t>structure</t>
        </is>
      </c>
      <c r="C927" s="2" t="inlineStr">
        <is>
          <t>appraisal</t>
        </is>
      </c>
      <c r="D927" s="3" t="inlineStr">
        <is>
          <t>Appraisal: asset; date; appraiser; method; value</t>
        </is>
      </c>
      <c r="E927" s="2" t="n"/>
      <c r="F927" s="2" t="n">
        <v>22.5</v>
      </c>
      <c r="G927" s="2" t="n"/>
      <c r="H927" s="3" t="inlineStr">
        <is>
          <t>asset: brand Bübchen; date: initial consolidation 2021 (pro rata); method: relief-from-royalty, royalty 4.0%, discount 5.0%, 40 years; value: 22.5</t>
        </is>
      </c>
      <c r="I927" s="2" t="inlineStr">
        <is>
          <t>S3</t>
        </is>
      </c>
      <c r="J927" s="2" t="n">
        <v>61</v>
      </c>
      <c r="K927" s="3" t="inlineStr">
        <is>
          <t>The resulting brand value amounted to EUR 22.5 million.</t>
        </is>
      </c>
      <c r="L927" s="2" t="inlineStr">
        <is>
          <t>ok</t>
        </is>
      </c>
      <c r="M927" s="2" t="inlineStr">
        <is>
          <t>demo reviewer</t>
        </is>
      </c>
      <c r="N927" s="2" t="n"/>
      <c r="O927" s="3" t="inlineStr">
        <is>
          <t>https://vanillabonds.com/dossier-data/pdf/katjes/katjes-2025-annual-report.pdf#page=61</t>
        </is>
      </c>
    </row>
    <row r="928">
      <c r="A928" s="2" t="inlineStr">
        <is>
          <t>F927</t>
        </is>
      </c>
      <c r="B928" s="2" t="inlineStr">
        <is>
          <t>structure</t>
        </is>
      </c>
      <c r="C928" s="2" t="inlineStr">
        <is>
          <t>appraisal</t>
        </is>
      </c>
      <c r="D928" s="3" t="inlineStr">
        <is>
          <t>Appraisal: asset; date; appraiser; method; value</t>
        </is>
      </c>
      <c r="E928" s="2" t="n"/>
      <c r="F928" s="2" t="n">
        <v>9.800000000000001</v>
      </c>
      <c r="G928" s="2" t="n"/>
      <c r="H928" s="3" t="inlineStr">
        <is>
          <t>asset: brand Candy Kittens; date: initial consolidation 2021; method: relief-from-royalty, royalty 6%, discount 8.3%, indefinite useful life; value: 9.8</t>
        </is>
      </c>
      <c r="I928" s="2" t="inlineStr">
        <is>
          <t>S3</t>
        </is>
      </c>
      <c r="J928" s="2" t="n">
        <v>61</v>
      </c>
      <c r="K928" s="3" t="inlineStr">
        <is>
          <t>The re- sulting brand value amounted to EUR 9.8 million.</t>
        </is>
      </c>
      <c r="L928" s="2" t="inlineStr">
        <is>
          <t>ok</t>
        </is>
      </c>
      <c r="M928" s="2" t="inlineStr">
        <is>
          <t>demo reviewer</t>
        </is>
      </c>
      <c r="N928" s="2" t="n"/>
      <c r="O928" s="3" t="inlineStr">
        <is>
          <t>https://vanillabonds.com/dossier-data/pdf/katjes/katjes-2025-annual-report.pdf#page=61</t>
        </is>
      </c>
    </row>
    <row r="929">
      <c r="A929" s="2" t="inlineStr">
        <is>
          <t>F928</t>
        </is>
      </c>
      <c r="B929" s="2" t="inlineStr">
        <is>
          <t>structure</t>
        </is>
      </c>
      <c r="C929" s="2" t="inlineStr">
        <is>
          <t>appraisal</t>
        </is>
      </c>
      <c r="D929" s="3" t="inlineStr">
        <is>
          <t>Appraisal: asset; date; appraiser; method; value</t>
        </is>
      </c>
      <c r="E929" s="2" t="n"/>
      <c r="F929" s="2" t="n">
        <v>7.7</v>
      </c>
      <c r="G929" s="2" t="n"/>
      <c r="H929" s="3" t="inlineStr">
        <is>
          <t>asset: brand Dallmann's; date: initial consolidation 2011; method: relief-from-royalty, royalty 9.5%, discount 8.4%, indefinite useful life; value: 7.7</t>
        </is>
      </c>
      <c r="I929" s="2" t="inlineStr">
        <is>
          <t>S3</t>
        </is>
      </c>
      <c r="J929" s="2" t="n">
        <v>61</v>
      </c>
      <c r="K929" s="3" t="inlineStr">
        <is>
          <t>The resulting brand value amounted to EUR 7.7 million.</t>
        </is>
      </c>
      <c r="L929" s="2" t="inlineStr">
        <is>
          <t>ok</t>
        </is>
      </c>
      <c r="M929" s="2" t="inlineStr">
        <is>
          <t>demo reviewer</t>
        </is>
      </c>
      <c r="N929" s="2" t="n"/>
      <c r="O929" s="3" t="inlineStr">
        <is>
          <t>https://vanillabonds.com/dossier-data/pdf/katjes/katjes-2025-annual-report.pdf#page=61</t>
        </is>
      </c>
    </row>
    <row r="930">
      <c r="A930" s="2" t="inlineStr">
        <is>
          <t>F929</t>
        </is>
      </c>
      <c r="B930" s="2" t="inlineStr">
        <is>
          <t>structure</t>
        </is>
      </c>
      <c r="C930" s="2" t="inlineStr">
        <is>
          <t>appraisal</t>
        </is>
      </c>
      <c r="D930" s="3" t="inlineStr">
        <is>
          <t>Appraisal: asset; date; appraiser; method; value</t>
        </is>
      </c>
      <c r="E930" s="2" t="n"/>
      <c r="F930" s="2" t="n">
        <v>7.6</v>
      </c>
      <c r="G930" s="2" t="n"/>
      <c r="H930" s="3" t="inlineStr">
        <is>
          <t>asset: brand Dulcioliva; date: initial consolidation 2021 (pro rata); method: relief-from-royalty, royalty 5%, discount 4.0%, 40 years; value: 7.6</t>
        </is>
      </c>
      <c r="I930" s="2" t="inlineStr">
        <is>
          <t>S3</t>
        </is>
      </c>
      <c r="J930" s="2" t="n">
        <v>61</v>
      </c>
      <c r="K930" s="3" t="inlineStr">
        <is>
          <t>The resulting brand value amounted to EUR 7.6 million.</t>
        </is>
      </c>
      <c r="L930" s="2" t="inlineStr">
        <is>
          <t>ok</t>
        </is>
      </c>
      <c r="M930" s="2" t="inlineStr">
        <is>
          <t>demo reviewer</t>
        </is>
      </c>
      <c r="N930" s="2" t="n"/>
      <c r="O930" s="3" t="inlineStr">
        <is>
          <t>https://vanillabonds.com/dossier-data/pdf/katjes/katjes-2025-annual-report.pdf#page=61</t>
        </is>
      </c>
    </row>
    <row r="931">
      <c r="A931" s="2" t="inlineStr">
        <is>
          <t>F930</t>
        </is>
      </c>
      <c r="B931" s="2" t="inlineStr">
        <is>
          <t>structure</t>
        </is>
      </c>
      <c r="C931" s="2" t="inlineStr">
        <is>
          <t>appraisal</t>
        </is>
      </c>
      <c r="D931" s="3" t="inlineStr">
        <is>
          <t>Appraisal: asset; date; appraiser; method; value</t>
        </is>
      </c>
      <c r="E931" s="2" t="n"/>
      <c r="F931" s="2" t="n">
        <v>7.1</v>
      </c>
      <c r="G931" s="2" t="n"/>
      <c r="H931" s="3" t="inlineStr">
        <is>
          <t>asset: brand Paluani; date: initial consolidation 2022 (pro rata); method: relief-from-royalty, royalty 3.5%, discount 5.9%, 40 years; value: 7.1</t>
        </is>
      </c>
      <c r="I931" s="2" t="inlineStr">
        <is>
          <t>S3</t>
        </is>
      </c>
      <c r="J931" s="2" t="n">
        <v>61</v>
      </c>
      <c r="K931" s="3" t="inlineStr">
        <is>
          <t>The resulting brand value amounted to EUR 7.1 million.</t>
        </is>
      </c>
      <c r="L931" s="2" t="inlineStr">
        <is>
          <t>ok</t>
        </is>
      </c>
      <c r="M931" s="2" t="inlineStr">
        <is>
          <t>demo reviewer</t>
        </is>
      </c>
      <c r="N931" s="2" t="n"/>
      <c r="O931" s="3" t="inlineStr">
        <is>
          <t>https://vanillabonds.com/dossier-data/pdf/katjes/katjes-2025-annual-report.pdf#page=61</t>
        </is>
      </c>
    </row>
    <row r="932">
      <c r="A932" s="2" t="inlineStr">
        <is>
          <t>F931</t>
        </is>
      </c>
      <c r="B932" s="2" t="inlineStr">
        <is>
          <t>compliance</t>
        </is>
      </c>
      <c r="C932" s="2" t="inlineStr">
        <is>
          <t>litigation_item</t>
        </is>
      </c>
      <c r="D932" s="3" t="inlineStr">
        <is>
          <t>Litigation, insolvency, fine or tax dispute: register; case; date; amount; status</t>
        </is>
      </c>
      <c r="E932" s="2" t="n"/>
      <c r="F932" s="2" t="n"/>
      <c r="G932" s="2" t="n"/>
      <c r="H932" s="3" t="inlineStr">
        <is>
          <t>case: none; status: Group not a defendant in current or foreseeable legal or arbitration proceedings with significant influence on the economic situation, nor within the last two years; provisions set up for other proceedings</t>
        </is>
      </c>
      <c r="I932" s="2" t="inlineStr">
        <is>
          <t>S3</t>
        </is>
      </c>
      <c r="J932" s="2" t="n">
        <v>79</v>
      </c>
      <c r="K932" s="3" t="inlineStr">
        <is>
          <t>not involved as a defendant in current or foreseeable legal or arbitration proceedings that could have a significant influence on the economic situation</t>
        </is>
      </c>
      <c r="L932" s="2" t="inlineStr">
        <is>
          <t>ok</t>
        </is>
      </c>
      <c r="M932" s="2" t="inlineStr">
        <is>
          <t>demo reviewer</t>
        </is>
      </c>
      <c r="N932" s="2" t="n"/>
      <c r="O932" s="3" t="inlineStr">
        <is>
          <t>https://vanillabonds.com/dossier-data/pdf/katjes/katjes-2025-annual-report.pdf#page=79</t>
        </is>
      </c>
    </row>
    <row r="933">
      <c r="A933" s="2" t="inlineStr">
        <is>
          <t>F932</t>
        </is>
      </c>
      <c r="B933" s="2" t="inlineStr">
        <is>
          <t>compliance</t>
        </is>
      </c>
      <c r="C933" s="2" t="inlineStr">
        <is>
          <t>esg_fact</t>
        </is>
      </c>
      <c r="D933" s="3" t="inlineStr">
        <is>
          <t>ESG fact: item (CSRD / VSME status, energy, emissions, taxonomy, permit, incident, labour); value; year; source</t>
        </is>
      </c>
      <c r="E933" s="2" t="n"/>
      <c r="F933" s="2" t="n"/>
      <c r="G933" s="2" t="n"/>
      <c r="H933" s="3" t="inlineStr">
        <is>
          <t>item: product portfolio; value: portfolio expanded with vegan options, Treets converting entirely to a vegan range, sugar-free focus at Dallmann's and Dietorelle; year: 2025; source: group management report 2.2</t>
        </is>
      </c>
      <c r="I933" s="2" t="inlineStr">
        <is>
          <t>S3</t>
        </is>
      </c>
      <c r="J933" s="2" t="n">
        <v>22</v>
      </c>
      <c r="K933" s="3" t="inlineStr">
        <is>
          <t>Where possible, the portfolio is expanded to include vegan options or, as in the case of Treets, gradually converts entirely to a vegan product range.</t>
        </is>
      </c>
      <c r="L933" s="2" t="inlineStr">
        <is>
          <t>ok</t>
        </is>
      </c>
      <c r="M933" s="2" t="inlineStr">
        <is>
          <t>demo reviewer</t>
        </is>
      </c>
      <c r="N933" s="2" t="n"/>
      <c r="O933" s="3" t="inlineStr">
        <is>
          <t>https://vanillabonds.com/dossier-data/pdf/katjes/katjes-2025-annual-report.pdf#page=22</t>
        </is>
      </c>
    </row>
    <row r="934">
      <c r="A934" s="2" t="inlineStr">
        <is>
          <t>F933</t>
        </is>
      </c>
      <c r="B934" s="2" t="inlineStr">
        <is>
          <t>compliance</t>
        </is>
      </c>
      <c r="C934" s="2" t="inlineStr">
        <is>
          <t>esg_fact</t>
        </is>
      </c>
      <c r="D934" s="3" t="inlineStr">
        <is>
          <t>ESG fact: item (CSRD / VSME status, energy, emissions, taxonomy, permit, incident, labour); value; year; source</t>
        </is>
      </c>
      <c r="E934" s="2" t="n"/>
      <c r="F934" s="2" t="n">
        <v>1648</v>
      </c>
      <c r="G934" s="2" t="n"/>
      <c r="H934" s="3" t="inlineStr">
        <is>
          <t>item: labour; value: average 1,648 employees in 2025, approximately 69% in Germany, 23% in Italy, 6% rest of Europe, 2% North America; year: 2025; source: group management report 4.4</t>
        </is>
      </c>
      <c r="I934" s="2" t="inlineStr">
        <is>
          <t>S3</t>
        </is>
      </c>
      <c r="J934" s="2" t="n">
        <v>28</v>
      </c>
      <c r="K934" s="3" t="inlineStr">
        <is>
          <t>Of these, approximately 69% were employed in Germany, followed by around 23% in Italy, approximately 6% in the rest of Europe and 2% in North America.</t>
        </is>
      </c>
      <c r="L934" s="2" t="inlineStr">
        <is>
          <t>ok</t>
        </is>
      </c>
      <c r="M934" s="2" t="inlineStr">
        <is>
          <t>demo reviewer</t>
        </is>
      </c>
      <c r="N934" s="2" t="n"/>
      <c r="O934" s="3" t="inlineStr">
        <is>
          <t>https://vanillabonds.com/dossier-data/pdf/katjes/katjes-2025-annual-report.pdf#page=28</t>
        </is>
      </c>
    </row>
    <row r="935">
      <c r="A935" s="2" t="inlineStr">
        <is>
          <t>F934</t>
        </is>
      </c>
      <c r="B935" s="2" t="inlineStr">
        <is>
          <t>compliance</t>
        </is>
      </c>
      <c r="C935" s="2" t="inlineStr">
        <is>
          <t>esg_fact</t>
        </is>
      </c>
      <c r="D935" s="3" t="inlineStr">
        <is>
          <t>ESG fact: item (CSRD / VSME status, energy, emissions, taxonomy, permit, incident, labour); value; year; source</t>
        </is>
      </c>
      <c r="E935" s="2" t="n"/>
      <c r="F935" s="2" t="n">
        <v>51</v>
      </c>
      <c r="G935" s="2" t="n"/>
      <c r="H935" s="3" t="inlineStr">
        <is>
          <t>item: labour (trainees); value: average 51 trainees; year: 2025; source: group management report</t>
        </is>
      </c>
      <c r="I935" s="2" t="inlineStr">
        <is>
          <t>S3</t>
        </is>
      </c>
      <c r="J935" s="2" t="n">
        <v>29</v>
      </c>
      <c r="K935" s="3" t="inlineStr">
        <is>
          <t>In 2025, Katjes International employed an average of 51 trai- nees.</t>
        </is>
      </c>
      <c r="L935" s="2" t="inlineStr">
        <is>
          <t>ok</t>
        </is>
      </c>
      <c r="M935" s="2" t="inlineStr">
        <is>
          <t>demo reviewer</t>
        </is>
      </c>
      <c r="N935" s="2" t="n"/>
      <c r="O935" s="3" t="inlineStr">
        <is>
          <t>https://vanillabonds.com/dossier-data/pdf/katjes/katjes-2025-annual-report.pdf#page=29</t>
        </is>
      </c>
    </row>
    <row r="936">
      <c r="A936" s="2" t="inlineStr">
        <is>
          <t>F935</t>
        </is>
      </c>
      <c r="B936" s="2" t="inlineStr">
        <is>
          <t>compliance</t>
        </is>
      </c>
      <c r="C936" s="2" t="inlineStr">
        <is>
          <t>esg_fact</t>
        </is>
      </c>
      <c r="D936" s="3" t="inlineStr">
        <is>
          <t>ESG fact: item (CSRD / VSME status, energy, emissions, taxonomy, permit, incident, labour); value; year; source</t>
        </is>
      </c>
      <c r="E936" s="2" t="n"/>
      <c r="F936" s="2" t="n"/>
      <c r="G936" s="2" t="n"/>
      <c r="H936" s="3" t="inlineStr">
        <is>
          <t>item: CSRD / VSME status; value: no sustainability statement or emissions data in the annual report; sustainability described as part of the family-owned group's corporate philosophy with regular stakeholder dialogue; year: 2025; source: group management report 4.4</t>
        </is>
      </c>
      <c r="I936" s="2" t="inlineStr">
        <is>
          <t>S3</t>
        </is>
      </c>
      <c r="J936" s="2" t="n">
        <v>29</v>
      </c>
      <c r="K936" s="3" t="inlineStr">
        <is>
          <t>As a medium-sized, family-owned group, sustainable business practices are an integral part of Katjes International’s corporate philosophy.</t>
        </is>
      </c>
      <c r="L936" s="2" t="inlineStr">
        <is>
          <t>ok</t>
        </is>
      </c>
      <c r="M936" s="2" t="inlineStr">
        <is>
          <t>demo reviewer</t>
        </is>
      </c>
      <c r="N936" s="2" t="n"/>
      <c r="O936" s="3" t="inlineStr">
        <is>
          <t>https://vanillabonds.com/dossier-data/pdf/katjes/katjes-2025-annual-report.pdf#page=29</t>
        </is>
      </c>
    </row>
    <row r="937">
      <c r="A937" s="2" t="inlineStr">
        <is>
          <t>F936</t>
        </is>
      </c>
      <c r="B937" s="2" t="inlineStr">
        <is>
          <t>compliance</t>
        </is>
      </c>
      <c r="C937" s="2" t="inlineStr">
        <is>
          <t>esg_fact</t>
        </is>
      </c>
      <c r="D937" s="3" t="inlineStr">
        <is>
          <t>ESG fact: item (CSRD / VSME status, energy, emissions, taxonomy, permit, incident, labour); value; year; source</t>
        </is>
      </c>
      <c r="E937" s="2" t="n"/>
      <c r="F937" s="2" t="n"/>
      <c r="G937" s="2" t="n"/>
      <c r="H937" s="3" t="inlineStr">
        <is>
          <t>item: labour (workforce structure); value: blue-collar 726 (2024: 717), salaried 871 (358), other 51 (22); year: 2025; source: notes 7.2</t>
        </is>
      </c>
      <c r="I937" s="2" t="inlineStr">
        <is>
          <t>S3</t>
        </is>
      </c>
      <c r="J937" s="2" t="n">
        <v>74</v>
      </c>
      <c r="K937" s="3" t="inlineStr">
        <is>
          <t>Blue-collar workers 726 717 Salaried employees 871 358 Other 51 22 Total 1,648 1,097</t>
        </is>
      </c>
      <c r="L937" s="2" t="inlineStr">
        <is>
          <t>ok</t>
        </is>
      </c>
      <c r="M937" s="2" t="inlineStr">
        <is>
          <t>demo reviewer</t>
        </is>
      </c>
      <c r="N937" s="2" t="n"/>
      <c r="O937" s="3" t="inlineStr">
        <is>
          <t>https://vanillabonds.com/dossier-data/pdf/katjes/katjes-2025-annual-report.pdf#page=74</t>
        </is>
      </c>
    </row>
    <row r="938">
      <c r="A938" s="2" t="inlineStr">
        <is>
          <t>F937</t>
        </is>
      </c>
      <c r="B938" s="2" t="inlineStr">
        <is>
          <t>market_data</t>
        </is>
      </c>
      <c r="C938" s="2" t="inlineStr">
        <is>
          <t>instrument_term</t>
        </is>
      </c>
      <c r="D938" s="3" t="inlineStr">
        <is>
          <t>Instrument term: term (rate type, base rate, maturity, call, listing, ISIN, denomination, settlement, holders, transfer); value</t>
        </is>
      </c>
      <c r="E938" s="2" t="n"/>
      <c r="F938" s="2" t="n">
        <v>70</v>
      </c>
      <c r="G938" s="2" t="n"/>
      <c r="H938" s="3" t="inlineStr">
        <is>
          <t>term: tap; value: increased by EUR 70m at the beginning of August 2025, placement multiple times oversubscribed; net of transaction costs 68.4 per cash flow statement</t>
        </is>
      </c>
      <c r="I938" s="2" t="inlineStr">
        <is>
          <t>S3</t>
        </is>
      </c>
      <c r="J938" s="2" t="n">
        <v>4</v>
      </c>
      <c r="K938" s="3" t="inlineStr">
        <is>
          <t>increased its existing bond by EUR 70 million at the beginning of August. The strong demand from national and international investors — the placement was multiple times oversubscribed</t>
        </is>
      </c>
      <c r="L938" s="2" t="inlineStr">
        <is>
          <t>ok</t>
        </is>
      </c>
      <c r="M938" s="2" t="inlineStr">
        <is>
          <t>demo reviewer</t>
        </is>
      </c>
      <c r="N938" s="2" t="n"/>
      <c r="O938" s="3" t="inlineStr">
        <is>
          <t>https://vanillabonds.com/dossier-data/pdf/katjes/katjes-2025-annual-report.pdf#page=4</t>
        </is>
      </c>
    </row>
    <row r="939">
      <c r="A939" s="2" t="inlineStr">
        <is>
          <t>F938</t>
        </is>
      </c>
      <c r="B939" s="2" t="inlineStr">
        <is>
          <t>market_data</t>
        </is>
      </c>
      <c r="C939" s="2" t="inlineStr">
        <is>
          <t>instrument_term</t>
        </is>
      </c>
      <c r="D939" s="3" t="inlineStr">
        <is>
          <t>Instrument term: term (rate type, base rate, maturity, call, listing, ISIN, denomination, settlement, holders, transfer); value</t>
        </is>
      </c>
      <c r="E939" s="2" t="n"/>
      <c r="F939" s="2" t="n"/>
      <c r="G939" s="2" t="n"/>
      <c r="H939" s="3" t="inlineStr">
        <is>
          <t>term: maturity; value: 2028 (five-year term from issue in September 2023)</t>
        </is>
      </c>
      <c r="I939" s="2" t="inlineStr">
        <is>
          <t>S3</t>
        </is>
      </c>
      <c r="J939" s="2" t="n">
        <v>26</v>
      </c>
      <c r="K939" s="3" t="inlineStr">
        <is>
          <t>In September 2023, Katjes International issued a corporate bond with a volume of EUR 115 million, a term of five years and an interest rate of 6.75%.</t>
        </is>
      </c>
      <c r="L939" s="2" t="inlineStr">
        <is>
          <t>ok</t>
        </is>
      </c>
      <c r="M939" s="2" t="inlineStr">
        <is>
          <t>demo reviewer</t>
        </is>
      </c>
      <c r="N939" s="2" t="n"/>
      <c r="O939" s="3" t="inlineStr">
        <is>
          <t>https://vanillabonds.com/dossier-data/pdf/katjes/katjes-2025-annual-report.pdf#page=26</t>
        </is>
      </c>
    </row>
    <row r="940">
      <c r="A940" s="2" t="inlineStr">
        <is>
          <t>F939</t>
        </is>
      </c>
      <c r="B940" s="2" t="inlineStr">
        <is>
          <t>market_data</t>
        </is>
      </c>
      <c r="C940" s="2" t="inlineStr">
        <is>
          <t>instrument_term</t>
        </is>
      </c>
      <c r="D940" s="3" t="inlineStr">
        <is>
          <t>Instrument term: term (rate type, base rate, maturity, call, listing, ISIN, denomination, settlement, holders, transfer); value</t>
        </is>
      </c>
      <c r="E940" s="2" t="n"/>
      <c r="F940" s="2" t="n">
        <v>193.3</v>
      </c>
      <c r="G940" s="2" t="n"/>
      <c r="H940" s="3" t="inlineStr">
        <is>
          <t>term: fair value; value: 193.3 vs carrying amount 185.0 at 31 Dec 2025 (level II, amortised cost)</t>
        </is>
      </c>
      <c r="I940" s="2" t="inlineStr">
        <is>
          <t>S3</t>
        </is>
      </c>
      <c r="J940" s="2" t="n">
        <v>62</v>
      </c>
      <c r="K940" s="3" t="inlineStr">
        <is>
          <t>Liabilities from the issuance of a bond2 185.0 193.3** Amortised cost</t>
        </is>
      </c>
      <c r="L940" s="2" t="inlineStr">
        <is>
          <t>ok</t>
        </is>
      </c>
      <c r="M940" s="2" t="inlineStr">
        <is>
          <t>demo reviewer</t>
        </is>
      </c>
      <c r="N940" s="2" t="n"/>
      <c r="O940" s="3" t="inlineStr">
        <is>
          <t>https://vanillabonds.com/dossier-data/pdf/katjes/katjes-2025-annual-report.pdf#page=62</t>
        </is>
      </c>
    </row>
    <row r="941">
      <c r="A941" s="2" t="inlineStr">
        <is>
          <t>F940</t>
        </is>
      </c>
      <c r="B941" s="2" t="inlineStr">
        <is>
          <t>market_data</t>
        </is>
      </c>
      <c r="C941" s="2" t="inlineStr">
        <is>
          <t>instrument_term</t>
        </is>
      </c>
      <c r="D941" s="3" t="inlineStr">
        <is>
          <t>Instrument term: term (rate type, base rate, maturity, call, listing, ISIN, denomination, settlement, holders, transfer); value</t>
        </is>
      </c>
      <c r="E941" s="2" t="n"/>
      <c r="F941" s="2" t="n">
        <v>6.75</v>
      </c>
      <c r="G941" s="2" t="n"/>
      <c r="H941" s="3" t="inlineStr">
        <is>
          <t>term: rate type; value: fixed 6.75% coupon, 2023/2028 bond</t>
        </is>
      </c>
      <c r="I941" s="2" t="inlineStr">
        <is>
          <t>S3</t>
        </is>
      </c>
      <c r="J941" s="2" t="n">
        <v>68</v>
      </c>
      <c r="K941" s="3" t="inlineStr">
        <is>
          <t>the 2023/2028 bond bearing interest at 6.75% was issued in September 2023 with a total volume of EUR 115 million, due to strong demand.</t>
        </is>
      </c>
      <c r="L941" s="2" t="inlineStr">
        <is>
          <t>ok</t>
        </is>
      </c>
      <c r="M941" s="2" t="inlineStr">
        <is>
          <t>demo reviewer</t>
        </is>
      </c>
      <c r="N941" s="2" t="n"/>
      <c r="O941" s="3" t="inlineStr">
        <is>
          <t>https://vanillabonds.com/dossier-data/pdf/katjes/katjes-2025-annual-report.pdf#page=68</t>
        </is>
      </c>
    </row>
    <row r="942">
      <c r="A942" s="2" t="inlineStr">
        <is>
          <t>F941</t>
        </is>
      </c>
      <c r="B942" s="2" t="inlineStr">
        <is>
          <t>market_data</t>
        </is>
      </c>
      <c r="C942" s="2" t="inlineStr">
        <is>
          <t>instrument_term</t>
        </is>
      </c>
      <c r="D942" s="3" t="inlineStr">
        <is>
          <t>Instrument term: term (rate type, base rate, maturity, call, listing, ISIN, denomination, settlement, holders, transfer); value</t>
        </is>
      </c>
      <c r="E942" s="2" t="n"/>
      <c r="F942" s="2" t="n">
        <v>200</v>
      </c>
      <c r="G942" s="2" t="n"/>
      <c r="H942" s="3" t="inlineStr">
        <is>
          <t>term: tap; value: increased by EUR 15m to EUR 200m in March 2026 alongside the Missoni signing (event after the balance sheet date)</t>
        </is>
      </c>
      <c r="I942" s="2" t="inlineStr">
        <is>
          <t>S3</t>
        </is>
      </c>
      <c r="J942" s="2" t="n">
        <v>81</v>
      </c>
      <c r="K942" s="3" t="inlineStr">
        <is>
          <t>The transaction is mainly financed from own funds; in addition, the 2023/2028 bond was increased by EUR 15 million to EUR 200 million.</t>
        </is>
      </c>
      <c r="L942" s="2" t="inlineStr">
        <is>
          <t>ok</t>
        </is>
      </c>
      <c r="M942" s="2" t="inlineStr">
        <is>
          <t>demo reviewer</t>
        </is>
      </c>
      <c r="N942" s="2" t="n"/>
      <c r="O942" s="3" t="inlineStr">
        <is>
          <t>https://vanillabonds.com/dossier-data/pdf/katjes/katjes-2025-annual-report.pdf#page=81</t>
        </is>
      </c>
    </row>
    <row r="943">
      <c r="A943" s="2" t="inlineStr">
        <is>
          <t>F942</t>
        </is>
      </c>
      <c r="B943" s="2" t="inlineStr">
        <is>
          <t>identity</t>
        </is>
      </c>
      <c r="C943" s="2" t="inlineStr">
        <is>
          <t>legal_name</t>
        </is>
      </c>
      <c r="D943" s="2" t="inlineStr">
        <is>
          <t>Legal name</t>
        </is>
      </c>
      <c r="E943" s="2" t="n"/>
      <c r="F943" s="2" t="n"/>
      <c r="G943" s="2" t="n"/>
      <c r="H943" s="2" t="inlineStr">
        <is>
          <t>Katjes International GmbH &amp; Co. KG</t>
        </is>
      </c>
      <c r="I943" s="2" t="inlineStr">
        <is>
          <t>S4</t>
        </is>
      </c>
      <c r="J943" s="2" t="n">
        <v>1</v>
      </c>
      <c r="K943" s="3" t="inlineStr">
        <is>
          <t>Katjes International GmbH &amp; Co. KG, Emmerich</t>
        </is>
      </c>
      <c r="L943" s="2" t="inlineStr">
        <is>
          <t>rep</t>
        </is>
      </c>
      <c r="M943" s="2" t="inlineStr">
        <is>
          <t>demo reviewer</t>
        </is>
      </c>
      <c r="N943" s="2" t="n"/>
      <c r="O943" s="3" t="inlineStr">
        <is>
          <t>https://vanillabonds.com/dossier-data/pdf/katjes/katjes-bond-2023-2028-terms.pdf#page=1</t>
        </is>
      </c>
    </row>
    <row r="944">
      <c r="A944" s="2" t="inlineStr">
        <is>
          <t>F943</t>
        </is>
      </c>
      <c r="B944" s="2" t="inlineStr">
        <is>
          <t>identity</t>
        </is>
      </c>
      <c r="C944" s="2" t="inlineStr">
        <is>
          <t>legal_form</t>
        </is>
      </c>
      <c r="D944" s="2" t="inlineStr">
        <is>
          <t>Legal form</t>
        </is>
      </c>
      <c r="E944" s="2" t="n"/>
      <c r="F944" s="2" t="n"/>
      <c r="G944" s="2" t="n"/>
      <c r="H944" s="2" t="inlineStr">
        <is>
          <t>GmbH &amp; Co. KG</t>
        </is>
      </c>
      <c r="I944" s="2" t="inlineStr">
        <is>
          <t>S4</t>
        </is>
      </c>
      <c r="J944" s="2" t="n">
        <v>1</v>
      </c>
      <c r="K944" s="3" t="inlineStr">
        <is>
          <t>Katjes International GmbH &amp; Co. KG, Emmerich</t>
        </is>
      </c>
      <c r="L944" s="2" t="inlineStr">
        <is>
          <t>rep</t>
        </is>
      </c>
      <c r="M944" s="2" t="inlineStr">
        <is>
          <t>demo reviewer</t>
        </is>
      </c>
      <c r="N944" s="2" t="n"/>
      <c r="O944" s="3" t="inlineStr">
        <is>
          <t>https://vanillabonds.com/dossier-data/pdf/katjes/katjes-bond-2023-2028-terms.pdf#page=1</t>
        </is>
      </c>
    </row>
    <row r="945">
      <c r="A945" s="2" t="inlineStr">
        <is>
          <t>F944</t>
        </is>
      </c>
      <c r="B945" s="2" t="inlineStr">
        <is>
          <t>identity</t>
        </is>
      </c>
      <c r="C945" s="2" t="inlineStr">
        <is>
          <t>registered_office</t>
        </is>
      </c>
      <c r="D945" s="2" t="inlineStr">
        <is>
          <t>Registered office</t>
        </is>
      </c>
      <c r="E945" s="2" t="n"/>
      <c r="F945" s="2" t="n"/>
      <c r="G945" s="2" t="n"/>
      <c r="H945" s="2" t="inlineStr">
        <is>
          <t>Emmerich</t>
        </is>
      </c>
      <c r="I945" s="2" t="inlineStr">
        <is>
          <t>S4</t>
        </is>
      </c>
      <c r="J945" s="2" t="n">
        <v>1</v>
      </c>
      <c r="K945" s="3" t="inlineStr">
        <is>
          <t>Katjes International GmbH &amp; Co. KG, Emmerich</t>
        </is>
      </c>
      <c r="L945" s="2" t="inlineStr">
        <is>
          <t>rep</t>
        </is>
      </c>
      <c r="M945" s="2" t="inlineStr">
        <is>
          <t>demo reviewer</t>
        </is>
      </c>
      <c r="N945" s="2" t="n"/>
      <c r="O945" s="3" t="inlineStr">
        <is>
          <t>https://vanillabonds.com/dossier-data/pdf/katjes/katjes-bond-2023-2028-terms.pdf#page=1</t>
        </is>
      </c>
    </row>
    <row r="946">
      <c r="A946" s="2" t="inlineStr">
        <is>
          <t>F945</t>
        </is>
      </c>
      <c r="B946" s="2" t="inlineStr">
        <is>
          <t>identity</t>
        </is>
      </c>
      <c r="C946" s="2" t="inlineStr">
        <is>
          <t>country</t>
        </is>
      </c>
      <c r="D946" s="2" t="inlineStr">
        <is>
          <t>Country of incorporation (ISO-2)</t>
        </is>
      </c>
      <c r="E946" s="2" t="n"/>
      <c r="F946" s="2" t="n"/>
      <c r="G946" s="2" t="n"/>
      <c r="H946" s="2" t="inlineStr">
        <is>
          <t>DE</t>
        </is>
      </c>
      <c r="I946" s="2" t="inlineStr">
        <is>
          <t>S4</t>
        </is>
      </c>
      <c r="J946" s="2" t="n">
        <v>1</v>
      </c>
      <c r="K946" s="3" t="inlineStr">
        <is>
          <t>Katjes International GmbH &amp; Co. KG, Emmerich</t>
        </is>
      </c>
      <c r="L946" s="2" t="inlineStr">
        <is>
          <t>rep</t>
        </is>
      </c>
      <c r="M946" s="2" t="inlineStr">
        <is>
          <t>demo reviewer</t>
        </is>
      </c>
      <c r="N946" s="2" t="n"/>
      <c r="O946" s="3" t="inlineStr">
        <is>
          <t>https://vanillabonds.com/dossier-data/pdf/katjes/katjes-bond-2023-2028-terms.pdf#page=1</t>
        </is>
      </c>
    </row>
    <row r="947">
      <c r="A947" s="2" t="inlineStr">
        <is>
          <t>F946</t>
        </is>
      </c>
      <c r="B947" s="2" t="inlineStr">
        <is>
          <t>identity</t>
        </is>
      </c>
      <c r="C947" s="2" t="inlineStr">
        <is>
          <t>ownership</t>
        </is>
      </c>
      <c r="D947" s="2" t="inlineStr">
        <is>
          <t>Ownership / UBO</t>
        </is>
      </c>
      <c r="E947" s="2" t="n"/>
      <c r="F947" s="2" t="n"/>
      <c r="G947" s="2" t="n"/>
      <c r="H947" s="3" t="inlineStr">
        <is>
          <t>Bastian Fassin and Tobias Bachmüller (&gt;50%, per CoC clause)</t>
        </is>
      </c>
      <c r="I947" s="2" t="inlineStr">
        <is>
          <t>S4</t>
        </is>
      </c>
      <c r="J947" s="2" t="n">
        <v>2</v>
      </c>
      <c r="K947" s="3" t="inlineStr">
        <is>
          <t>liegt vor, wenn die Herren Bastian Fassin und Tobias Bachmüller gemeinsam nicht mehr als 50,0% der Anteile und Stimmrechte an der Emittentin besitzen und</t>
        </is>
      </c>
      <c r="L947" s="2" t="inlineStr">
        <is>
          <t>rep</t>
        </is>
      </c>
      <c r="M947" s="2" t="inlineStr">
        <is>
          <t>demo reviewer</t>
        </is>
      </c>
      <c r="N947" s="2" t="n"/>
      <c r="O947" s="3" t="inlineStr">
        <is>
          <t>https://vanillabonds.com/dossier-data/pdf/katjes/katjes-bond-2023-2028-terms.pdf#page=2</t>
        </is>
      </c>
    </row>
    <row r="948">
      <c r="A948" s="2" t="inlineStr">
        <is>
          <t>F947</t>
        </is>
      </c>
      <c r="B948" s="2" t="inlineStr">
        <is>
          <t>identity</t>
        </is>
      </c>
      <c r="C948" s="2" t="inlineStr">
        <is>
          <t>listing</t>
        </is>
      </c>
      <c r="D948" s="2" t="inlineStr">
        <is>
          <t>Listings (equity, bonds)</t>
        </is>
      </c>
      <c r="E948" s="2" t="n"/>
      <c r="F948" s="2" t="n"/>
      <c r="G948" s="2" t="n"/>
      <c r="H948" s="3" t="inlineStr">
        <is>
          <t>FWB Open Market (planned); Nordic ABM Oslo within 6 months</t>
        </is>
      </c>
      <c r="I948" s="2" t="inlineStr">
        <is>
          <t>S4</t>
        </is>
      </c>
      <c r="J948" s="2" t="n">
        <v>1</v>
      </c>
      <c r="K948" s="3" t="inlineStr">
        <is>
          <t>Freiverkehr (Open Market) der Frankfurter Wertpapierbörse (Quotation Board)</t>
        </is>
      </c>
      <c r="L948" s="2" t="inlineStr">
        <is>
          <t>rep</t>
        </is>
      </c>
      <c r="M948" s="2" t="inlineStr">
        <is>
          <t>demo reviewer</t>
        </is>
      </c>
      <c r="N948" s="2" t="n"/>
      <c r="O948" s="3" t="inlineStr">
        <is>
          <t>https://vanillabonds.com/dossier-data/pdf/katjes/katjes-bond-2023-2028-terms.pdf#page=1</t>
        </is>
      </c>
    </row>
    <row r="949">
      <c r="A949" s="2" t="inlineStr">
        <is>
          <t>F948</t>
        </is>
      </c>
      <c r="B949" s="2" t="inlineStr">
        <is>
          <t>identity</t>
        </is>
      </c>
      <c r="C949" s="2" t="inlineStr">
        <is>
          <t>accounting_standard</t>
        </is>
      </c>
      <c r="D949" s="2" t="inlineStr">
        <is>
          <t>Accounting standard</t>
        </is>
      </c>
      <c r="E949" s="2" t="n"/>
      <c r="F949" s="2" t="n"/>
      <c r="G949" s="2" t="n"/>
      <c r="H949" s="3" t="inlineStr">
        <is>
          <t>IFRS consolidated (per bond reporting undertaking)</t>
        </is>
      </c>
      <c r="I949" s="2" t="inlineStr">
        <is>
          <t>S4</t>
        </is>
      </c>
      <c r="J949" s="2" t="n">
        <v>2</v>
      </c>
      <c r="K949" s="3" t="inlineStr">
        <is>
          <t>Geprüfter IFRS-Konzernabschluss innerhalb von 4 Monaten und ungeprüfter IFRS-</t>
        </is>
      </c>
      <c r="L949" s="2" t="inlineStr">
        <is>
          <t>rep</t>
        </is>
      </c>
      <c r="M949" s="2" t="inlineStr">
        <is>
          <t>demo reviewer</t>
        </is>
      </c>
      <c r="N949" s="2" t="n"/>
      <c r="O949" s="3" t="inlineStr">
        <is>
          <t>https://vanillabonds.com/dossier-data/pdf/katjes/katjes-bond-2023-2028-terms.pdf#page=2</t>
        </is>
      </c>
    </row>
    <row r="950">
      <c r="A950" s="2" t="inlineStr">
        <is>
          <t>F949</t>
        </is>
      </c>
      <c r="B950" s="2" t="inlineStr">
        <is>
          <t>business</t>
        </is>
      </c>
      <c r="C950" s="2" t="inlineStr">
        <is>
          <t>key_event</t>
        </is>
      </c>
      <c r="D950" s="2" t="inlineStr">
        <is>
          <t>Key event (M&amp;A, financing, strategy)</t>
        </is>
      </c>
      <c r="E950" s="2" t="n"/>
      <c r="F950" s="2" t="n">
        <v>110</v>
      </c>
      <c r="G950" s="2" t="n"/>
      <c r="H950" s="3" t="inlineStr">
        <is>
          <t>Issue of the 2023/2028 bearer bond (ISIN NO0012888769) on 21 September 2023, target EUR 110m, minimum EUR 80m, due 21 September 2028, to refinance the 2019/2024 bond and for general corporate financing.</t>
        </is>
      </c>
      <c r="I950" s="2" t="inlineStr">
        <is>
          <t>S4</t>
        </is>
      </c>
      <c r="J950" s="2" t="n">
        <v>1</v>
      </c>
      <c r="K950" s="2" t="inlineStr">
        <is>
          <t>EUR 110.000.000 / EUR 80.000.000</t>
        </is>
      </c>
      <c r="L950" s="2" t="inlineStr">
        <is>
          <t>rep</t>
        </is>
      </c>
      <c r="M950" s="2" t="inlineStr">
        <is>
          <t>demo reviewer</t>
        </is>
      </c>
      <c r="N950" s="2" t="n"/>
      <c r="O950" s="3" t="inlineStr">
        <is>
          <t>https://vanillabonds.com/dossier-data/pdf/katjes/katjes-bond-2023-2028-terms.pdf#page=1</t>
        </is>
      </c>
    </row>
    <row r="951">
      <c r="A951" s="2" t="inlineStr">
        <is>
          <t>F950</t>
        </is>
      </c>
      <c r="B951" s="2" t="inlineStr">
        <is>
          <t>debt</t>
        </is>
      </c>
      <c r="C951" s="2" t="inlineStr">
        <is>
          <t>debt_instrument</t>
        </is>
      </c>
      <c r="D951" s="2" t="inlineStr">
        <is>
          <t>Debt instrument</t>
        </is>
      </c>
      <c r="E951" s="2" t="n"/>
      <c r="F951" s="2" t="n">
        <v>110</v>
      </c>
      <c r="G951" s="2" t="n"/>
      <c r="H951" s="3" t="inlineStr">
        <is>
          <t>Bond 2023/2028: senior unsecured bearer bond, target EUR 110m (minimum EUR 80m), fixed coupon marketed at 6.25-7.50% p.a. paid semi-annually, issued 21 September 2023, due 21 September 2028, ISIN NO0012888769, denomination EUR 1,000.</t>
        </is>
      </c>
      <c r="I951" s="2" t="inlineStr">
        <is>
          <t>S4</t>
        </is>
      </c>
      <c r="J951" s="2" t="n">
        <v>1</v>
      </c>
      <c r="K951" s="2" t="inlineStr">
        <is>
          <t>ISIN: NO0012888769 / WKN: A30V78</t>
        </is>
      </c>
      <c r="L951" s="2" t="inlineStr">
        <is>
          <t>rep</t>
        </is>
      </c>
      <c r="M951" s="2" t="inlineStr">
        <is>
          <t>demo reviewer</t>
        </is>
      </c>
      <c r="N951" s="2" t="n"/>
      <c r="O951" s="3" t="inlineStr">
        <is>
          <t>https://vanillabonds.com/dossier-data/pdf/katjes/katjes-bond-2023-2028-terms.pdf#page=1</t>
        </is>
      </c>
    </row>
    <row r="952">
      <c r="A952" s="2" t="inlineStr">
        <is>
          <t>F951</t>
        </is>
      </c>
      <c r="B952" s="2" t="inlineStr">
        <is>
          <t>debt</t>
        </is>
      </c>
      <c r="C952" s="2" t="inlineStr">
        <is>
          <t>debt_instrument</t>
        </is>
      </c>
      <c r="D952" s="2" t="inlineStr">
        <is>
          <t>Debt instrument</t>
        </is>
      </c>
      <c r="E952" s="2" t="n"/>
      <c r="F952" s="2" t="n"/>
      <c r="G952" s="2" t="n"/>
      <c r="H952" s="3" t="inlineStr">
        <is>
          <t>Bond 2019/2024 (ISIN DE000A2TST99): outstanding at the time of the term sheet and to be refinanced from the proceeds of the 2023/2028 bond; amount and coupon not stated here.</t>
        </is>
      </c>
      <c r="I952" s="2" t="inlineStr">
        <is>
          <t>S4</t>
        </is>
      </c>
      <c r="J952" s="2" t="n">
        <v>1</v>
      </c>
      <c r="K952" s="3" t="inlineStr">
        <is>
          <t>Refinanzierungen der ausstehenden Anleihe 2019/2024 (DE000A2TST99) sowie</t>
        </is>
      </c>
      <c r="L952" s="2" t="inlineStr">
        <is>
          <t>rep</t>
        </is>
      </c>
      <c r="M952" s="2" t="inlineStr">
        <is>
          <t>demo reviewer</t>
        </is>
      </c>
      <c r="N952" s="2" t="n"/>
      <c r="O952" s="3" t="inlineStr">
        <is>
          <t>https://vanillabonds.com/dossier-data/pdf/katjes/katjes-bond-2023-2028-terms.pdf#page=1</t>
        </is>
      </c>
    </row>
    <row r="953">
      <c r="A953" s="2" t="inlineStr">
        <is>
          <t>F952</t>
        </is>
      </c>
      <c r="B953" s="2" t="inlineStr">
        <is>
          <t>debt</t>
        </is>
      </c>
      <c r="C953" s="2" t="inlineStr">
        <is>
          <t>covenant</t>
        </is>
      </c>
      <c r="D953" s="2" t="inlineStr">
        <is>
          <t>Financial covenant / restriction</t>
        </is>
      </c>
      <c r="E953" s="2" t="n"/>
      <c r="F953" s="2" t="n"/>
      <c r="G953" s="2" t="n"/>
      <c r="H953" s="3" t="inlineStr">
        <is>
          <t>Breach of the issuer's undertakings, or events such as non-compliance with certain financial ratios, gives bondholders termination rights, subject to cure periods and the further conditions of the bond terms.</t>
        </is>
      </c>
      <c r="I953" s="2" t="inlineStr">
        <is>
          <t>S4</t>
        </is>
      </c>
      <c r="J953" s="2" t="n">
        <v>1</v>
      </c>
      <c r="K953" s="3" t="inlineStr">
        <is>
          <t>Ein Verstoß hiergegen führt ebenso wie, wenn bestimmte Umstände eintreten (z.B. Nicht-Einhaltung bestimmter Finanzkennzahlen) zu Kündigungsrechten für die Anleihe.</t>
        </is>
      </c>
      <c r="L953" s="2" t="inlineStr">
        <is>
          <t>rep</t>
        </is>
      </c>
      <c r="M953" s="2" t="inlineStr">
        <is>
          <t>demo reviewer</t>
        </is>
      </c>
      <c r="N953" s="2" t="n"/>
      <c r="O953" s="3" t="inlineStr">
        <is>
          <t>https://vanillabonds.com/dossier-data/pdf/katjes/katjes-bond-2023-2028-terms.pdf#page=1</t>
        </is>
      </c>
    </row>
    <row r="954">
      <c r="A954" s="2" t="inlineStr">
        <is>
          <t>F953</t>
        </is>
      </c>
      <c r="B954" s="2" t="inlineStr">
        <is>
          <t>debt</t>
        </is>
      </c>
      <c r="C954" s="2" t="inlineStr">
        <is>
          <t>covenant</t>
        </is>
      </c>
      <c r="D954" s="2" t="inlineStr">
        <is>
          <t>Financial covenant / restriction</t>
        </is>
      </c>
      <c r="E954" s="2" t="n"/>
      <c r="F954" s="2" t="n"/>
      <c r="G954" s="2" t="n"/>
      <c r="H954" s="3" t="inlineStr">
        <is>
          <t>Undertakings restrict mergers or similar business combinations.</t>
        </is>
      </c>
      <c r="I954" s="2" t="inlineStr">
        <is>
          <t>S4</t>
        </is>
      </c>
      <c r="J954" s="2" t="n">
        <v>1</v>
      </c>
      <c r="K954" s="3" t="inlineStr">
        <is>
          <t>• Fusionen oder ähnlichen Unternehmenszusammenschlüssen;</t>
        </is>
      </c>
      <c r="L954" s="2" t="inlineStr">
        <is>
          <t>rep</t>
        </is>
      </c>
      <c r="M954" s="2" t="inlineStr">
        <is>
          <t>demo reviewer</t>
        </is>
      </c>
      <c r="N954" s="2" t="n"/>
      <c r="O954" s="3" t="inlineStr">
        <is>
          <t>https://vanillabonds.com/dossier-data/pdf/katjes/katjes-bond-2023-2028-terms.pdf#page=1</t>
        </is>
      </c>
    </row>
    <row r="955">
      <c r="A955" s="2" t="inlineStr">
        <is>
          <t>F954</t>
        </is>
      </c>
      <c r="B955" s="2" t="inlineStr">
        <is>
          <t>debt</t>
        </is>
      </c>
      <c r="C955" s="2" t="inlineStr">
        <is>
          <t>covenant</t>
        </is>
      </c>
      <c r="D955" s="2" t="inlineStr">
        <is>
          <t>Financial covenant / restriction</t>
        </is>
      </c>
      <c r="E955" s="2" t="n"/>
      <c r="F955" s="2" t="n"/>
      <c r="G955" s="2" t="n"/>
      <c r="H955" s="3" t="inlineStr">
        <is>
          <t>Undertakings restrict disposals of assets.</t>
        </is>
      </c>
      <c r="I955" s="2" t="inlineStr">
        <is>
          <t>S4</t>
        </is>
      </c>
      <c r="J955" s="2" t="n">
        <v>1</v>
      </c>
      <c r="K955" s="2" t="inlineStr">
        <is>
          <t>• Veräußerung von Vermögenswerten;</t>
        </is>
      </c>
      <c r="L955" s="2" t="inlineStr">
        <is>
          <t>rep</t>
        </is>
      </c>
      <c r="M955" s="2" t="inlineStr">
        <is>
          <t>demo reviewer</t>
        </is>
      </c>
      <c r="N955" s="2" t="n"/>
      <c r="O955" s="3" t="inlineStr">
        <is>
          <t>https://vanillabonds.com/dossier-data/pdf/katjes/katjes-bond-2023-2028-terms.pdf#page=1</t>
        </is>
      </c>
    </row>
    <row r="956">
      <c r="A956" s="2" t="inlineStr">
        <is>
          <t>F955</t>
        </is>
      </c>
      <c r="B956" s="2" t="inlineStr">
        <is>
          <t>debt</t>
        </is>
      </c>
      <c r="C956" s="2" t="inlineStr">
        <is>
          <t>covenant</t>
        </is>
      </c>
      <c r="D956" s="2" t="inlineStr">
        <is>
          <t>Financial covenant / restriction</t>
        </is>
      </c>
      <c r="E956" s="2" t="n"/>
      <c r="F956" s="2" t="n"/>
      <c r="G956" s="2" t="n"/>
      <c r="H956" s="3" t="inlineStr">
        <is>
          <t>Undertakings restrict financial indebtedness (Financial Indebtedness).</t>
        </is>
      </c>
      <c r="I956" s="2" t="inlineStr">
        <is>
          <t>S4</t>
        </is>
      </c>
      <c r="J956" s="2" t="n">
        <v>1</v>
      </c>
      <c r="K956" s="3" t="inlineStr">
        <is>
          <t>• finanzielle Verschuldung (Financial Indebtedness).</t>
        </is>
      </c>
      <c r="L956" s="2" t="inlineStr">
        <is>
          <t>rep</t>
        </is>
      </c>
      <c r="M956" s="2" t="inlineStr">
        <is>
          <t>demo reviewer</t>
        </is>
      </c>
      <c r="N956" s="2" t="n"/>
      <c r="O956" s="3" t="inlineStr">
        <is>
          <t>https://vanillabonds.com/dossier-data/pdf/katjes/katjes-bond-2023-2028-terms.pdf#page=1</t>
        </is>
      </c>
    </row>
    <row r="957">
      <c r="A957" s="2" t="inlineStr">
        <is>
          <t>F956</t>
        </is>
      </c>
      <c r="B957" s="2" t="inlineStr">
        <is>
          <t>debt</t>
        </is>
      </c>
      <c r="C957" s="2" t="inlineStr">
        <is>
          <t>covenant</t>
        </is>
      </c>
      <c r="D957" s="2" t="inlineStr">
        <is>
          <t>Financial covenant / restriction</t>
        </is>
      </c>
      <c r="E957" s="2" t="n"/>
      <c r="F957" s="2" t="n"/>
      <c r="G957" s="2" t="n"/>
      <c r="H957" s="3" t="inlineStr">
        <is>
          <t>Debt incurrence test: additional financial indebtedness of the issuer is permitted only if Net Debt / EBITDA is below 3.75x.</t>
        </is>
      </c>
      <c r="I957" s="2" t="inlineStr">
        <is>
          <t>S4</t>
        </is>
      </c>
      <c r="J957" s="2" t="n">
        <v>2</v>
      </c>
      <c r="K957" s="3" t="inlineStr">
        <is>
          <t>Aufnahme weiterer Verschuldung der Emittentin nur zulässig, wenn: Nettoverschuldung (Net Debt) / EBITDA &lt; 3,75x.</t>
        </is>
      </c>
      <c r="L957" s="2" t="inlineStr">
        <is>
          <t>rep</t>
        </is>
      </c>
      <c r="M957" s="2" t="inlineStr">
        <is>
          <t>demo reviewer</t>
        </is>
      </c>
      <c r="N957" s="2" t="n"/>
      <c r="O957" s="3" t="inlineStr">
        <is>
          <t>https://vanillabonds.com/dossier-data/pdf/katjes/katjes-bond-2023-2028-terms.pdf#page=2</t>
        </is>
      </c>
    </row>
    <row r="958">
      <c r="A958" s="2" t="inlineStr">
        <is>
          <t>F957</t>
        </is>
      </c>
      <c r="B958" s="2" t="inlineStr">
        <is>
          <t>debt</t>
        </is>
      </c>
      <c r="C958" s="2" t="inlineStr">
        <is>
          <t>covenant</t>
        </is>
      </c>
      <c r="D958" s="2" t="inlineStr">
        <is>
          <t>Financial covenant / restriction</t>
        </is>
      </c>
      <c r="E958" s="2" t="n"/>
      <c r="F958" s="2" t="n"/>
      <c r="G958" s="2" t="n"/>
      <c r="H958" s="3" t="inlineStr">
        <is>
          <t>Distributions to shareholders, including repayments of and interest on shareholder loans, are permitted only if Net Debt / EBITDA remains below 3.75x after the distribution.</t>
        </is>
      </c>
      <c r="I958" s="2" t="inlineStr">
        <is>
          <t>S4</t>
        </is>
      </c>
      <c r="J958" s="2" t="n">
        <v>2</v>
      </c>
      <c r="K958" s="3" t="inlineStr">
        <is>
          <t>Ausschüttungen an Gesellschafter (einschließlich Rückzahlungen und Zinszahlungen auf Gesellschafterdarlehen) sind nur zulässig, soweit:</t>
        </is>
      </c>
      <c r="L958" s="2" t="inlineStr">
        <is>
          <t>rep</t>
        </is>
      </c>
      <c r="M958" s="2" t="inlineStr">
        <is>
          <t>demo reviewer</t>
        </is>
      </c>
      <c r="N958" s="2" t="n"/>
      <c r="O958" s="3" t="inlineStr">
        <is>
          <t>https://vanillabonds.com/dossier-data/pdf/katjes/katjes-bond-2023-2028-terms.pdf#page=2</t>
        </is>
      </c>
    </row>
    <row r="959">
      <c r="A959" s="2" t="inlineStr">
        <is>
          <t>F958</t>
        </is>
      </c>
      <c r="B959" s="2" t="inlineStr">
        <is>
          <t>debt</t>
        </is>
      </c>
      <c r="C959" s="2" t="inlineStr">
        <is>
          <t>covenant</t>
        </is>
      </c>
      <c r="D959" s="2" t="inlineStr">
        <is>
          <t>Financial covenant / restriction</t>
        </is>
      </c>
      <c r="E959" s="2" t="n"/>
      <c r="F959" s="2" t="n"/>
      <c r="G959" s="2" t="n"/>
      <c r="H959" s="3" t="inlineStr">
        <is>
          <t>Distributions remain permitted to the extent the shareholder bears a tax charge from its participation in the issuer.</t>
        </is>
      </c>
      <c r="I959" s="2" t="inlineStr">
        <is>
          <t>S4</t>
        </is>
      </c>
      <c r="J959" s="2" t="n">
        <v>2</v>
      </c>
      <c r="K959" s="3" t="inlineStr">
        <is>
          <t>die Ausschüttung in dem Umfang erfolgt, in dem der Gesellschafter aus seiner Beteiligung an der Emittentin einer Steuerlast unterliegt.</t>
        </is>
      </c>
      <c r="L959" s="2" t="inlineStr">
        <is>
          <t>rep</t>
        </is>
      </c>
      <c r="M959" s="2" t="inlineStr">
        <is>
          <t>demo reviewer</t>
        </is>
      </c>
      <c r="N959" s="2" t="n"/>
      <c r="O959" s="3" t="inlineStr">
        <is>
          <t>https://vanillabonds.com/dossier-data/pdf/katjes/katjes-bond-2023-2028-terms.pdf#page=2</t>
        </is>
      </c>
    </row>
    <row r="960">
      <c r="A960" s="2" t="inlineStr">
        <is>
          <t>F959</t>
        </is>
      </c>
      <c r="B960" s="2" t="inlineStr">
        <is>
          <t>debt</t>
        </is>
      </c>
      <c r="C960" s="2" t="inlineStr">
        <is>
          <t>covenant</t>
        </is>
      </c>
      <c r="D960" s="2" t="inlineStr">
        <is>
          <t>Financial covenant / restriction</t>
        </is>
      </c>
      <c r="E960" s="2" t="n"/>
      <c r="F960" s="2" t="n"/>
      <c r="G960" s="2" t="n"/>
      <c r="H960" s="3" t="inlineStr">
        <is>
          <t>Negative pledge: the issuer and group may not grant security over their assets, with exceptions including secured liabilities of up to EUR 1m or, if greater, 5% of EBITDA.</t>
        </is>
      </c>
      <c r="I960" s="2" t="inlineStr">
        <is>
          <t>S4</t>
        </is>
      </c>
      <c r="J960" s="2" t="n">
        <v>2</v>
      </c>
      <c r="K960" s="3" t="inlineStr">
        <is>
          <t>Die Emittentin/Gruppe darf keine Sicherheiten an ihren Vermögensgegenständen bestellen.</t>
        </is>
      </c>
      <c r="L960" s="2" t="inlineStr">
        <is>
          <t>rep</t>
        </is>
      </c>
      <c r="M960" s="2" t="inlineStr">
        <is>
          <t>demo reviewer</t>
        </is>
      </c>
      <c r="N960" s="2" t="n"/>
      <c r="O960" s="3" t="inlineStr">
        <is>
          <t>https://vanillabonds.com/dossier-data/pdf/katjes/katjes-bond-2023-2028-terms.pdf#page=2</t>
        </is>
      </c>
    </row>
    <row r="961">
      <c r="A961" s="2" t="inlineStr">
        <is>
          <t>F960</t>
        </is>
      </c>
      <c r="B961" s="2" t="inlineStr">
        <is>
          <t>debt</t>
        </is>
      </c>
      <c r="C961" s="2" t="inlineStr">
        <is>
          <t>covenant</t>
        </is>
      </c>
      <c r="D961" s="2" t="inlineStr">
        <is>
          <t>Financial covenant / restriction</t>
        </is>
      </c>
      <c r="E961" s="2" t="n"/>
      <c r="F961" s="2" t="n"/>
      <c r="G961" s="2" t="n"/>
      <c r="H961" s="3" t="inlineStr">
        <is>
          <t>Cross default: the bonds become callable if financial liabilities of EUR 7.5m in aggregate are not paid by the issuer or group or become callable because of insolvency.</t>
        </is>
      </c>
      <c r="I961" s="2" t="inlineStr">
        <is>
          <t>S4</t>
        </is>
      </c>
      <c r="J961" s="2" t="n">
        <v>2</v>
      </c>
      <c r="K961" s="3" t="inlineStr">
        <is>
          <t>Wenn Finanzverbindlichkeiten in Höhe von (insgesamt) EUR 7.5 Mio. nicht durch die Emittentin/Gruppe gezahlt werden oder (wegen Insolvenz) kündbar sind werden die Schuldverschreibungen kündbar.</t>
        </is>
      </c>
      <c r="L961" s="2" t="inlineStr">
        <is>
          <t>rep</t>
        </is>
      </c>
      <c r="M961" s="2" t="inlineStr">
        <is>
          <t>demo reviewer</t>
        </is>
      </c>
      <c r="N961" s="2" t="n"/>
      <c r="O961" s="3" t="inlineStr">
        <is>
          <t>https://vanillabonds.com/dossier-data/pdf/katjes/katjes-bond-2023-2028-terms.pdf#page=2</t>
        </is>
      </c>
    </row>
    <row r="962">
      <c r="A962" s="2" t="inlineStr">
        <is>
          <t>F961</t>
        </is>
      </c>
      <c r="B962" s="2" t="inlineStr">
        <is>
          <t>debt</t>
        </is>
      </c>
      <c r="C962" s="2" t="inlineStr">
        <is>
          <t>covenant</t>
        </is>
      </c>
      <c r="D962" s="2" t="inlineStr">
        <is>
          <t>Financial covenant / restriction</t>
        </is>
      </c>
      <c r="E962" s="2" t="n"/>
      <c r="F962" s="2" t="n"/>
      <c r="G962" s="2" t="n"/>
      <c r="H962" s="3" t="inlineStr">
        <is>
          <t>Change of control put: bondholders may sell their bonds to the issuer at 101% of nominal plus accrued interest.</t>
        </is>
      </c>
      <c r="I962" s="2" t="inlineStr">
        <is>
          <t>S4</t>
        </is>
      </c>
      <c r="J962" s="2" t="n">
        <v>2</v>
      </c>
      <c r="K962" s="3" t="inlineStr">
        <is>
          <t>Im Fall eines Kontrollwechsels haben die Anleihegläubiger das Recht, ihre Schuldverschreibungen an die Emittentin zu 101 % des Nennbetrags zzgl. Stückzinsen zu verkaufen.</t>
        </is>
      </c>
      <c r="L962" s="2" t="inlineStr">
        <is>
          <t>rep</t>
        </is>
      </c>
      <c r="M962" s="2" t="inlineStr">
        <is>
          <t>demo reviewer</t>
        </is>
      </c>
      <c r="N962" s="2" t="n"/>
      <c r="O962" s="3" t="inlineStr">
        <is>
          <t>https://vanillabonds.com/dossier-data/pdf/katjes/katjes-bond-2023-2028-terms.pdf#page=2</t>
        </is>
      </c>
    </row>
    <row r="963">
      <c r="A963" s="2" t="inlineStr">
        <is>
          <t>F962</t>
        </is>
      </c>
      <c r="B963" s="2" t="inlineStr">
        <is>
          <t>debt</t>
        </is>
      </c>
      <c r="C963" s="2" t="inlineStr">
        <is>
          <t>covenant</t>
        </is>
      </c>
      <c r="D963" s="2" t="inlineStr">
        <is>
          <t>Financial covenant / restriction</t>
        </is>
      </c>
      <c r="E963" s="2" t="n"/>
      <c r="F963" s="2" t="n"/>
      <c r="G963" s="2" t="n"/>
      <c r="H963" s="3" t="inlineStr">
        <is>
          <t>Before an IPO, a change of control occurs if Bastian Fassin and Tobias Bachmüller together no longer own and control, directly or indirectly, more than 50.0% of the shares and votes, or lose the power to appoint or remove the majority of the management.</t>
        </is>
      </c>
      <c r="I963" s="2" t="inlineStr">
        <is>
          <t>S4</t>
        </is>
      </c>
      <c r="J963" s="2" t="n">
        <v>2</v>
      </c>
      <c r="K963" s="3" t="inlineStr">
        <is>
          <t>liegt vor, wenn die Herren Bastian Fassin und Tobias Bachmüller gemeinsam nicht mehr als 50,0% der Anteile und Stimmrechte an der Emittentin besitzen und</t>
        </is>
      </c>
      <c r="L963" s="2" t="inlineStr">
        <is>
          <t>rep</t>
        </is>
      </c>
      <c r="M963" s="2" t="inlineStr">
        <is>
          <t>demo reviewer</t>
        </is>
      </c>
      <c r="N963" s="2" t="n"/>
      <c r="O963" s="3" t="inlineStr">
        <is>
          <t>https://vanillabonds.com/dossier-data/pdf/katjes/katjes-bond-2023-2028-terms.pdf#page=2</t>
        </is>
      </c>
    </row>
    <row r="964">
      <c r="A964" s="2" t="inlineStr">
        <is>
          <t>F963</t>
        </is>
      </c>
      <c r="B964" s="2" t="inlineStr">
        <is>
          <t>debt</t>
        </is>
      </c>
      <c r="C964" s="2" t="inlineStr">
        <is>
          <t>covenant</t>
        </is>
      </c>
      <c r="D964" s="2" t="inlineStr">
        <is>
          <t>Financial covenant / restriction</t>
        </is>
      </c>
      <c r="E964" s="2" t="n"/>
      <c r="F964" s="2" t="n"/>
      <c r="G964" s="2" t="n"/>
      <c r="H964" s="3" t="inlineStr">
        <is>
          <t>After an IPO, a change of control occurs if a person or a group acting together, other than Bastian Fassin and Tobias Bachmüller, owns or controls 50.0% or more of the shares or votes.</t>
        </is>
      </c>
      <c r="I964" s="2" t="inlineStr">
        <is>
          <t>S4</t>
        </is>
      </c>
      <c r="J964" s="2" t="n">
        <v>2</v>
      </c>
      <c r="K964" s="3" t="inlineStr">
        <is>
          <t>wenn eine Person oder eine gemeinsam handelnde Gruppe von Personen (mit Ausnahme der Herren Bastian Fassin und Tobias Bachmüller) 50,0% oder mehr der</t>
        </is>
      </c>
      <c r="L964" s="2" t="inlineStr">
        <is>
          <t>rep</t>
        </is>
      </c>
      <c r="M964" s="2" t="inlineStr">
        <is>
          <t>demo reviewer</t>
        </is>
      </c>
      <c r="N964" s="2" t="n"/>
      <c r="O964" s="3" t="inlineStr">
        <is>
          <t>https://vanillabonds.com/dossier-data/pdf/katjes/katjes-bond-2023-2028-terms.pdf#page=2</t>
        </is>
      </c>
    </row>
    <row r="965">
      <c r="A965" s="2" t="inlineStr">
        <is>
          <t>F964</t>
        </is>
      </c>
      <c r="B965" s="2" t="inlineStr">
        <is>
          <t>debt</t>
        </is>
      </c>
      <c r="C965" s="2" t="inlineStr">
        <is>
          <t>covenant</t>
        </is>
      </c>
      <c r="D965" s="2" t="inlineStr">
        <is>
          <t>Financial covenant / restriction</t>
        </is>
      </c>
      <c r="E965" s="2" t="n"/>
      <c r="F965" s="2" t="n"/>
      <c r="G965" s="2" t="n"/>
      <c r="H965" s="3" t="inlineStr">
        <is>
          <t>A change of control also occurs at any time on a disposal of the material assets of the issuer or its subsidiaries.</t>
        </is>
      </c>
      <c r="I965" s="2" t="inlineStr">
        <is>
          <t>S4</t>
        </is>
      </c>
      <c r="J965" s="2" t="n">
        <v>2</v>
      </c>
      <c r="K965" s="3" t="inlineStr">
        <is>
          <t>liegt darüber hinaus jederzeit bei einer Veräußerung des wesentlichen Vermögens der Emittentin/ihrer Töchter vor.</t>
        </is>
      </c>
      <c r="L965" s="2" t="inlineStr">
        <is>
          <t>rep</t>
        </is>
      </c>
      <c r="M965" s="2" t="inlineStr">
        <is>
          <t>demo reviewer</t>
        </is>
      </c>
      <c r="N965" s="2" t="n"/>
      <c r="O965" s="3" t="inlineStr">
        <is>
          <t>https://vanillabonds.com/dossier-data/pdf/katjes/katjes-bond-2023-2028-terms.pdf#page=2</t>
        </is>
      </c>
    </row>
    <row r="966">
      <c r="A966" s="2" t="inlineStr">
        <is>
          <t>F965</t>
        </is>
      </c>
      <c r="B966" s="2" t="inlineStr">
        <is>
          <t>management</t>
        </is>
      </c>
      <c r="C966" s="2" t="inlineStr">
        <is>
          <t>reporting_practice</t>
        </is>
      </c>
      <c r="D966" s="3" t="inlineStr">
        <is>
          <t>Monitoring: KPI reporting, frequency, budget process, controlling</t>
        </is>
      </c>
      <c r="E966" s="2" t="n"/>
      <c r="F966" s="2" t="n"/>
      <c r="G966" s="2" t="n"/>
      <c r="H966" s="3" t="inlineStr">
        <is>
          <t>The bond terms require audited IFRS consolidated accounts within 4 months of year end and unaudited IFRS half-year accounts within 75 days, each in German and English.</t>
        </is>
      </c>
      <c r="I966" s="2" t="inlineStr">
        <is>
          <t>S4</t>
        </is>
      </c>
      <c r="J966" s="2" t="n">
        <v>2</v>
      </c>
      <c r="K966" s="3" t="inlineStr">
        <is>
          <t>Geprüfter IFRS-Konzernabschluss innerhalb von 4 Monaten und ungeprüfter IFRS- Halbjahresabschluss innerhalb von 75 Tagen, jeweils in deutscher und englischer Sprache.</t>
        </is>
      </c>
      <c r="L966" s="2" t="inlineStr">
        <is>
          <t>rep</t>
        </is>
      </c>
      <c r="M966" s="2" t="inlineStr">
        <is>
          <t>demo reviewer</t>
        </is>
      </c>
      <c r="N966" s="2" t="n"/>
      <c r="O966" s="3" t="inlineStr">
        <is>
          <t>https://vanillabonds.com/dossier-data/pdf/katjes/katjes-bond-2023-2028-terms.pdf#page=2</t>
        </is>
      </c>
    </row>
    <row r="967">
      <c r="A967" s="2" t="inlineStr">
        <is>
          <t>F966</t>
        </is>
      </c>
      <c r="B967" s="2" t="inlineStr">
        <is>
          <t>plan</t>
        </is>
      </c>
      <c r="C967" s="2" t="inlineStr">
        <is>
          <t>bond_amount</t>
        </is>
      </c>
      <c r="D967" s="2" t="inlineStr">
        <is>
          <t>Proposed bond</t>
        </is>
      </c>
      <c r="E967" s="2" t="n"/>
      <c r="F967" s="2" t="n">
        <v>110</v>
      </c>
      <c r="G967" s="2" t="inlineStr">
        <is>
          <t>EUR m</t>
        </is>
      </c>
      <c r="H967" s="3" t="inlineStr">
        <is>
          <t>Bond 2023/2028 target volume EUR 110m, minimum volume EUR 80m, issue price 100% of nominal.</t>
        </is>
      </c>
      <c r="I967" s="2" t="inlineStr">
        <is>
          <t>S4</t>
        </is>
      </c>
      <c r="J967" s="2" t="n">
        <v>1</v>
      </c>
      <c r="K967" s="2" t="inlineStr">
        <is>
          <t>EUR 110.000.000 / EUR 80.000.000</t>
        </is>
      </c>
      <c r="L967" s="2" t="inlineStr">
        <is>
          <t>rep</t>
        </is>
      </c>
      <c r="M967" s="2" t="inlineStr">
        <is>
          <t>demo reviewer</t>
        </is>
      </c>
      <c r="N967" s="2" t="n"/>
      <c r="O967" s="3" t="inlineStr">
        <is>
          <t>https://vanillabonds.com/dossier-data/pdf/katjes/katjes-bond-2023-2028-terms.pdf#page=1</t>
        </is>
      </c>
    </row>
    <row r="968">
      <c r="A968" s="2" t="inlineStr">
        <is>
          <t>F967</t>
        </is>
      </c>
      <c r="B968" s="2" t="inlineStr">
        <is>
          <t>plan</t>
        </is>
      </c>
      <c r="C968" s="2" t="inlineStr">
        <is>
          <t>use_of_proceeds</t>
        </is>
      </c>
      <c r="D968" s="2" t="inlineStr">
        <is>
          <t>Use of proceeds (one line per use)</t>
        </is>
      </c>
      <c r="E968" s="2" t="n"/>
      <c r="F968" s="2" t="n"/>
      <c r="G968" s="2" t="n"/>
      <c r="H968" s="3" t="inlineStr">
        <is>
          <t>Refinancing of the outstanding bond 2019/2024 (ISIN DE000A2TST99).</t>
        </is>
      </c>
      <c r="I968" s="2" t="inlineStr">
        <is>
          <t>S4</t>
        </is>
      </c>
      <c r="J968" s="2" t="n">
        <v>1</v>
      </c>
      <c r="K968" s="3" t="inlineStr">
        <is>
          <t>Refinanzierungen der ausstehenden Anleihe 2019/2024 (DE000A2TST99) sowie</t>
        </is>
      </c>
      <c r="L968" s="2" t="inlineStr">
        <is>
          <t>rep</t>
        </is>
      </c>
      <c r="M968" s="2" t="inlineStr">
        <is>
          <t>demo reviewer</t>
        </is>
      </c>
      <c r="N968" s="2" t="n"/>
      <c r="O968" s="3" t="inlineStr">
        <is>
          <t>https://vanillabonds.com/dossier-data/pdf/katjes/katjes-bond-2023-2028-terms.pdf#page=1</t>
        </is>
      </c>
    </row>
    <row r="969">
      <c r="A969" s="2" t="inlineStr">
        <is>
          <t>F968</t>
        </is>
      </c>
      <c r="B969" s="2" t="inlineStr">
        <is>
          <t>plan</t>
        </is>
      </c>
      <c r="C969" s="2" t="inlineStr">
        <is>
          <t>use_of_proceeds</t>
        </is>
      </c>
      <c r="D969" s="2" t="inlineStr">
        <is>
          <t>Use of proceeds (one line per use)</t>
        </is>
      </c>
      <c r="E969" s="2" t="n"/>
      <c r="F969" s="2" t="n"/>
      <c r="G969" s="2" t="n"/>
      <c r="H969" s="3" t="inlineStr">
        <is>
          <t>General corporate financing, with the details depending on the size of the issue proceeds as set out in the securities prospectus.</t>
        </is>
      </c>
      <c r="I969" s="2" t="inlineStr">
        <is>
          <t>S4</t>
        </is>
      </c>
      <c r="J969" s="2" t="n">
        <v>1</v>
      </c>
      <c r="K969" s="3" t="inlineStr">
        <is>
          <t>allgemeine Unternehmensfinanzierung (Details abhängig von der Höhe des</t>
        </is>
      </c>
      <c r="L969" s="2" t="inlineStr">
        <is>
          <t>rep</t>
        </is>
      </c>
      <c r="M969" s="2" t="inlineStr">
        <is>
          <t>demo reviewer</t>
        </is>
      </c>
      <c r="N969" s="2" t="n"/>
      <c r="O969" s="3" t="inlineStr">
        <is>
          <t>https://vanillabonds.com/dossier-data/pdf/katjes/katjes-bond-2023-2028-terms.pdf#page=1</t>
        </is>
      </c>
    </row>
    <row r="970">
      <c r="A970" s="2" t="inlineStr">
        <is>
          <t>F969</t>
        </is>
      </c>
      <c r="B970" s="2" t="inlineStr">
        <is>
          <t>debt</t>
        </is>
      </c>
      <c r="C970" s="2" t="inlineStr">
        <is>
          <t>rollover_event</t>
        </is>
      </c>
      <c r="D970" s="3" t="inlineStr">
        <is>
          <t>Past maturity: instrument; amount; due; outcome (repaid, refinanced, extended, waived)</t>
        </is>
      </c>
      <c r="E970" s="2" t="n"/>
      <c r="F970" s="2" t="n"/>
      <c r="G970" s="2" t="n"/>
      <c r="H970" s="3" t="inlineStr">
        <is>
          <t>instrument: Anleihe 2019/2024 (ISIN DE000A2TST99); due: 2024; outcome: refinanced by the 2023/2028 bond as stated in its use of proceeds</t>
        </is>
      </c>
      <c r="I970" s="2" t="inlineStr">
        <is>
          <t>S4</t>
        </is>
      </c>
      <c r="J970" s="2" t="n">
        <v>1</v>
      </c>
      <c r="K970" s="3" t="inlineStr">
        <is>
          <t>Refinanzierungen der ausstehenden Anleihe 2019/2024 (DE000A2TST99) sowie</t>
        </is>
      </c>
      <c r="L970" s="2" t="inlineStr">
        <is>
          <t>rep</t>
        </is>
      </c>
      <c r="M970" s="2" t="inlineStr">
        <is>
          <t>demo reviewer</t>
        </is>
      </c>
      <c r="N970" s="2" t="n"/>
      <c r="O970" s="3" t="inlineStr">
        <is>
          <t>https://vanillabonds.com/dossier-data/pdf/katjes/katjes-bond-2023-2028-terms.pdf#page=1</t>
        </is>
      </c>
    </row>
    <row r="971">
      <c r="A971" s="2" t="inlineStr">
        <is>
          <t>F970</t>
        </is>
      </c>
      <c r="B971" s="2" t="inlineStr">
        <is>
          <t>structure</t>
        </is>
      </c>
      <c r="C971" s="2" t="inlineStr">
        <is>
          <t>covenant_definition</t>
        </is>
      </c>
      <c r="D971" s="3" t="inlineStr">
        <is>
          <t>Covenant: covenant; formula as defined; threshold; direction (max / min); test frequency</t>
        </is>
      </c>
      <c r="E971" s="2" t="n"/>
      <c r="F971" s="2" t="n">
        <v>3.75</v>
      </c>
      <c r="G971" s="2" t="n"/>
      <c r="H971" s="3" t="inlineStr">
        <is>
          <t>covenant: debt incurrence test; formula: Nettoverschuldung (Net Debt) / EBITDA; threshold: 3.75x; direction: max; test frequency: on each incurrence of additional debt</t>
        </is>
      </c>
      <c r="I971" s="2" t="inlineStr">
        <is>
          <t>S4</t>
        </is>
      </c>
      <c r="J971" s="2" t="n">
        <v>2</v>
      </c>
      <c r="K971" s="3" t="inlineStr">
        <is>
          <t>Aufnahme weiterer Verschuldung der Emittentin nur zulässig, wenn: Nettoverschuldung (Net Debt) / EBITDA &lt; 3,75x.</t>
        </is>
      </c>
      <c r="L971" s="2" t="inlineStr">
        <is>
          <t>rep</t>
        </is>
      </c>
      <c r="M971" s="2" t="inlineStr">
        <is>
          <t>demo reviewer</t>
        </is>
      </c>
      <c r="N971" s="2" t="n"/>
      <c r="O971" s="3" t="inlineStr">
        <is>
          <t>https://vanillabonds.com/dossier-data/pdf/katjes/katjes-bond-2023-2028-terms.pdf#page=2</t>
        </is>
      </c>
    </row>
    <row r="972">
      <c r="A972" s="2" t="inlineStr">
        <is>
          <t>F971</t>
        </is>
      </c>
      <c r="B972" s="2" t="inlineStr">
        <is>
          <t>structure</t>
        </is>
      </c>
      <c r="C972" s="2" t="inlineStr">
        <is>
          <t>covenant_definition</t>
        </is>
      </c>
      <c r="D972" s="3" t="inlineStr">
        <is>
          <t>Covenant: covenant; formula as defined; threshold; direction (max / min); test frequency</t>
        </is>
      </c>
      <c r="E972" s="2" t="n"/>
      <c r="F972" s="2" t="n">
        <v>3.75</v>
      </c>
      <c r="G972" s="2" t="n"/>
      <c r="H972" s="3" t="inlineStr">
        <is>
          <t>covenant: distribution test; formula: Nettoverschuldung (Net Debt) / EBITDA after the distribution; threshold: 3.75x; direction: max; test frequency: on each distribution to shareholders</t>
        </is>
      </c>
      <c r="I972" s="2" t="inlineStr">
        <is>
          <t>S4</t>
        </is>
      </c>
      <c r="J972" s="2" t="n">
        <v>2</v>
      </c>
      <c r="K972" s="3" t="inlineStr">
        <is>
          <t>nach der Ausschüttung die folgende Grenze nicht überschritten wird: Nettoverschuldung (Net Debt) / EBITDA &lt; 3,75x</t>
        </is>
      </c>
      <c r="L972" s="2" t="inlineStr">
        <is>
          <t>rep</t>
        </is>
      </c>
      <c r="M972" s="2" t="inlineStr">
        <is>
          <t>demo reviewer</t>
        </is>
      </c>
      <c r="N972" s="2" t="n"/>
      <c r="O972" s="3" t="inlineStr">
        <is>
          <t>https://vanillabonds.com/dossier-data/pdf/katjes/katjes-bond-2023-2028-terms.pdf#page=2</t>
        </is>
      </c>
    </row>
    <row r="973">
      <c r="A973" s="2" t="inlineStr">
        <is>
          <t>F972</t>
        </is>
      </c>
      <c r="B973" s="2" t="inlineStr">
        <is>
          <t>structure</t>
        </is>
      </c>
      <c r="C973" s="2" t="inlineStr">
        <is>
          <t>covenant_definition</t>
        </is>
      </c>
      <c r="D973" s="3" t="inlineStr">
        <is>
          <t>Covenant: covenant; formula as defined; threshold; direction (max / min); test frequency</t>
        </is>
      </c>
      <c r="E973" s="2" t="n"/>
      <c r="F973" s="2" t="n">
        <v>1</v>
      </c>
      <c r="G973" s="2" t="n"/>
      <c r="H973" s="3" t="inlineStr">
        <is>
          <t>covenant: negative pledge basket; formula: liabilities secured on the assets of the issuer or group; threshold: EUR 1.0m or, if greater, 5% of EBITDA; direction: max</t>
        </is>
      </c>
      <c r="I973" s="2" t="inlineStr">
        <is>
          <t>S4</t>
        </is>
      </c>
      <c r="J973" s="2" t="n">
        <v>2</v>
      </c>
      <c r="K973" s="3" t="inlineStr">
        <is>
          <t>wenn die besicherten Verbindlichkeiten nicht höher als EUR 1 Mio. oder (wenn größer) einem Betrag entsprechen der 5 % des EBITDA übersteigt.</t>
        </is>
      </c>
      <c r="L973" s="2" t="inlineStr">
        <is>
          <t>rep</t>
        </is>
      </c>
      <c r="M973" s="2" t="inlineStr">
        <is>
          <t>demo reviewer</t>
        </is>
      </c>
      <c r="N973" s="2" t="n"/>
      <c r="O973" s="3" t="inlineStr">
        <is>
          <t>https://vanillabonds.com/dossier-data/pdf/katjes/katjes-bond-2023-2028-terms.pdf#page=2</t>
        </is>
      </c>
    </row>
    <row r="974">
      <c r="A974" s="2" t="inlineStr">
        <is>
          <t>F973</t>
        </is>
      </c>
      <c r="B974" s="2" t="inlineStr">
        <is>
          <t>market_data</t>
        </is>
      </c>
      <c r="C974" s="2" t="inlineStr">
        <is>
          <t>instrument_term</t>
        </is>
      </c>
      <c r="D974" s="3" t="inlineStr">
        <is>
          <t>Instrument term: term (rate type, base rate, maturity, call, listing, ISIN, denomination, settlement, holders, transfer); value</t>
        </is>
      </c>
      <c r="E974" s="2" t="n"/>
      <c r="F974" s="2" t="n"/>
      <c r="G974" s="2" t="n"/>
      <c r="H974" s="2" t="inlineStr">
        <is>
          <t>term: ISIN; value: NO0012888769</t>
        </is>
      </c>
      <c r="I974" s="2" t="inlineStr">
        <is>
          <t>S4</t>
        </is>
      </c>
      <c r="J974" s="2" t="n">
        <v>1</v>
      </c>
      <c r="K974" s="2" t="inlineStr">
        <is>
          <t>ISIN: NO0012888769 / WKN: A30V78</t>
        </is>
      </c>
      <c r="L974" s="2" t="inlineStr">
        <is>
          <t>rep</t>
        </is>
      </c>
      <c r="M974" s="2" t="inlineStr">
        <is>
          <t>demo reviewer</t>
        </is>
      </c>
      <c r="N974" s="2" t="n"/>
      <c r="O974" s="3" t="inlineStr">
        <is>
          <t>https://vanillabonds.com/dossier-data/pdf/katjes/katjes-bond-2023-2028-terms.pdf#page=1</t>
        </is>
      </c>
    </row>
    <row r="975">
      <c r="A975" s="2" t="inlineStr">
        <is>
          <t>F974</t>
        </is>
      </c>
      <c r="B975" s="2" t="inlineStr">
        <is>
          <t>market_data</t>
        </is>
      </c>
      <c r="C975" s="2" t="inlineStr">
        <is>
          <t>instrument_term</t>
        </is>
      </c>
      <c r="D975" s="3" t="inlineStr">
        <is>
          <t>Instrument term: term (rate type, base rate, maturity, call, listing, ISIN, denomination, settlement, holders, transfer); value</t>
        </is>
      </c>
      <c r="E975" s="2" t="n"/>
      <c r="F975" s="2" t="n"/>
      <c r="G975" s="2" t="n"/>
      <c r="H975" s="2" t="inlineStr">
        <is>
          <t>term: WKN; value: A30V78</t>
        </is>
      </c>
      <c r="I975" s="2" t="inlineStr">
        <is>
          <t>S4</t>
        </is>
      </c>
      <c r="J975" s="2" t="n">
        <v>1</v>
      </c>
      <c r="K975" s="2" t="inlineStr">
        <is>
          <t>ISIN: NO0012888769 / WKN: A30V78</t>
        </is>
      </c>
      <c r="L975" s="2" t="inlineStr">
        <is>
          <t>rep</t>
        </is>
      </c>
      <c r="M975" s="2" t="inlineStr">
        <is>
          <t>demo reviewer</t>
        </is>
      </c>
      <c r="N975" s="2" t="n"/>
      <c r="O975" s="3" t="inlineStr">
        <is>
          <t>https://vanillabonds.com/dossier-data/pdf/katjes/katjes-bond-2023-2028-terms.pdf#page=1</t>
        </is>
      </c>
    </row>
    <row r="976">
      <c r="A976" s="2" t="inlineStr">
        <is>
          <t>F975</t>
        </is>
      </c>
      <c r="B976" s="2" t="inlineStr">
        <is>
          <t>market_data</t>
        </is>
      </c>
      <c r="C976" s="2" t="inlineStr">
        <is>
          <t>instrument_term</t>
        </is>
      </c>
      <c r="D976" s="3" t="inlineStr">
        <is>
          <t>Instrument term: term (rate type, base rate, maturity, call, listing, ISIN, denomination, settlement, holders, transfer); value</t>
        </is>
      </c>
      <c r="E976" s="2" t="n"/>
      <c r="F976" s="2" t="n"/>
      <c r="G976" s="2" t="n"/>
      <c r="H976" s="3" t="inlineStr">
        <is>
          <t>term: instrument type; value: Inhaberschuldverschreibung (bearer bond)</t>
        </is>
      </c>
      <c r="I976" s="2" t="inlineStr">
        <is>
          <t>S4</t>
        </is>
      </c>
      <c r="J976" s="2" t="n">
        <v>1</v>
      </c>
      <c r="K976" s="2" t="inlineStr">
        <is>
          <t>Inhaberschuldverschreibung („Anleihe“)</t>
        </is>
      </c>
      <c r="L976" s="2" t="inlineStr">
        <is>
          <t>rep</t>
        </is>
      </c>
      <c r="M976" s="2" t="inlineStr">
        <is>
          <t>demo reviewer</t>
        </is>
      </c>
      <c r="N976" s="2" t="n"/>
      <c r="O976" s="3" t="inlineStr">
        <is>
          <t>https://vanillabonds.com/dossier-data/pdf/katjes/katjes-bond-2023-2028-terms.pdf#page=1</t>
        </is>
      </c>
    </row>
    <row r="977">
      <c r="A977" s="2" t="inlineStr">
        <is>
          <t>F976</t>
        </is>
      </c>
      <c r="B977" s="2" t="inlineStr">
        <is>
          <t>market_data</t>
        </is>
      </c>
      <c r="C977" s="2" t="inlineStr">
        <is>
          <t>instrument_term</t>
        </is>
      </c>
      <c r="D977" s="3" t="inlineStr">
        <is>
          <t>Instrument term: term (rate type, base rate, maturity, call, listing, ISIN, denomination, settlement, holders, transfer); value</t>
        </is>
      </c>
      <c r="E977" s="2" t="n"/>
      <c r="F977" s="2" t="n"/>
      <c r="G977" s="2" t="n"/>
      <c r="H977" s="3" t="inlineStr">
        <is>
          <t>term: ranking and security; value: senior unsecured (nicht nachrangig, unbesichert)</t>
        </is>
      </c>
      <c r="I977" s="2" t="inlineStr">
        <is>
          <t>S4</t>
        </is>
      </c>
      <c r="J977" s="2" t="n">
        <v>1</v>
      </c>
      <c r="K977" s="2" t="inlineStr">
        <is>
          <t>nicht nachrangig, unbesichert</t>
        </is>
      </c>
      <c r="L977" s="2" t="inlineStr">
        <is>
          <t>rep</t>
        </is>
      </c>
      <c r="M977" s="2" t="inlineStr">
        <is>
          <t>demo reviewer</t>
        </is>
      </c>
      <c r="N977" s="2" t="n"/>
      <c r="O977" s="3" t="inlineStr">
        <is>
          <t>https://vanillabonds.com/dossier-data/pdf/katjes/katjes-bond-2023-2028-terms.pdf#page=1</t>
        </is>
      </c>
    </row>
    <row r="978">
      <c r="A978" s="2" t="inlineStr">
        <is>
          <t>F977</t>
        </is>
      </c>
      <c r="B978" s="2" t="inlineStr">
        <is>
          <t>market_data</t>
        </is>
      </c>
      <c r="C978" s="2" t="inlineStr">
        <is>
          <t>instrument_term</t>
        </is>
      </c>
      <c r="D978" s="3" t="inlineStr">
        <is>
          <t>Instrument term: term (rate type, base rate, maturity, call, listing, ISIN, denomination, settlement, holders, transfer); value</t>
        </is>
      </c>
      <c r="E978" s="2" t="n"/>
      <c r="F978" s="2" t="n">
        <v>110</v>
      </c>
      <c r="G978" s="2" t="n"/>
      <c r="H978" s="2" t="inlineStr">
        <is>
          <t>term: target volume; value: EUR 110.0m</t>
        </is>
      </c>
      <c r="I978" s="2" t="inlineStr">
        <is>
          <t>S4</t>
        </is>
      </c>
      <c r="J978" s="2" t="n">
        <v>1</v>
      </c>
      <c r="K978" s="2" t="inlineStr">
        <is>
          <t>EUR 110.000.000 / EUR 80.000.000</t>
        </is>
      </c>
      <c r="L978" s="2" t="inlineStr">
        <is>
          <t>rep</t>
        </is>
      </c>
      <c r="M978" s="2" t="inlineStr">
        <is>
          <t>demo reviewer</t>
        </is>
      </c>
      <c r="N978" s="2" t="n"/>
      <c r="O978" s="3" t="inlineStr">
        <is>
          <t>https://vanillabonds.com/dossier-data/pdf/katjes/katjes-bond-2023-2028-terms.pdf#page=1</t>
        </is>
      </c>
    </row>
    <row r="979">
      <c r="A979" s="2" t="inlineStr">
        <is>
          <t>F978</t>
        </is>
      </c>
      <c r="B979" s="2" t="inlineStr">
        <is>
          <t>market_data</t>
        </is>
      </c>
      <c r="C979" s="2" t="inlineStr">
        <is>
          <t>instrument_term</t>
        </is>
      </c>
      <c r="D979" s="3" t="inlineStr">
        <is>
          <t>Instrument term: term (rate type, base rate, maturity, call, listing, ISIN, denomination, settlement, holders, transfer); value</t>
        </is>
      </c>
      <c r="E979" s="2" t="n"/>
      <c r="F979" s="2" t="n">
        <v>80</v>
      </c>
      <c r="G979" s="2" t="n"/>
      <c r="H979" s="2" t="inlineStr">
        <is>
          <t>term: minimum volume; value: EUR 80.0m</t>
        </is>
      </c>
      <c r="I979" s="2" t="inlineStr">
        <is>
          <t>S4</t>
        </is>
      </c>
      <c r="J979" s="2" t="n">
        <v>1</v>
      </c>
      <c r="K979" s="2" t="inlineStr">
        <is>
          <t>EUR 110.000.000 / EUR 80.000.000</t>
        </is>
      </c>
      <c r="L979" s="2" t="inlineStr">
        <is>
          <t>rep</t>
        </is>
      </c>
      <c r="M979" s="2" t="inlineStr">
        <is>
          <t>demo reviewer</t>
        </is>
      </c>
      <c r="N979" s="2" t="n"/>
      <c r="O979" s="3" t="inlineStr">
        <is>
          <t>https://vanillabonds.com/dossier-data/pdf/katjes/katjes-bond-2023-2028-terms.pdf#page=1</t>
        </is>
      </c>
    </row>
    <row r="980">
      <c r="A980" s="2" t="inlineStr">
        <is>
          <t>F979</t>
        </is>
      </c>
      <c r="B980" s="2" t="inlineStr">
        <is>
          <t>market_data</t>
        </is>
      </c>
      <c r="C980" s="2" t="inlineStr">
        <is>
          <t>instrument_term</t>
        </is>
      </c>
      <c r="D980" s="3" t="inlineStr">
        <is>
          <t>Instrument term: term (rate type, base rate, maturity, call, listing, ISIN, denomination, settlement, holders, transfer); value</t>
        </is>
      </c>
      <c r="E980" s="2" t="n"/>
      <c r="F980" s="2" t="n"/>
      <c r="G980" s="2" t="n"/>
      <c r="H980" s="3" t="inlineStr">
        <is>
          <t>term: denomination; value: EUR 1,000 per bond</t>
        </is>
      </c>
      <c r="I980" s="2" t="inlineStr">
        <is>
          <t>S4</t>
        </is>
      </c>
      <c r="J980" s="2" t="n">
        <v>1</v>
      </c>
      <c r="K980" s="2" t="inlineStr">
        <is>
          <t>EUR 1.000</t>
        </is>
      </c>
      <c r="L980" s="2" t="inlineStr">
        <is>
          <t>rep</t>
        </is>
      </c>
      <c r="M980" s="2" t="inlineStr">
        <is>
          <t>demo reviewer</t>
        </is>
      </c>
      <c r="N980" s="2" t="n"/>
      <c r="O980" s="3" t="inlineStr">
        <is>
          <t>https://vanillabonds.com/dossier-data/pdf/katjes/katjes-bond-2023-2028-terms.pdf#page=1</t>
        </is>
      </c>
    </row>
    <row r="981">
      <c r="A981" s="2" t="inlineStr">
        <is>
          <t>F980</t>
        </is>
      </c>
      <c r="B981" s="2" t="inlineStr">
        <is>
          <t>market_data</t>
        </is>
      </c>
      <c r="C981" s="2" t="inlineStr">
        <is>
          <t>instrument_term</t>
        </is>
      </c>
      <c r="D981" s="3" t="inlineStr">
        <is>
          <t>Instrument term: term (rate type, base rate, maturity, call, listing, ISIN, denomination, settlement, holders, transfer); value</t>
        </is>
      </c>
      <c r="E981" s="2" t="n"/>
      <c r="F981" s="2" t="n"/>
      <c r="G981" s="2" t="n"/>
      <c r="H981" s="3" t="inlineStr">
        <is>
          <t>term: coupon marketing range; value: 6.25-7.50% p.a.</t>
        </is>
      </c>
      <c r="I981" s="2" t="inlineStr">
        <is>
          <t>S4</t>
        </is>
      </c>
      <c r="J981" s="2" t="n">
        <v>1</v>
      </c>
      <c r="K981" s="2" t="inlineStr">
        <is>
          <t>6,25 - 7,50 % p.a.</t>
        </is>
      </c>
      <c r="L981" s="2" t="inlineStr">
        <is>
          <t>rep</t>
        </is>
      </c>
      <c r="M981" s="2" t="inlineStr">
        <is>
          <t>demo reviewer</t>
        </is>
      </c>
      <c r="N981" s="2" t="n"/>
      <c r="O981" s="3" t="inlineStr">
        <is>
          <t>https://vanillabonds.com/dossier-data/pdf/katjes/katjes-bond-2023-2028-terms.pdf#page=1</t>
        </is>
      </c>
    </row>
    <row r="982">
      <c r="A982" s="2" t="inlineStr">
        <is>
          <t>F981</t>
        </is>
      </c>
      <c r="B982" s="2" t="inlineStr">
        <is>
          <t>market_data</t>
        </is>
      </c>
      <c r="C982" s="2" t="inlineStr">
        <is>
          <t>instrument_term</t>
        </is>
      </c>
      <c r="D982" s="3" t="inlineStr">
        <is>
          <t>Instrument term: term (rate type, base rate, maturity, call, listing, ISIN, denomination, settlement, holders, transfer); value</t>
        </is>
      </c>
      <c r="E982" s="2" t="n"/>
      <c r="F982" s="2" t="n"/>
      <c r="G982" s="2" t="n"/>
      <c r="H982" s="3" t="inlineStr">
        <is>
          <t>term: rate type; value: fixed rate, payable semi-annually in arrears on 21 March and 21 September</t>
        </is>
      </c>
      <c r="I982" s="2" t="inlineStr">
        <is>
          <t>S4</t>
        </is>
      </c>
      <c r="J982" s="2" t="n">
        <v>1</v>
      </c>
      <c r="K982" s="3" t="inlineStr">
        <is>
          <t>Festzins, zahlbar halbjährlich nachträglich am 21. März und 21. September,</t>
        </is>
      </c>
      <c r="L982" s="2" t="inlineStr">
        <is>
          <t>rep</t>
        </is>
      </c>
      <c r="M982" s="2" t="inlineStr">
        <is>
          <t>demo reviewer</t>
        </is>
      </c>
      <c r="N982" s="2" t="n"/>
      <c r="O982" s="3" t="inlineStr">
        <is>
          <t>https://vanillabonds.com/dossier-data/pdf/katjes/katjes-bond-2023-2028-terms.pdf#page=1</t>
        </is>
      </c>
    </row>
    <row r="983">
      <c r="A983" s="2" t="inlineStr">
        <is>
          <t>F982</t>
        </is>
      </c>
      <c r="B983" s="2" t="inlineStr">
        <is>
          <t>market_data</t>
        </is>
      </c>
      <c r="C983" s="2" t="inlineStr">
        <is>
          <t>instrument_term</t>
        </is>
      </c>
      <c r="D983" s="3" t="inlineStr">
        <is>
          <t>Instrument term: term (rate type, base rate, maturity, call, listing, ISIN, denomination, settlement, holders, transfer); value</t>
        </is>
      </c>
      <c r="E983" s="2" t="n"/>
      <c r="F983" s="2" t="n"/>
      <c r="G983" s="2" t="n"/>
      <c r="H983" s="3" t="inlineStr">
        <is>
          <t>term: interest dates; value: first coupon 21 March 2024, last coupon 21 September 2028</t>
        </is>
      </c>
      <c r="I983" s="2" t="inlineStr">
        <is>
          <t>S4</t>
        </is>
      </c>
      <c r="J983" s="2" t="n">
        <v>1</v>
      </c>
      <c r="K983" s="3" t="inlineStr">
        <is>
          <t>erstmalig am 21. März 2024, letztmalig am 21. September 2028</t>
        </is>
      </c>
      <c r="L983" s="2" t="inlineStr">
        <is>
          <t>rep</t>
        </is>
      </c>
      <c r="M983" s="2" t="inlineStr">
        <is>
          <t>demo reviewer</t>
        </is>
      </c>
      <c r="N983" s="2" t="n"/>
      <c r="O983" s="3" t="inlineStr">
        <is>
          <t>https://vanillabonds.com/dossier-data/pdf/katjes/katjes-bond-2023-2028-terms.pdf#page=1</t>
        </is>
      </c>
    </row>
    <row r="984">
      <c r="A984" s="2" t="inlineStr">
        <is>
          <t>F983</t>
        </is>
      </c>
      <c r="B984" s="2" t="inlineStr">
        <is>
          <t>market_data</t>
        </is>
      </c>
      <c r="C984" s="2" t="inlineStr">
        <is>
          <t>instrument_term</t>
        </is>
      </c>
      <c r="D984" s="3" t="inlineStr">
        <is>
          <t>Instrument term: term (rate type, base rate, maturity, call, listing, ISIN, denomination, settlement, holders, transfer); value</t>
        </is>
      </c>
      <c r="E984" s="2" t="n"/>
      <c r="F984" s="2" t="n"/>
      <c r="G984" s="2" t="n"/>
      <c r="H984" s="2" t="inlineStr">
        <is>
          <t>term: currency; value: EUR</t>
        </is>
      </c>
      <c r="I984" s="2" t="inlineStr">
        <is>
          <t>S4</t>
        </is>
      </c>
      <c r="J984" s="2" t="n">
        <v>1</v>
      </c>
      <c r="K984" s="2" t="inlineStr">
        <is>
          <t>Euro</t>
        </is>
      </c>
      <c r="L984" s="2" t="inlineStr">
        <is>
          <t>rep</t>
        </is>
      </c>
      <c r="M984" s="2" t="inlineStr">
        <is>
          <t>demo reviewer</t>
        </is>
      </c>
      <c r="N984" s="2" t="n"/>
      <c r="O984" s="3" t="inlineStr">
        <is>
          <t>https://vanillabonds.com/dossier-data/pdf/katjes/katjes-bond-2023-2028-terms.pdf#page=1</t>
        </is>
      </c>
    </row>
    <row r="985">
      <c r="A985" s="2" t="inlineStr">
        <is>
          <t>F984</t>
        </is>
      </c>
      <c r="B985" s="2" t="inlineStr">
        <is>
          <t>market_data</t>
        </is>
      </c>
      <c r="C985" s="2" t="inlineStr">
        <is>
          <t>instrument_term</t>
        </is>
      </c>
      <c r="D985" s="3" t="inlineStr">
        <is>
          <t>Instrument term: term (rate type, base rate, maturity, call, listing, ISIN, denomination, settlement, holders, transfer); value</t>
        </is>
      </c>
      <c r="E985" s="2" t="n"/>
      <c r="F985" s="2" t="n"/>
      <c r="G985" s="2" t="n"/>
      <c r="H985" s="3" t="inlineStr">
        <is>
          <t>term: issue price; value: 100% of nominal</t>
        </is>
      </c>
      <c r="I985" s="2" t="inlineStr">
        <is>
          <t>S4</t>
        </is>
      </c>
      <c r="J985" s="2" t="n">
        <v>1</v>
      </c>
      <c r="K985" s="2" t="inlineStr">
        <is>
          <t>100% des Nennwerts</t>
        </is>
      </c>
      <c r="L985" s="2" t="inlineStr">
        <is>
          <t>rep</t>
        </is>
      </c>
      <c r="M985" s="2" t="inlineStr">
        <is>
          <t>demo reviewer</t>
        </is>
      </c>
      <c r="N985" s="2" t="n"/>
      <c r="O985" s="3" t="inlineStr">
        <is>
          <t>https://vanillabonds.com/dossier-data/pdf/katjes/katjes-bond-2023-2028-terms.pdf#page=1</t>
        </is>
      </c>
    </row>
    <row r="986">
      <c r="A986" s="2" t="inlineStr">
        <is>
          <t>F985</t>
        </is>
      </c>
      <c r="B986" s="2" t="inlineStr">
        <is>
          <t>market_data</t>
        </is>
      </c>
      <c r="C986" s="2" t="inlineStr">
        <is>
          <t>instrument_term</t>
        </is>
      </c>
      <c r="D986" s="3" t="inlineStr">
        <is>
          <t>Instrument term: term (rate type, base rate, maturity, call, listing, ISIN, denomination, settlement, holders, transfer); value</t>
        </is>
      </c>
      <c r="E986" s="2" t="n"/>
      <c r="F986" s="2" t="n"/>
      <c r="G986" s="2" t="n"/>
      <c r="H986" s="3" t="inlineStr">
        <is>
          <t>term: settlement (issue date); value: 2023-09-21</t>
        </is>
      </c>
      <c r="I986" s="2" t="inlineStr">
        <is>
          <t>S4</t>
        </is>
      </c>
      <c r="J986" s="2" t="n">
        <v>1</v>
      </c>
      <c r="K986" s="2" t="inlineStr">
        <is>
          <t>21. September 2023</t>
        </is>
      </c>
      <c r="L986" s="2" t="inlineStr">
        <is>
          <t>rep</t>
        </is>
      </c>
      <c r="M986" s="2" t="inlineStr">
        <is>
          <t>demo reviewer</t>
        </is>
      </c>
      <c r="N986" s="2" t="n"/>
      <c r="O986" s="3" t="inlineStr">
        <is>
          <t>https://vanillabonds.com/dossier-data/pdf/katjes/katjes-bond-2023-2028-terms.pdf#page=1</t>
        </is>
      </c>
    </row>
    <row r="987">
      <c r="A987" s="2" t="inlineStr">
        <is>
          <t>F986</t>
        </is>
      </c>
      <c r="B987" s="2" t="inlineStr">
        <is>
          <t>market_data</t>
        </is>
      </c>
      <c r="C987" s="2" t="inlineStr">
        <is>
          <t>instrument_term</t>
        </is>
      </c>
      <c r="D987" s="3" t="inlineStr">
        <is>
          <t>Instrument term: term (rate type, base rate, maturity, call, listing, ISIN, denomination, settlement, holders, transfer); value</t>
        </is>
      </c>
      <c r="E987" s="2" t="n"/>
      <c r="F987" s="2" t="n"/>
      <c r="G987" s="2" t="n"/>
      <c r="H987" s="3" t="inlineStr">
        <is>
          <t>term: maturity; value: 2028-09-21, 5-year term</t>
        </is>
      </c>
      <c r="I987" s="2" t="inlineStr">
        <is>
          <t>S4</t>
        </is>
      </c>
      <c r="J987" s="2" t="n">
        <v>1</v>
      </c>
      <c r="K987" s="3" t="inlineStr">
        <is>
          <t>5 Jahre Laufzeit; fällig am 21. September 2028</t>
        </is>
      </c>
      <c r="L987" s="2" t="inlineStr">
        <is>
          <t>rep</t>
        </is>
      </c>
      <c r="M987" s="2" t="inlineStr">
        <is>
          <t>demo reviewer</t>
        </is>
      </c>
      <c r="N987" s="2" t="n"/>
      <c r="O987" s="3" t="inlineStr">
        <is>
          <t>https://vanillabonds.com/dossier-data/pdf/katjes/katjes-bond-2023-2028-terms.pdf#page=1</t>
        </is>
      </c>
    </row>
    <row r="988">
      <c r="A988" s="2" t="inlineStr">
        <is>
          <t>F987</t>
        </is>
      </c>
      <c r="B988" s="2" t="inlineStr">
        <is>
          <t>market_data</t>
        </is>
      </c>
      <c r="C988" s="2" t="inlineStr">
        <is>
          <t>instrument_term</t>
        </is>
      </c>
      <c r="D988" s="3" t="inlineStr">
        <is>
          <t>Instrument term: term (rate type, base rate, maturity, call, listing, ISIN, denomination, settlement, holders, transfer); value</t>
        </is>
      </c>
      <c r="E988" s="2" t="n"/>
      <c r="F988" s="2" t="n"/>
      <c r="G988" s="2" t="n"/>
      <c r="H988" s="3" t="inlineStr">
        <is>
          <t>term: listing; value: Open Market (Freiverkehr) of the Frankfurt Stock Exchange, Quotation Board, planned</t>
        </is>
      </c>
      <c r="I988" s="2" t="inlineStr">
        <is>
          <t>S4</t>
        </is>
      </c>
      <c r="J988" s="2" t="n">
        <v>1</v>
      </c>
      <c r="K988" s="3" t="inlineStr">
        <is>
          <t>Freiverkehr (Open Market) der Frankfurter Wertpapierbörse (Quotation Board)</t>
        </is>
      </c>
      <c r="L988" s="2" t="inlineStr">
        <is>
          <t>rep</t>
        </is>
      </c>
      <c r="M988" s="2" t="inlineStr">
        <is>
          <t>demo reviewer</t>
        </is>
      </c>
      <c r="N988" s="2" t="n"/>
      <c r="O988" s="3" t="inlineStr">
        <is>
          <t>https://vanillabonds.com/dossier-data/pdf/katjes/katjes-bond-2023-2028-terms.pdf#page=1</t>
        </is>
      </c>
    </row>
    <row r="989">
      <c r="A989" s="2" t="inlineStr">
        <is>
          <t>F988</t>
        </is>
      </c>
      <c r="B989" s="2" t="inlineStr">
        <is>
          <t>market_data</t>
        </is>
      </c>
      <c r="C989" s="2" t="inlineStr">
        <is>
          <t>instrument_term</t>
        </is>
      </c>
      <c r="D989" s="3" t="inlineStr">
        <is>
          <t>Instrument term: term (rate type, base rate, maturity, call, listing, ISIN, denomination, settlement, holders, transfer); value</t>
        </is>
      </c>
      <c r="E989" s="2" t="n"/>
      <c r="F989" s="2" t="n"/>
      <c r="G989" s="2" t="n"/>
      <c r="H989" s="3" t="inlineStr">
        <is>
          <t>term: listing; value: Nordic ABM, Oslo Børs, within 6 months of issue; non-listing may lead to additional interest</t>
        </is>
      </c>
      <c r="I989" s="2" t="inlineStr">
        <is>
          <t>S4</t>
        </is>
      </c>
      <c r="J989" s="2" t="n">
        <v>1</v>
      </c>
      <c r="K989" s="3" t="inlineStr">
        <is>
          <t>Nordic ABM, Börse Oslo innerhalb von 6 Monaten nach Begebung (Nichtvornahme kann zu Zusatzverzinsung führen)</t>
        </is>
      </c>
      <c r="L989" s="2" t="inlineStr">
        <is>
          <t>rep</t>
        </is>
      </c>
      <c r="M989" s="2" t="inlineStr">
        <is>
          <t>demo reviewer</t>
        </is>
      </c>
      <c r="N989" s="2" t="n"/>
      <c r="O989" s="3" t="inlineStr">
        <is>
          <t>https://vanillabonds.com/dossier-data/pdf/katjes/katjes-bond-2023-2028-terms.pdf#page=1</t>
        </is>
      </c>
    </row>
    <row r="990">
      <c r="A990" s="2" t="inlineStr">
        <is>
          <t>F989</t>
        </is>
      </c>
      <c r="B990" s="2" t="inlineStr">
        <is>
          <t>market_data</t>
        </is>
      </c>
      <c r="C990" s="2" t="inlineStr">
        <is>
          <t>instrument_term</t>
        </is>
      </c>
      <c r="D990" s="3" t="inlineStr">
        <is>
          <t>Instrument term: term (rate type, base rate, maturity, call, listing, ISIN, denomination, settlement, holders, transfer); value</t>
        </is>
      </c>
      <c r="E990" s="2" t="n"/>
      <c r="F990" s="2" t="n"/>
      <c r="G990" s="2" t="n"/>
      <c r="H990" s="3" t="inlineStr">
        <is>
          <t>term: call; value: issuer call in whole or in part from the issue date until 30 months at the Make Whole Amount as defined in the securities prospectus</t>
        </is>
      </c>
      <c r="I990" s="2" t="inlineStr">
        <is>
          <t>S4</t>
        </is>
      </c>
      <c r="J990" s="2" t="n">
        <v>1</v>
      </c>
      <c r="K990" s="3" t="inlineStr">
        <is>
          <t>Die Emittentin kann die Schuldverschreibungen ab dem Begebungstag bis zum Ablauf von 30 Monaten zum Make Whole Amount (Gesamter Betrag, wie im Wertpapierprospekt definiert) kündigen</t>
        </is>
      </c>
      <c r="L990" s="2" t="inlineStr">
        <is>
          <t>rep</t>
        </is>
      </c>
      <c r="M990" s="2" t="inlineStr">
        <is>
          <t>demo reviewer</t>
        </is>
      </c>
      <c r="N990" s="2" t="n"/>
      <c r="O990" s="3" t="inlineStr">
        <is>
          <t>https://vanillabonds.com/dossier-data/pdf/katjes/katjes-bond-2023-2028-terms.pdf#page=1</t>
        </is>
      </c>
    </row>
    <row r="991">
      <c r="A991" s="2" t="inlineStr">
        <is>
          <t>F990</t>
        </is>
      </c>
      <c r="B991" s="2" t="inlineStr">
        <is>
          <t>market_data</t>
        </is>
      </c>
      <c r="C991" s="2" t="inlineStr">
        <is>
          <t>instrument_term</t>
        </is>
      </c>
      <c r="D991" s="3" t="inlineStr">
        <is>
          <t>Instrument term: term (rate type, base rate, maturity, call, listing, ISIN, denomination, settlement, holders, transfer); value</t>
        </is>
      </c>
      <c r="E991" s="2" t="n"/>
      <c r="F991" s="2" t="n"/>
      <c r="G991" s="2" t="n"/>
      <c r="H991" s="3" t="inlineStr">
        <is>
          <t>term: call; value: after 30 months at 100.00% of nominal plus 50% of the annual coupon</t>
        </is>
      </c>
      <c r="I991" s="2" t="inlineStr">
        <is>
          <t>S4</t>
        </is>
      </c>
      <c r="J991" s="2" t="n">
        <v>1</v>
      </c>
      <c r="K991" s="3" t="inlineStr">
        <is>
          <t>30 Monaten zu 100,00% des Nennbetrages + 50% des jährlichen Coupons</t>
        </is>
      </c>
      <c r="L991" s="2" t="inlineStr">
        <is>
          <t>rep</t>
        </is>
      </c>
      <c r="M991" s="2" t="inlineStr">
        <is>
          <t>demo reviewer</t>
        </is>
      </c>
      <c r="N991" s="2" t="n"/>
      <c r="O991" s="3" t="inlineStr">
        <is>
          <t>https://vanillabonds.com/dossier-data/pdf/katjes/katjes-bond-2023-2028-terms.pdf#page=1</t>
        </is>
      </c>
    </row>
    <row r="992">
      <c r="A992" s="2" t="inlineStr">
        <is>
          <t>F991</t>
        </is>
      </c>
      <c r="B992" s="2" t="inlineStr">
        <is>
          <t>market_data</t>
        </is>
      </c>
      <c r="C992" s="2" t="inlineStr">
        <is>
          <t>instrument_term</t>
        </is>
      </c>
      <c r="D992" s="3" t="inlineStr">
        <is>
          <t>Instrument term: term (rate type, base rate, maturity, call, listing, ISIN, denomination, settlement, holders, transfer); value</t>
        </is>
      </c>
      <c r="E992" s="2" t="n"/>
      <c r="F992" s="2" t="n"/>
      <c r="G992" s="2" t="n"/>
      <c r="H992" s="3" t="inlineStr">
        <is>
          <t>term: call; value: after 36 months at 100.00% of nominal plus 30% of the annual coupon</t>
        </is>
      </c>
      <c r="I992" s="2" t="inlineStr">
        <is>
          <t>S4</t>
        </is>
      </c>
      <c r="J992" s="2" t="n">
        <v>1</v>
      </c>
      <c r="K992" s="3" t="inlineStr">
        <is>
          <t>36 Monaten zu 100,00% des Nennbetrages + 30% des jährlichen Coupons</t>
        </is>
      </c>
      <c r="L992" s="2" t="inlineStr">
        <is>
          <t>rep</t>
        </is>
      </c>
      <c r="M992" s="2" t="inlineStr">
        <is>
          <t>demo reviewer</t>
        </is>
      </c>
      <c r="N992" s="2" t="n"/>
      <c r="O992" s="3" t="inlineStr">
        <is>
          <t>https://vanillabonds.com/dossier-data/pdf/katjes/katjes-bond-2023-2028-terms.pdf#page=1</t>
        </is>
      </c>
    </row>
    <row r="993">
      <c r="A993" s="2" t="inlineStr">
        <is>
          <t>F992</t>
        </is>
      </c>
      <c r="B993" s="2" t="inlineStr">
        <is>
          <t>market_data</t>
        </is>
      </c>
      <c r="C993" s="2" t="inlineStr">
        <is>
          <t>instrument_term</t>
        </is>
      </c>
      <c r="D993" s="3" t="inlineStr">
        <is>
          <t>Instrument term: term (rate type, base rate, maturity, call, listing, ISIN, denomination, settlement, holders, transfer); value</t>
        </is>
      </c>
      <c r="E993" s="2" t="n"/>
      <c r="F993" s="2" t="n"/>
      <c r="G993" s="2" t="n"/>
      <c r="H993" s="3" t="inlineStr">
        <is>
          <t>term: call; value: after 42 months at 100.00% of nominal plus 20% of the annual coupon</t>
        </is>
      </c>
      <c r="I993" s="2" t="inlineStr">
        <is>
          <t>S4</t>
        </is>
      </c>
      <c r="J993" s="2" t="n">
        <v>1</v>
      </c>
      <c r="K993" s="3" t="inlineStr">
        <is>
          <t>42 Monaten zu 100,00% des Nennbetrages + 20% des jährlichen Coupons</t>
        </is>
      </c>
      <c r="L993" s="2" t="inlineStr">
        <is>
          <t>rep</t>
        </is>
      </c>
      <c r="M993" s="2" t="inlineStr">
        <is>
          <t>demo reviewer</t>
        </is>
      </c>
      <c r="N993" s="2" t="n"/>
      <c r="O993" s="3" t="inlineStr">
        <is>
          <t>https://vanillabonds.com/dossier-data/pdf/katjes/katjes-bond-2023-2028-terms.pdf#page=1</t>
        </is>
      </c>
    </row>
    <row r="994">
      <c r="A994" s="2" t="inlineStr">
        <is>
          <t>F993</t>
        </is>
      </c>
      <c r="B994" s="2" t="inlineStr">
        <is>
          <t>market_data</t>
        </is>
      </c>
      <c r="C994" s="2" t="inlineStr">
        <is>
          <t>instrument_term</t>
        </is>
      </c>
      <c r="D994" s="3" t="inlineStr">
        <is>
          <t>Instrument term: term (rate type, base rate, maturity, call, listing, ISIN, denomination, settlement, holders, transfer); value</t>
        </is>
      </c>
      <c r="E994" s="2" t="n"/>
      <c r="F994" s="2" t="n"/>
      <c r="G994" s="2" t="n"/>
      <c r="H994" s="3" t="inlineStr">
        <is>
          <t>term: call; value: after 48 months at 100.00% of nominal plus 10% of the annual coupon</t>
        </is>
      </c>
      <c r="I994" s="2" t="inlineStr">
        <is>
          <t>S4</t>
        </is>
      </c>
      <c r="J994" s="2" t="n">
        <v>1</v>
      </c>
      <c r="K994" s="3" t="inlineStr">
        <is>
          <t>48 Monaten zu 100,00% des Nennbetrages + 10% des jährlichen Coupons</t>
        </is>
      </c>
      <c r="L994" s="2" t="inlineStr">
        <is>
          <t>rep</t>
        </is>
      </c>
      <c r="M994" s="2" t="inlineStr">
        <is>
          <t>demo reviewer</t>
        </is>
      </c>
      <c r="N994" s="2" t="n"/>
      <c r="O994" s="3" t="inlineStr">
        <is>
          <t>https://vanillabonds.com/dossier-data/pdf/katjes/katjes-bond-2023-2028-terms.pdf#page=1</t>
        </is>
      </c>
    </row>
    <row r="995">
      <c r="A995" s="2" t="inlineStr">
        <is>
          <t>F994</t>
        </is>
      </c>
      <c r="B995" s="2" t="inlineStr">
        <is>
          <t>market_data</t>
        </is>
      </c>
      <c r="C995" s="2" t="inlineStr">
        <is>
          <t>instrument_term</t>
        </is>
      </c>
      <c r="D995" s="3" t="inlineStr">
        <is>
          <t>Instrument term: term (rate type, base rate, maturity, call, listing, ISIN, denomination, settlement, holders, transfer); value</t>
        </is>
      </c>
      <c r="E995" s="2" t="n"/>
      <c r="F995" s="2" t="n"/>
      <c r="G995" s="2" t="n"/>
      <c r="H995" s="3" t="inlineStr">
        <is>
          <t>term: call; value: after 54 months at 100.00% of nominal plus 5% of the annual coupon</t>
        </is>
      </c>
      <c r="I995" s="2" t="inlineStr">
        <is>
          <t>S4</t>
        </is>
      </c>
      <c r="J995" s="2" t="n">
        <v>1</v>
      </c>
      <c r="K995" s="3" t="inlineStr">
        <is>
          <t>54 Monaten zu 100,00% des Nennbetrages + 5% des jährlichen Coupons</t>
        </is>
      </c>
      <c r="L995" s="2" t="inlineStr">
        <is>
          <t>rep</t>
        </is>
      </c>
      <c r="M995" s="2" t="inlineStr">
        <is>
          <t>demo reviewer</t>
        </is>
      </c>
      <c r="N995" s="2" t="n"/>
      <c r="O995" s="3" t="inlineStr">
        <is>
          <t>https://vanillabonds.com/dossier-data/pdf/katjes/katjes-bond-2023-2028-terms.pdf#page=1</t>
        </is>
      </c>
    </row>
    <row r="996">
      <c r="A996" s="2" t="inlineStr">
        <is>
          <t>F995</t>
        </is>
      </c>
      <c r="B996" s="2" t="inlineStr">
        <is>
          <t>market_data</t>
        </is>
      </c>
      <c r="C996" s="2" t="inlineStr">
        <is>
          <t>instrument_term</t>
        </is>
      </c>
      <c r="D996" s="3" t="inlineStr">
        <is>
          <t>Instrument term: term (rate type, base rate, maturity, call, listing, ISIN, denomination, settlement, holders, transfer); value</t>
        </is>
      </c>
      <c r="E996" s="2" t="n"/>
      <c r="F996" s="2" t="n"/>
      <c r="G996" s="2" t="n"/>
      <c r="H996" s="3" t="inlineStr">
        <is>
          <t>term: mandatory redemption; value: if the outstanding nominal including taps falls below 40.00% of the initial issue amount excluding taps, the issuer must redeem all remaining bonds</t>
        </is>
      </c>
      <c r="I996" s="2" t="inlineStr">
        <is>
          <t>S4</t>
        </is>
      </c>
      <c r="J996" s="2" t="n">
        <v>1</v>
      </c>
      <c r="K996" s="3" t="inlineStr">
        <is>
          <t>Sollte der Gesamtnennbetrag der ausstehenden Schuldverschreibungen (einschließlich des Betrags eventueller Aufstockungen) weniger als 40,00% des anfänglichen Emissionsbetrages</t>
        </is>
      </c>
      <c r="L996" s="2" t="inlineStr">
        <is>
          <t>rep</t>
        </is>
      </c>
      <c r="M996" s="2" t="inlineStr">
        <is>
          <t>demo reviewer</t>
        </is>
      </c>
      <c r="N996" s="2" t="n"/>
      <c r="O996" s="3" t="inlineStr">
        <is>
          <t>https://vanillabonds.com/dossier-data/pdf/katjes/katjes-bond-2023-2028-terms.pdf#page=1</t>
        </is>
      </c>
    </row>
    <row r="997">
      <c r="A997" s="2" t="inlineStr">
        <is>
          <t>F996</t>
        </is>
      </c>
      <c r="B997" s="2" t="inlineStr">
        <is>
          <t>market_data</t>
        </is>
      </c>
      <c r="C997" s="2" t="inlineStr">
        <is>
          <t>instrument_term</t>
        </is>
      </c>
      <c r="D997" s="3" t="inlineStr">
        <is>
          <t>Instrument term: term (rate type, base rate, maturity, call, listing, ISIN, denomination, settlement, holders, transfer); value</t>
        </is>
      </c>
      <c r="E997" s="2" t="n"/>
      <c r="F997" s="2" t="n"/>
      <c r="G997" s="2" t="n"/>
      <c r="H997" s="3" t="inlineStr">
        <is>
          <t>term: clean-up call; value: if more than 90.0% of the outstanding bonds were repurchased under the change-of-control put, the issuer may redeem the remainder at 101.0% of nominal plus accrued unpaid interest</t>
        </is>
      </c>
      <c r="I997" s="2" t="inlineStr">
        <is>
          <t>S4</t>
        </is>
      </c>
      <c r="J997" s="2" t="n">
        <v>1</v>
      </c>
      <c r="K997" s="3" t="inlineStr">
        <is>
          <t>Wenn Schuldverschreibungen, die mehr als 90,0% der ausstehenden Schuldverschreibungen ausmachen, zurückgekauft wurden, weil die Anleihegläubiger</t>
        </is>
      </c>
      <c r="L997" s="2" t="inlineStr">
        <is>
          <t>rep</t>
        </is>
      </c>
      <c r="M997" s="2" t="inlineStr">
        <is>
          <t>demo reviewer</t>
        </is>
      </c>
      <c r="N997" s="2" t="n"/>
      <c r="O997" s="3" t="inlineStr">
        <is>
          <t>https://vanillabonds.com/dossier-data/pdf/katjes/katjes-bond-2023-2028-terms.pdf#page=1</t>
        </is>
      </c>
    </row>
    <row r="998">
      <c r="A998" s="2" t="inlineStr">
        <is>
          <t>F997</t>
        </is>
      </c>
      <c r="B998" s="2" t="inlineStr">
        <is>
          <t>market_data</t>
        </is>
      </c>
      <c r="C998" s="2" t="inlineStr">
        <is>
          <t>instrument_term</t>
        </is>
      </c>
      <c r="D998" s="3" t="inlineStr">
        <is>
          <t>Instrument term: term (rate type, base rate, maturity, call, listing, ISIN, denomination, settlement, holders, transfer); value</t>
        </is>
      </c>
      <c r="E998" s="2" t="n"/>
      <c r="F998" s="2" t="n"/>
      <c r="G998" s="2" t="n"/>
      <c r="H998" s="3" t="inlineStr">
        <is>
          <t>term: prospectus; value: a securities prospectus (Wertpapierprospekt) defines the Make Whole Amount and the detailed use of proceeds</t>
        </is>
      </c>
      <c r="I998" s="2" t="inlineStr">
        <is>
          <t>S4</t>
        </is>
      </c>
      <c r="J998" s="2" t="n">
        <v>1</v>
      </c>
      <c r="K998" s="3" t="inlineStr">
        <is>
          <t>Emissionserlöses, vgl. dazu den Wertpapierprospekt)</t>
        </is>
      </c>
      <c r="L998" s="2" t="inlineStr">
        <is>
          <t>rep</t>
        </is>
      </c>
      <c r="M998" s="2" t="inlineStr">
        <is>
          <t>demo reviewer</t>
        </is>
      </c>
      <c r="N998" s="2" t="n"/>
      <c r="O998" s="3" t="inlineStr">
        <is>
          <t>https://vanillabonds.com/dossier-data/pdf/katjes/katjes-bond-2023-2028-terms.pdf#page=1</t>
        </is>
      </c>
    </row>
    <row r="999">
      <c r="A999" s="2" t="inlineStr">
        <is>
          <t>F998</t>
        </is>
      </c>
      <c r="B999" s="2" t="inlineStr">
        <is>
          <t>market_data</t>
        </is>
      </c>
      <c r="C999" s="2" t="inlineStr">
        <is>
          <t>instrument_term</t>
        </is>
      </c>
      <c r="D999" s="3" t="inlineStr">
        <is>
          <t>Instrument term: term (rate type, base rate, maturity, call, listing, ISIN, denomination, settlement, holders, transfer); value</t>
        </is>
      </c>
      <c r="E999" s="2" t="n"/>
      <c r="F999" s="2" t="n"/>
      <c r="G999" s="2" t="n"/>
      <c r="H999" s="3" t="inlineStr">
        <is>
          <t>term: trustee; value: Nordic Trustee AS, acting as representative of all bondholders; its actions bind all bondholders</t>
        </is>
      </c>
      <c r="I999" s="2" t="inlineStr">
        <is>
          <t>S4</t>
        </is>
      </c>
      <c r="J999" s="2" t="n">
        <v>2</v>
      </c>
      <c r="K999" s="2" t="inlineStr">
        <is>
          <t>Nordic Trustee AS</t>
        </is>
      </c>
      <c r="L999" s="2" t="inlineStr">
        <is>
          <t>rep</t>
        </is>
      </c>
      <c r="M999" s="2" t="inlineStr">
        <is>
          <t>demo reviewer</t>
        </is>
      </c>
      <c r="N999" s="2" t="n"/>
      <c r="O999" s="3" t="inlineStr">
        <is>
          <t>https://vanillabonds.com/dossier-data/pdf/katjes/katjes-bond-2023-2028-terms.pdf#page=2</t>
        </is>
      </c>
    </row>
    <row r="1000">
      <c r="A1000" s="2" t="inlineStr">
        <is>
          <t>F999</t>
        </is>
      </c>
      <c r="B1000" s="2" t="inlineStr">
        <is>
          <t>market_data</t>
        </is>
      </c>
      <c r="C1000" s="2" t="inlineStr">
        <is>
          <t>instrument_term</t>
        </is>
      </c>
      <c r="D1000" s="3" t="inlineStr">
        <is>
          <t>Instrument term: term (rate type, base rate, maturity, call, listing, ISIN, denomination, settlement, holders, transfer); value</t>
        </is>
      </c>
      <c r="E1000" s="2" t="n"/>
      <c r="F1000" s="2" t="n"/>
      <c r="G1000" s="2" t="n"/>
      <c r="H1000" s="3" t="inlineStr">
        <is>
          <t>term: governing law and jurisdiction; value: Norwegian law, venue Norway</t>
        </is>
      </c>
      <c r="I1000" s="2" t="inlineStr">
        <is>
          <t>S4</t>
        </is>
      </c>
      <c r="J1000" s="2" t="n">
        <v>2</v>
      </c>
      <c r="K1000" s="3" t="inlineStr">
        <is>
          <t>Norwegisches Recht. Gerichtsstand für Klagen ist Norwegen.</t>
        </is>
      </c>
      <c r="L1000" s="2" t="inlineStr">
        <is>
          <t>rep</t>
        </is>
      </c>
      <c r="M1000" s="2" t="inlineStr">
        <is>
          <t>demo reviewer</t>
        </is>
      </c>
      <c r="N1000" s="2" t="n"/>
      <c r="O1000" s="3" t="inlineStr">
        <is>
          <t>https://vanillabonds.com/dossier-data/pdf/katjes/katjes-bond-2023-2028-terms.pdf#page=2</t>
        </is>
      </c>
    </row>
    <row r="1001">
      <c r="A1001" s="2" t="inlineStr">
        <is>
          <t>F1000</t>
        </is>
      </c>
      <c r="B1001" s="2" t="inlineStr">
        <is>
          <t>market_data</t>
        </is>
      </c>
      <c r="C1001" s="2" t="inlineStr">
        <is>
          <t>instrument_term</t>
        </is>
      </c>
      <c r="D1001" s="3" t="inlineStr">
        <is>
          <t>Instrument term: term (rate type, base rate, maturity, call, listing, ISIN, denomination, settlement, holders, transfer); value</t>
        </is>
      </c>
      <c r="E1001" s="2" t="n"/>
      <c r="F1001" s="2" t="n"/>
      <c r="G1001" s="2" t="n"/>
      <c r="H1001" s="3" t="inlineStr">
        <is>
          <t>term: amendments; value: bondholder meeting resolutions bind all holders; quorum 50% of voting bonds; 2/3 majority of votes cast for certain material measures</t>
        </is>
      </c>
      <c r="I1001" s="2" t="inlineStr">
        <is>
          <t>S4</t>
        </is>
      </c>
      <c r="J1001" s="2" t="n">
        <v>2</v>
      </c>
      <c r="K1001" s="3" t="inlineStr">
        <is>
          <t>Quorum von 50% der stimmberechtigten Schuldverschreibungen notwendig sowie für bestimmte wesentliche Maßnahmen eine Mehrheit von 2/3 der abstimmenden</t>
        </is>
      </c>
      <c r="L1001" s="2" t="inlineStr">
        <is>
          <t>rep</t>
        </is>
      </c>
      <c r="M1001" s="2" t="inlineStr">
        <is>
          <t>demo reviewer</t>
        </is>
      </c>
      <c r="N1001" s="2" t="n"/>
      <c r="O1001" s="3" t="inlineStr">
        <is>
          <t>https://vanillabonds.com/dossier-data/pdf/katjes/katjes-bond-2023-2028-terms.pdf#page=2</t>
        </is>
      </c>
    </row>
    <row r="1002">
      <c r="A1002" s="2" t="inlineStr">
        <is>
          <t>F1001</t>
        </is>
      </c>
      <c r="B1002" s="2" t="inlineStr">
        <is>
          <t>market_data</t>
        </is>
      </c>
      <c r="C1002" s="2" t="inlineStr">
        <is>
          <t>instrument_term</t>
        </is>
      </c>
      <c r="D1002" s="3" t="inlineStr">
        <is>
          <t>Instrument term: term (rate type, base rate, maturity, call, listing, ISIN, denomination, settlement, holders, transfer); value</t>
        </is>
      </c>
      <c r="E1002" s="2" t="n"/>
      <c r="F1002" s="2" t="n"/>
      <c r="G1002" s="2" t="n"/>
      <c r="H1002" s="3" t="inlineStr">
        <is>
          <t>term: amendments (second meeting); value: if the quorum is missed a second meeting votes without quorum; voting may also be by written procedure</t>
        </is>
      </c>
      <c r="I1002" s="2" t="inlineStr">
        <is>
          <t>S4</t>
        </is>
      </c>
      <c r="J1002" s="2" t="n">
        <v>2</v>
      </c>
      <c r="K1002" s="3" t="inlineStr">
        <is>
          <t>Wenn das Quorum verfehlt wird, kann in einer zweiten Versammlung ohne ein Quorum abgestimmt werden. Abstimmungen können auch im schriftlichen Verfahren erfolgen.</t>
        </is>
      </c>
      <c r="L1002" s="2" t="inlineStr">
        <is>
          <t>rep</t>
        </is>
      </c>
      <c r="M1002" s="2" t="inlineStr">
        <is>
          <t>demo reviewer</t>
        </is>
      </c>
      <c r="N1002" s="2" t="n"/>
      <c r="O1002" s="3" t="inlineStr">
        <is>
          <t>https://vanillabonds.com/dossier-data/pdf/katjes/katjes-bond-2023-2028-terms.pdf#page=2</t>
        </is>
      </c>
    </row>
    <row r="1003">
      <c r="A1003" s="2" t="inlineStr">
        <is>
          <t>F1002</t>
        </is>
      </c>
      <c r="B1003" s="2" t="inlineStr">
        <is>
          <t>identity</t>
        </is>
      </c>
      <c r="C1003" s="2" t="inlineStr">
        <is>
          <t>legal_name</t>
        </is>
      </c>
      <c r="D1003" s="2" t="inlineStr">
        <is>
          <t>Legal name</t>
        </is>
      </c>
      <c r="E1003" s="2" t="n"/>
      <c r="F1003" s="2" t="n"/>
      <c r="G1003" s="2" t="n"/>
      <c r="H1003" s="2" t="inlineStr">
        <is>
          <t>Katjes International GmbH &amp; Co. KG</t>
        </is>
      </c>
      <c r="I1003" s="2" t="inlineStr">
        <is>
          <t>S5</t>
        </is>
      </c>
      <c r="J1003" s="2" t="n">
        <v>49</v>
      </c>
      <c r="K1003" s="3" t="inlineStr">
        <is>
          <t>Emmerich, September 8, 2026 Katjes International GmbH &amp; Co. KG The Management</t>
        </is>
      </c>
      <c r="L1003" s="2" t="inlineStr">
        <is>
          <t>ok</t>
        </is>
      </c>
      <c r="M1003" s="2" t="inlineStr">
        <is>
          <t>demo reviewer</t>
        </is>
      </c>
      <c r="N1003" s="2" t="n"/>
      <c r="O1003" s="3" t="inlineStr">
        <is>
          <t>https://vanillabonds.com/dossier-data/pdf/katjes/katjes-h1-2026-interim-report.pdf#page=49</t>
        </is>
      </c>
    </row>
    <row r="1004">
      <c r="A1004" s="2" t="inlineStr">
        <is>
          <t>F1003</t>
        </is>
      </c>
      <c r="B1004" s="2" t="inlineStr">
        <is>
          <t>identity</t>
        </is>
      </c>
      <c r="C1004" s="2" t="inlineStr">
        <is>
          <t>legal_form</t>
        </is>
      </c>
      <c r="D1004" s="2" t="inlineStr">
        <is>
          <t>Legal form</t>
        </is>
      </c>
      <c r="E1004" s="2" t="n"/>
      <c r="F1004" s="2" t="n"/>
      <c r="G1004" s="2" t="n"/>
      <c r="H1004" s="2" t="inlineStr">
        <is>
          <t>GmbH &amp; Co. KG (Kommanditgesellschaft)</t>
        </is>
      </c>
      <c r="I1004" s="2" t="inlineStr">
        <is>
          <t>S5</t>
        </is>
      </c>
      <c r="J1004" s="2" t="n">
        <v>36</v>
      </c>
      <c r="K1004" s="3" t="inlineStr">
        <is>
          <t>limited partnership (Kommanditgesellschaft) established under the laws of the Federal Republic of Germany.</t>
        </is>
      </c>
      <c r="L1004" s="2" t="inlineStr">
        <is>
          <t>ok</t>
        </is>
      </c>
      <c r="M1004" s="2" t="inlineStr">
        <is>
          <t>demo reviewer</t>
        </is>
      </c>
      <c r="N1004" s="2" t="n"/>
      <c r="O1004" s="3" t="inlineStr">
        <is>
          <t>https://vanillabonds.com/dossier-data/pdf/katjes/katjes-h1-2026-interim-report.pdf#page=36</t>
        </is>
      </c>
    </row>
    <row r="1005">
      <c r="A1005" s="2" t="inlineStr">
        <is>
          <t>F1004</t>
        </is>
      </c>
      <c r="B1005" s="2" t="inlineStr">
        <is>
          <t>identity</t>
        </is>
      </c>
      <c r="C1005" s="2" t="inlineStr">
        <is>
          <t>registry</t>
        </is>
      </c>
      <c r="D1005" s="2" t="inlineStr">
        <is>
          <t>Commercial register / registration no.</t>
        </is>
      </c>
      <c r="E1005" s="2" t="n"/>
      <c r="F1005" s="2" t="n"/>
      <c r="G1005" s="2" t="n"/>
      <c r="H1005" s="2" t="inlineStr">
        <is>
          <t>Amtsgericht Kleve HRA 1076</t>
        </is>
      </c>
      <c r="I1005" s="2" t="inlineStr">
        <is>
          <t>S5</t>
        </is>
      </c>
      <c r="J1005" s="2" t="n">
        <v>36</v>
      </c>
      <c r="K1005" s="3" t="inlineStr">
        <is>
          <t>Commercial Register of the Kleve Local Court (Amtsgericht) under commercial register number HRA 1076.</t>
        </is>
      </c>
      <c r="L1005" s="2" t="inlineStr">
        <is>
          <t>ok</t>
        </is>
      </c>
      <c r="M1005" s="2" t="inlineStr">
        <is>
          <t>demo reviewer</t>
        </is>
      </c>
      <c r="N1005" s="2" t="n"/>
      <c r="O1005" s="3" t="inlineStr">
        <is>
          <t>https://vanillabonds.com/dossier-data/pdf/katjes/katjes-h1-2026-interim-report.pdf#page=36</t>
        </is>
      </c>
    </row>
    <row r="1006">
      <c r="A1006" s="2" t="inlineStr">
        <is>
          <t>F1005</t>
        </is>
      </c>
      <c r="B1006" s="2" t="inlineStr">
        <is>
          <t>identity</t>
        </is>
      </c>
      <c r="C1006" s="2" t="inlineStr">
        <is>
          <t>founded</t>
        </is>
      </c>
      <c r="D1006" s="2" t="inlineStr">
        <is>
          <t>Founded</t>
        </is>
      </c>
      <c r="E1006" s="2" t="n"/>
      <c r="F1006" s="2" t="n"/>
      <c r="G1006" s="2" t="n"/>
      <c r="H1006" s="3" t="inlineStr">
        <is>
          <t>2011, spin-off from predecessor companies</t>
        </is>
      </c>
      <c r="I1006" s="2" t="inlineStr">
        <is>
          <t>S5</t>
        </is>
      </c>
      <c r="J1006" s="2" t="n">
        <v>7</v>
      </c>
      <c r="K1006" s="3" t="inlineStr">
        <is>
          <t>Established in 2011 as a spin-off from predecessor companies,</t>
        </is>
      </c>
      <c r="L1006" s="2" t="inlineStr">
        <is>
          <t>ok</t>
        </is>
      </c>
      <c r="M1006" s="2" t="inlineStr">
        <is>
          <t>demo reviewer</t>
        </is>
      </c>
      <c r="N1006" s="2" t="n"/>
      <c r="O1006" s="3" t="inlineStr">
        <is>
          <t>https://vanillabonds.com/dossier-data/pdf/katjes/katjes-h1-2026-interim-report.pdf#page=7</t>
        </is>
      </c>
    </row>
    <row r="1007">
      <c r="A1007" s="2" t="inlineStr">
        <is>
          <t>F1006</t>
        </is>
      </c>
      <c r="B1007" s="2" t="inlineStr">
        <is>
          <t>identity</t>
        </is>
      </c>
      <c r="C1007" s="2" t="inlineStr">
        <is>
          <t>registered_office</t>
        </is>
      </c>
      <c r="D1007" s="2" t="inlineStr">
        <is>
          <t>Registered office</t>
        </is>
      </c>
      <c r="E1007" s="2" t="n"/>
      <c r="F1007" s="2" t="n"/>
      <c r="G1007" s="2" t="n"/>
      <c r="H1007" s="3" t="inlineStr">
        <is>
          <t>Emmerich am Rhein, Dechant-Sprünken-Str. 53-57, 46446</t>
        </is>
      </c>
      <c r="I1007" s="2" t="inlineStr">
        <is>
          <t>S5</t>
        </is>
      </c>
      <c r="J1007" s="2" t="n">
        <v>36</v>
      </c>
      <c r="K1007" s="3" t="inlineStr">
        <is>
          <t>office is Emmerich am Rhein. The business address is: Dechant-Sprünken-Str. 53-57 46446 Emmerich am Rhein, Germany.</t>
        </is>
      </c>
      <c r="L1007" s="2" t="inlineStr">
        <is>
          <t>ok</t>
        </is>
      </c>
      <c r="M1007" s="2" t="inlineStr">
        <is>
          <t>demo reviewer</t>
        </is>
      </c>
      <c r="N1007" s="2" t="n"/>
      <c r="O1007" s="3" t="inlineStr">
        <is>
          <t>https://vanillabonds.com/dossier-data/pdf/katjes/katjes-h1-2026-interim-report.pdf#page=36</t>
        </is>
      </c>
    </row>
    <row r="1008">
      <c r="A1008" s="2" t="inlineStr">
        <is>
          <t>F1007</t>
        </is>
      </c>
      <c r="B1008" s="2" t="inlineStr">
        <is>
          <t>identity</t>
        </is>
      </c>
      <c r="C1008" s="2" t="inlineStr">
        <is>
          <t>country</t>
        </is>
      </c>
      <c r="D1008" s="2" t="inlineStr">
        <is>
          <t>Country of incorporation (ISO-2)</t>
        </is>
      </c>
      <c r="E1008" s="2" t="n"/>
      <c r="F1008" s="2" t="n"/>
      <c r="G1008" s="2" t="n"/>
      <c r="H1008" s="2" t="inlineStr">
        <is>
          <t>DE</t>
        </is>
      </c>
      <c r="I1008" s="2" t="inlineStr">
        <is>
          <t>S5</t>
        </is>
      </c>
      <c r="J1008" s="2" t="n">
        <v>36</v>
      </c>
      <c r="K1008" s="3" t="inlineStr">
        <is>
          <t>established under the laws of the Federal Republic of Germany</t>
        </is>
      </c>
      <c r="L1008" s="2" t="inlineStr">
        <is>
          <t>ok</t>
        </is>
      </c>
      <c r="M1008" s="2" t="inlineStr">
        <is>
          <t>demo reviewer</t>
        </is>
      </c>
      <c r="N1008" s="2" t="n"/>
      <c r="O1008" s="3" t="inlineStr">
        <is>
          <t>https://vanillabonds.com/dossier-data/pdf/katjes/katjes-h1-2026-interim-report.pdf#page=36</t>
        </is>
      </c>
    </row>
    <row r="1009">
      <c r="A1009" s="2" t="inlineStr">
        <is>
          <t>F1008</t>
        </is>
      </c>
      <c r="B1009" s="2" t="inlineStr">
        <is>
          <t>identity</t>
        </is>
      </c>
      <c r="C1009" s="2" t="inlineStr">
        <is>
          <t>sector</t>
        </is>
      </c>
      <c r="D1009" s="2" t="inlineStr">
        <is>
          <t>Sector</t>
        </is>
      </c>
      <c r="E1009" s="2" t="n"/>
      <c r="F1009" s="2" t="n"/>
      <c r="G1009" s="2" t="n"/>
      <c r="H1009" s="3" t="inlineStr">
        <is>
          <t>Consumer goods brand holding: confectionery, body care, lifestyle</t>
        </is>
      </c>
      <c r="I1009" s="2" t="inlineStr">
        <is>
          <t>S5</t>
        </is>
      </c>
      <c r="J1009" s="2" t="n">
        <v>45</v>
      </c>
      <c r="K1009" s="3" t="inlineStr">
        <is>
          <t>with a focus on confectionery, personal care and body care, as well as lifestyle products.</t>
        </is>
      </c>
      <c r="L1009" s="2" t="inlineStr">
        <is>
          <t>ok</t>
        </is>
      </c>
      <c r="M1009" s="2" t="inlineStr">
        <is>
          <t>demo reviewer</t>
        </is>
      </c>
      <c r="N1009" s="2" t="n"/>
      <c r="O1009" s="3" t="inlineStr">
        <is>
          <t>https://vanillabonds.com/dossier-data/pdf/katjes/katjes-h1-2026-interim-report.pdf#page=45</t>
        </is>
      </c>
    </row>
    <row r="1010">
      <c r="A1010" s="2" t="inlineStr">
        <is>
          <t>F1009</t>
        </is>
      </c>
      <c r="B1010" s="2" t="inlineStr">
        <is>
          <t>identity</t>
        </is>
      </c>
      <c r="C1010" s="2" t="inlineStr">
        <is>
          <t>sites</t>
        </is>
      </c>
      <c r="D1010" s="2" t="inlineStr">
        <is>
          <t>Sites / countries of operation</t>
        </is>
      </c>
      <c r="E1010" s="2" t="n"/>
      <c r="F1010" s="2" t="n"/>
      <c r="G1010" s="2" t="n"/>
      <c r="H1010" s="3" t="inlineStr">
        <is>
          <t>DE, UK, IT, CH, NL, North America, AT, FR, ES</t>
        </is>
      </c>
      <c r="I1010" s="2" t="inlineStr">
        <is>
          <t>S5</t>
        </is>
      </c>
      <c r="J1010" s="2" t="n">
        <v>19</v>
      </c>
      <c r="K1010" s="3" t="inlineStr">
        <is>
          <t>its investments primarily in the markets of Germany, the United Kingdom, Italy, Switzerland, the Netherlands, North America, Austria, France and Spain.</t>
        </is>
      </c>
      <c r="L1010" s="2" t="inlineStr">
        <is>
          <t>ok</t>
        </is>
      </c>
      <c r="M1010" s="2" t="inlineStr">
        <is>
          <t>demo reviewer</t>
        </is>
      </c>
      <c r="N1010" s="2" t="n"/>
      <c r="O1010" s="3" t="inlineStr">
        <is>
          <t>https://vanillabonds.com/dossier-data/pdf/katjes/katjes-h1-2026-interim-report.pdf#page=19</t>
        </is>
      </c>
    </row>
    <row r="1011">
      <c r="A1011" s="2" t="inlineStr">
        <is>
          <t>F1010</t>
        </is>
      </c>
      <c r="B1011" s="2" t="inlineStr">
        <is>
          <t>identity</t>
        </is>
      </c>
      <c r="C1011" s="2" t="inlineStr">
        <is>
          <t>employees</t>
        </is>
      </c>
      <c r="D1011" s="2" t="inlineStr">
        <is>
          <t>Employees (FTE, period end)</t>
        </is>
      </c>
      <c r="E1011" s="2" t="inlineStr">
        <is>
          <t>H1-2025</t>
        </is>
      </c>
      <c r="F1011" s="2" t="n">
        <v>1118</v>
      </c>
      <c r="G1011" s="2" t="n"/>
      <c r="H1011" s="3" t="inlineStr">
        <is>
          <t>Average headcount in H1-2025 (not period-end FTE).</t>
        </is>
      </c>
      <c r="I1011" s="2" t="inlineStr">
        <is>
          <t>S5</t>
        </is>
      </c>
      <c r="J1011" s="2" t="n">
        <v>25</v>
      </c>
      <c r="K1011" s="3" t="inlineStr">
        <is>
          <t>In the first half of 2026, the Company employed an average of 1,787 employees (6M 2025: 1,118).</t>
        </is>
      </c>
      <c r="L1011" s="2" t="inlineStr">
        <is>
          <t>ok</t>
        </is>
      </c>
      <c r="M1011" s="2" t="inlineStr">
        <is>
          <t>demo reviewer</t>
        </is>
      </c>
      <c r="N1011" s="2" t="n"/>
      <c r="O1011" s="3" t="inlineStr">
        <is>
          <t>https://vanillabonds.com/dossier-data/pdf/katjes/katjes-h1-2026-interim-report.pdf#page=25</t>
        </is>
      </c>
    </row>
    <row r="1012">
      <c r="A1012" s="2" t="inlineStr">
        <is>
          <t>F1011</t>
        </is>
      </c>
      <c r="B1012" s="2" t="inlineStr">
        <is>
          <t>identity</t>
        </is>
      </c>
      <c r="C1012" s="2" t="inlineStr">
        <is>
          <t>employees</t>
        </is>
      </c>
      <c r="D1012" s="2" t="inlineStr">
        <is>
          <t>Employees (FTE, period end)</t>
        </is>
      </c>
      <c r="E1012" s="2" t="inlineStr">
        <is>
          <t>H1-2026</t>
        </is>
      </c>
      <c r="F1012" s="2" t="n">
        <v>1787</v>
      </c>
      <c r="G1012" s="2" t="n"/>
      <c r="H1012" s="3" t="inlineStr">
        <is>
          <t>Average headcount in H1-2026 (not period-end FTE); 63% Germany, 21% Italy, 11% UK.</t>
        </is>
      </c>
      <c r="I1012" s="2" t="inlineStr">
        <is>
          <t>S5</t>
        </is>
      </c>
      <c r="J1012" s="2" t="n">
        <v>25</v>
      </c>
      <c r="K1012" s="3" t="inlineStr">
        <is>
          <t>In the first half of 2026, the Company employed an average of 1,787 employees (6M 2025: 1,118).</t>
        </is>
      </c>
      <c r="L1012" s="2" t="inlineStr">
        <is>
          <t>ok</t>
        </is>
      </c>
      <c r="M1012" s="2" t="inlineStr">
        <is>
          <t>demo reviewer</t>
        </is>
      </c>
      <c r="N1012" s="2" t="n"/>
      <c r="O1012" s="3" t="inlineStr">
        <is>
          <t>https://vanillabonds.com/dossier-data/pdf/katjes/katjes-h1-2026-interim-report.pdf#page=25</t>
        </is>
      </c>
    </row>
    <row r="1013">
      <c r="A1013" s="2" t="inlineStr">
        <is>
          <t>F1012</t>
        </is>
      </c>
      <c r="B1013" s="2" t="inlineStr">
        <is>
          <t>identity</t>
        </is>
      </c>
      <c r="C1013" s="2" t="inlineStr">
        <is>
          <t>ownership</t>
        </is>
      </c>
      <c r="D1013" s="2" t="inlineStr">
        <is>
          <t>Ownership / UBO</t>
        </is>
      </c>
      <c r="E1013" s="2" t="n"/>
      <c r="F1013" s="2" t="n"/>
      <c r="G1013" s="2" t="n"/>
      <c r="H1013" s="3" t="inlineStr">
        <is>
          <t>Fassin and Bachmüller via GP Xaver Fassin International GmbH</t>
        </is>
      </c>
      <c r="I1013" s="2" t="inlineStr">
        <is>
          <t>S5</t>
        </is>
      </c>
      <c r="J1013" s="2" t="n">
        <v>48</v>
      </c>
      <c r="K1013" s="3" t="inlineStr">
        <is>
          <t>ver Fassin International GmbH, whose managing directors and shareholders are Mr. Bastian Fassin and Mr. Tobias Bachmüller.</t>
        </is>
      </c>
      <c r="L1013" s="2" t="inlineStr">
        <is>
          <t>ok</t>
        </is>
      </c>
      <c r="M1013" s="2" t="inlineStr">
        <is>
          <t>demo reviewer</t>
        </is>
      </c>
      <c r="N1013" s="2" t="n"/>
      <c r="O1013" s="3" t="inlineStr">
        <is>
          <t>https://vanillabonds.com/dossier-data/pdf/katjes/katjes-h1-2026-interim-report.pdf#page=48</t>
        </is>
      </c>
    </row>
    <row r="1014">
      <c r="A1014" s="2" t="inlineStr">
        <is>
          <t>F1013</t>
        </is>
      </c>
      <c r="B1014" s="2" t="inlineStr">
        <is>
          <t>identity</t>
        </is>
      </c>
      <c r="C1014" s="2" t="inlineStr">
        <is>
          <t>audit_opinion</t>
        </is>
      </c>
      <c r="D1014" s="2" t="inlineStr">
        <is>
          <t>Audit opinion</t>
        </is>
      </c>
      <c r="E1014" s="2" t="inlineStr">
        <is>
          <t>H1-2026</t>
        </is>
      </c>
      <c r="F1014" s="2" t="n"/>
      <c r="G1014" s="2" t="n"/>
      <c r="H1014" s="3" t="inlineStr">
        <is>
          <t>Interim statements neither audited nor reviewed by the auditor.</t>
        </is>
      </c>
      <c r="I1014" s="2" t="inlineStr">
        <is>
          <t>S5</t>
        </is>
      </c>
      <c r="J1014" s="2" t="n">
        <v>37</v>
      </c>
      <c r="K1014" s="3" t="inlineStr">
        <is>
          <t>These interim consolidated financial statements have neither been audited nor reviewed by the auditor.</t>
        </is>
      </c>
      <c r="L1014" s="2" t="inlineStr">
        <is>
          <t>ok</t>
        </is>
      </c>
      <c r="M1014" s="2" t="inlineStr">
        <is>
          <t>demo reviewer</t>
        </is>
      </c>
      <c r="N1014" s="2" t="n"/>
      <c r="O1014" s="3" t="inlineStr">
        <is>
          <t>https://vanillabonds.com/dossier-data/pdf/katjes/katjes-h1-2026-interim-report.pdf#page=37</t>
        </is>
      </c>
    </row>
    <row r="1015">
      <c r="A1015" s="2" t="inlineStr">
        <is>
          <t>F1014</t>
        </is>
      </c>
      <c r="B1015" s="2" t="inlineStr">
        <is>
          <t>identity</t>
        </is>
      </c>
      <c r="C1015" s="2" t="inlineStr">
        <is>
          <t>accounting_standard</t>
        </is>
      </c>
      <c r="D1015" s="2" t="inlineStr">
        <is>
          <t>Accounting standard</t>
        </is>
      </c>
      <c r="E1015" s="2" t="n"/>
      <c r="F1015" s="2" t="n"/>
      <c r="G1015" s="2" t="n"/>
      <c r="H1015" s="2" t="inlineStr">
        <is>
          <t>IFRS (IAS 34 for the interim statements)</t>
        </is>
      </c>
      <c r="I1015" s="2" t="inlineStr">
        <is>
          <t>S5</t>
        </is>
      </c>
      <c r="J1015" s="2" t="n">
        <v>37</v>
      </c>
      <c r="K1015" s="3" t="inlineStr">
        <is>
          <t>have been prepared in accordance with IAS 34 Interim Financial Reporting.</t>
        </is>
      </c>
      <c r="L1015" s="2" t="inlineStr">
        <is>
          <t>ok</t>
        </is>
      </c>
      <c r="M1015" s="2" t="inlineStr">
        <is>
          <t>demo reviewer</t>
        </is>
      </c>
      <c r="N1015" s="2" t="n"/>
      <c r="O1015" s="3" t="inlineStr">
        <is>
          <t>https://vanillabonds.com/dossier-data/pdf/katjes/katjes-h1-2026-interim-report.pdf#page=37</t>
        </is>
      </c>
    </row>
    <row r="1016">
      <c r="A1016" s="2" t="inlineStr">
        <is>
          <t>F1015</t>
        </is>
      </c>
      <c r="B1016" s="2" t="inlineStr">
        <is>
          <t>identity</t>
        </is>
      </c>
      <c r="C1016" s="2" t="inlineStr">
        <is>
          <t>fiscal_year_end</t>
        </is>
      </c>
      <c r="D1016" s="2" t="inlineStr">
        <is>
          <t>Fiscal year end</t>
        </is>
      </c>
      <c r="E1016" s="2" t="n"/>
      <c r="F1016" s="2" t="n"/>
      <c r="G1016" s="2" t="n"/>
      <c r="H1016" s="2" t="inlineStr">
        <is>
          <t>31 December</t>
        </is>
      </c>
      <c r="I1016" s="2" t="inlineStr">
        <is>
          <t>S5</t>
        </is>
      </c>
      <c r="J1016" s="2" t="n">
        <v>37</v>
      </c>
      <c r="K1016" s="3" t="inlineStr">
        <is>
          <t>the consolidated financial statements as at December 31, 2025.</t>
        </is>
      </c>
      <c r="L1016" s="2" t="inlineStr">
        <is>
          <t>ok</t>
        </is>
      </c>
      <c r="M1016" s="2" t="inlineStr">
        <is>
          <t>demo reviewer</t>
        </is>
      </c>
      <c r="N1016" s="2" t="n"/>
      <c r="O1016" s="3" t="inlineStr">
        <is>
          <t>https://vanillabonds.com/dossier-data/pdf/katjes/katjes-h1-2026-interim-report.pdf#page=37</t>
        </is>
      </c>
    </row>
    <row r="1017">
      <c r="A1017" s="2" t="inlineStr">
        <is>
          <t>F1016</t>
        </is>
      </c>
      <c r="B1017" s="2" t="inlineStr">
        <is>
          <t>business</t>
        </is>
      </c>
      <c r="C1017" s="2" t="inlineStr">
        <is>
          <t>business_fact</t>
        </is>
      </c>
      <c r="D1017" s="2" t="inlineStr">
        <is>
          <t>Business fact</t>
        </is>
      </c>
      <c r="E1017" s="2" t="n"/>
      <c r="F1017" s="2" t="n"/>
      <c r="G1017" s="2" t="n"/>
      <c r="H1017" s="3" t="inlineStr">
        <is>
          <t>The group describes itself as part of a corporate group that has been family-owned for over 100 years.</t>
        </is>
      </c>
      <c r="I1017" s="2" t="inlineStr">
        <is>
          <t>S5</t>
        </is>
      </c>
      <c r="J1017" s="2" t="n">
        <v>7</v>
      </c>
      <c r="K1017" s="3" t="inlineStr">
        <is>
          <t>As part of a corporate group that has remained family-owned for over 100 years,</t>
        </is>
      </c>
      <c r="L1017" s="2" t="inlineStr">
        <is>
          <t>ok</t>
        </is>
      </c>
      <c r="M1017" s="2" t="inlineStr">
        <is>
          <t>demo reviewer</t>
        </is>
      </c>
      <c r="N1017" s="2" t="n"/>
      <c r="O1017" s="3" t="inlineStr">
        <is>
          <t>https://vanillabonds.com/dossier-data/pdf/katjes/katjes-h1-2026-interim-report.pdf#page=7</t>
        </is>
      </c>
    </row>
    <row r="1018">
      <c r="A1018" s="2" t="inlineStr">
        <is>
          <t>F1017</t>
        </is>
      </c>
      <c r="B1018" s="2" t="inlineStr">
        <is>
          <t>business</t>
        </is>
      </c>
      <c r="C1018" s="2" t="inlineStr">
        <is>
          <t>business_fact</t>
        </is>
      </c>
      <c r="D1018" s="2" t="inlineStr">
        <is>
          <t>Business fact</t>
        </is>
      </c>
      <c r="E1018" s="2" t="n"/>
      <c r="F1018" s="2" t="n"/>
      <c r="G1018" s="2" t="n"/>
      <c r="H1018" s="3" t="inlineStr">
        <is>
          <t>Company statement: Piasten (Forchheim) is Bavaria's largest confectionery manufacturer and Germany's leading producer of chocolate dragees; Treets part of Piasten since 2017.</t>
        </is>
      </c>
      <c r="I1018" s="2" t="inlineStr">
        <is>
          <t>S5</t>
        </is>
      </c>
      <c r="J1018" s="2" t="n">
        <v>9</v>
      </c>
      <c r="K1018" s="3" t="inlineStr">
        <is>
          <t>ria's largest confectionery manufacturer and Germany's leading producer of chocolate dragees, headquartered in Forchheim.</t>
        </is>
      </c>
      <c r="L1018" s="2" t="inlineStr">
        <is>
          <t>ok</t>
        </is>
      </c>
      <c r="M1018" s="2" t="inlineStr">
        <is>
          <t>demo reviewer</t>
        </is>
      </c>
      <c r="N1018" s="2" t="n"/>
      <c r="O1018" s="3" t="inlineStr">
        <is>
          <t>https://vanillabonds.com/dossier-data/pdf/katjes/katjes-h1-2026-interim-report.pdf#page=9</t>
        </is>
      </c>
    </row>
    <row r="1019">
      <c r="A1019" s="2" t="inlineStr">
        <is>
          <t>F1018</t>
        </is>
      </c>
      <c r="B1019" s="2" t="inlineStr">
        <is>
          <t>business</t>
        </is>
      </c>
      <c r="C1019" s="2" t="inlineStr">
        <is>
          <t>business_fact</t>
        </is>
      </c>
      <c r="D1019" s="2" t="inlineStr">
        <is>
          <t>Business fact</t>
        </is>
      </c>
      <c r="E1019" s="2" t="n"/>
      <c r="F1019" s="2" t="n"/>
      <c r="G1019" s="2" t="n"/>
      <c r="H1019" s="3" t="inlineStr">
        <is>
          <t>Treets named Top Brand 2026 in the Small Bites category by Lebensmittel Zeitung.</t>
        </is>
      </c>
      <c r="I1019" s="2" t="inlineStr">
        <is>
          <t>S5</t>
        </is>
      </c>
      <c r="J1019" s="2" t="n">
        <v>9</v>
      </c>
      <c r="K1019" s="3" t="inlineStr">
        <is>
          <t>Another highlight was Treets being named Top Brand 2026 in the Small Bites category by Lebensmittel Zeitung.</t>
        </is>
      </c>
      <c r="L1019" s="2" t="inlineStr">
        <is>
          <t>ok</t>
        </is>
      </c>
      <c r="M1019" s="2" t="inlineStr">
        <is>
          <t>demo reviewer</t>
        </is>
      </c>
      <c r="N1019" s="2" t="n"/>
      <c r="O1019" s="3" t="inlineStr">
        <is>
          <t>https://vanillabonds.com/dossier-data/pdf/katjes/katjes-h1-2026-interim-report.pdf#page=9</t>
        </is>
      </c>
    </row>
    <row r="1020">
      <c r="A1020" s="2" t="inlineStr">
        <is>
          <t>F1019</t>
        </is>
      </c>
      <c r="B1020" s="2" t="inlineStr">
        <is>
          <t>business</t>
        </is>
      </c>
      <c r="C1020" s="2" t="inlineStr">
        <is>
          <t>business_fact</t>
        </is>
      </c>
      <c r="D1020" s="2" t="inlineStr">
        <is>
          <t>Business fact</t>
        </is>
      </c>
      <c r="E1020" s="2" t="n"/>
      <c r="F1020" s="2" t="n"/>
      <c r="G1020" s="2" t="n"/>
      <c r="H1020" s="3" t="inlineStr">
        <is>
          <t>Bübchen Bodycare GmbH (Viersen site) is the group's oral-care centre since 2022 with Vademecum, Theramed, Antica Erboristeria and Licor del Polo; Vademecum stated as leading organic toothpaste in France.</t>
        </is>
      </c>
      <c r="I1020" s="2" t="inlineStr">
        <is>
          <t>S5</t>
        </is>
      </c>
      <c r="J1020" s="2" t="n">
        <v>12</v>
      </c>
      <c r="K1020" s="3" t="inlineStr">
        <is>
          <t>site in Viersen, the company develops and produces a broad portfolio of oral-care products, including well-known brands such as Vademecum, Theramed, Antica Erboristeria, and Licor del Polo.</t>
        </is>
      </c>
      <c r="L1020" s="2" t="inlineStr">
        <is>
          <t>ok</t>
        </is>
      </c>
      <c r="M1020" s="2" t="inlineStr">
        <is>
          <t>demo reviewer</t>
        </is>
      </c>
      <c r="N1020" s="2" t="n"/>
      <c r="O1020" s="3" t="inlineStr">
        <is>
          <t>https://vanillabonds.com/dossier-data/pdf/katjes/katjes-h1-2026-interim-report.pdf#page=12</t>
        </is>
      </c>
    </row>
    <row r="1021">
      <c r="A1021" s="2" t="inlineStr">
        <is>
          <t>F1020</t>
        </is>
      </c>
      <c r="B1021" s="2" t="inlineStr">
        <is>
          <t>business</t>
        </is>
      </c>
      <c r="C1021" s="2" t="inlineStr">
        <is>
          <t>business_fact</t>
        </is>
      </c>
      <c r="D1021" s="2" t="inlineStr">
        <is>
          <t>Business fact</t>
        </is>
      </c>
      <c r="E1021" s="2" t="n"/>
      <c r="F1021" s="2" t="n"/>
      <c r="G1021" s="2" t="n"/>
      <c r="H1021" s="3" t="inlineStr">
        <is>
          <t>Graze is described as 'one of the leading brands in the healthy snacking segment' in the UK with 'a strong presence in local food retail'.</t>
        </is>
      </c>
      <c r="I1021" s="2" t="inlineStr">
        <is>
          <t>S5</t>
        </is>
      </c>
      <c r="J1021" s="2" t="n">
        <v>13</v>
      </c>
      <c r="K1021" s="3" t="inlineStr">
        <is>
          <t>In the UK, Graze is one of the leading brands in the healthy snacking segment and has a strong presence in local food retail.</t>
        </is>
      </c>
      <c r="L1021" s="2" t="inlineStr">
        <is>
          <t>ok</t>
        </is>
      </c>
      <c r="M1021" s="2" t="inlineStr">
        <is>
          <t>demo reviewer</t>
        </is>
      </c>
      <c r="N1021" s="3" t="inlineStr">
        <is>
          <t>text: company wording put in quotation marks (reviewer, 20 Oct 2026)</t>
        </is>
      </c>
      <c r="O1021" s="3" t="inlineStr">
        <is>
          <t>https://vanillabonds.com/dossier-data/pdf/katjes/katjes-h1-2026-interim-report.pdf#page=13</t>
        </is>
      </c>
    </row>
    <row r="1022">
      <c r="A1022" s="2" t="inlineStr">
        <is>
          <t>F1021</t>
        </is>
      </c>
      <c r="B1022" s="2" t="inlineStr">
        <is>
          <t>business</t>
        </is>
      </c>
      <c r="C1022" s="2" t="inlineStr">
        <is>
          <t>business_fact</t>
        </is>
      </c>
      <c r="D1022" s="2" t="inlineStr">
        <is>
          <t>Business fact</t>
        </is>
      </c>
      <c r="E1022" s="2" t="n"/>
      <c r="F1022" s="2" t="n"/>
      <c r="G1022" s="2" t="n"/>
      <c r="H1022" s="3" t="inlineStr">
        <is>
          <t>Bogner strategic growth markets are Asia and China in particular; H1-2026 groundwork laid for expansion.</t>
        </is>
      </c>
      <c r="I1022" s="2" t="inlineStr">
        <is>
          <t>S5</t>
        </is>
      </c>
      <c r="J1022" s="2" t="n">
        <v>15</v>
      </c>
      <c r="K1022" s="3" t="inlineStr">
        <is>
          <t>Asia, and China in particular, are among BOGNER's strategic growth markets.</t>
        </is>
      </c>
      <c r="L1022" s="2" t="inlineStr">
        <is>
          <t>ok</t>
        </is>
      </c>
      <c r="M1022" s="2" t="inlineStr">
        <is>
          <t>demo reviewer</t>
        </is>
      </c>
      <c r="N1022" s="2" t="n"/>
      <c r="O1022" s="3" t="inlineStr">
        <is>
          <t>https://vanillabonds.com/dossier-data/pdf/katjes/katjes-h1-2026-interim-report.pdf#page=15</t>
        </is>
      </c>
    </row>
    <row r="1023">
      <c r="A1023" s="2" t="inlineStr">
        <is>
          <t>F1022</t>
        </is>
      </c>
      <c r="B1023" s="2" t="inlineStr">
        <is>
          <t>business</t>
        </is>
      </c>
      <c r="C1023" s="2" t="inlineStr">
        <is>
          <t>business_fact</t>
        </is>
      </c>
      <c r="D1023" s="2" t="inlineStr">
        <is>
          <t>Business fact</t>
        </is>
      </c>
      <c r="E1023" s="2" t="n"/>
      <c r="F1023" s="2" t="n"/>
      <c r="G1023" s="2" t="n"/>
      <c r="H1023" s="3" t="inlineStr">
        <is>
          <t>Katjes International has operated as a strategic investor for over a decade and regards itself as a brand holding company.</t>
        </is>
      </c>
      <c r="I1023" s="2" t="inlineStr">
        <is>
          <t>S5</t>
        </is>
      </c>
      <c r="J1023" s="2" t="n">
        <v>17</v>
      </c>
      <c r="K1023" s="3" t="inlineStr">
        <is>
          <t>operated as a strategic investor for over a decade and regards itself as a brand holding company.</t>
        </is>
      </c>
      <c r="L1023" s="2" t="inlineStr">
        <is>
          <t>ok</t>
        </is>
      </c>
      <c r="M1023" s="2" t="inlineStr">
        <is>
          <t>demo reviewer</t>
        </is>
      </c>
      <c r="N1023" s="2" t="n"/>
      <c r="O1023" s="3" t="inlineStr">
        <is>
          <t>https://vanillabonds.com/dossier-data/pdf/katjes/katjes-h1-2026-interim-report.pdf#page=17</t>
        </is>
      </c>
    </row>
    <row r="1024">
      <c r="A1024" s="2" t="inlineStr">
        <is>
          <t>F1023</t>
        </is>
      </c>
      <c r="B1024" s="2" t="inlineStr">
        <is>
          <t>business</t>
        </is>
      </c>
      <c r="C1024" s="2" t="inlineStr">
        <is>
          <t>business_fact</t>
        </is>
      </c>
      <c r="D1024" s="2" t="inlineStr">
        <is>
          <t>Business fact</t>
        </is>
      </c>
      <c r="E1024" s="2" t="n"/>
      <c r="F1024" s="2" t="n"/>
      <c r="G1024" s="2" t="n"/>
      <c r="H1024" s="3" t="inlineStr">
        <is>
          <t>Investee companies remain legally and organisationally independent after acquisition and keep their local management.</t>
        </is>
      </c>
      <c r="I1024" s="2" t="inlineStr">
        <is>
          <t>S5</t>
        </is>
      </c>
      <c r="J1024" s="2" t="n">
        <v>17</v>
      </c>
      <c r="K1024" s="3" t="inlineStr">
        <is>
          <t>vestee companies remain legally and organizationally indepen- dent and retain their local management.</t>
        </is>
      </c>
      <c r="L1024" s="2" t="inlineStr">
        <is>
          <t>ok</t>
        </is>
      </c>
      <c r="M1024" s="2" t="inlineStr">
        <is>
          <t>demo reviewer</t>
        </is>
      </c>
      <c r="N1024" s="2" t="n"/>
      <c r="O1024" s="3" t="inlineStr">
        <is>
          <t>https://vanillabonds.com/dossier-data/pdf/katjes/katjes-h1-2026-interim-report.pdf#page=17</t>
        </is>
      </c>
    </row>
    <row r="1025">
      <c r="A1025" s="2" t="inlineStr">
        <is>
          <t>F1024</t>
        </is>
      </c>
      <c r="B1025" s="2" t="inlineStr">
        <is>
          <t>business</t>
        </is>
      </c>
      <c r="C1025" s="2" t="inlineStr">
        <is>
          <t>business_fact</t>
        </is>
      </c>
      <c r="D1025" s="2" t="inlineStr">
        <is>
          <t>Business fact</t>
        </is>
      </c>
      <c r="E1025" s="2" t="n"/>
      <c r="F1025" s="2" t="n"/>
      <c r="G1025" s="2" t="n"/>
      <c r="H1025" s="3" t="inlineStr">
        <is>
          <t>Company statement: Dallmann's sage cough drops are the leader in German pharmacies by number of packets sold.</t>
        </is>
      </c>
      <c r="I1025" s="2" t="inlineStr">
        <is>
          <t>S5</t>
        </is>
      </c>
      <c r="J1025" s="2" t="n">
        <v>18</v>
      </c>
      <c r="K1025" s="3" t="inlineStr">
        <is>
          <t>nal since 2012) is the leader in German pharmacies in terms of number of packets sold.</t>
        </is>
      </c>
      <c r="L1025" s="2" t="inlineStr">
        <is>
          <t>ok</t>
        </is>
      </c>
      <c r="M1025" s="2" t="inlineStr">
        <is>
          <t>demo reviewer</t>
        </is>
      </c>
      <c r="N1025" s="2" t="n"/>
      <c r="O1025" s="3" t="inlineStr">
        <is>
          <t>https://vanillabonds.com/dossier-data/pdf/katjes/katjes-h1-2026-interim-report.pdf#page=18</t>
        </is>
      </c>
    </row>
    <row r="1026">
      <c r="A1026" s="2" t="inlineStr">
        <is>
          <t>F1025</t>
        </is>
      </c>
      <c r="B1026" s="2" t="inlineStr">
        <is>
          <t>business</t>
        </is>
      </c>
      <c r="C1026" s="2" t="inlineStr">
        <is>
          <t>business_fact</t>
        </is>
      </c>
      <c r="D1026" s="2" t="inlineStr">
        <is>
          <t>Business fact</t>
        </is>
      </c>
      <c r="E1026" s="2" t="n"/>
      <c r="F1026" s="2" t="n"/>
      <c r="G1026" s="2" t="n"/>
      <c r="H1026" s="3" t="inlineStr">
        <is>
          <t>Company statement: Harlekijntjes makes the Netherlands' best-selling liquorice product by volume.</t>
        </is>
      </c>
      <c r="I1026" s="2" t="inlineStr">
        <is>
          <t>S5</t>
        </is>
      </c>
      <c r="J1026" s="2" t="n">
        <v>18</v>
      </c>
      <c r="K1026" s="3" t="inlineStr">
        <is>
          <t>Dutch company Harlekĳntjes, which makes the country’s best- selling liquorice product (based on volume).</t>
        </is>
      </c>
      <c r="L1026" s="2" t="inlineStr">
        <is>
          <t>ok</t>
        </is>
      </c>
      <c r="M1026" s="2" t="inlineStr">
        <is>
          <t>demo reviewer</t>
        </is>
      </c>
      <c r="N1026" s="2" t="n"/>
      <c r="O1026" s="3" t="inlineStr">
        <is>
          <t>https://vanillabonds.com/dossier-data/pdf/katjes/katjes-h1-2026-interim-report.pdf#page=18</t>
        </is>
      </c>
    </row>
    <row r="1027">
      <c r="A1027" s="2" t="inlineStr">
        <is>
          <t>F1026</t>
        </is>
      </c>
      <c r="B1027" s="2" t="inlineStr">
        <is>
          <t>business</t>
        </is>
      </c>
      <c r="C1027" s="2" t="inlineStr">
        <is>
          <t>business_fact</t>
        </is>
      </c>
      <c r="D1027" s="2" t="inlineStr">
        <is>
          <t>Business fact</t>
        </is>
      </c>
      <c r="E1027" s="2" t="n"/>
      <c r="F1027" s="2" t="n"/>
      <c r="G1027" s="2" t="n"/>
      <c r="H1027" s="3" t="inlineStr">
        <is>
          <t>Company statement: Bübchen is the market leader in Germany's baby and kids care segment.</t>
        </is>
      </c>
      <c r="I1027" s="2" t="inlineStr">
        <is>
          <t>S5</t>
        </is>
      </c>
      <c r="J1027" s="2" t="n">
        <v>18</v>
      </c>
      <c r="K1027" s="3" t="inlineStr">
        <is>
          <t>Bübchen, the market leader in Germany’s baby and kids care segment,</t>
        </is>
      </c>
      <c r="L1027" s="2" t="inlineStr">
        <is>
          <t>ok</t>
        </is>
      </c>
      <c r="M1027" s="2" t="inlineStr">
        <is>
          <t>demo reviewer</t>
        </is>
      </c>
      <c r="N1027" s="2" t="n"/>
      <c r="O1027" s="3" t="inlineStr">
        <is>
          <t>https://vanillabonds.com/dossier-data/pdf/katjes/katjes-h1-2026-interim-report.pdf#page=18</t>
        </is>
      </c>
    </row>
    <row r="1028">
      <c r="A1028" s="2" t="inlineStr">
        <is>
          <t>F1027</t>
        </is>
      </c>
      <c r="B1028" s="2" t="inlineStr">
        <is>
          <t>business</t>
        </is>
      </c>
      <c r="C1028" s="2" t="inlineStr">
        <is>
          <t>business_fact</t>
        </is>
      </c>
      <c r="D1028" s="2" t="inlineStr">
        <is>
          <t>Business fact</t>
        </is>
      </c>
      <c r="E1028" s="2" t="n"/>
      <c r="F1028" s="2" t="n"/>
      <c r="G1028" s="2" t="n"/>
      <c r="H1028" s="3" t="inlineStr">
        <is>
          <t>Company statement: Sperlari is one of the largest players in Italian sugar confectionery and a market leader in seasonal products, sweeteners and sugar-free sweets.</t>
        </is>
      </c>
      <c r="I1028" s="2" t="inlineStr">
        <is>
          <t>S5</t>
        </is>
      </c>
      <c r="J1028" s="2" t="n">
        <v>18</v>
      </c>
      <c r="K1028" s="3" t="inlineStr">
        <is>
          <t>Sperlari is one of the largest players in the Italian sugar confectionery market and one of the market leaders in the seg- ment for seasonal products, sweeteners and sugar-free</t>
        </is>
      </c>
      <c r="L1028" s="2" t="inlineStr">
        <is>
          <t>ok</t>
        </is>
      </c>
      <c r="M1028" s="2" t="inlineStr">
        <is>
          <t>demo reviewer</t>
        </is>
      </c>
      <c r="N1028" s="2" t="n"/>
      <c r="O1028" s="3" t="inlineStr">
        <is>
          <t>https://vanillabonds.com/dossier-data/pdf/katjes/katjes-h1-2026-interim-report.pdf#page=18</t>
        </is>
      </c>
    </row>
    <row r="1029">
      <c r="A1029" s="2" t="inlineStr">
        <is>
          <t>F1028</t>
        </is>
      </c>
      <c r="B1029" s="2" t="inlineStr">
        <is>
          <t>business</t>
        </is>
      </c>
      <c r="C1029" s="2" t="inlineStr">
        <is>
          <t>business_fact</t>
        </is>
      </c>
      <c r="D1029" s="2" t="inlineStr">
        <is>
          <t>Business fact</t>
        </is>
      </c>
      <c r="E1029" s="2" t="n"/>
      <c r="F1029" s="2" t="n"/>
      <c r="G1029" s="2" t="n"/>
      <c r="H1029" s="3" t="inlineStr">
        <is>
          <t>Company statement: Bogner Group is the largest family-owned luxury apparel brand in Germany; brand since 1932.</t>
        </is>
      </c>
      <c r="I1029" s="2" t="inlineStr">
        <is>
          <t>S5</t>
        </is>
      </c>
      <c r="J1029" s="2" t="n">
        <v>18</v>
      </c>
      <c r="K1029" s="3" t="inlineStr">
        <is>
          <t>The internationally active Bogner Group is the largest family-owned luxury apparel brand in Germany.</t>
        </is>
      </c>
      <c r="L1029" s="2" t="inlineStr">
        <is>
          <t>ok</t>
        </is>
      </c>
      <c r="M1029" s="2" t="inlineStr">
        <is>
          <t>demo reviewer</t>
        </is>
      </c>
      <c r="N1029" s="2" t="n"/>
      <c r="O1029" s="3" t="inlineStr">
        <is>
          <t>https://vanillabonds.com/dossier-data/pdf/katjes/katjes-h1-2026-interim-report.pdf#page=18</t>
        </is>
      </c>
    </row>
    <row r="1030">
      <c r="A1030" s="2" t="inlineStr">
        <is>
          <t>F1029</t>
        </is>
      </c>
      <c r="B1030" s="2" t="inlineStr">
        <is>
          <t>business</t>
        </is>
      </c>
      <c r="C1030" s="2" t="inlineStr">
        <is>
          <t>business_fact</t>
        </is>
      </c>
      <c r="D1030" s="2" t="inlineStr">
        <is>
          <t>Business fact</t>
        </is>
      </c>
      <c r="E1030" s="2" t="n"/>
      <c r="F1030" s="2" t="n"/>
      <c r="G1030" s="2" t="n"/>
      <c r="H1030" s="3" t="inlineStr">
        <is>
          <t>Gross profit H1-2026 EUR 66.7m (H1-2025: 38.1m); gross margin 26.1% (23.1%).</t>
        </is>
      </c>
      <c r="I1030" s="2" t="inlineStr">
        <is>
          <t>S5</t>
        </is>
      </c>
      <c r="J1030" s="2" t="n">
        <v>22</v>
      </c>
      <c r="K1030" s="3" t="inlineStr">
        <is>
          <t>Gross profit reached approximately EUR 66.7 million in the first half of 2026 (6M 2025: EUR 38.1 million). The gross margin was 26.1% (6M 2025: 23.1%).</t>
        </is>
      </c>
      <c r="L1030" s="2" t="inlineStr">
        <is>
          <t>ok</t>
        </is>
      </c>
      <c r="M1030" s="2" t="inlineStr">
        <is>
          <t>demo reviewer</t>
        </is>
      </c>
      <c r="N1030" s="2" t="n"/>
      <c r="O1030" s="3" t="inlineStr">
        <is>
          <t>https://vanillabonds.com/dossier-data/pdf/katjes/katjes-h1-2026-interim-report.pdf#page=22</t>
        </is>
      </c>
    </row>
    <row r="1031">
      <c r="A1031" s="2" t="inlineStr">
        <is>
          <t>F1030</t>
        </is>
      </c>
      <c r="B1031" s="2" t="inlineStr">
        <is>
          <t>business</t>
        </is>
      </c>
      <c r="C1031" s="2" t="inlineStr">
        <is>
          <t>business_fact</t>
        </is>
      </c>
      <c r="D1031" s="2" t="inlineStr">
        <is>
          <t>Business fact</t>
        </is>
      </c>
      <c r="E1031" s="2" t="n"/>
      <c r="F1031" s="2" t="n"/>
      <c r="G1031" s="2" t="n"/>
      <c r="H1031" s="3" t="inlineStr">
        <is>
          <t>EBITDA margin H1-2026 6.2% (H1-2025: 8.4%), 'likewise a key management metric'.</t>
        </is>
      </c>
      <c r="I1031" s="2" t="inlineStr">
        <is>
          <t>S5</t>
        </is>
      </c>
      <c r="J1031" s="2" t="n">
        <v>23</v>
      </c>
      <c r="K1031" s="3" t="inlineStr">
        <is>
          <t>management metric for Katjes International – reached 6.2% (6M 2025: 8.4%).</t>
        </is>
      </c>
      <c r="L1031" s="2" t="inlineStr">
        <is>
          <t>ok</t>
        </is>
      </c>
      <c r="M1031" s="2" t="inlineStr">
        <is>
          <t>demo reviewer</t>
        </is>
      </c>
      <c r="N1031" s="2" t="n"/>
      <c r="O1031" s="3" t="inlineStr">
        <is>
          <t>https://vanillabonds.com/dossier-data/pdf/katjes/katjes-h1-2026-interim-report.pdf#page=23</t>
        </is>
      </c>
    </row>
    <row r="1032">
      <c r="A1032" s="2" t="inlineStr">
        <is>
          <t>F1031</t>
        </is>
      </c>
      <c r="B1032" s="2" t="inlineStr">
        <is>
          <t>business</t>
        </is>
      </c>
      <c r="C1032" s="2" t="inlineStr">
        <is>
          <t>business_fact</t>
        </is>
      </c>
      <c r="D1032" s="2" t="inlineStr">
        <is>
          <t>Business fact</t>
        </is>
      </c>
      <c r="E1032" s="2" t="n"/>
      <c r="F1032" s="2" t="n"/>
      <c r="G1032" s="2" t="n"/>
      <c r="H1032" s="3" t="inlineStr">
        <is>
          <t>Equity ratio 30.0% at 30 June 2026 (31 Dec 2025: 32.9%), described by the company as 'generally stable'.</t>
        </is>
      </c>
      <c r="I1032" s="2" t="inlineStr">
        <is>
          <t>S5</t>
        </is>
      </c>
      <c r="J1032" s="2" t="n">
        <v>24</v>
      </c>
      <c r="K1032" s="3" t="inlineStr">
        <is>
          <t>remained generally stable at 30.0% (December 31, 2025: 32.9%).</t>
        </is>
      </c>
      <c r="L1032" s="2" t="inlineStr">
        <is>
          <t>ok</t>
        </is>
      </c>
      <c r="M1032" s="2" t="inlineStr">
        <is>
          <t>demo reviewer</t>
        </is>
      </c>
      <c r="N1032" s="2" t="n"/>
      <c r="O1032" s="3" t="inlineStr">
        <is>
          <t>https://vanillabonds.com/dossier-data/pdf/katjes/katjes-h1-2026-interim-report.pdf#page=24</t>
        </is>
      </c>
    </row>
    <row r="1033">
      <c r="A1033" s="2" t="inlineStr">
        <is>
          <t>F1032</t>
        </is>
      </c>
      <c r="B1033" s="2" t="inlineStr">
        <is>
          <t>business</t>
        </is>
      </c>
      <c r="C1033" s="2" t="inlineStr">
        <is>
          <t>business_fact</t>
        </is>
      </c>
      <c r="D1033" s="2" t="inlineStr">
        <is>
          <t>Business fact</t>
        </is>
      </c>
      <c r="E1033" s="2" t="n"/>
      <c r="F1033" s="2" t="n"/>
      <c r="G1033" s="2" t="n"/>
      <c r="H1033" s="3" t="inlineStr">
        <is>
          <t>Non-controlling interests EUR 40.3m (31 Dec 2025: 47.5m), mainly the minority shareholders of the Bogner Group.</t>
        </is>
      </c>
      <c r="I1033" s="2" t="inlineStr">
        <is>
          <t>S5</t>
        </is>
      </c>
      <c r="J1033" s="2" t="n">
        <v>24</v>
      </c>
      <c r="K1033" s="3" t="inlineStr">
        <is>
          <t>controlling interests were reported at EUR 40.3 million (Decem- ber 31, 2025: EUR 47.5 million) and mainly comprise the inte- rests of the minority shareholders of the Bogner Group.</t>
        </is>
      </c>
      <c r="L1033" s="2" t="inlineStr">
        <is>
          <t>ok</t>
        </is>
      </c>
      <c r="M1033" s="2" t="inlineStr">
        <is>
          <t>demo reviewer</t>
        </is>
      </c>
      <c r="N1033" s="2" t="n"/>
      <c r="O1033" s="3" t="inlineStr">
        <is>
          <t>https://vanillabonds.com/dossier-data/pdf/katjes/katjes-h1-2026-interim-report.pdf#page=24</t>
        </is>
      </c>
    </row>
    <row r="1034">
      <c r="A1034" s="2" t="inlineStr">
        <is>
          <t>F1033</t>
        </is>
      </c>
      <c r="B1034" s="2" t="inlineStr">
        <is>
          <t>business</t>
        </is>
      </c>
      <c r="C1034" s="2" t="inlineStr">
        <is>
          <t>business_fact</t>
        </is>
      </c>
      <c r="D1034" s="2" t="inlineStr">
        <is>
          <t>Business fact</t>
        </is>
      </c>
      <c r="E1034" s="2" t="n"/>
      <c r="F1034" s="2" t="n"/>
      <c r="G1034" s="2" t="n"/>
      <c r="H1034" s="3" t="inlineStr">
        <is>
          <t>Intangible assets EUR 257.3m at 30 June 2026 (218.7m), increase mainly the Graze brand recognised in the purchase price allocation.</t>
        </is>
      </c>
      <c r="I1034" s="2" t="inlineStr">
        <is>
          <t>S5</t>
        </is>
      </c>
      <c r="J1034" s="2" t="n">
        <v>24</v>
      </c>
      <c r="K1034" s="3" t="inlineStr">
        <is>
          <t>Intangible assets were reported at EUR 257.3 million as at June 30, 2026 (December 31, 2025: EUR 218.7 million)</t>
        </is>
      </c>
      <c r="L1034" s="2" t="inlineStr">
        <is>
          <t>ok</t>
        </is>
      </c>
      <c r="M1034" s="2" t="inlineStr">
        <is>
          <t>demo reviewer</t>
        </is>
      </c>
      <c r="N1034" s="2" t="n"/>
      <c r="O1034" s="3" t="inlineStr">
        <is>
          <t>https://vanillabonds.com/dossier-data/pdf/katjes/katjes-h1-2026-interim-report.pdf#page=24</t>
        </is>
      </c>
    </row>
    <row r="1035">
      <c r="A1035" s="2" t="inlineStr">
        <is>
          <t>F1034</t>
        </is>
      </c>
      <c r="B1035" s="2" t="inlineStr">
        <is>
          <t>business</t>
        </is>
      </c>
      <c r="C1035" s="2" t="inlineStr">
        <is>
          <t>business_fact</t>
        </is>
      </c>
      <c r="D1035" s="2" t="inlineStr">
        <is>
          <t>Business fact</t>
        </is>
      </c>
      <c r="E1035" s="2" t="n"/>
      <c r="F1035" s="2" t="n"/>
      <c r="G1035" s="2" t="n"/>
      <c r="H1035" s="3" t="inlineStr">
        <is>
          <t>Personnel expenses H1-2026 EUR 68.0m (H1-2025: 37.2m).</t>
        </is>
      </c>
      <c r="I1035" s="2" t="inlineStr">
        <is>
          <t>S5</t>
        </is>
      </c>
      <c r="J1035" s="2" t="n">
        <v>25</v>
      </c>
      <c r="K1035" s="3" t="inlineStr">
        <is>
          <t>Personnel expenses in the first half of the 2026 financial year amounted to EUR 68.0 million (6M 2025: EUR 37.2 million).</t>
        </is>
      </c>
      <c r="L1035" s="2" t="inlineStr">
        <is>
          <t>ok</t>
        </is>
      </c>
      <c r="M1035" s="2" t="inlineStr">
        <is>
          <t>demo reviewer</t>
        </is>
      </c>
      <c r="N1035" s="2" t="n"/>
      <c r="O1035" s="3" t="inlineStr">
        <is>
          <t>https://vanillabonds.com/dossier-data/pdf/katjes/katjes-h1-2026-interim-report.pdf#page=25</t>
        </is>
      </c>
    </row>
    <row r="1036">
      <c r="A1036" s="2" t="inlineStr">
        <is>
          <t>F1035</t>
        </is>
      </c>
      <c r="B1036" s="2" t="inlineStr">
        <is>
          <t>business</t>
        </is>
      </c>
      <c r="C1036" s="2" t="inlineStr">
        <is>
          <t>business_fact</t>
        </is>
      </c>
      <c r="D1036" s="2" t="inlineStr">
        <is>
          <t>Business fact</t>
        </is>
      </c>
      <c r="E1036" s="2" t="n"/>
      <c r="F1036" s="2" t="n"/>
      <c r="G1036" s="2" t="n"/>
      <c r="H1036" s="3" t="inlineStr">
        <is>
          <t>Other operating income H1-2026 EUR 26.6m (H1-2025: 3.3m), including badwill from the Graze and Pastificio Plin purchase price allocations.</t>
        </is>
      </c>
      <c r="I1036" s="2" t="inlineStr">
        <is>
          <t>S5</t>
        </is>
      </c>
      <c r="J1036" s="2" t="n">
        <v>29</v>
      </c>
      <c r="K1036" s="2" t="inlineStr">
        <is>
          <t>Other operating income 26.6 3.3</t>
        </is>
      </c>
      <c r="L1036" s="2" t="inlineStr">
        <is>
          <t>ok</t>
        </is>
      </c>
      <c r="M1036" s="2" t="inlineStr">
        <is>
          <t>demo reviewer</t>
        </is>
      </c>
      <c r="N1036" s="2" t="n"/>
      <c r="O1036" s="3" t="inlineStr">
        <is>
          <t>https://vanillabonds.com/dossier-data/pdf/katjes/katjes-h1-2026-interim-report.pdf#page=29</t>
        </is>
      </c>
    </row>
    <row r="1037">
      <c r="A1037" s="2" t="inlineStr">
        <is>
          <t>F1036</t>
        </is>
      </c>
      <c r="B1037" s="2" t="inlineStr">
        <is>
          <t>business</t>
        </is>
      </c>
      <c r="C1037" s="2" t="inlineStr">
        <is>
          <t>business_fact</t>
        </is>
      </c>
      <c r="D1037" s="2" t="inlineStr">
        <is>
          <t>Business fact</t>
        </is>
      </c>
      <c r="E1037" s="2" t="n"/>
      <c r="F1037" s="2" t="n"/>
      <c r="G1037" s="2" t="n"/>
      <c r="H1037" s="3" t="inlineStr">
        <is>
          <t>Distribution costs H1-2026 EUR 50.1m (H1-2025: 17.8m); administrative expenses 40.9m (19.9m), both driven mainly by the Bogner companies.</t>
        </is>
      </c>
      <c r="I1037" s="2" t="inlineStr">
        <is>
          <t>S5</t>
        </is>
      </c>
      <c r="J1037" s="2" t="n">
        <v>29</v>
      </c>
      <c r="K1037" s="3" t="inlineStr">
        <is>
          <t>Distribution costs 50.1 17.8 Administrative expenses 40.9 19.9</t>
        </is>
      </c>
      <c r="L1037" s="2" t="inlineStr">
        <is>
          <t>ok</t>
        </is>
      </c>
      <c r="M1037" s="2" t="inlineStr">
        <is>
          <t>demo reviewer</t>
        </is>
      </c>
      <c r="N1037" s="2" t="n"/>
      <c r="O1037" s="3" t="inlineStr">
        <is>
          <t>https://vanillabonds.com/dossier-data/pdf/katjes/katjes-h1-2026-interim-report.pdf#page=29</t>
        </is>
      </c>
    </row>
    <row r="1038">
      <c r="A1038" s="2" t="inlineStr">
        <is>
          <t>F1037</t>
        </is>
      </c>
      <c r="B1038" s="2" t="inlineStr">
        <is>
          <t>business</t>
        </is>
      </c>
      <c r="C1038" s="2" t="inlineStr">
        <is>
          <t>business_fact</t>
        </is>
      </c>
      <c r="D1038" s="2" t="inlineStr">
        <is>
          <t>Business fact</t>
        </is>
      </c>
      <c r="E1038" s="2" t="n"/>
      <c r="F1038" s="2" t="n"/>
      <c r="G1038" s="2" t="n"/>
      <c r="H1038" s="3" t="inlineStr">
        <is>
          <t>Total comprehensive income H1-2026 EUR -14.7m (H1-2025: -1.0m); of which NCI -7.2 and shareholders -7.5.</t>
        </is>
      </c>
      <c r="I1038" s="2" t="inlineStr">
        <is>
          <t>S5</t>
        </is>
      </c>
      <c r="J1038" s="2" t="n">
        <v>30</v>
      </c>
      <c r="K1038" s="2" t="inlineStr">
        <is>
          <t>Total comprehensive income -14.7 -1.0</t>
        </is>
      </c>
      <c r="L1038" s="2" t="inlineStr">
        <is>
          <t>ok</t>
        </is>
      </c>
      <c r="M1038" s="2" t="inlineStr">
        <is>
          <t>demo reviewer</t>
        </is>
      </c>
      <c r="N1038" s="2" t="n"/>
      <c r="O1038" s="3" t="inlineStr">
        <is>
          <t>https://vanillabonds.com/dossier-data/pdf/katjes/katjes-h1-2026-interim-report.pdf#page=30</t>
        </is>
      </c>
    </row>
    <row r="1039">
      <c r="A1039" s="2" t="inlineStr">
        <is>
          <t>F1038</t>
        </is>
      </c>
      <c r="B1039" s="2" t="inlineStr">
        <is>
          <t>business</t>
        </is>
      </c>
      <c r="C1039" s="2" t="inlineStr">
        <is>
          <t>business_fact</t>
        </is>
      </c>
      <c r="D1039" s="2" t="inlineStr">
        <is>
          <t>Business fact</t>
        </is>
      </c>
      <c r="E1039" s="2" t="n"/>
      <c r="F1039" s="2" t="n"/>
      <c r="G1039" s="2" t="n"/>
      <c r="H1039" s="3" t="inlineStr">
        <is>
          <t>Balance sheet 30 June 2026: PP&amp;E 161.2 (148.3), right-of-use assets 85.1 (74.5), at-equity investments 55.9 (4.3).</t>
        </is>
      </c>
      <c r="I1039" s="2" t="inlineStr">
        <is>
          <t>S5</t>
        </is>
      </c>
      <c r="J1039" s="2" t="n">
        <v>31</v>
      </c>
      <c r="K1039" s="3" t="inlineStr">
        <is>
          <t>Property, plant and equipment 161.2 148.3 Right-of-use assets 85.1 74.5</t>
        </is>
      </c>
      <c r="L1039" s="2" t="inlineStr">
        <is>
          <t>ok</t>
        </is>
      </c>
      <c r="M1039" s="2" t="inlineStr">
        <is>
          <t>demo reviewer</t>
        </is>
      </c>
      <c r="N1039" s="2" t="n"/>
      <c r="O1039" s="3" t="inlineStr">
        <is>
          <t>https://vanillabonds.com/dossier-data/pdf/katjes/katjes-h1-2026-interim-report.pdf#page=31</t>
        </is>
      </c>
    </row>
    <row r="1040">
      <c r="A1040" s="2" t="inlineStr">
        <is>
          <t>F1039</t>
        </is>
      </c>
      <c r="B1040" s="2" t="inlineStr">
        <is>
          <t>business</t>
        </is>
      </c>
      <c r="C1040" s="2" t="inlineStr">
        <is>
          <t>business_fact</t>
        </is>
      </c>
      <c r="D1040" s="2" t="inlineStr">
        <is>
          <t>Business fact</t>
        </is>
      </c>
      <c r="E1040" s="2" t="n"/>
      <c r="F1040" s="2" t="n"/>
      <c r="G1040" s="2" t="n"/>
      <c r="H1040" s="3" t="inlineStr">
        <is>
          <t>Inventories EUR 100.2m (97.1m) and trade and other receivables 84.4m (100.6m) at 30 June 2026; receivables down on seasonal effects.</t>
        </is>
      </c>
      <c r="I1040" s="2" t="inlineStr">
        <is>
          <t>S5</t>
        </is>
      </c>
      <c r="J1040" s="2" t="n">
        <v>31</v>
      </c>
      <c r="K1040" s="3" t="inlineStr">
        <is>
          <t>Inventories 5.2 100.2 97.1 Trade and other receivables 5.5 84.4 100.6</t>
        </is>
      </c>
      <c r="L1040" s="2" t="inlineStr">
        <is>
          <t>ok</t>
        </is>
      </c>
      <c r="M1040" s="2" t="inlineStr">
        <is>
          <t>demo reviewer</t>
        </is>
      </c>
      <c r="N1040" s="2" t="n"/>
      <c r="O1040" s="3" t="inlineStr">
        <is>
          <t>https://vanillabonds.com/dossier-data/pdf/katjes/katjes-h1-2026-interim-report.pdf#page=31</t>
        </is>
      </c>
    </row>
    <row r="1041">
      <c r="A1041" s="2" t="inlineStr">
        <is>
          <t>F1040</t>
        </is>
      </c>
      <c r="B1041" s="2" t="inlineStr">
        <is>
          <t>business</t>
        </is>
      </c>
      <c r="C1041" s="2" t="inlineStr">
        <is>
          <t>business_fact</t>
        </is>
      </c>
      <c r="D1041" s="2" t="inlineStr">
        <is>
          <t>Business fact</t>
        </is>
      </c>
      <c r="E1041" s="2" t="n"/>
      <c r="F1041" s="2" t="n"/>
      <c r="G1041" s="2" t="n"/>
      <c r="H1041" s="3" t="inlineStr">
        <is>
          <t>Non-current financial liabilities EUR 325.7m (278.5m) and current financial liabilities 91.0m (74.3m) at 30 June 2026, both including IFRS 16 leases and option liabilities.</t>
        </is>
      </c>
      <c r="I1041" s="2" t="inlineStr">
        <is>
          <t>S5</t>
        </is>
      </c>
      <c r="J1041" s="2" t="n">
        <v>32</v>
      </c>
      <c r="K1041" s="3" t="inlineStr">
        <is>
          <t>Interest-bearing and non-interest-bearing financial liabilities 5.4/5.5 325.7 278.5</t>
        </is>
      </c>
      <c r="L1041" s="2" t="inlineStr">
        <is>
          <t>ok</t>
        </is>
      </c>
      <c r="M1041" s="2" t="inlineStr">
        <is>
          <t>demo reviewer</t>
        </is>
      </c>
      <c r="N1041" s="2" t="n"/>
      <c r="O1041" s="3" t="inlineStr">
        <is>
          <t>https://vanillabonds.com/dossier-data/pdf/katjes/katjes-h1-2026-interim-report.pdf#page=32</t>
        </is>
      </c>
    </row>
    <row r="1042">
      <c r="A1042" s="2" t="inlineStr">
        <is>
          <t>F1041</t>
        </is>
      </c>
      <c r="B1042" s="2" t="inlineStr">
        <is>
          <t>business</t>
        </is>
      </c>
      <c r="C1042" s="2" t="inlineStr">
        <is>
          <t>business_fact</t>
        </is>
      </c>
      <c r="D1042" s="2" t="inlineStr">
        <is>
          <t>Business fact</t>
        </is>
      </c>
      <c r="E1042" s="2" t="n"/>
      <c r="F1042" s="2" t="n"/>
      <c r="G1042" s="2" t="n"/>
      <c r="H1042" s="3" t="inlineStr">
        <is>
          <t>Current provisions fell to EUR 16.9m (31 Dec 2025: 33.5m) through utilisation; trade payables and other liabilities 79.6m (84.1m).</t>
        </is>
      </c>
      <c r="I1042" s="2" t="inlineStr">
        <is>
          <t>S5</t>
        </is>
      </c>
      <c r="J1042" s="2" t="n">
        <v>32</v>
      </c>
      <c r="K1042" s="2" t="inlineStr">
        <is>
          <t>Provisions 16.9 33.5</t>
        </is>
      </c>
      <c r="L1042" s="2" t="inlineStr">
        <is>
          <t>ok</t>
        </is>
      </c>
      <c r="M1042" s="2" t="inlineStr">
        <is>
          <t>demo reviewer</t>
        </is>
      </c>
      <c r="N1042" s="2" t="n"/>
      <c r="O1042" s="3" t="inlineStr">
        <is>
          <t>https://vanillabonds.com/dossier-data/pdf/katjes/katjes-h1-2026-interim-report.pdf#page=32</t>
        </is>
      </c>
    </row>
    <row r="1043">
      <c r="A1043" s="2" t="inlineStr">
        <is>
          <t>F1042</t>
        </is>
      </c>
      <c r="B1043" s="2" t="inlineStr">
        <is>
          <t>business</t>
        </is>
      </c>
      <c r="C1043" s="2" t="inlineStr">
        <is>
          <t>business_fact</t>
        </is>
      </c>
      <c r="D1043" s="2" t="inlineStr">
        <is>
          <t>Business fact</t>
        </is>
      </c>
      <c r="E1043" s="2" t="n"/>
      <c r="F1043" s="2" t="n"/>
      <c r="G1043" s="2" t="n"/>
      <c r="H1043" s="3" t="inlineStr">
        <is>
          <t>Non-current liabilities EUR 404.8m (349.4m) and current liabilities 191.0m (196.0m) at 30 June 2026; total liabilities 595.8m (545.4m).</t>
        </is>
      </c>
      <c r="I1043" s="2" t="inlineStr">
        <is>
          <t>S5</t>
        </is>
      </c>
      <c r="J1043" s="2" t="n">
        <v>32</v>
      </c>
      <c r="K1043" s="2" t="inlineStr">
        <is>
          <t>Total liabilities 595.8 545.4</t>
        </is>
      </c>
      <c r="L1043" s="2" t="inlineStr">
        <is>
          <t>ok</t>
        </is>
      </c>
      <c r="M1043" s="2" t="inlineStr">
        <is>
          <t>demo reviewer</t>
        </is>
      </c>
      <c r="N1043" s="2" t="n"/>
      <c r="O1043" s="3" t="inlineStr">
        <is>
          <t>https://vanillabonds.com/dossier-data/pdf/katjes/katjes-h1-2026-interim-report.pdf#page=32</t>
        </is>
      </c>
    </row>
    <row r="1044">
      <c r="A1044" s="2" t="inlineStr">
        <is>
          <t>F1043</t>
        </is>
      </c>
      <c r="B1044" s="2" t="inlineStr">
        <is>
          <t>business</t>
        </is>
      </c>
      <c r="C1044" s="2" t="inlineStr">
        <is>
          <t>business_fact</t>
        </is>
      </c>
      <c r="D1044" s="2" t="inlineStr">
        <is>
          <t>Business fact</t>
        </is>
      </c>
      <c r="E1044" s="2" t="n"/>
      <c r="F1044" s="2" t="n"/>
      <c r="G1044" s="2" t="n"/>
      <c r="H1044" s="3" t="inlineStr">
        <is>
          <t>Cash flow from investing activities H1-2026 EUR -96.4m (H1-2025: -7.0m), mainly purchase prices for Graze and Missoni.</t>
        </is>
      </c>
      <c r="I1044" s="2" t="inlineStr">
        <is>
          <t>S5</t>
        </is>
      </c>
      <c r="J1044" s="2" t="n">
        <v>34</v>
      </c>
      <c r="K1044" s="3" t="inlineStr">
        <is>
          <t>Cash flow from investing activities -96.4 -7.0</t>
        </is>
      </c>
      <c r="L1044" s="2" t="inlineStr">
        <is>
          <t>ok</t>
        </is>
      </c>
      <c r="M1044" s="2" t="inlineStr">
        <is>
          <t>demo reviewer</t>
        </is>
      </c>
      <c r="N1044" s="2" t="n"/>
      <c r="O1044" s="3" t="inlineStr">
        <is>
          <t>https://vanillabonds.com/dossier-data/pdf/katjes/katjes-h1-2026-interim-report.pdf#page=34</t>
        </is>
      </c>
    </row>
    <row r="1045">
      <c r="A1045" s="2" t="inlineStr">
        <is>
          <t>F1044</t>
        </is>
      </c>
      <c r="B1045" s="2" t="inlineStr">
        <is>
          <t>business</t>
        </is>
      </c>
      <c r="C1045" s="2" t="inlineStr">
        <is>
          <t>business_fact</t>
        </is>
      </c>
      <c r="D1045" s="2" t="inlineStr">
        <is>
          <t>Business fact</t>
        </is>
      </c>
      <c r="E1045" s="2" t="n"/>
      <c r="F1045" s="2" t="n"/>
      <c r="G1045" s="2" t="n"/>
      <c r="H1045" s="3" t="inlineStr">
        <is>
          <t>Investing cash flows H1-2026: acquisition of financial assets -55.8 (Missoni stake) and acquisition of subsidiaries net of cash acquired -32.3.</t>
        </is>
      </c>
      <c r="I1045" s="2" t="inlineStr">
        <is>
          <t>S5</t>
        </is>
      </c>
      <c r="J1045" s="2" t="n">
        <v>34</v>
      </c>
      <c r="K1045" s="3" t="inlineStr">
        <is>
          <t>Acquisition of financial assets -55.8 0.0 Acquisition of subsidiaries, net of cash acquired -32.3 0.0</t>
        </is>
      </c>
      <c r="L1045" s="2" t="inlineStr">
        <is>
          <t>ok</t>
        </is>
      </c>
      <c r="M1045" s="2" t="inlineStr">
        <is>
          <t>demo reviewer</t>
        </is>
      </c>
      <c r="N1045" s="2" t="n"/>
      <c r="O1045" s="3" t="inlineStr">
        <is>
          <t>https://vanillabonds.com/dossier-data/pdf/katjes/katjes-h1-2026-interim-report.pdf#page=34</t>
        </is>
      </c>
    </row>
    <row r="1046">
      <c r="A1046" s="2" t="inlineStr">
        <is>
          <t>F1045</t>
        </is>
      </c>
      <c r="B1046" s="2" t="inlineStr">
        <is>
          <t>business</t>
        </is>
      </c>
      <c r="C1046" s="2" t="inlineStr">
        <is>
          <t>business_fact</t>
        </is>
      </c>
      <c r="D1046" s="2" t="inlineStr">
        <is>
          <t>Business fact</t>
        </is>
      </c>
      <c r="E1046" s="2" t="n"/>
      <c r="F1046" s="2" t="n"/>
      <c r="G1046" s="2" t="n"/>
      <c r="H1046" s="3" t="inlineStr">
        <is>
          <t>Cash flow from financing activities H1-2026 EUR 22.6m (H1-2025: 1.2m): bond tap 14.8 net, loan proceeds 28.2, lease installments -10.8, interest paid -9.6.</t>
        </is>
      </c>
      <c r="I1046" s="2" t="inlineStr">
        <is>
          <t>S5</t>
        </is>
      </c>
      <c r="J1046" s="2" t="n">
        <v>34</v>
      </c>
      <c r="K1046" s="3" t="inlineStr">
        <is>
          <t>Cash flow from financing activities 22.6 1.2</t>
        </is>
      </c>
      <c r="L1046" s="2" t="inlineStr">
        <is>
          <t>ok</t>
        </is>
      </c>
      <c r="M1046" s="2" t="inlineStr">
        <is>
          <t>demo reviewer</t>
        </is>
      </c>
      <c r="N1046" s="2" t="n"/>
      <c r="O1046" s="3" t="inlineStr">
        <is>
          <t>https://vanillabonds.com/dossier-data/pdf/katjes/katjes-h1-2026-interim-report.pdf#page=34</t>
        </is>
      </c>
    </row>
    <row r="1047">
      <c r="A1047" s="2" t="inlineStr">
        <is>
          <t>F1046</t>
        </is>
      </c>
      <c r="B1047" s="2" t="inlineStr">
        <is>
          <t>business</t>
        </is>
      </c>
      <c r="C1047" s="2" t="inlineStr">
        <is>
          <t>business_fact</t>
        </is>
      </c>
      <c r="D1047" s="2" t="inlineStr">
        <is>
          <t>Business fact</t>
        </is>
      </c>
      <c r="E1047" s="2" t="n"/>
      <c r="F1047" s="2" t="n"/>
      <c r="G1047" s="2" t="n"/>
      <c r="H1047" s="3" t="inlineStr">
        <is>
          <t>Net proceeds from loans H1-2026 EUR 28.2m (H1-2025: 9.9m).</t>
        </is>
      </c>
      <c r="I1047" s="2" t="inlineStr">
        <is>
          <t>S5</t>
        </is>
      </c>
      <c r="J1047" s="2" t="n">
        <v>34</v>
      </c>
      <c r="K1047" s="3" t="inlineStr">
        <is>
          <t>Proceeds from repayments/payments from loans 28.2 9.9</t>
        </is>
      </c>
      <c r="L1047" s="2" t="inlineStr">
        <is>
          <t>ok</t>
        </is>
      </c>
      <c r="M1047" s="2" t="inlineStr">
        <is>
          <t>demo reviewer</t>
        </is>
      </c>
      <c r="N1047" s="2" t="n"/>
      <c r="O1047" s="3" t="inlineStr">
        <is>
          <t>https://vanillabonds.com/dossier-data/pdf/katjes/katjes-h1-2026-interim-report.pdf#page=34</t>
        </is>
      </c>
    </row>
    <row r="1048">
      <c r="A1048" s="2" t="inlineStr">
        <is>
          <t>F1047</t>
        </is>
      </c>
      <c r="B1048" s="2" t="inlineStr">
        <is>
          <t>business</t>
        </is>
      </c>
      <c r="C1048" s="2" t="inlineStr">
        <is>
          <t>business_fact</t>
        </is>
      </c>
      <c r="D1048" s="2" t="inlineStr">
        <is>
          <t>Business fact</t>
        </is>
      </c>
      <c r="E1048" s="2" t="n"/>
      <c r="F1048" s="2" t="n"/>
      <c r="G1048" s="2" t="n"/>
      <c r="H1048" s="3" t="inlineStr">
        <is>
          <t>Interest paid H1-2026 EUR 9.6m (H1-2025: 6.1m); leasing installments paid 10.8m (2.6m).</t>
        </is>
      </c>
      <c r="I1048" s="2" t="inlineStr">
        <is>
          <t>S5</t>
        </is>
      </c>
      <c r="J1048" s="2" t="n">
        <v>34</v>
      </c>
      <c r="K1048" s="3" t="inlineStr">
        <is>
          <t>Payment of leasing installments -10.8 -2.6 Interest paid -9.6 -6.1</t>
        </is>
      </c>
      <c r="L1048" s="2" t="inlineStr">
        <is>
          <t>ok</t>
        </is>
      </c>
      <c r="M1048" s="2" t="inlineStr">
        <is>
          <t>demo reviewer</t>
        </is>
      </c>
      <c r="N1048" s="2" t="n"/>
      <c r="O1048" s="3" t="inlineStr">
        <is>
          <t>https://vanillabonds.com/dossier-data/pdf/katjes/katjes-h1-2026-interim-report.pdf#page=34</t>
        </is>
      </c>
    </row>
    <row r="1049">
      <c r="A1049" s="2" t="inlineStr">
        <is>
          <t>F1048</t>
        </is>
      </c>
      <c r="B1049" s="2" t="inlineStr">
        <is>
          <t>business</t>
        </is>
      </c>
      <c r="C1049" s="2" t="inlineStr">
        <is>
          <t>business_fact</t>
        </is>
      </c>
      <c r="D1049" s="2" t="inlineStr">
        <is>
          <t>Business fact</t>
        </is>
      </c>
      <c r="E1049" s="2" t="n"/>
      <c r="F1049" s="2" t="n"/>
      <c r="G1049" s="2" t="n"/>
      <c r="H1049" s="3" t="inlineStr">
        <is>
          <t>Cash decreased by EUR 72.7m in H1-2026 (H1-2025: -15.6m), from 146.8 to 74.1.</t>
        </is>
      </c>
      <c r="I1049" s="2" t="inlineStr">
        <is>
          <t>S5</t>
        </is>
      </c>
      <c r="J1049" s="2" t="n">
        <v>34</v>
      </c>
      <c r="K1049" s="3" t="inlineStr">
        <is>
          <t>Change in cash and cash equivalents -72.7 -15.6</t>
        </is>
      </c>
      <c r="L1049" s="2" t="inlineStr">
        <is>
          <t>ok</t>
        </is>
      </c>
      <c r="M1049" s="2" t="inlineStr">
        <is>
          <t>demo reviewer</t>
        </is>
      </c>
      <c r="N1049" s="2" t="n"/>
      <c r="O1049" s="3" t="inlineStr">
        <is>
          <t>https://vanillabonds.com/dossier-data/pdf/katjes/katjes-h1-2026-interim-report.pdf#page=34</t>
        </is>
      </c>
    </row>
    <row r="1050">
      <c r="A1050" s="2" t="inlineStr">
        <is>
          <t>F1049</t>
        </is>
      </c>
      <c r="B1050" s="2" t="inlineStr">
        <is>
          <t>business</t>
        </is>
      </c>
      <c r="C1050" s="2" t="inlineStr">
        <is>
          <t>business_fact</t>
        </is>
      </c>
      <c r="D1050" s="2" t="inlineStr">
        <is>
          <t>Business fact</t>
        </is>
      </c>
      <c r="E1050" s="2" t="n"/>
      <c r="F1050" s="2" t="n"/>
      <c r="G1050" s="2" t="n"/>
      <c r="H1050" s="3" t="inlineStr">
        <is>
          <t>Graze (Nature Delivered Ltd.) generated revenue of about GBP 35m in 2025 and was profitable.</t>
        </is>
      </c>
      <c r="I1050" s="2" t="inlineStr">
        <is>
          <t>S5</t>
        </is>
      </c>
      <c r="J1050" s="2" t="n">
        <v>38</v>
      </c>
      <c r="K1050" s="3" t="inlineStr">
        <is>
          <t>The Company generated revenue of approximately GBP 35 mil- lion in the financial year 2025 and was profitable.</t>
        </is>
      </c>
      <c r="L1050" s="2" t="inlineStr">
        <is>
          <t>ok</t>
        </is>
      </c>
      <c r="M1050" s="2" t="inlineStr">
        <is>
          <t>demo reviewer</t>
        </is>
      </c>
      <c r="N1050" s="2" t="n"/>
      <c r="O1050" s="3" t="inlineStr">
        <is>
          <t>https://vanillabonds.com/dossier-data/pdf/katjes/katjes-h1-2026-interim-report.pdf#page=38</t>
        </is>
      </c>
    </row>
    <row r="1051">
      <c r="A1051" s="2" t="inlineStr">
        <is>
          <t>F1050</t>
        </is>
      </c>
      <c r="B1051" s="2" t="inlineStr">
        <is>
          <t>business</t>
        </is>
      </c>
      <c r="C1051" s="2" t="inlineStr">
        <is>
          <t>business_fact</t>
        </is>
      </c>
      <c r="D1051" s="2" t="inlineStr">
        <is>
          <t>Business fact</t>
        </is>
      </c>
      <c r="E1051" s="2" t="n"/>
      <c r="F1051" s="2" t="n"/>
      <c r="G1051" s="2" t="n"/>
      <c r="H1051" s="3" t="inlineStr">
        <is>
          <t>Group holds about 45% in Bogner GCA Holding PTE. Ltd., Singapore, and 27.3% in Missoni S.p.A. since May 2026, both at equity; carrying amount of equity investments 55.9 (additions 50.1, result 1.5).</t>
        </is>
      </c>
      <c r="I1051" s="2" t="inlineStr">
        <is>
          <t>S5</t>
        </is>
      </c>
      <c r="J1051" s="2" t="n">
        <v>41</v>
      </c>
      <c r="K1051" s="3" t="inlineStr">
        <is>
          <t>Carrying amount as at January 1, 2026 4.3 Additions 50.1 Result for the period 1.5 Carrying amount as at June 30, 2026 55.9</t>
        </is>
      </c>
      <c r="L1051" s="2" t="inlineStr">
        <is>
          <t>ok</t>
        </is>
      </c>
      <c r="M1051" s="2" t="inlineStr">
        <is>
          <t>demo reviewer</t>
        </is>
      </c>
      <c r="N1051" s="2" t="n"/>
      <c r="O1051" s="3" t="inlineStr">
        <is>
          <t>https://vanillabonds.com/dossier-data/pdf/katjes/katjes-h1-2026-interim-report.pdf#page=41</t>
        </is>
      </c>
    </row>
    <row r="1052">
      <c r="A1052" s="2" t="inlineStr">
        <is>
          <t>F1051</t>
        </is>
      </c>
      <c r="B1052" s="2" t="inlineStr">
        <is>
          <t>business</t>
        </is>
      </c>
      <c r="C1052" s="2" t="inlineStr">
        <is>
          <t>business_fact</t>
        </is>
      </c>
      <c r="D1052" s="2" t="inlineStr">
        <is>
          <t>Business fact</t>
        </is>
      </c>
      <c r="E1052" s="2" t="n"/>
      <c r="F1052" s="2" t="n"/>
      <c r="G1052" s="2" t="n"/>
      <c r="H1052" s="3" t="inlineStr">
        <is>
          <t>Missoni call option carried at EUR 7.6m (FV PL), valued with Black-Scholes at about 35% volatility and a 2.3% risk-free rate.</t>
        </is>
      </c>
      <c r="I1052" s="2" t="inlineStr">
        <is>
          <t>S5</t>
        </is>
      </c>
      <c r="J1052" s="2" t="n">
        <v>43</v>
      </c>
      <c r="K1052" s="3" t="inlineStr">
        <is>
          <t>The call option to acquire additional shares in Missoni was valued using the Black-Scholes model, based on an expec- ted volatility of approximately 35% and a risk-free interest rate of 2.3%.</t>
        </is>
      </c>
      <c r="L1052" s="2" t="inlineStr">
        <is>
          <t>ok</t>
        </is>
      </c>
      <c r="M1052" s="2" t="inlineStr">
        <is>
          <t>demo reviewer</t>
        </is>
      </c>
      <c r="N1052" s="2" t="n"/>
      <c r="O1052" s="3" t="inlineStr">
        <is>
          <t>https://vanillabonds.com/dossier-data/pdf/katjes/katjes-h1-2026-interim-report.pdf#page=43</t>
        </is>
      </c>
    </row>
    <row r="1053">
      <c r="A1053" s="2" t="inlineStr">
        <is>
          <t>F1052</t>
        </is>
      </c>
      <c r="B1053" s="2" t="inlineStr">
        <is>
          <t>business</t>
        </is>
      </c>
      <c r="C1053" s="2" t="inlineStr">
        <is>
          <t>business_fact</t>
        </is>
      </c>
      <c r="D1053" s="2" t="inlineStr">
        <is>
          <t>Business fact</t>
        </is>
      </c>
      <c r="E1053" s="2" t="n"/>
      <c r="F1053" s="2" t="n"/>
      <c r="G1053" s="2" t="n"/>
      <c r="H1053" s="3" t="inlineStr">
        <is>
          <t>Hedging reserve EUR 0.7m at 30 June 2026; derivatives show positive market values of 0.7 and negative of 0.6; hedges were re-designated on the Bogner acquisition.</t>
        </is>
      </c>
      <c r="I1053" s="2" t="inlineStr">
        <is>
          <t>S5</t>
        </is>
      </c>
      <c r="J1053" s="2" t="n">
        <v>44</v>
      </c>
      <c r="K1053" s="3" t="inlineStr">
        <is>
          <t>At the balance sheet date, the hedging reserve amounted to EUR 0.7 million.</t>
        </is>
      </c>
      <c r="L1053" s="2" t="inlineStr">
        <is>
          <t>ok</t>
        </is>
      </c>
      <c r="M1053" s="2" t="inlineStr">
        <is>
          <t>demo reviewer</t>
        </is>
      </c>
      <c r="N1053" s="2" t="n"/>
      <c r="O1053" s="3" t="inlineStr">
        <is>
          <t>https://vanillabonds.com/dossier-data/pdf/katjes/katjes-h1-2026-interim-report.pdf#page=44</t>
        </is>
      </c>
    </row>
    <row r="1054">
      <c r="A1054" s="2" t="inlineStr">
        <is>
          <t>F1053</t>
        </is>
      </c>
      <c r="B1054" s="2" t="inlineStr">
        <is>
          <t>business</t>
        </is>
      </c>
      <c r="C1054" s="2" t="inlineStr">
        <is>
          <t>key_event</t>
        </is>
      </c>
      <c r="D1054" s="2" t="inlineStr">
        <is>
          <t>Key event (M&amp;A, financing, strategy)</t>
        </is>
      </c>
      <c r="E1054" s="2" t="n"/>
      <c r="F1054" s="2" t="n"/>
      <c r="G1054" s="2" t="n"/>
      <c r="H1054" s="3" t="inlineStr">
        <is>
          <t>Graze acquisition included taking over the London production site (February 2026).</t>
        </is>
      </c>
      <c r="I1054" s="2" t="inlineStr">
        <is>
          <t>S5</t>
        </is>
      </c>
      <c r="J1054" s="2" t="n">
        <v>4</v>
      </c>
      <c r="K1054" s="3" t="inlineStr">
        <is>
          <t>brand portfolio while also taking over the London production site.</t>
        </is>
      </c>
      <c r="L1054" s="2" t="inlineStr">
        <is>
          <t>ok</t>
        </is>
      </c>
      <c r="M1054" s="2" t="inlineStr">
        <is>
          <t>demo reviewer</t>
        </is>
      </c>
      <c r="N1054" s="2" t="n"/>
      <c r="O1054" s="3" t="inlineStr">
        <is>
          <t>https://vanillabonds.com/dossier-data/pdf/katjes/katjes-h1-2026-interim-report.pdf#page=4</t>
        </is>
      </c>
    </row>
    <row r="1055">
      <c r="A1055" s="2" t="inlineStr">
        <is>
          <t>F1054</t>
        </is>
      </c>
      <c r="B1055" s="2" t="inlineStr">
        <is>
          <t>business</t>
        </is>
      </c>
      <c r="C1055" s="2" t="inlineStr">
        <is>
          <t>key_event</t>
        </is>
      </c>
      <c r="D1055" s="2" t="inlineStr">
        <is>
          <t>Key event (M&amp;A, financing, strategy)</t>
        </is>
      </c>
      <c r="E1055" s="2" t="n"/>
      <c r="F1055" s="2" t="n"/>
      <c r="G1055" s="2" t="n"/>
      <c r="H1055" s="3" t="inlineStr">
        <is>
          <t>Treets converted its product portfolio to 100% vegan in spring 2026 and launched Pretzel Bites and Minions-licensed Treets Buttons.</t>
        </is>
      </c>
      <c r="I1055" s="2" t="inlineStr">
        <is>
          <t>S5</t>
        </is>
      </c>
      <c r="J1055" s="2" t="n">
        <v>9</v>
      </c>
      <c r="K1055" s="3" t="inlineStr">
        <is>
          <t>in spring 2026, Treets will convert its product portfolio to 100% vegan.</t>
        </is>
      </c>
      <c r="L1055" s="2" t="inlineStr">
        <is>
          <t>ok</t>
        </is>
      </c>
      <c r="M1055" s="2" t="inlineStr">
        <is>
          <t>demo reviewer</t>
        </is>
      </c>
      <c r="N1055" s="2" t="n"/>
      <c r="O1055" s="3" t="inlineStr">
        <is>
          <t>https://vanillabonds.com/dossier-data/pdf/katjes/katjes-h1-2026-interim-report.pdf#page=9</t>
        </is>
      </c>
    </row>
    <row r="1056">
      <c r="A1056" s="2" t="inlineStr">
        <is>
          <t>F1055</t>
        </is>
      </c>
      <c r="B1056" s="2" t="inlineStr">
        <is>
          <t>business</t>
        </is>
      </c>
      <c r="C1056" s="2" t="inlineStr">
        <is>
          <t>key_event</t>
        </is>
      </c>
      <c r="D1056" s="2" t="inlineStr">
        <is>
          <t>Key event (M&amp;A, financing, strategy)</t>
        </is>
      </c>
      <c r="E1056" s="2" t="n"/>
      <c r="F1056" s="2" t="n"/>
      <c r="G1056" s="2" t="n"/>
      <c r="H1056" s="3" t="inlineStr">
        <is>
          <t>Shirin Beauty expanded its drugstore bodycare line with a new line in June 2026; over six million products sold one year after launch.</t>
        </is>
      </c>
      <c r="I1056" s="2" t="inlineStr">
        <is>
          <t>S5</t>
        </is>
      </c>
      <c r="J1056" s="2" t="n">
        <v>12</v>
      </c>
      <c r="K1056" s="3" t="inlineStr">
        <is>
          <t>With more than six million products sold and its position as the market leader in the body oil category (excluding private labels),</t>
        </is>
      </c>
      <c r="L1056" s="2" t="inlineStr">
        <is>
          <t>ok</t>
        </is>
      </c>
      <c r="M1056" s="2" t="inlineStr">
        <is>
          <t>demo reviewer</t>
        </is>
      </c>
      <c r="N1056" s="2" t="n"/>
      <c r="O1056" s="3" t="inlineStr">
        <is>
          <t>https://vanillabonds.com/dossier-data/pdf/katjes/katjes-h1-2026-interim-report.pdf#page=12</t>
        </is>
      </c>
    </row>
    <row r="1057">
      <c r="A1057" s="2" t="inlineStr">
        <is>
          <t>F1056</t>
        </is>
      </c>
      <c r="B1057" s="2" t="inlineStr">
        <is>
          <t>business</t>
        </is>
      </c>
      <c r="C1057" s="2" t="inlineStr">
        <is>
          <t>key_event</t>
        </is>
      </c>
      <c r="D1057" s="2" t="inlineStr">
        <is>
          <t>Key event (M&amp;A, financing, strategy)</t>
        </is>
      </c>
      <c r="E1057" s="2" t="n"/>
      <c r="F1057" s="2" t="n"/>
      <c r="G1057" s="2" t="n"/>
      <c r="H1057" s="3" t="inlineStr">
        <is>
          <t>After the Graze acquisition a strategy sprint was launched to relaunch the brand within 6 months, covering the whole marketing mix.</t>
        </is>
      </c>
      <c r="I1057" s="2" t="inlineStr">
        <is>
          <t>S5</t>
        </is>
      </c>
      <c r="J1057" s="2" t="n">
        <v>13</v>
      </c>
      <c r="K1057" s="3" t="inlineStr">
        <is>
          <t>Following the acquisition, a strategy sprint was launched to relaunch the brand within 6 months.</t>
        </is>
      </c>
      <c r="L1057" s="2" t="inlineStr">
        <is>
          <t>ok</t>
        </is>
      </c>
      <c r="M1057" s="2" t="inlineStr">
        <is>
          <t>demo reviewer</t>
        </is>
      </c>
      <c r="N1057" s="2" t="n"/>
      <c r="O1057" s="3" t="inlineStr">
        <is>
          <t>https://vanillabonds.com/dossier-data/pdf/katjes/katjes-h1-2026-interim-report.pdf#page=13</t>
        </is>
      </c>
    </row>
    <row r="1058">
      <c r="A1058" s="2" t="inlineStr">
        <is>
          <t>F1057</t>
        </is>
      </c>
      <c r="B1058" s="2" t="inlineStr">
        <is>
          <t>business</t>
        </is>
      </c>
      <c r="C1058" s="2" t="inlineStr">
        <is>
          <t>key_event</t>
        </is>
      </c>
      <c r="D1058" s="2" t="inlineStr">
        <is>
          <t>Key event (M&amp;A, financing, strategy)</t>
        </is>
      </c>
      <c r="E1058" s="2" t="n"/>
      <c r="F1058" s="2" t="n"/>
      <c r="G1058" s="2" t="n"/>
      <c r="H1058" s="3" t="inlineStr">
        <is>
          <t>Shades 'Find A Football, Get A Goal' promotion: 2.5 million promotional packs sold out in under 6 weeks.</t>
        </is>
      </c>
      <c r="I1058" s="2" t="inlineStr">
        <is>
          <t>S5</t>
        </is>
      </c>
      <c r="J1058" s="2" t="n">
        <v>14</v>
      </c>
      <c r="K1058" s="3" t="inlineStr">
        <is>
          <t>promotional packs sold out in under 6 weeks.</t>
        </is>
      </c>
      <c r="L1058" s="2" t="inlineStr">
        <is>
          <t>ok</t>
        </is>
      </c>
      <c r="M1058" s="2" t="inlineStr">
        <is>
          <t>demo reviewer</t>
        </is>
      </c>
      <c r="N1058" s="2" t="n"/>
      <c r="O1058" s="3" t="inlineStr">
        <is>
          <t>https://vanillabonds.com/dossier-data/pdf/katjes/katjes-h1-2026-interim-report.pdf#page=14</t>
        </is>
      </c>
    </row>
    <row r="1059">
      <c r="A1059" s="2" t="inlineStr">
        <is>
          <t>F1058</t>
        </is>
      </c>
      <c r="B1059" s="2" t="inlineStr">
        <is>
          <t>business</t>
        </is>
      </c>
      <c r="C1059" s="2" t="inlineStr">
        <is>
          <t>key_event</t>
        </is>
      </c>
      <c r="D1059" s="2" t="inlineStr">
        <is>
          <t>Key event (M&amp;A, financing, strategy)</t>
        </is>
      </c>
      <c r="E1059" s="2" t="n"/>
      <c r="F1059" s="2" t="n"/>
      <c r="G1059" s="2" t="n"/>
      <c r="H1059" s="3" t="inlineStr">
        <is>
          <t>Bogner's China business is pursued as a joint venture with Bosideng, described by the company as the world's largest manufacturer of down jackets.</t>
        </is>
      </c>
      <c r="I1059" s="2" t="inlineStr">
        <is>
          <t>S5</t>
        </is>
      </c>
      <c r="J1059" s="2" t="n">
        <v>15</v>
      </c>
      <c r="K1059" s="3" t="inlineStr">
        <is>
          <t>The China business is being pursued as a joint venture together with Bosideng, the world's largest manufacturer of down jackets.</t>
        </is>
      </c>
      <c r="L1059" s="2" t="inlineStr">
        <is>
          <t>ok</t>
        </is>
      </c>
      <c r="M1059" s="2" t="inlineStr">
        <is>
          <t>demo reviewer</t>
        </is>
      </c>
      <c r="N1059" s="2" t="n"/>
      <c r="O1059" s="3" t="inlineStr">
        <is>
          <t>https://vanillabonds.com/dossier-data/pdf/katjes/katjes-h1-2026-interim-report.pdf#page=15</t>
        </is>
      </c>
    </row>
    <row r="1060">
      <c r="A1060" s="2" t="inlineStr">
        <is>
          <t>F1059</t>
        </is>
      </c>
      <c r="B1060" s="2" t="inlineStr">
        <is>
          <t>business</t>
        </is>
      </c>
      <c r="C1060" s="2" t="inlineStr">
        <is>
          <t>key_event</t>
        </is>
      </c>
      <c r="D1060" s="2" t="inlineStr">
        <is>
          <t>Key event (M&amp;A, financing, strategy)</t>
        </is>
      </c>
      <c r="E1060" s="2" t="n"/>
      <c r="F1060" s="2" t="n"/>
      <c r="G1060" s="2" t="n"/>
      <c r="H1060" s="3" t="inlineStr">
        <is>
          <t>Bogner is developing a new mono-brand store design with architect Matteo Thun (H1-2026).</t>
        </is>
      </c>
      <c r="I1060" s="2" t="inlineStr">
        <is>
          <t>S5</t>
        </is>
      </c>
      <c r="J1060" s="2" t="n">
        <v>15</v>
      </c>
      <c r="K1060" s="3" t="inlineStr">
        <is>
          <t>Together with the renowned architect and designer Matteo Thun, BOGNER is developing a new store design for the mono- brand stores</t>
        </is>
      </c>
      <c r="L1060" s="2" t="inlineStr">
        <is>
          <t>ok</t>
        </is>
      </c>
      <c r="M1060" s="2" t="inlineStr">
        <is>
          <t>demo reviewer</t>
        </is>
      </c>
      <c r="N1060" s="2" t="n"/>
      <c r="O1060" s="3" t="inlineStr">
        <is>
          <t>https://vanillabonds.com/dossier-data/pdf/katjes/katjes-h1-2026-interim-report.pdf#page=15</t>
        </is>
      </c>
    </row>
    <row r="1061">
      <c r="A1061" s="2" t="inlineStr">
        <is>
          <t>F1060</t>
        </is>
      </c>
      <c r="B1061" s="2" t="inlineStr">
        <is>
          <t>business</t>
        </is>
      </c>
      <c r="C1061" s="2" t="inlineStr">
        <is>
          <t>key_event</t>
        </is>
      </c>
      <c r="D1061" s="2" t="inlineStr">
        <is>
          <t>Key event (M&amp;A, financing, strategy)</t>
        </is>
      </c>
      <c r="E1061" s="2" t="n"/>
      <c r="F1061" s="2" t="n"/>
      <c r="G1061" s="2" t="n"/>
      <c r="H1061" s="3" t="inlineStr">
        <is>
          <t>Joint venture Shirin Beauty with musician Shirin David established 2024 (50%); joint venture Shades Snacks with YouTuber Niko Omilana in the UK (49%); both distributing since Q2 2025.</t>
        </is>
      </c>
      <c r="I1061" s="2" t="inlineStr">
        <is>
          <t>S5</t>
        </is>
      </c>
      <c r="J1061" s="2" t="n">
        <v>18</v>
      </c>
      <c r="K1061" s="3" t="inlineStr">
        <is>
          <t>In 2024, a joint venture was established with entrepreneur and musician Shirin David, in which Katjes International holds 50%.</t>
        </is>
      </c>
      <c r="L1061" s="2" t="inlineStr">
        <is>
          <t>ok</t>
        </is>
      </c>
      <c r="M1061" s="2" t="inlineStr">
        <is>
          <t>demo reviewer</t>
        </is>
      </c>
      <c r="N1061" s="2" t="n"/>
      <c r="O1061" s="3" t="inlineStr">
        <is>
          <t>https://vanillabonds.com/dossier-data/pdf/katjes/katjes-h1-2026-interim-report.pdf#page=18</t>
        </is>
      </c>
    </row>
    <row r="1062">
      <c r="A1062" s="2" t="inlineStr">
        <is>
          <t>F1061</t>
        </is>
      </c>
      <c r="B1062" s="2" t="inlineStr">
        <is>
          <t>business</t>
        </is>
      </c>
      <c r="C1062" s="2" t="inlineStr">
        <is>
          <t>key_event</t>
        </is>
      </c>
      <c r="D1062" s="2" t="inlineStr">
        <is>
          <t>Key event (M&amp;A, financing, strategy)</t>
        </is>
      </c>
      <c r="E1062" s="2" t="n"/>
      <c r="F1062" s="2" t="n">
        <v>200</v>
      </c>
      <c r="G1062" s="2" t="n"/>
      <c r="H1062" s="3" t="inlineStr">
        <is>
          <t>In connection with the Missoni transaction the existing corporate bond was increased by EUR 15m to EUR 200m (May 2026).</t>
        </is>
      </c>
      <c r="I1062" s="2" t="inlineStr">
        <is>
          <t>S5</t>
        </is>
      </c>
      <c r="J1062" s="2" t="n">
        <v>21</v>
      </c>
      <c r="K1062" s="3" t="inlineStr">
        <is>
          <t>the existing corporate bond was increased by EUR 15 million to a total of EUR 200 million.</t>
        </is>
      </c>
      <c r="L1062" s="2" t="inlineStr">
        <is>
          <t>ok</t>
        </is>
      </c>
      <c r="M1062" s="2" t="inlineStr">
        <is>
          <t>demo reviewer</t>
        </is>
      </c>
      <c r="N1062" s="2" t="n"/>
      <c r="O1062" s="3" t="inlineStr">
        <is>
          <t>https://vanillabonds.com/dossier-data/pdf/katjes/katjes-h1-2026-interim-report.pdf#page=21</t>
        </is>
      </c>
    </row>
    <row r="1063">
      <c r="A1063" s="2" t="inlineStr">
        <is>
          <t>F1062</t>
        </is>
      </c>
      <c r="B1063" s="2" t="inlineStr">
        <is>
          <t>business</t>
        </is>
      </c>
      <c r="C1063" s="2" t="inlineStr">
        <is>
          <t>key_event</t>
        </is>
      </c>
      <c r="D1063" s="2" t="inlineStr">
        <is>
          <t>Key event (M&amp;A, financing, strategy)</t>
        </is>
      </c>
      <c r="E1063" s="2" t="n"/>
      <c r="F1063" s="2" t="n"/>
      <c r="G1063" s="2" t="n"/>
      <c r="H1063" s="3" t="inlineStr">
        <is>
          <t>Katjes International was granted a call option over further Missoni shares held by the majority shareholder, whose exercise would enable a majority interest.</t>
        </is>
      </c>
      <c r="I1063" s="2" t="inlineStr">
        <is>
          <t>S5</t>
        </is>
      </c>
      <c r="J1063" s="2" t="n">
        <v>21</v>
      </c>
      <c r="K1063" s="3" t="inlineStr">
        <is>
          <t>jes International was granted a call option over further shares held by the majority shareholder, the exercise of which would enable Katjes International to acquire a majority interest.</t>
        </is>
      </c>
      <c r="L1063" s="2" t="inlineStr">
        <is>
          <t>ok</t>
        </is>
      </c>
      <c r="M1063" s="2" t="inlineStr">
        <is>
          <t>demo reviewer</t>
        </is>
      </c>
      <c r="N1063" s="2" t="n"/>
      <c r="O1063" s="3" t="inlineStr">
        <is>
          <t>https://vanillabonds.com/dossier-data/pdf/katjes/katjes-h1-2026-interim-report.pdf#page=21</t>
        </is>
      </c>
    </row>
    <row r="1064">
      <c r="A1064" s="2" t="inlineStr">
        <is>
          <t>F1063</t>
        </is>
      </c>
      <c r="B1064" s="2" t="inlineStr">
        <is>
          <t>business</t>
        </is>
      </c>
      <c r="C1064" s="2" t="inlineStr">
        <is>
          <t>key_event</t>
        </is>
      </c>
      <c r="D1064" s="2" t="inlineStr">
        <is>
          <t>Key event (M&amp;A, financing, strategy)</t>
        </is>
      </c>
      <c r="E1064" s="2" t="n"/>
      <c r="F1064" s="2" t="n"/>
      <c r="G1064" s="2" t="n"/>
      <c r="H1064" s="3" t="inlineStr">
        <is>
          <t>No events of particular significance occurred after the 30 June 2026 reporting date, per management.</t>
        </is>
      </c>
      <c r="I1064" s="2" t="inlineStr">
        <is>
          <t>S5</t>
        </is>
      </c>
      <c r="J1064" s="2" t="n">
        <v>49</v>
      </c>
      <c r="K1064" s="3" t="inlineStr">
        <is>
          <t>No events of particular significance or with material effects on the results of operations, financial position, or net assets, known to the management of Katjes International, have occurred</t>
        </is>
      </c>
      <c r="L1064" s="2" t="inlineStr">
        <is>
          <t>ok</t>
        </is>
      </c>
      <c r="M1064" s="2" t="inlineStr">
        <is>
          <t>demo reviewer</t>
        </is>
      </c>
      <c r="N1064" s="2" t="n"/>
      <c r="O1064" s="3" t="inlineStr">
        <is>
          <t>https://vanillabonds.com/dossier-data/pdf/katjes/katjes-h1-2026-interim-report.pdf#page=49</t>
        </is>
      </c>
    </row>
    <row r="1065">
      <c r="A1065" s="2" t="inlineStr">
        <is>
          <t>F1064</t>
        </is>
      </c>
      <c r="B1065" s="2" t="inlineStr">
        <is>
          <t>financials</t>
        </is>
      </c>
      <c r="C1065" s="2" t="inlineStr">
        <is>
          <t>revenue</t>
        </is>
      </c>
      <c r="D1065" s="2" t="inlineStr">
        <is>
          <t>Revenue</t>
        </is>
      </c>
      <c r="E1065" s="2" t="inlineStr">
        <is>
          <t>H1-2025</t>
        </is>
      </c>
      <c r="F1065" s="2" t="n">
        <v>164.8</v>
      </c>
      <c r="G1065" s="2" t="inlineStr">
        <is>
          <t>EUR m</t>
        </is>
      </c>
      <c r="H1065" s="2" t="inlineStr">
        <is>
          <t>Group revenue H1-2025 comparative.</t>
        </is>
      </c>
      <c r="I1065" s="2" t="inlineStr">
        <is>
          <t>S5</t>
        </is>
      </c>
      <c r="J1065" s="2" t="n">
        <v>29</v>
      </c>
      <c r="K1065" s="2" t="inlineStr">
        <is>
          <t>Revenue 6 256.0 164.8</t>
        </is>
      </c>
      <c r="L1065" s="2" t="inlineStr">
        <is>
          <t>ok</t>
        </is>
      </c>
      <c r="M1065" s="2" t="inlineStr">
        <is>
          <t>demo reviewer</t>
        </is>
      </c>
      <c r="N1065" s="2" t="n"/>
      <c r="O1065" s="3" t="inlineStr">
        <is>
          <t>https://vanillabonds.com/dossier-data/pdf/katjes/katjes-h1-2026-interim-report.pdf#page=29</t>
        </is>
      </c>
    </row>
    <row r="1066">
      <c r="A1066" s="2" t="inlineStr">
        <is>
          <t>F1065</t>
        </is>
      </c>
      <c r="B1066" s="2" t="inlineStr">
        <is>
          <t>financials</t>
        </is>
      </c>
      <c r="C1066" s="2" t="inlineStr">
        <is>
          <t>revenue</t>
        </is>
      </c>
      <c r="D1066" s="2" t="inlineStr">
        <is>
          <t>Revenue</t>
        </is>
      </c>
      <c r="E1066" s="2" t="inlineStr">
        <is>
          <t>H1-2026</t>
        </is>
      </c>
      <c r="F1066" s="2" t="n">
        <v>256</v>
      </c>
      <c r="G1066" s="2" t="inlineStr">
        <is>
          <t>EUR m</t>
        </is>
      </c>
      <c r="H1066" s="3" t="inlineStr">
        <is>
          <t>Group revenue H1-2026, up EUR 91.2m (around 55%) on H1-2025.</t>
        </is>
      </c>
      <c r="I1066" s="2" t="inlineStr">
        <is>
          <t>S5</t>
        </is>
      </c>
      <c r="J1066" s="2" t="n">
        <v>29</v>
      </c>
      <c r="K1066" s="2" t="inlineStr">
        <is>
          <t>Revenue 6 256.0 164.8</t>
        </is>
      </c>
      <c r="L1066" s="2" t="inlineStr">
        <is>
          <t>ok</t>
        </is>
      </c>
      <c r="M1066" s="2" t="inlineStr">
        <is>
          <t>demo reviewer</t>
        </is>
      </c>
      <c r="N1066" s="2" t="n"/>
      <c r="O1066" s="3" t="inlineStr">
        <is>
          <t>https://vanillabonds.com/dossier-data/pdf/katjes/katjes-h1-2026-interim-report.pdf#page=29</t>
        </is>
      </c>
    </row>
    <row r="1067">
      <c r="A1067" s="2" t="inlineStr">
        <is>
          <t>F1066</t>
        </is>
      </c>
      <c r="B1067" s="2" t="inlineStr">
        <is>
          <t>financials</t>
        </is>
      </c>
      <c r="C1067" s="2" t="inlineStr">
        <is>
          <t>ebitda</t>
        </is>
      </c>
      <c r="D1067" s="2" t="inlineStr">
        <is>
          <t>EBITDA (as reported)</t>
        </is>
      </c>
      <c r="E1067" s="2" t="inlineStr">
        <is>
          <t>H1-2025</t>
        </is>
      </c>
      <c r="F1067" s="2" t="n">
        <v>13.9</v>
      </c>
      <c r="G1067" s="2" t="inlineStr">
        <is>
          <t>EUR m</t>
        </is>
      </c>
      <c r="H1067" s="3" t="inlineStr">
        <is>
          <t>EBITDA as reported H1-2025; EBITDA margin 8.4%.</t>
        </is>
      </c>
      <c r="I1067" s="2" t="inlineStr">
        <is>
          <t>S5</t>
        </is>
      </c>
      <c r="J1067" s="2" t="n">
        <v>23</v>
      </c>
      <c r="K1067" s="3" t="inlineStr">
        <is>
          <t>(EBITDA) – the key management metric for the Group – stood at EUR 15.8 million (6M 2025: EUR 13.9 million)</t>
        </is>
      </c>
      <c r="L1067" s="2" t="inlineStr">
        <is>
          <t>ok</t>
        </is>
      </c>
      <c r="M1067" s="2" t="inlineStr">
        <is>
          <t>demo reviewer</t>
        </is>
      </c>
      <c r="N1067" s="2" t="n"/>
      <c r="O1067" s="3" t="inlineStr">
        <is>
          <t>https://vanillabonds.com/dossier-data/pdf/katjes/katjes-h1-2026-interim-report.pdf#page=23</t>
        </is>
      </c>
    </row>
    <row r="1068">
      <c r="A1068" s="2" t="inlineStr">
        <is>
          <t>F1067</t>
        </is>
      </c>
      <c r="B1068" s="2" t="inlineStr">
        <is>
          <t>financials</t>
        </is>
      </c>
      <c r="C1068" s="2" t="inlineStr">
        <is>
          <t>ebitda</t>
        </is>
      </c>
      <c r="D1068" s="2" t="inlineStr">
        <is>
          <t>EBITDA (as reported)</t>
        </is>
      </c>
      <c r="E1068" s="2" t="inlineStr">
        <is>
          <t>H1-2026</t>
        </is>
      </c>
      <c r="F1068" s="2" t="n">
        <v>15.8</v>
      </c>
      <c r="G1068" s="2" t="inlineStr">
        <is>
          <t>EUR m</t>
        </is>
      </c>
      <c r="H1068" s="3" t="inlineStr">
        <is>
          <t>EBITDA as reported, 'the key management metric for the Group'; EBITDA margin 6.2%.</t>
        </is>
      </c>
      <c r="I1068" s="2" t="inlineStr">
        <is>
          <t>S5</t>
        </is>
      </c>
      <c r="J1068" s="2" t="n">
        <v>23</v>
      </c>
      <c r="K1068" s="3" t="inlineStr">
        <is>
          <t>(EBITDA) – the key management metric for the Group – stood at EUR 15.8 million (6M 2025: EUR 13.9 million)</t>
        </is>
      </c>
      <c r="L1068" s="2" t="inlineStr">
        <is>
          <t>ok</t>
        </is>
      </c>
      <c r="M1068" s="2" t="inlineStr">
        <is>
          <t>demo reviewer</t>
        </is>
      </c>
      <c r="N1068" s="2" t="n"/>
      <c r="O1068" s="3" t="inlineStr">
        <is>
          <t>https://vanillabonds.com/dossier-data/pdf/katjes/katjes-h1-2026-interim-report.pdf#page=23</t>
        </is>
      </c>
    </row>
    <row r="1069">
      <c r="A1069" s="2" t="inlineStr">
        <is>
          <t>F1068</t>
        </is>
      </c>
      <c r="B1069" s="2" t="inlineStr">
        <is>
          <t>financials</t>
        </is>
      </c>
      <c r="C1069" s="2" t="inlineStr">
        <is>
          <t>ebit</t>
        </is>
      </c>
      <c r="D1069" s="2" t="inlineStr">
        <is>
          <t>EBIT / operating result</t>
        </is>
      </c>
      <c r="E1069" s="2" t="inlineStr">
        <is>
          <t>H1-2025</t>
        </is>
      </c>
      <c r="F1069" s="2" t="n">
        <v>3.7</v>
      </c>
      <c r="G1069" s="2" t="inlineStr">
        <is>
          <t>EUR m</t>
        </is>
      </c>
      <c r="H1069" s="2" t="inlineStr">
        <is>
          <t>Operating profit H1-2025 comparative.</t>
        </is>
      </c>
      <c r="I1069" s="2" t="inlineStr">
        <is>
          <t>S5</t>
        </is>
      </c>
      <c r="J1069" s="2" t="n">
        <v>29</v>
      </c>
      <c r="K1069" s="2" t="inlineStr">
        <is>
          <t>Operating profit -6.8 3.7</t>
        </is>
      </c>
      <c r="L1069" s="2" t="inlineStr">
        <is>
          <t>ok</t>
        </is>
      </c>
      <c r="M1069" s="2" t="inlineStr">
        <is>
          <t>demo reviewer</t>
        </is>
      </c>
      <c r="N1069" s="2" t="n"/>
      <c r="O1069" s="3" t="inlineStr">
        <is>
          <t>https://vanillabonds.com/dossier-data/pdf/katjes/katjes-h1-2026-interim-report.pdf#page=29</t>
        </is>
      </c>
    </row>
    <row r="1070">
      <c r="A1070" s="2" t="inlineStr">
        <is>
          <t>F1069</t>
        </is>
      </c>
      <c r="B1070" s="2" t="inlineStr">
        <is>
          <t>financials</t>
        </is>
      </c>
      <c r="C1070" s="2" t="inlineStr">
        <is>
          <t>ebit</t>
        </is>
      </c>
      <c r="D1070" s="2" t="inlineStr">
        <is>
          <t>EBIT / operating result</t>
        </is>
      </c>
      <c r="E1070" s="2" t="inlineStr">
        <is>
          <t>H1-2026</t>
        </is>
      </c>
      <c r="F1070" s="2" t="n">
        <v>-6.8</v>
      </c>
      <c r="G1070" s="2" t="inlineStr">
        <is>
          <t>EUR m</t>
        </is>
      </c>
      <c r="H1070" s="3" t="inlineStr">
        <is>
          <t>Operating profit H1-2026; the report attributes the decline to Bogner seasonality and two instances of damage caused by third parties.</t>
        </is>
      </c>
      <c r="I1070" s="2" t="inlineStr">
        <is>
          <t>S5</t>
        </is>
      </c>
      <c r="J1070" s="2" t="n">
        <v>29</v>
      </c>
      <c r="K1070" s="2" t="inlineStr">
        <is>
          <t>Operating profit -6.8 3.7</t>
        </is>
      </c>
      <c r="L1070" s="2" t="inlineStr">
        <is>
          <t>ok</t>
        </is>
      </c>
      <c r="M1070" s="2" t="inlineStr">
        <is>
          <t>demo reviewer</t>
        </is>
      </c>
      <c r="N1070" s="2" t="n"/>
      <c r="O1070" s="3" t="inlineStr">
        <is>
          <t>https://vanillabonds.com/dossier-data/pdf/katjes/katjes-h1-2026-interim-report.pdf#page=29</t>
        </is>
      </c>
    </row>
    <row r="1071">
      <c r="A1071" s="2" t="inlineStr">
        <is>
          <t>F1070</t>
        </is>
      </c>
      <c r="B1071" s="2" t="inlineStr">
        <is>
          <t>financials</t>
        </is>
      </c>
      <c r="C1071" s="2" t="inlineStr">
        <is>
          <t>net_income</t>
        </is>
      </c>
      <c r="D1071" s="2" t="inlineStr">
        <is>
          <t>Net result</t>
        </is>
      </c>
      <c r="E1071" s="2" t="inlineStr">
        <is>
          <t>H1-2025</t>
        </is>
      </c>
      <c r="F1071" s="2" t="n">
        <v>-1</v>
      </c>
      <c r="G1071" s="2" t="inlineStr">
        <is>
          <t>EUR m</t>
        </is>
      </c>
      <c r="H1071" s="2" t="inlineStr">
        <is>
          <t>Earnings after tax H1-2025 comparative.</t>
        </is>
      </c>
      <c r="I1071" s="2" t="inlineStr">
        <is>
          <t>S5</t>
        </is>
      </c>
      <c r="J1071" s="2" t="n">
        <v>29</v>
      </c>
      <c r="K1071" s="3" t="inlineStr">
        <is>
          <t>Earnings after tax (net profit for the period) -15.9 -1.0</t>
        </is>
      </c>
      <c r="L1071" s="2" t="inlineStr">
        <is>
          <t>ok</t>
        </is>
      </c>
      <c r="M1071" s="2" t="inlineStr">
        <is>
          <t>demo reviewer</t>
        </is>
      </c>
      <c r="N1071" s="2" t="n"/>
      <c r="O1071" s="3" t="inlineStr">
        <is>
          <t>https://vanillabonds.com/dossier-data/pdf/katjes/katjes-h1-2026-interim-report.pdf#page=29</t>
        </is>
      </c>
    </row>
    <row r="1072">
      <c r="A1072" s="2" t="inlineStr">
        <is>
          <t>F1071</t>
        </is>
      </c>
      <c r="B1072" s="2" t="inlineStr">
        <is>
          <t>financials</t>
        </is>
      </c>
      <c r="C1072" s="2" t="inlineStr">
        <is>
          <t>net_income</t>
        </is>
      </c>
      <c r="D1072" s="2" t="inlineStr">
        <is>
          <t>Net result</t>
        </is>
      </c>
      <c r="E1072" s="2" t="inlineStr">
        <is>
          <t>H1-2026</t>
        </is>
      </c>
      <c r="F1072" s="2" t="n">
        <v>-15.9</v>
      </c>
      <c r="G1072" s="2" t="inlineStr">
        <is>
          <t>EUR m</t>
        </is>
      </c>
      <c r="H1072" s="3" t="inlineStr">
        <is>
          <t>Earnings after tax H1-2026; of which non-controlling interests -7.8 and Katjes International shareholders -8.1.</t>
        </is>
      </c>
      <c r="I1072" s="2" t="inlineStr">
        <is>
          <t>S5</t>
        </is>
      </c>
      <c r="J1072" s="2" t="n">
        <v>29</v>
      </c>
      <c r="K1072" s="3" t="inlineStr">
        <is>
          <t>Earnings after tax (net profit for the period) -15.9 -1.0</t>
        </is>
      </c>
      <c r="L1072" s="2" t="inlineStr">
        <is>
          <t>ok</t>
        </is>
      </c>
      <c r="M1072" s="2" t="inlineStr">
        <is>
          <t>demo reviewer</t>
        </is>
      </c>
      <c r="N1072" s="2" t="n"/>
      <c r="O1072" s="3" t="inlineStr">
        <is>
          <t>https://vanillabonds.com/dossier-data/pdf/katjes/katjes-h1-2026-interim-report.pdf#page=29</t>
        </is>
      </c>
    </row>
    <row r="1073">
      <c r="A1073" s="2" t="inlineStr">
        <is>
          <t>F1072</t>
        </is>
      </c>
      <c r="B1073" s="2" t="inlineStr">
        <is>
          <t>financials</t>
        </is>
      </c>
      <c r="C1073" s="2" t="inlineStr">
        <is>
          <t>da</t>
        </is>
      </c>
      <c r="D1073" s="2" t="inlineStr">
        <is>
          <t>Depreciation &amp; amortisation</t>
        </is>
      </c>
      <c r="E1073" s="2" t="inlineStr">
        <is>
          <t>H1-2025</t>
        </is>
      </c>
      <c r="F1073" s="2" t="n"/>
      <c r="G1073" s="2" t="inlineStr">
        <is>
          <t>EUR m</t>
        </is>
      </c>
      <c r="H1073" s="3" t="inlineStr">
        <is>
          <t>No D&amp;A total stated; lines: depreciation of tangible fixed assets 5.3, amortisation of right-of-use assets 2.6, amortisation of intangible assets 2.4.</t>
        </is>
      </c>
      <c r="I1073" s="2" t="inlineStr">
        <is>
          <t>S5</t>
        </is>
      </c>
      <c r="J1073" s="2" t="n">
        <v>34</v>
      </c>
      <c r="K1073" s="3" t="inlineStr">
        <is>
          <t>Depreciation of tangible fixed assets 7.1 5.3 Amortisation of right-of-use assets 10.8 2.6 Amortisation of intangible assets 4.7 2.4</t>
        </is>
      </c>
      <c r="L1073" s="2" t="inlineStr">
        <is>
          <t>ok</t>
        </is>
      </c>
      <c r="M1073" s="2" t="inlineStr">
        <is>
          <t>demo reviewer</t>
        </is>
      </c>
      <c r="N1073" s="2" t="n"/>
      <c r="O1073" s="3" t="inlineStr">
        <is>
          <t>https://vanillabonds.com/dossier-data/pdf/katjes/katjes-h1-2026-interim-report.pdf#page=34</t>
        </is>
      </c>
    </row>
    <row r="1074">
      <c r="A1074" s="2" t="inlineStr">
        <is>
          <t>F1073</t>
        </is>
      </c>
      <c r="B1074" s="2" t="inlineStr">
        <is>
          <t>financials</t>
        </is>
      </c>
      <c r="C1074" s="2" t="inlineStr">
        <is>
          <t>da</t>
        </is>
      </c>
      <c r="D1074" s="2" t="inlineStr">
        <is>
          <t>Depreciation &amp; amortisation</t>
        </is>
      </c>
      <c r="E1074" s="2" t="inlineStr">
        <is>
          <t>H1-2026</t>
        </is>
      </c>
      <c r="F1074" s="2" t="n"/>
      <c r="G1074" s="2" t="inlineStr">
        <is>
          <t>EUR m</t>
        </is>
      </c>
      <c r="H1074" s="3" t="inlineStr">
        <is>
          <t>No D&amp;A total stated; cash flow statement lines: depreciation of tangible fixed assets 7.1, amortisation of right-of-use assets 10.8, amortisation of intangible assets 4.7.</t>
        </is>
      </c>
      <c r="I1074" s="2" t="inlineStr">
        <is>
          <t>S5</t>
        </is>
      </c>
      <c r="J1074" s="2" t="n">
        <v>34</v>
      </c>
      <c r="K1074" s="3" t="inlineStr">
        <is>
          <t>Depreciation of tangible fixed assets 7.1 5.3 Amortisation of right-of-use assets 10.8 2.6 Amortisation of intangible assets 4.7 2.4</t>
        </is>
      </c>
      <c r="L1074" s="2" t="inlineStr">
        <is>
          <t>ok</t>
        </is>
      </c>
      <c r="M1074" s="2" t="inlineStr">
        <is>
          <t>demo reviewer</t>
        </is>
      </c>
      <c r="N1074" s="2" t="n"/>
      <c r="O1074" s="3" t="inlineStr">
        <is>
          <t>https://vanillabonds.com/dossier-data/pdf/katjes/katjes-h1-2026-interim-report.pdf#page=34</t>
        </is>
      </c>
    </row>
    <row r="1075">
      <c r="A1075" s="2" t="inlineStr">
        <is>
          <t>F1074</t>
        </is>
      </c>
      <c r="B1075" s="2" t="inlineStr">
        <is>
          <t>financials</t>
        </is>
      </c>
      <c r="C1075" s="2" t="inlineStr">
        <is>
          <t>net_interest</t>
        </is>
      </c>
      <c r="D1075" s="2" t="inlineStr">
        <is>
          <t>Net finance cost</t>
        </is>
      </c>
      <c r="E1075" s="2" t="inlineStr">
        <is>
          <t>H1-2025</t>
        </is>
      </c>
      <c r="F1075" s="2" t="n">
        <v>4.1</v>
      </c>
      <c r="G1075" s="2" t="inlineStr">
        <is>
          <t>EUR m</t>
        </is>
      </c>
      <c r="H1075" s="3" t="inlineStr">
        <is>
          <t>Financial result -4.1 (financial expenses 6.2, financial income 2.1), including equity-accounted result of 1.9.</t>
        </is>
      </c>
      <c r="I1075" s="2" t="inlineStr">
        <is>
          <t>S5</t>
        </is>
      </c>
      <c r="J1075" s="2" t="n">
        <v>23</v>
      </c>
      <c r="K1075" s="3" t="inlineStr">
        <is>
          <t>The financial result amounted to EUR -11.2 million (6M 2025: EUR -4.1 million).</t>
        </is>
      </c>
      <c r="L1075" s="2" t="inlineStr">
        <is>
          <t>ok</t>
        </is>
      </c>
      <c r="M1075" s="2" t="inlineStr">
        <is>
          <t>demo reviewer</t>
        </is>
      </c>
      <c r="N1075" s="2" t="n"/>
      <c r="O1075" s="3" t="inlineStr">
        <is>
          <t>https://vanillabonds.com/dossier-data/pdf/katjes/katjes-h1-2026-interim-report.pdf#page=23</t>
        </is>
      </c>
    </row>
    <row r="1076">
      <c r="A1076" s="2" t="inlineStr">
        <is>
          <t>F1075</t>
        </is>
      </c>
      <c r="B1076" s="2" t="inlineStr">
        <is>
          <t>financials</t>
        </is>
      </c>
      <c r="C1076" s="2" t="inlineStr">
        <is>
          <t>net_interest</t>
        </is>
      </c>
      <c r="D1076" s="2" t="inlineStr">
        <is>
          <t>Net finance cost</t>
        </is>
      </c>
      <c r="E1076" s="2" t="inlineStr">
        <is>
          <t>H1-2026</t>
        </is>
      </c>
      <c r="F1076" s="2" t="n">
        <v>11.2</v>
      </c>
      <c r="G1076" s="2" t="inlineStr">
        <is>
          <t>EUR m</t>
        </is>
      </c>
      <c r="H1076" s="3" t="inlineStr">
        <is>
          <t>Financial result -11.2 (financial expenses 13.2, financial income 2.0), including the Group's share of an equity-accounted result of -0.4.</t>
        </is>
      </c>
      <c r="I1076" s="2" t="inlineStr">
        <is>
          <t>S5</t>
        </is>
      </c>
      <c r="J1076" s="2" t="n">
        <v>23</v>
      </c>
      <c r="K1076" s="3" t="inlineStr">
        <is>
          <t>The financial result amounted to EUR -11.2 million (6M 2025: EUR -4.1 million).</t>
        </is>
      </c>
      <c r="L1076" s="2" t="inlineStr">
        <is>
          <t>ok</t>
        </is>
      </c>
      <c r="M1076" s="2" t="inlineStr">
        <is>
          <t>demo reviewer</t>
        </is>
      </c>
      <c r="N1076" s="2" t="n"/>
      <c r="O1076" s="3" t="inlineStr">
        <is>
          <t>https://vanillabonds.com/dossier-data/pdf/katjes/katjes-h1-2026-interim-report.pdf#page=23</t>
        </is>
      </c>
    </row>
    <row r="1077">
      <c r="A1077" s="2" t="inlineStr">
        <is>
          <t>F1076</t>
        </is>
      </c>
      <c r="B1077" s="2" t="inlineStr">
        <is>
          <t>financials</t>
        </is>
      </c>
      <c r="C1077" s="2" t="inlineStr">
        <is>
          <t>cfo</t>
        </is>
      </c>
      <c r="D1077" s="2" t="inlineStr">
        <is>
          <t>Cash flow from operating activities</t>
        </is>
      </c>
      <c r="E1077" s="2" t="inlineStr">
        <is>
          <t>H1-2025</t>
        </is>
      </c>
      <c r="F1077" s="2" t="n">
        <v>-9.800000000000001</v>
      </c>
      <c r="G1077" s="2" t="inlineStr">
        <is>
          <t>EUR m</t>
        </is>
      </c>
      <c r="H1077" s="3" t="inlineStr">
        <is>
          <t>Cash flow from operating activities H1-2025.</t>
        </is>
      </c>
      <c r="I1077" s="2" t="inlineStr">
        <is>
          <t>S5</t>
        </is>
      </c>
      <c r="J1077" s="2" t="n">
        <v>34</v>
      </c>
      <c r="K1077" s="3" t="inlineStr">
        <is>
          <t>Cash flow from operating activities 1.1 -9.8</t>
        </is>
      </c>
      <c r="L1077" s="2" t="inlineStr">
        <is>
          <t>ok</t>
        </is>
      </c>
      <c r="M1077" s="2" t="inlineStr">
        <is>
          <t>demo reviewer</t>
        </is>
      </c>
      <c r="N1077" s="2" t="n"/>
      <c r="O1077" s="3" t="inlineStr">
        <is>
          <t>https://vanillabonds.com/dossier-data/pdf/katjes/katjes-h1-2026-interim-report.pdf#page=34</t>
        </is>
      </c>
    </row>
    <row r="1078">
      <c r="A1078" s="2" t="inlineStr">
        <is>
          <t>F1077</t>
        </is>
      </c>
      <c r="B1078" s="2" t="inlineStr">
        <is>
          <t>financials</t>
        </is>
      </c>
      <c r="C1078" s="2" t="inlineStr">
        <is>
          <t>cfo</t>
        </is>
      </c>
      <c r="D1078" s="2" t="inlineStr">
        <is>
          <t>Cash flow from operating activities</t>
        </is>
      </c>
      <c r="E1078" s="2" t="inlineStr">
        <is>
          <t>H1-2026</t>
        </is>
      </c>
      <c r="F1078" s="2" t="n">
        <v>1.1</v>
      </c>
      <c r="G1078" s="2" t="inlineStr">
        <is>
          <t>EUR m</t>
        </is>
      </c>
      <c r="H1078" s="3" t="inlineStr">
        <is>
          <t>Cash flow from operating activities H1-2026.</t>
        </is>
      </c>
      <c r="I1078" s="2" t="inlineStr">
        <is>
          <t>S5</t>
        </is>
      </c>
      <c r="J1078" s="2" t="n">
        <v>34</v>
      </c>
      <c r="K1078" s="3" t="inlineStr">
        <is>
          <t>Cash flow from operating activities 1.1 -9.8</t>
        </is>
      </c>
      <c r="L1078" s="2" t="inlineStr">
        <is>
          <t>ok</t>
        </is>
      </c>
      <c r="M1078" s="2" t="inlineStr">
        <is>
          <t>demo reviewer</t>
        </is>
      </c>
      <c r="N1078" s="2" t="n"/>
      <c r="O1078" s="3" t="inlineStr">
        <is>
          <t>https://vanillabonds.com/dossier-data/pdf/katjes/katjes-h1-2026-interim-report.pdf#page=34</t>
        </is>
      </c>
    </row>
    <row r="1079">
      <c r="A1079" s="2" t="inlineStr">
        <is>
          <t>F1078</t>
        </is>
      </c>
      <c r="B1079" s="2" t="inlineStr">
        <is>
          <t>financials</t>
        </is>
      </c>
      <c r="C1079" s="2" t="inlineStr">
        <is>
          <t>capex</t>
        </is>
      </c>
      <c r="D1079" s="2" t="inlineStr">
        <is>
          <t>Capex (PP&amp;E + intangibles)</t>
        </is>
      </c>
      <c r="E1079" s="2" t="inlineStr">
        <is>
          <t>H1-2025</t>
        </is>
      </c>
      <c r="F1079" s="2" t="n">
        <v>7</v>
      </c>
      <c r="G1079" s="2" t="inlineStr">
        <is>
          <t>EUR m</t>
        </is>
      </c>
      <c r="H1079" s="3" t="inlineStr">
        <is>
          <t>Sum of the two cash flow lines: acquisition of property, plant and equipment 6.0 plus acquisition of intangible assets 1.0.</t>
        </is>
      </c>
      <c r="I1079" s="2" t="inlineStr">
        <is>
          <t>S5</t>
        </is>
      </c>
      <c r="J1079" s="2" t="n">
        <v>34</v>
      </c>
      <c r="K1079" s="3" t="inlineStr">
        <is>
          <t>Acquisition of property, plant and equipment -7.4 -6.0 Acquisition of intangible assets -0.9 -1.0</t>
        </is>
      </c>
      <c r="L1079" s="2" t="inlineStr">
        <is>
          <t>ok</t>
        </is>
      </c>
      <c r="M1079" s="2" t="inlineStr">
        <is>
          <t>demo reviewer</t>
        </is>
      </c>
      <c r="N1079" s="2" t="n"/>
      <c r="O1079" s="3" t="inlineStr">
        <is>
          <t>https://vanillabonds.com/dossier-data/pdf/katjes/katjes-h1-2026-interim-report.pdf#page=34</t>
        </is>
      </c>
    </row>
    <row r="1080">
      <c r="A1080" s="2" t="inlineStr">
        <is>
          <t>F1079</t>
        </is>
      </c>
      <c r="B1080" s="2" t="inlineStr">
        <is>
          <t>financials</t>
        </is>
      </c>
      <c r="C1080" s="2" t="inlineStr">
        <is>
          <t>capex</t>
        </is>
      </c>
      <c r="D1080" s="2" t="inlineStr">
        <is>
          <t>Capex (PP&amp;E + intangibles)</t>
        </is>
      </c>
      <c r="E1080" s="2" t="inlineStr">
        <is>
          <t>H1-2026</t>
        </is>
      </c>
      <c r="F1080" s="2" t="n">
        <v>8.300000000000001</v>
      </c>
      <c r="G1080" s="2" t="inlineStr">
        <is>
          <t>EUR m</t>
        </is>
      </c>
      <c r="H1080" s="3" t="inlineStr">
        <is>
          <t>Sum of the two cash flow lines: acquisition of property, plant and equipment 7.4 plus acquisition of intangible assets 0.9.</t>
        </is>
      </c>
      <c r="I1080" s="2" t="inlineStr">
        <is>
          <t>S5</t>
        </is>
      </c>
      <c r="J1080" s="2" t="n">
        <v>34</v>
      </c>
      <c r="K1080" s="3" t="inlineStr">
        <is>
          <t>Acquisition of property, plant and equipment -7.4 -6.0 Acquisition of intangible assets -0.9 -1.0</t>
        </is>
      </c>
      <c r="L1080" s="2" t="inlineStr">
        <is>
          <t>ok</t>
        </is>
      </c>
      <c r="M1080" s="2" t="inlineStr">
        <is>
          <t>demo reviewer</t>
        </is>
      </c>
      <c r="N1080" s="2" t="n"/>
      <c r="O1080" s="3" t="inlineStr">
        <is>
          <t>https://vanillabonds.com/dossier-data/pdf/katjes/katjes-h1-2026-interim-report.pdf#page=34</t>
        </is>
      </c>
    </row>
    <row r="1081">
      <c r="A1081" s="2" t="inlineStr">
        <is>
          <t>F1080</t>
        </is>
      </c>
      <c r="B1081" s="2" t="inlineStr">
        <is>
          <t>financials</t>
        </is>
      </c>
      <c r="C1081" s="2" t="inlineStr">
        <is>
          <t>cash</t>
        </is>
      </c>
      <c r="D1081" s="2" t="inlineStr">
        <is>
          <t>Cash &amp; equivalents</t>
        </is>
      </c>
      <c r="E1081" s="2" t="inlineStr">
        <is>
          <t>FY2025</t>
        </is>
      </c>
      <c r="F1081" s="2" t="n">
        <v>146.8</v>
      </c>
      <c r="G1081" s="2" t="inlineStr">
        <is>
          <t>EUR m</t>
        </is>
      </c>
      <c r="H1081" s="3" t="inlineStr">
        <is>
          <t>Cash and cash equivalents at 31 December 2025.</t>
        </is>
      </c>
      <c r="I1081" s="2" t="inlineStr">
        <is>
          <t>S5</t>
        </is>
      </c>
      <c r="J1081" s="2" t="n">
        <v>31</v>
      </c>
      <c r="K1081" s="2" t="inlineStr">
        <is>
          <t>Cash and cash equivalents 5.3 74.1 146.8</t>
        </is>
      </c>
      <c r="L1081" s="2" t="inlineStr">
        <is>
          <t>ok</t>
        </is>
      </c>
      <c r="M1081" s="2" t="inlineStr">
        <is>
          <t>demo reviewer</t>
        </is>
      </c>
      <c r="N1081" s="2" t="n"/>
      <c r="O1081" s="3" t="inlineStr">
        <is>
          <t>https://vanillabonds.com/dossier-data/pdf/katjes/katjes-h1-2026-interim-report.pdf#page=31</t>
        </is>
      </c>
    </row>
    <row r="1082">
      <c r="A1082" s="2" t="inlineStr">
        <is>
          <t>F1081</t>
        </is>
      </c>
      <c r="B1082" s="2" t="inlineStr">
        <is>
          <t>financials</t>
        </is>
      </c>
      <c r="C1082" s="2" t="inlineStr">
        <is>
          <t>cash</t>
        </is>
      </c>
      <c r="D1082" s="2" t="inlineStr">
        <is>
          <t>Cash &amp; equivalents</t>
        </is>
      </c>
      <c r="E1082" s="2" t="inlineStr">
        <is>
          <t>H1-2025</t>
        </is>
      </c>
      <c r="F1082" s="2" t="n">
        <v>38.4</v>
      </c>
      <c r="G1082" s="2" t="inlineStr">
        <is>
          <t>EUR m</t>
        </is>
      </c>
      <c r="H1082" s="3" t="inlineStr">
        <is>
          <t>Cash and cash equivalents at 30 June 2025 (cash flow statement).</t>
        </is>
      </c>
      <c r="I1082" s="2" t="inlineStr">
        <is>
          <t>S5</t>
        </is>
      </c>
      <c r="J1082" s="2" t="n">
        <v>34</v>
      </c>
      <c r="K1082" s="3" t="inlineStr">
        <is>
          <t>Cash and cash equivalents as at June 30 5.3 74.1 38.4</t>
        </is>
      </c>
      <c r="L1082" s="2" t="inlineStr">
        <is>
          <t>ok</t>
        </is>
      </c>
      <c r="M1082" s="2" t="inlineStr">
        <is>
          <t>demo reviewer</t>
        </is>
      </c>
      <c r="N1082" s="2" t="n"/>
      <c r="O1082" s="3" t="inlineStr">
        <is>
          <t>https://vanillabonds.com/dossier-data/pdf/katjes/katjes-h1-2026-interim-report.pdf#page=34</t>
        </is>
      </c>
    </row>
    <row r="1083">
      <c r="A1083" s="2" t="inlineStr">
        <is>
          <t>F1082</t>
        </is>
      </c>
      <c r="B1083" s="2" t="inlineStr">
        <is>
          <t>financials</t>
        </is>
      </c>
      <c r="C1083" s="2" t="inlineStr">
        <is>
          <t>cash</t>
        </is>
      </c>
      <c r="D1083" s="2" t="inlineStr">
        <is>
          <t>Cash &amp; equivalents</t>
        </is>
      </c>
      <c r="E1083" s="2" t="inlineStr">
        <is>
          <t>H1-2026</t>
        </is>
      </c>
      <c r="F1083" s="2" t="n">
        <v>74.09999999999999</v>
      </c>
      <c r="G1083" s="2" t="inlineStr">
        <is>
          <t>EUR m</t>
        </is>
      </c>
      <c r="H1083" s="3" t="inlineStr">
        <is>
          <t>Cash and cash equivalents at 30 June 2026; balances at banks and cash on hand.</t>
        </is>
      </c>
      <c r="I1083" s="2" t="inlineStr">
        <is>
          <t>S5</t>
        </is>
      </c>
      <c r="J1083" s="2" t="n">
        <v>31</v>
      </c>
      <c r="K1083" s="2" t="inlineStr">
        <is>
          <t>Cash and cash equivalents 5.3 74.1 146.8</t>
        </is>
      </c>
      <c r="L1083" s="2" t="inlineStr">
        <is>
          <t>ok</t>
        </is>
      </c>
      <c r="M1083" s="2" t="inlineStr">
        <is>
          <t>demo reviewer</t>
        </is>
      </c>
      <c r="N1083" s="2" t="n"/>
      <c r="O1083" s="3" t="inlineStr">
        <is>
          <t>https://vanillabonds.com/dossier-data/pdf/katjes/katjes-h1-2026-interim-report.pdf#page=31</t>
        </is>
      </c>
    </row>
    <row r="1084">
      <c r="A1084" s="2" t="inlineStr">
        <is>
          <t>F1083</t>
        </is>
      </c>
      <c r="B1084" s="2" t="inlineStr">
        <is>
          <t>financials</t>
        </is>
      </c>
      <c r="C1084" s="2" t="inlineStr">
        <is>
          <t>gross_debt</t>
        </is>
      </c>
      <c r="D1084" s="3" t="inlineStr">
        <is>
          <t>Gross financial debt (bonds + loans, excl. leases)</t>
        </is>
      </c>
      <c r="E1084" s="2" t="inlineStr">
        <is>
          <t>H1-2026</t>
        </is>
      </c>
      <c r="F1084" s="2" t="n"/>
      <c r="G1084" s="2" t="inlineStr">
        <is>
          <t>EUR m</t>
        </is>
      </c>
      <c r="H1084" s="3" t="inlineStr">
        <is>
          <t>No gross financial debt total stated; components in the instruments table: bond 200.0, non-current interest-bearing loans 51.0, current interest-bearing loans 68.1 (leases excluded).</t>
        </is>
      </c>
      <c r="I1084" s="2" t="inlineStr">
        <is>
          <t>S5</t>
        </is>
      </c>
      <c r="J1084" s="2" t="n">
        <v>42</v>
      </c>
      <c r="K1084" s="3" t="inlineStr">
        <is>
          <t>Liabilities from the issuance of a bond2 200.0 191.3** Amortised cost</t>
        </is>
      </c>
      <c r="L1084" s="2" t="inlineStr">
        <is>
          <t>ok</t>
        </is>
      </c>
      <c r="M1084" s="2" t="inlineStr">
        <is>
          <t>demo reviewer</t>
        </is>
      </c>
      <c r="N1084" s="2" t="n"/>
      <c r="O1084" s="3" t="inlineStr">
        <is>
          <t>https://vanillabonds.com/dossier-data/pdf/katjes/katjes-h1-2026-interim-report.pdf#page=42</t>
        </is>
      </c>
    </row>
    <row r="1085">
      <c r="A1085" s="2" t="inlineStr">
        <is>
          <t>F1084</t>
        </is>
      </c>
      <c r="B1085" s="2" t="inlineStr">
        <is>
          <t>financials</t>
        </is>
      </c>
      <c r="C1085" s="2" t="inlineStr">
        <is>
          <t>lease_liabilities</t>
        </is>
      </c>
      <c r="D1085" s="2" t="inlineStr">
        <is>
          <t>Lease liabilities</t>
        </is>
      </c>
      <c r="E1085" s="2" t="inlineStr">
        <is>
          <t>FY2025</t>
        </is>
      </c>
      <c r="F1085" s="2" t="n">
        <v>74.7</v>
      </c>
      <c r="G1085" s="2" t="inlineStr">
        <is>
          <t>EUR m</t>
        </is>
      </c>
      <c r="H1085" s="3" t="inlineStr">
        <is>
          <t>IFRS 16 lease liabilities at 31 December 2025.</t>
        </is>
      </c>
      <c r="I1085" s="2" t="inlineStr">
        <is>
          <t>S5</t>
        </is>
      </c>
      <c r="J1085" s="2" t="n">
        <v>41</v>
      </c>
      <c r="K1085" s="3" t="inlineStr">
        <is>
          <t>As at June 30, 2026, lease liabilities amounted to a total of EUR 85.8 million (December 31, 2025: EUR 74.7 million).</t>
        </is>
      </c>
      <c r="L1085" s="2" t="inlineStr">
        <is>
          <t>ok</t>
        </is>
      </c>
      <c r="M1085" s="2" t="inlineStr">
        <is>
          <t>demo reviewer</t>
        </is>
      </c>
      <c r="N1085" s="2" t="n"/>
      <c r="O1085" s="3" t="inlineStr">
        <is>
          <t>https://vanillabonds.com/dossier-data/pdf/katjes/katjes-h1-2026-interim-report.pdf#page=41</t>
        </is>
      </c>
    </row>
    <row r="1086">
      <c r="A1086" s="2" t="inlineStr">
        <is>
          <t>F1085</t>
        </is>
      </c>
      <c r="B1086" s="2" t="inlineStr">
        <is>
          <t>financials</t>
        </is>
      </c>
      <c r="C1086" s="2" t="inlineStr">
        <is>
          <t>lease_liabilities</t>
        </is>
      </c>
      <c r="D1086" s="2" t="inlineStr">
        <is>
          <t>Lease liabilities</t>
        </is>
      </c>
      <c r="E1086" s="2" t="inlineStr">
        <is>
          <t>H1-2026</t>
        </is>
      </c>
      <c r="F1086" s="2" t="n">
        <v>85.8</v>
      </c>
      <c r="G1086" s="2" t="inlineStr">
        <is>
          <t>EUR m</t>
        </is>
      </c>
      <c r="H1086" s="3" t="inlineStr">
        <is>
          <t>IFRS 16 lease liabilities at 30 June 2026, including Graze's leases.</t>
        </is>
      </c>
      <c r="I1086" s="2" t="inlineStr">
        <is>
          <t>S5</t>
        </is>
      </c>
      <c r="J1086" s="2" t="n">
        <v>41</v>
      </c>
      <c r="K1086" s="3" t="inlineStr">
        <is>
          <t>As at June 30, 2026, lease liabilities amounted to a total of EUR 85.8 million (December 31, 2025: EUR 74.7 million).</t>
        </is>
      </c>
      <c r="L1086" s="2" t="inlineStr">
        <is>
          <t>ok</t>
        </is>
      </c>
      <c r="M1086" s="2" t="inlineStr">
        <is>
          <t>demo reviewer</t>
        </is>
      </c>
      <c r="N1086" s="2" t="n"/>
      <c r="O1086" s="3" t="inlineStr">
        <is>
          <t>https://vanillabonds.com/dossier-data/pdf/katjes/katjes-h1-2026-interim-report.pdf#page=41</t>
        </is>
      </c>
    </row>
    <row r="1087">
      <c r="A1087" s="2" t="inlineStr">
        <is>
          <t>F1086</t>
        </is>
      </c>
      <c r="B1087" s="2" t="inlineStr">
        <is>
          <t>financials</t>
        </is>
      </c>
      <c r="C1087" s="2" t="inlineStr">
        <is>
          <t>equity</t>
        </is>
      </c>
      <c r="D1087" s="2" t="inlineStr">
        <is>
          <t>Total equity</t>
        </is>
      </c>
      <c r="E1087" s="2" t="inlineStr">
        <is>
          <t>FY2025</t>
        </is>
      </c>
      <c r="F1087" s="2" t="n">
        <v>266.9</v>
      </c>
      <c r="G1087" s="2" t="inlineStr">
        <is>
          <t>EUR m</t>
        </is>
      </c>
      <c r="H1087" s="3" t="inlineStr">
        <is>
          <t>Total equity at 31 December 2025: shareholders' equity 219.4 plus non-controlling interests 47.5.</t>
        </is>
      </c>
      <c r="I1087" s="2" t="inlineStr">
        <is>
          <t>S5</t>
        </is>
      </c>
      <c r="J1087" s="2" t="n">
        <v>32</v>
      </c>
      <c r="K1087" s="2" t="inlineStr">
        <is>
          <t>Total equity 255.1 266.9</t>
        </is>
      </c>
      <c r="L1087" s="2" t="inlineStr">
        <is>
          <t>ok</t>
        </is>
      </c>
      <c r="M1087" s="2" t="inlineStr">
        <is>
          <t>demo reviewer</t>
        </is>
      </c>
      <c r="N1087" s="2" t="n"/>
      <c r="O1087" s="3" t="inlineStr">
        <is>
          <t>https://vanillabonds.com/dossier-data/pdf/katjes/katjes-h1-2026-interim-report.pdf#page=32</t>
        </is>
      </c>
    </row>
    <row r="1088">
      <c r="A1088" s="2" t="inlineStr">
        <is>
          <t>F1087</t>
        </is>
      </c>
      <c r="B1088" s="2" t="inlineStr">
        <is>
          <t>financials</t>
        </is>
      </c>
      <c r="C1088" s="2" t="inlineStr">
        <is>
          <t>equity</t>
        </is>
      </c>
      <c r="D1088" s="2" t="inlineStr">
        <is>
          <t>Total equity</t>
        </is>
      </c>
      <c r="E1088" s="2" t="inlineStr">
        <is>
          <t>H1-2025</t>
        </is>
      </c>
      <c r="F1088" s="2" t="n">
        <v>175.3</v>
      </c>
      <c r="G1088" s="2" t="inlineStr">
        <is>
          <t>EUR m</t>
        </is>
      </c>
      <c r="H1088" s="3" t="inlineStr">
        <is>
          <t>Total equity at 30 June 2025 per statement of changes in equity (shareholders 174.2, NCI 1.1).</t>
        </is>
      </c>
      <c r="I1088" s="2" t="inlineStr">
        <is>
          <t>S5</t>
        </is>
      </c>
      <c r="J1088" s="2" t="n">
        <v>33</v>
      </c>
      <c r="K1088" s="3" t="inlineStr">
        <is>
          <t>As at June 30, 2025 1.0 -2.7 6.2 167.1 -1.0 -0.3 3.9 0.0 3.6 174.2 1.1 175.3</t>
        </is>
      </c>
      <c r="L1088" s="2" t="inlineStr">
        <is>
          <t>ok</t>
        </is>
      </c>
      <c r="M1088" s="2" t="inlineStr">
        <is>
          <t>demo reviewer</t>
        </is>
      </c>
      <c r="N1088" s="2" t="n"/>
      <c r="O1088" s="3" t="inlineStr">
        <is>
          <t>https://vanillabonds.com/dossier-data/pdf/katjes/katjes-h1-2026-interim-report.pdf#page=33</t>
        </is>
      </c>
    </row>
    <row r="1089">
      <c r="A1089" s="2" t="inlineStr">
        <is>
          <t>F1088</t>
        </is>
      </c>
      <c r="B1089" s="2" t="inlineStr">
        <is>
          <t>financials</t>
        </is>
      </c>
      <c r="C1089" s="2" t="inlineStr">
        <is>
          <t>equity</t>
        </is>
      </c>
      <c r="D1089" s="2" t="inlineStr">
        <is>
          <t>Total equity</t>
        </is>
      </c>
      <c r="E1089" s="2" t="inlineStr">
        <is>
          <t>H1-2026</t>
        </is>
      </c>
      <c r="F1089" s="2" t="n">
        <v>255.1</v>
      </c>
      <c r="G1089" s="2" t="inlineStr">
        <is>
          <t>EUR m</t>
        </is>
      </c>
      <c r="H1089" s="3" t="inlineStr">
        <is>
          <t>Total equity at 30 June 2026: shareholders' equity 214.8 plus non-controlling interests 40.3.</t>
        </is>
      </c>
      <c r="I1089" s="2" t="inlineStr">
        <is>
          <t>S5</t>
        </is>
      </c>
      <c r="J1089" s="2" t="n">
        <v>32</v>
      </c>
      <c r="K1089" s="2" t="inlineStr">
        <is>
          <t>Total equity 255.1 266.9</t>
        </is>
      </c>
      <c r="L1089" s="2" t="inlineStr">
        <is>
          <t>ok</t>
        </is>
      </c>
      <c r="M1089" s="2" t="inlineStr">
        <is>
          <t>demo reviewer</t>
        </is>
      </c>
      <c r="N1089" s="2" t="n"/>
      <c r="O1089" s="3" t="inlineStr">
        <is>
          <t>https://vanillabonds.com/dossier-data/pdf/katjes/katjes-h1-2026-interim-report.pdf#page=32</t>
        </is>
      </c>
    </row>
    <row r="1090">
      <c r="A1090" s="2" t="inlineStr">
        <is>
          <t>F1089</t>
        </is>
      </c>
      <c r="B1090" s="2" t="inlineStr">
        <is>
          <t>financials</t>
        </is>
      </c>
      <c r="C1090" s="2" t="inlineStr">
        <is>
          <t>total_assets</t>
        </is>
      </c>
      <c r="D1090" s="2" t="inlineStr">
        <is>
          <t>Total assets</t>
        </is>
      </c>
      <c r="E1090" s="2" t="inlineStr">
        <is>
          <t>FY2025</t>
        </is>
      </c>
      <c r="F1090" s="2" t="n">
        <v>812.3</v>
      </c>
      <c r="G1090" s="2" t="inlineStr">
        <is>
          <t>EUR m</t>
        </is>
      </c>
      <c r="H1090" s="2" t="inlineStr">
        <is>
          <t>Total assets at 31 December 2025.</t>
        </is>
      </c>
      <c r="I1090" s="2" t="inlineStr">
        <is>
          <t>S5</t>
        </is>
      </c>
      <c r="J1090" s="2" t="n">
        <v>31</v>
      </c>
      <c r="K1090" s="2" t="inlineStr">
        <is>
          <t>Total assets 850.9 812.3</t>
        </is>
      </c>
      <c r="L1090" s="2" t="inlineStr">
        <is>
          <t>ok</t>
        </is>
      </c>
      <c r="M1090" s="2" t="inlineStr">
        <is>
          <t>demo reviewer</t>
        </is>
      </c>
      <c r="N1090" s="2" t="n"/>
      <c r="O1090" s="3" t="inlineStr">
        <is>
          <t>https://vanillabonds.com/dossier-data/pdf/katjes/katjes-h1-2026-interim-report.pdf#page=31</t>
        </is>
      </c>
    </row>
    <row r="1091">
      <c r="A1091" s="2" t="inlineStr">
        <is>
          <t>F1090</t>
        </is>
      </c>
      <c r="B1091" s="2" t="inlineStr">
        <is>
          <t>financials</t>
        </is>
      </c>
      <c r="C1091" s="2" t="inlineStr">
        <is>
          <t>total_assets</t>
        </is>
      </c>
      <c r="D1091" s="2" t="inlineStr">
        <is>
          <t>Total assets</t>
        </is>
      </c>
      <c r="E1091" s="2" t="inlineStr">
        <is>
          <t>H1-2026</t>
        </is>
      </c>
      <c r="F1091" s="2" t="n">
        <v>850.9</v>
      </c>
      <c r="G1091" s="2" t="inlineStr">
        <is>
          <t>EUR m</t>
        </is>
      </c>
      <c r="H1091" s="2" t="inlineStr">
        <is>
          <t>Total assets at 30 June 2026.</t>
        </is>
      </c>
      <c r="I1091" s="2" t="inlineStr">
        <is>
          <t>S5</t>
        </is>
      </c>
      <c r="J1091" s="2" t="n">
        <v>31</v>
      </c>
      <c r="K1091" s="2" t="inlineStr">
        <is>
          <t>Total assets 850.9 812.3</t>
        </is>
      </c>
      <c r="L1091" s="2" t="inlineStr">
        <is>
          <t>ok</t>
        </is>
      </c>
      <c r="M1091" s="2" t="inlineStr">
        <is>
          <t>demo reviewer</t>
        </is>
      </c>
      <c r="N1091" s="2" t="n"/>
      <c r="O1091" s="3" t="inlineStr">
        <is>
          <t>https://vanillabonds.com/dossier-data/pdf/katjes/katjes-h1-2026-interim-report.pdf#page=31</t>
        </is>
      </c>
    </row>
    <row r="1092">
      <c r="A1092" s="2" t="inlineStr">
        <is>
          <t>F1091</t>
        </is>
      </c>
      <c r="B1092" s="2" t="inlineStr">
        <is>
          <t>debt</t>
        </is>
      </c>
      <c r="C1092" s="2" t="inlineStr">
        <is>
          <t>debt_instrument</t>
        </is>
      </c>
      <c r="D1092" s="2" t="inlineStr">
        <is>
          <t>Debt instrument</t>
        </is>
      </c>
      <c r="E1092" s="2" t="n"/>
      <c r="F1092" s="2" t="n">
        <v>200</v>
      </c>
      <c r="G1092" s="2" t="n"/>
      <c r="H1092" s="3" t="inlineStr">
        <is>
          <t>Corporate bond 2023/2028, EUR 200.0m nominal after the EUR 15m increase in May 2026 (Missoni); carrying amount 200.0, fair value 191.3 at 30 June 2026; coupon not stated in this report.</t>
        </is>
      </c>
      <c r="I1092" s="2" t="inlineStr">
        <is>
          <t>S5</t>
        </is>
      </c>
      <c r="J1092" s="2" t="n">
        <v>21</v>
      </c>
      <c r="K1092" s="3" t="inlineStr">
        <is>
          <t>the existing corporate bond was increased by EUR 15 million to a total of EUR 200 million.</t>
        </is>
      </c>
      <c r="L1092" s="2" t="inlineStr">
        <is>
          <t>ok</t>
        </is>
      </c>
      <c r="M1092" s="2" t="inlineStr">
        <is>
          <t>demo reviewer</t>
        </is>
      </c>
      <c r="N1092" s="2" t="n"/>
      <c r="O1092" s="3" t="inlineStr">
        <is>
          <t>https://vanillabonds.com/dossier-data/pdf/katjes/katjes-h1-2026-interim-report.pdf#page=21</t>
        </is>
      </c>
    </row>
    <row r="1093">
      <c r="A1093" s="2" t="inlineStr">
        <is>
          <t>F1092</t>
        </is>
      </c>
      <c r="B1093" s="2" t="inlineStr">
        <is>
          <t>debt</t>
        </is>
      </c>
      <c r="C1093" s="2" t="inlineStr">
        <is>
          <t>debt_instrument</t>
        </is>
      </c>
      <c r="D1093" s="2" t="inlineStr">
        <is>
          <t>Debt instrument</t>
        </is>
      </c>
      <c r="E1093" s="2" t="n"/>
      <c r="F1093" s="2" t="n"/>
      <c r="G1093" s="2" t="n"/>
      <c r="H1093" s="3" t="inlineStr">
        <is>
          <t>Acquisition financing (long-term bank loans) for part of the Graze purchase price, amount not stated separately.</t>
        </is>
      </c>
      <c r="I1093" s="2" t="inlineStr">
        <is>
          <t>S5</t>
        </is>
      </c>
      <c r="J1093" s="2" t="n">
        <v>25</v>
      </c>
      <c r="K1093" s="3" t="inlineStr">
        <is>
          <t>Missoni as well as acquisition financing for part of the purchase price of Graze</t>
        </is>
      </c>
      <c r="L1093" s="2" t="inlineStr">
        <is>
          <t>ok</t>
        </is>
      </c>
      <c r="M1093" s="2" t="inlineStr">
        <is>
          <t>demo reviewer</t>
        </is>
      </c>
      <c r="N1093" s="2" t="n"/>
      <c r="O1093" s="3" t="inlineStr">
        <is>
          <t>https://vanillabonds.com/dossier-data/pdf/katjes/katjes-h1-2026-interim-report.pdf#page=25</t>
        </is>
      </c>
    </row>
    <row r="1094">
      <c r="A1094" s="2" t="inlineStr">
        <is>
          <t>F1093</t>
        </is>
      </c>
      <c r="B1094" s="2" t="inlineStr">
        <is>
          <t>debt</t>
        </is>
      </c>
      <c r="C1094" s="2" t="inlineStr">
        <is>
          <t>debt_instrument</t>
        </is>
      </c>
      <c r="D1094" s="2" t="inlineStr">
        <is>
          <t>Debt instrument</t>
        </is>
      </c>
      <c r="E1094" s="2" t="n"/>
      <c r="F1094" s="2" t="n">
        <v>51</v>
      </c>
      <c r="G1094" s="2" t="n"/>
      <c r="H1094" s="3" t="inlineStr">
        <is>
          <t>Non-current interest-bearing loans EUR 51.0m at 30 June 2026 (amortised cost, fair value 51.0); includes acquisition financing for part of the Graze purchase price.</t>
        </is>
      </c>
      <c r="I1094" s="2" t="inlineStr">
        <is>
          <t>S5</t>
        </is>
      </c>
      <c r="J1094" s="2" t="n">
        <v>42</v>
      </c>
      <c r="K1094" s="3" t="inlineStr">
        <is>
          <t>Interest-bearing loans2 51.0 51.0** Amortised cost</t>
        </is>
      </c>
      <c r="L1094" s="2" t="inlineStr">
        <is>
          <t>ok</t>
        </is>
      </c>
      <c r="M1094" s="2" t="inlineStr">
        <is>
          <t>demo reviewer</t>
        </is>
      </c>
      <c r="N1094" s="2" t="n"/>
      <c r="O1094" s="3" t="inlineStr">
        <is>
          <t>https://vanillabonds.com/dossier-data/pdf/katjes/katjes-h1-2026-interim-report.pdf#page=42</t>
        </is>
      </c>
    </row>
    <row r="1095">
      <c r="A1095" s="2" t="inlineStr">
        <is>
          <t>F1094</t>
        </is>
      </c>
      <c r="B1095" s="2" t="inlineStr">
        <is>
          <t>debt</t>
        </is>
      </c>
      <c r="C1095" s="2" t="inlineStr">
        <is>
          <t>debt_instrument</t>
        </is>
      </c>
      <c r="D1095" s="2" t="inlineStr">
        <is>
          <t>Debt instrument</t>
        </is>
      </c>
      <c r="E1095" s="2" t="n"/>
      <c r="F1095" s="2" t="n">
        <v>68.09999999999999</v>
      </c>
      <c r="G1095" s="2" t="n"/>
      <c r="H1095" s="3" t="inlineStr">
        <is>
          <t>Current interest-bearing loans EUR 68.1m at 30 June 2026, increased by new short-term credit lines drawn during the period.</t>
        </is>
      </c>
      <c r="I1095" s="2" t="inlineStr">
        <is>
          <t>S5</t>
        </is>
      </c>
      <c r="J1095" s="2" t="n">
        <v>42</v>
      </c>
      <c r="K1095" s="3" t="inlineStr">
        <is>
          <t>Interest-bearing loans2 68.1 68.1** Amortised cost</t>
        </is>
      </c>
      <c r="L1095" s="2" t="inlineStr">
        <is>
          <t>ok</t>
        </is>
      </c>
      <c r="M1095" s="2" t="inlineStr">
        <is>
          <t>demo reviewer</t>
        </is>
      </c>
      <c r="N1095" s="2" t="n"/>
      <c r="O1095" s="3" t="inlineStr">
        <is>
          <t>https://vanillabonds.com/dossier-data/pdf/katjes/katjes-h1-2026-interim-report.pdf#page=42</t>
        </is>
      </c>
    </row>
    <row r="1096">
      <c r="A1096" s="2" t="inlineStr">
        <is>
          <t>F1095</t>
        </is>
      </c>
      <c r="B1096" s="2" t="inlineStr">
        <is>
          <t>risk</t>
        </is>
      </c>
      <c r="C1096" s="2" t="inlineStr">
        <is>
          <t>risk_fact</t>
        </is>
      </c>
      <c r="D1096" s="2" t="inlineStr">
        <is>
          <t>Risk fact</t>
        </is>
      </c>
      <c r="E1096" s="2" t="n"/>
      <c r="F1096" s="2" t="n"/>
      <c r="G1096" s="2" t="n"/>
      <c r="H1096" s="3" t="inlineStr">
        <is>
          <t>Seasonality: the second half carries significantly higher revenue and is decisive for the full year; the Bogner companies reinforce this pattern.</t>
        </is>
      </c>
      <c r="I1096" s="2" t="inlineStr">
        <is>
          <t>S5</t>
        </is>
      </c>
      <c r="J1096" s="2" t="n">
        <v>22</v>
      </c>
      <c r="K1096" s="3" t="inlineStr">
        <is>
          <t>The second half of the year remains the period with significantly higher revenue and is decisive for full-year performance.</t>
        </is>
      </c>
      <c r="L1096" s="2" t="inlineStr">
        <is>
          <t>ok</t>
        </is>
      </c>
      <c r="M1096" s="2" t="inlineStr">
        <is>
          <t>demo reviewer</t>
        </is>
      </c>
      <c r="N1096" s="2" t="n"/>
      <c r="O1096" s="3" t="inlineStr">
        <is>
          <t>https://vanillabonds.com/dossier-data/pdf/katjes/katjes-h1-2026-interim-report.pdf#page=22</t>
        </is>
      </c>
    </row>
    <row r="1097">
      <c r="A1097" s="2" t="inlineStr">
        <is>
          <t>F1096</t>
        </is>
      </c>
      <c r="B1097" s="2" t="inlineStr">
        <is>
          <t>risk</t>
        </is>
      </c>
      <c r="C1097" s="2" t="inlineStr">
        <is>
          <t>risk_fact</t>
        </is>
      </c>
      <c r="D1097" s="2" t="inlineStr">
        <is>
          <t>Risk fact</t>
        </is>
      </c>
      <c r="E1097" s="2" t="n"/>
      <c r="F1097" s="2" t="n"/>
      <c r="G1097" s="2" t="n"/>
      <c r="H1097" s="3" t="inlineStr">
        <is>
          <t>Two instances of damage caused by third parties reduced H1-2026 operating result; the company states insurance coverage or a right of recourse 'generally exists' and expects resolution in H2-2026.</t>
        </is>
      </c>
      <c r="I1097" s="2" t="inlineStr">
        <is>
          <t>S5</t>
        </is>
      </c>
      <c r="J1097" s="2" t="n">
        <v>23</v>
      </c>
      <c r="K1097" s="3" t="inlineStr">
        <is>
          <t>In both cases, insurance coverage or a right of recourse generally exists.</t>
        </is>
      </c>
      <c r="L1097" s="2" t="inlineStr">
        <is>
          <t>ok</t>
        </is>
      </c>
      <c r="M1097" s="2" t="inlineStr">
        <is>
          <t>demo reviewer</t>
        </is>
      </c>
      <c r="N1097" s="2" t="n"/>
      <c r="O1097" s="3" t="inlineStr">
        <is>
          <t>https://vanillabonds.com/dossier-data/pdf/katjes/katjes-h1-2026-interim-report.pdf#page=23</t>
        </is>
      </c>
    </row>
    <row r="1098">
      <c r="A1098" s="2" t="inlineStr">
        <is>
          <t>F1097</t>
        </is>
      </c>
      <c r="B1098" s="2" t="inlineStr">
        <is>
          <t>risk</t>
        </is>
      </c>
      <c r="C1098" s="2" t="inlineStr">
        <is>
          <t>risk_fact</t>
        </is>
      </c>
      <c r="D1098" s="2" t="inlineStr">
        <is>
          <t>Risk fact</t>
        </is>
      </c>
      <c r="E1098" s="2" t="n"/>
      <c r="F1098" s="2" t="n"/>
      <c r="G1098" s="2" t="n"/>
      <c r="H1098" s="3" t="inlineStr">
        <is>
          <t>Financial result worsened to -11.2 from -4.1, attributed to the bond increase and acquisition financing for Bogner, Missoni and Graze.</t>
        </is>
      </c>
      <c r="I1098" s="2" t="inlineStr">
        <is>
          <t>S5</t>
        </is>
      </c>
      <c r="J1098" s="2" t="n">
        <v>23</v>
      </c>
      <c r="K1098" s="3" t="inlineStr">
        <is>
          <t>increase in the Katjes International bond and acquisition finan- cing (in connection with the acquisition of Bogner, the invest- ment in Missoni and the acquisition of Graze)</t>
        </is>
      </c>
      <c r="L1098" s="2" t="inlineStr">
        <is>
          <t>ok</t>
        </is>
      </c>
      <c r="M1098" s="2" t="inlineStr">
        <is>
          <t>demo reviewer</t>
        </is>
      </c>
      <c r="N1098" s="2" t="n"/>
      <c r="O1098" s="3" t="inlineStr">
        <is>
          <t>https://vanillabonds.com/dossier-data/pdf/katjes/katjes-h1-2026-interim-report.pdf#page=23</t>
        </is>
      </c>
    </row>
    <row r="1099">
      <c r="A1099" s="2" t="inlineStr">
        <is>
          <t>F1098</t>
        </is>
      </c>
      <c r="B1099" s="2" t="inlineStr">
        <is>
          <t>risk</t>
        </is>
      </c>
      <c r="C1099" s="2" t="inlineStr">
        <is>
          <t>risk_fact</t>
        </is>
      </c>
      <c r="D1099" s="2" t="inlineStr">
        <is>
          <t>Risk fact</t>
        </is>
      </c>
      <c r="E1099" s="2" t="n"/>
      <c r="F1099" s="2" t="n"/>
      <c r="G1099" s="2" t="n"/>
      <c r="H1099" s="3" t="inlineStr">
        <is>
          <t>Going concern: management states 'no risks threatening the Company's continued existence are identifiable at present or in the foreseeable future'.</t>
        </is>
      </c>
      <c r="I1099" s="2" t="inlineStr">
        <is>
          <t>S5</t>
        </is>
      </c>
      <c r="J1099" s="2" t="n">
        <v>26</v>
      </c>
      <c r="K1099" s="3" t="inlineStr">
        <is>
          <t>From the perspective of management, no risks threatening the Company's continued existence are identifiable at present or in the foreseeable future.</t>
        </is>
      </c>
      <c r="L1099" s="2" t="inlineStr">
        <is>
          <t>ok</t>
        </is>
      </c>
      <c r="M1099" s="2" t="inlineStr">
        <is>
          <t>demo reviewer</t>
        </is>
      </c>
      <c r="N1099" s="2" t="n"/>
      <c r="O1099" s="3" t="inlineStr">
        <is>
          <t>https://vanillabonds.com/dossier-data/pdf/katjes/katjes-h1-2026-interim-report.pdf#page=26</t>
        </is>
      </c>
    </row>
    <row r="1100">
      <c r="A1100" s="2" t="inlineStr">
        <is>
          <t>F1099</t>
        </is>
      </c>
      <c r="B1100" s="2" t="inlineStr">
        <is>
          <t>risk</t>
        </is>
      </c>
      <c r="C1100" s="2" t="inlineStr">
        <is>
          <t>risk_fact</t>
        </is>
      </c>
      <c r="D1100" s="2" t="inlineStr">
        <is>
          <t>Risk fact</t>
        </is>
      </c>
      <c r="E1100" s="2" t="n"/>
      <c r="F1100" s="2" t="n"/>
      <c r="G1100" s="2" t="n"/>
      <c r="H1100" s="3" t="inlineStr">
        <is>
          <t>No significant changes in opportunities and risks versus the 2025 consolidated financial statements (pages 30 to 34 of that report).</t>
        </is>
      </c>
      <c r="I1100" s="2" t="inlineStr">
        <is>
          <t>S5</t>
        </is>
      </c>
      <c r="J1100" s="2" t="n">
        <v>26</v>
      </c>
      <c r="K1100" s="3" t="inlineStr">
        <is>
          <t>In the first half of the year, no significant changes occurred in the opportunities and risks compared with the 2025 consolidated fi-</t>
        </is>
      </c>
      <c r="L1100" s="2" t="inlineStr">
        <is>
          <t>ok</t>
        </is>
      </c>
      <c r="M1100" s="2" t="inlineStr">
        <is>
          <t>demo reviewer</t>
        </is>
      </c>
      <c r="N1100" s="2" t="n"/>
      <c r="O1100" s="3" t="inlineStr">
        <is>
          <t>https://vanillabonds.com/dossier-data/pdf/katjes/katjes-h1-2026-interim-report.pdf#page=26</t>
        </is>
      </c>
    </row>
    <row r="1101">
      <c r="A1101" s="2" t="inlineStr">
        <is>
          <t>F1100</t>
        </is>
      </c>
      <c r="B1101" s="2" t="inlineStr">
        <is>
          <t>risk</t>
        </is>
      </c>
      <c r="C1101" s="2" t="inlineStr">
        <is>
          <t>risk_fact</t>
        </is>
      </c>
      <c r="D1101" s="2" t="inlineStr">
        <is>
          <t>Risk fact</t>
        </is>
      </c>
      <c r="E1101" s="2" t="n"/>
      <c r="F1101" s="2" t="n"/>
      <c r="G1101" s="2" t="n"/>
      <c r="H1101" s="3" t="inlineStr">
        <is>
          <t>FX: cash held in GBP EUR 2.8m (0.5m) and in other currencies, mainly RUB, CHF and USD, EUR 8.6m (10.6m) at 30 June 2026; group includes Bogner Eastern Europe LLC, Moscow.</t>
        </is>
      </c>
      <c r="I1101" s="2" t="inlineStr">
        <is>
          <t>S5</t>
        </is>
      </c>
      <c r="J1101" s="2" t="n">
        <v>41</v>
      </c>
      <c r="K1101" s="3" t="inlineStr">
        <is>
          <t>other foreign currencies (mainly RUB, CHF, USD) are reported at an equivalent value of EUR 8.6 million</t>
        </is>
      </c>
      <c r="L1101" s="2" t="inlineStr">
        <is>
          <t>ok</t>
        </is>
      </c>
      <c r="M1101" s="2" t="inlineStr">
        <is>
          <t>demo reviewer</t>
        </is>
      </c>
      <c r="N1101" s="2" t="n"/>
      <c r="O1101" s="3" t="inlineStr">
        <is>
          <t>https://vanillabonds.com/dossier-data/pdf/katjes/katjes-h1-2026-interim-report.pdf#page=41</t>
        </is>
      </c>
    </row>
    <row r="1102">
      <c r="A1102" s="2" t="inlineStr">
        <is>
          <t>F1101</t>
        </is>
      </c>
      <c r="B1102" s="2" t="inlineStr">
        <is>
          <t>management</t>
        </is>
      </c>
      <c r="C1102" s="2" t="inlineStr">
        <is>
          <t>mgmt_person</t>
        </is>
      </c>
      <c r="D1102" s="3" t="inlineStr">
        <is>
          <t>Executive: name, role, since, prior roles (register / report)</t>
        </is>
      </c>
      <c r="E1102" s="2" t="n"/>
      <c r="F1102" s="2" t="n"/>
      <c r="G1102" s="2" t="n"/>
      <c r="H1102" s="3" t="inlineStr">
        <is>
          <t>Stephan Milde, Managing Director (CFO) since 2012; before: several years in investment banking at Deutsche Bank and Citigroup in London.</t>
        </is>
      </c>
      <c r="I1102" s="2" t="inlineStr">
        <is>
          <t>S5</t>
        </is>
      </c>
      <c r="J1102" s="2" t="n">
        <v>6</v>
      </c>
      <c r="K1102" s="2" t="inlineStr">
        <is>
          <t>since 2012 – CFO of Katjes International</t>
        </is>
      </c>
      <c r="L1102" s="2" t="inlineStr">
        <is>
          <t>ok</t>
        </is>
      </c>
      <c r="M1102" s="2" t="inlineStr">
        <is>
          <t>demo reviewer</t>
        </is>
      </c>
      <c r="N1102" s="2" t="n"/>
      <c r="O1102" s="3" t="inlineStr">
        <is>
          <t>https://vanillabonds.com/dossier-data/pdf/katjes/katjes-h1-2026-interim-report.pdf#page=6</t>
        </is>
      </c>
    </row>
    <row r="1103">
      <c r="A1103" s="2" t="inlineStr">
        <is>
          <t>F1102</t>
        </is>
      </c>
      <c r="B1103" s="2" t="inlineStr">
        <is>
          <t>management</t>
        </is>
      </c>
      <c r="C1103" s="2" t="inlineStr">
        <is>
          <t>mgmt_person</t>
        </is>
      </c>
      <c r="D1103" s="3" t="inlineStr">
        <is>
          <t>Executive: name, role, since, prior roles (register / report)</t>
        </is>
      </c>
      <c r="E1103" s="2" t="n"/>
      <c r="F1103" s="2" t="n"/>
      <c r="G1103" s="2" t="n"/>
      <c r="H1103" s="3" t="inlineStr">
        <is>
          <t>Bastian Fassin, Managing Partner since 2004; until 2003 Marketing and Sales at Kraft Foods; until 2000 Roland Berger Strategy Consultants.</t>
        </is>
      </c>
      <c r="I1103" s="2" t="inlineStr">
        <is>
          <t>S5</t>
        </is>
      </c>
      <c r="J1103" s="2" t="n">
        <v>6</v>
      </c>
      <c r="K1103" s="3" t="inlineStr">
        <is>
          <t>since 2004 – Managing Partner of Katjes International</t>
        </is>
      </c>
      <c r="L1103" s="2" t="inlineStr">
        <is>
          <t>ok</t>
        </is>
      </c>
      <c r="M1103" s="2" t="inlineStr">
        <is>
          <t>demo reviewer</t>
        </is>
      </c>
      <c r="N1103" s="2" t="n"/>
      <c r="O1103" s="3" t="inlineStr">
        <is>
          <t>https://vanillabonds.com/dossier-data/pdf/katjes/katjes-h1-2026-interim-report.pdf#page=6</t>
        </is>
      </c>
    </row>
    <row r="1104">
      <c r="A1104" s="2" t="inlineStr">
        <is>
          <t>F1103</t>
        </is>
      </c>
      <c r="B1104" s="2" t="inlineStr">
        <is>
          <t>management</t>
        </is>
      </c>
      <c r="C1104" s="2" t="inlineStr">
        <is>
          <t>mgmt_person</t>
        </is>
      </c>
      <c r="D1104" s="3" t="inlineStr">
        <is>
          <t>Executive: name, role, since, prior roles (register / report)</t>
        </is>
      </c>
      <c r="E1104" s="2" t="n"/>
      <c r="F1104" s="2" t="n"/>
      <c r="G1104" s="2" t="n"/>
      <c r="H1104" s="3" t="inlineStr">
        <is>
          <t>Tobias Bachmüller, Managing Partner since 1996; until 1995 General Manager Kraft Foods (Milka); until 1992 Principal, The Boston Consulting Group.</t>
        </is>
      </c>
      <c r="I1104" s="2" t="inlineStr">
        <is>
          <t>S5</t>
        </is>
      </c>
      <c r="J1104" s="2" t="n">
        <v>6</v>
      </c>
      <c r="K1104" s="3" t="inlineStr">
        <is>
          <t>since 1996 – Managing Partner of Katjes International</t>
        </is>
      </c>
      <c r="L1104" s="2" t="inlineStr">
        <is>
          <t>ok</t>
        </is>
      </c>
      <c r="M1104" s="2" t="inlineStr">
        <is>
          <t>demo reviewer</t>
        </is>
      </c>
      <c r="N1104" s="2" t="n"/>
      <c r="O1104" s="3" t="inlineStr">
        <is>
          <t>https://vanillabonds.com/dossier-data/pdf/katjes/katjes-h1-2026-interim-report.pdf#page=6</t>
        </is>
      </c>
    </row>
    <row r="1105">
      <c r="A1105" s="2" t="inlineStr">
        <is>
          <t>F1104</t>
        </is>
      </c>
      <c r="B1105" s="2" t="inlineStr">
        <is>
          <t>management</t>
        </is>
      </c>
      <c r="C1105" s="2" t="inlineStr">
        <is>
          <t>revenue_budget</t>
        </is>
      </c>
      <c r="D1105" s="3" t="inlineStr">
        <is>
          <t>Revenue as budgeted for that year (management plan at the time)</t>
        </is>
      </c>
      <c r="E1105" s="2" t="inlineStr">
        <is>
          <t>FY2026</t>
        </is>
      </c>
      <c r="F1105" s="2" t="n">
        <v>650</v>
      </c>
      <c r="G1105" s="2" t="inlineStr">
        <is>
          <t>EUR m</t>
        </is>
      </c>
      <c r="H1105" s="3" t="inlineStr">
        <is>
          <t>Company guidance for FY2026: Group revenue of 'at least EUR 650 million', which management expects 'to meet or exceed'.</t>
        </is>
      </c>
      <c r="I1105" s="2" t="inlineStr">
        <is>
          <t>S5</t>
        </is>
      </c>
      <c r="J1105" s="2" t="n">
        <v>5</v>
      </c>
      <c r="K1105" s="3" t="inlineStr">
        <is>
          <t>to meet or exceed our guidance of expected Group revenue of at least EUR 650 million and an expected EBITDA margin of 10% – 12%.</t>
        </is>
      </c>
      <c r="L1105" s="2" t="inlineStr">
        <is>
          <t>ok</t>
        </is>
      </c>
      <c r="M1105" s="2" t="inlineStr">
        <is>
          <t>demo reviewer</t>
        </is>
      </c>
      <c r="N1105" s="2" t="n"/>
      <c r="O1105" s="3" t="inlineStr">
        <is>
          <t>https://vanillabonds.com/dossier-data/pdf/katjes/katjes-h1-2026-interim-report.pdf#page=5</t>
        </is>
      </c>
    </row>
    <row r="1106">
      <c r="A1106" s="2" t="inlineStr">
        <is>
          <t>F1105</t>
        </is>
      </c>
      <c r="B1106" s="2" t="inlineStr">
        <is>
          <t>management</t>
        </is>
      </c>
      <c r="C1106" s="2" t="inlineStr">
        <is>
          <t>acquisition</t>
        </is>
      </c>
      <c r="D1106" s="3" t="inlineStr">
        <is>
          <t>Acquisition / disposal: target, year, price, funding, outcome vs case</t>
        </is>
      </c>
      <c r="E1106" s="2" t="n"/>
      <c r="F1106" s="2" t="n"/>
      <c r="G1106" s="2" t="n"/>
      <c r="H1106" s="3" t="inlineStr">
        <is>
          <t>target: Bübchen from Nestlé/Galderma; year: 2020 (May); carve-out of a division of a large corporation.</t>
        </is>
      </c>
      <c r="I1106" s="2" t="inlineStr">
        <is>
          <t>S5</t>
        </is>
      </c>
      <c r="J1106" s="2" t="n">
        <v>17</v>
      </c>
      <c r="K1106" s="3" t="inlineStr">
        <is>
          <t>Significant examples include the acquisition of Bübchen from Nestlé/Galderma in 2020</t>
        </is>
      </c>
      <c r="L1106" s="2" t="inlineStr">
        <is>
          <t>ok</t>
        </is>
      </c>
      <c r="M1106" s="2" t="inlineStr">
        <is>
          <t>demo reviewer</t>
        </is>
      </c>
      <c r="N1106" s="2" t="n"/>
      <c r="O1106" s="3" t="inlineStr">
        <is>
          <t>https://vanillabonds.com/dossier-data/pdf/katjes/katjes-h1-2026-interim-report.pdf#page=17</t>
        </is>
      </c>
    </row>
    <row r="1107">
      <c r="A1107" s="2" t="inlineStr">
        <is>
          <t>F1106</t>
        </is>
      </c>
      <c r="B1107" s="2" t="inlineStr">
        <is>
          <t>management</t>
        </is>
      </c>
      <c r="C1107" s="2" t="inlineStr">
        <is>
          <t>acquisition</t>
        </is>
      </c>
      <c r="D1107" s="3" t="inlineStr">
        <is>
          <t>Acquisition / disposal: target, year, price, funding, outcome vs case</t>
        </is>
      </c>
      <c r="E1107" s="2" t="n"/>
      <c r="F1107" s="2" t="n"/>
      <c r="G1107" s="2" t="n"/>
      <c r="H1107" s="3" t="inlineStr">
        <is>
          <t>target: Bogner Group (60% interest), Germany's largest family-owned luxury apparel brand; year: 2025 (1 Sep); acquisition financing referred to in the financial result.</t>
        </is>
      </c>
      <c r="I1107" s="2" t="inlineStr">
        <is>
          <t>S5</t>
        </is>
      </c>
      <c r="J1107" s="2" t="n">
        <v>18</v>
      </c>
      <c r="K1107" s="3" t="inlineStr">
        <is>
          <t>On September 1, 2025, a 60% interest in the Bogner Group was acquired.</t>
        </is>
      </c>
      <c r="L1107" s="2" t="inlineStr">
        <is>
          <t>ok</t>
        </is>
      </c>
      <c r="M1107" s="2" t="inlineStr">
        <is>
          <t>demo reviewer</t>
        </is>
      </c>
      <c r="N1107" s="2" t="n"/>
      <c r="O1107" s="3" t="inlineStr">
        <is>
          <t>https://vanillabonds.com/dossier-data/pdf/katjes/katjes-h1-2026-interim-report.pdf#page=18</t>
        </is>
      </c>
    </row>
    <row r="1108">
      <c r="A1108" s="2" t="inlineStr">
        <is>
          <t>F1107</t>
        </is>
      </c>
      <c r="B1108" s="2" t="inlineStr">
        <is>
          <t>management</t>
        </is>
      </c>
      <c r="C1108" s="2" t="inlineStr">
        <is>
          <t>acquisition</t>
        </is>
      </c>
      <c r="D1108" s="3" t="inlineStr">
        <is>
          <t>Acquisition / disposal: target, year, price, funding, outcome vs case</t>
        </is>
      </c>
      <c r="E1108" s="2" t="n"/>
      <c r="F1108" s="2" t="n"/>
      <c r="G1108" s="2" t="n"/>
      <c r="H1108" s="3" t="inlineStr">
        <is>
          <t>target: Oral Care business (Theramed, Vademecum, Licor del Polo, Antica Erboristeria, Denivit) from Henkel AG &amp; Co. KGaA; year: 2022 (December).</t>
        </is>
      </c>
      <c r="I1108" s="2" t="inlineStr">
        <is>
          <t>S5</t>
        </is>
      </c>
      <c r="J1108" s="2" t="n">
        <v>18</v>
      </c>
      <c r="K1108" s="3" t="inlineStr">
        <is>
          <t>The oral care business acquired from Henkel, which includes the trademarks for Theramed, Vademecum, Licor del Polo, An- tica Erboristeria and Denivit</t>
        </is>
      </c>
      <c r="L1108" s="2" t="inlineStr">
        <is>
          <t>ok</t>
        </is>
      </c>
      <c r="M1108" s="2" t="inlineStr">
        <is>
          <t>demo reviewer</t>
        </is>
      </c>
      <c r="N1108" s="2" t="n"/>
      <c r="O1108" s="3" t="inlineStr">
        <is>
          <t>https://vanillabonds.com/dossier-data/pdf/katjes/katjes-h1-2026-interim-report.pdf#page=18</t>
        </is>
      </c>
    </row>
    <row r="1109">
      <c r="A1109" s="2" t="inlineStr">
        <is>
          <t>F1108</t>
        </is>
      </c>
      <c r="B1109" s="2" t="inlineStr">
        <is>
          <t>management</t>
        </is>
      </c>
      <c r="C1109" s="2" t="inlineStr">
        <is>
          <t>acquisition</t>
        </is>
      </c>
      <c r="D1109" s="3" t="inlineStr">
        <is>
          <t>Acquisition / disposal: target, year, price, funding, outcome vs case</t>
        </is>
      </c>
      <c r="E1109" s="2" t="n"/>
      <c r="F1109" s="2" t="n"/>
      <c r="G1109" s="2" t="n"/>
      <c r="H1109" s="3" t="inlineStr">
        <is>
          <t>target: Barnängen cosmetics brand for Germany, Austria, Czech Republic, Switzerland and Hungary; year: 2024 (April).</t>
        </is>
      </c>
      <c r="I1109" s="2" t="inlineStr">
        <is>
          <t>S5</t>
        </is>
      </c>
      <c r="J1109" s="2" t="n">
        <v>18</v>
      </c>
      <c r="K1109" s="3" t="inlineStr">
        <is>
          <t>The company acquired the cosmetics brand Barnängen for the focus markets Germany, Austria, the Czech Republic, Switzer- land and Hungary in April 2024.</t>
        </is>
      </c>
      <c r="L1109" s="2" t="inlineStr">
        <is>
          <t>ok</t>
        </is>
      </c>
      <c r="M1109" s="2" t="inlineStr">
        <is>
          <t>demo reviewer</t>
        </is>
      </c>
      <c r="N1109" s="2" t="n"/>
      <c r="O1109" s="3" t="inlineStr">
        <is>
          <t>https://vanillabonds.com/dossier-data/pdf/katjes/katjes-h1-2026-interim-report.pdf#page=18</t>
        </is>
      </c>
    </row>
    <row r="1110">
      <c r="A1110" s="2" t="inlineStr">
        <is>
          <t>F1109</t>
        </is>
      </c>
      <c r="B1110" s="2" t="inlineStr">
        <is>
          <t>management</t>
        </is>
      </c>
      <c r="C1110" s="2" t="inlineStr">
        <is>
          <t>acquisition</t>
        </is>
      </c>
      <c r="D1110" s="3" t="inlineStr">
        <is>
          <t>Acquisition / disposal: target, year, price, funding, outcome vs case</t>
        </is>
      </c>
      <c r="E1110" s="2" t="n"/>
      <c r="F1110" s="2" t="n"/>
      <c r="G1110" s="2" t="n"/>
      <c r="H1110" s="3" t="inlineStr">
        <is>
          <t>target: Paluani (panettone, Verona); year: 2022 (August).</t>
        </is>
      </c>
      <c r="I1110" s="2" t="inlineStr">
        <is>
          <t>S5</t>
        </is>
      </c>
      <c r="J1110" s="2" t="n">
        <v>18</v>
      </c>
      <c r="K1110" s="3" t="inlineStr">
        <is>
          <t>Paluani, a well-known producer of panettone in Italy, has been part of Katjes International since August 2022.</t>
        </is>
      </c>
      <c r="L1110" s="2" t="inlineStr">
        <is>
          <t>ok</t>
        </is>
      </c>
      <c r="M1110" s="2" t="inlineStr">
        <is>
          <t>demo reviewer</t>
        </is>
      </c>
      <c r="N1110" s="2" t="n"/>
      <c r="O1110" s="3" t="inlineStr">
        <is>
          <t>https://vanillabonds.com/dossier-data/pdf/katjes/katjes-h1-2026-interim-report.pdf#page=18</t>
        </is>
      </c>
    </row>
    <row r="1111">
      <c r="A1111" s="2" t="inlineStr">
        <is>
          <t>F1110</t>
        </is>
      </c>
      <c r="B1111" s="2" t="inlineStr">
        <is>
          <t>management</t>
        </is>
      </c>
      <c r="C1111" s="2" t="inlineStr">
        <is>
          <t>acquisition</t>
        </is>
      </c>
      <c r="D1111" s="3" t="inlineStr">
        <is>
          <t>Acquisition / disposal: target, year, price, funding, outcome vs case</t>
        </is>
      </c>
      <c r="E1111" s="2" t="n"/>
      <c r="F1111" s="2" t="n"/>
      <c r="G1111" s="2" t="n"/>
      <c r="H1111" s="3" t="inlineStr">
        <is>
          <t>target: Dulcioliva (75%, Cuneesi pralines, Piedmont); year: 2021 (June).</t>
        </is>
      </c>
      <c r="I1111" s="2" t="inlineStr">
        <is>
          <t>S5</t>
        </is>
      </c>
      <c r="J1111" s="2" t="n">
        <v>18</v>
      </c>
      <c r="K1111" s="3" t="inlineStr">
        <is>
          <t>ce June 2021, is one of the leading producers of ’Cuneesi’ pra- lines, a speciality chocolate product from Piedmont.</t>
        </is>
      </c>
      <c r="L1111" s="2" t="inlineStr">
        <is>
          <t>ok</t>
        </is>
      </c>
      <c r="M1111" s="2" t="inlineStr">
        <is>
          <t>demo reviewer</t>
        </is>
      </c>
      <c r="N1111" s="2" t="n"/>
      <c r="O1111" s="3" t="inlineStr">
        <is>
          <t>https://vanillabonds.com/dossier-data/pdf/katjes/katjes-h1-2026-interim-report.pdf#page=18</t>
        </is>
      </c>
    </row>
    <row r="1112">
      <c r="A1112" s="2" t="inlineStr">
        <is>
          <t>F1111</t>
        </is>
      </c>
      <c r="B1112" s="2" t="inlineStr">
        <is>
          <t>management</t>
        </is>
      </c>
      <c r="C1112" s="2" t="inlineStr">
        <is>
          <t>acquisition</t>
        </is>
      </c>
      <c r="D1112" s="3" t="inlineStr">
        <is>
          <t>Acquisition / disposal: target, year, price, funding, outcome vs case</t>
        </is>
      </c>
      <c r="E1112" s="2" t="n"/>
      <c r="F1112" s="2" t="n"/>
      <c r="G1112" s="2" t="n"/>
      <c r="H1112" s="3" t="inlineStr">
        <is>
          <t>target: Sperlari (Italy); year: 2017. Harlekijntjes (NL) 2016, Piasten (DE) 2014, Dallmann's (DE) 2012 per the market-positions section.</t>
        </is>
      </c>
      <c r="I1112" s="2" t="inlineStr">
        <is>
          <t>S5</t>
        </is>
      </c>
      <c r="J1112" s="2" t="n">
        <v>18</v>
      </c>
      <c r="K1112" s="3" t="inlineStr">
        <is>
          <t>In Italy, Sperlari has been part of Katjes International since 2017.</t>
        </is>
      </c>
      <c r="L1112" s="2" t="inlineStr">
        <is>
          <t>ok</t>
        </is>
      </c>
      <c r="M1112" s="2" t="inlineStr">
        <is>
          <t>demo reviewer</t>
        </is>
      </c>
      <c r="N1112" s="2" t="n"/>
      <c r="O1112" s="3" t="inlineStr">
        <is>
          <t>https://vanillabonds.com/dossier-data/pdf/katjes/katjes-h1-2026-interim-report.pdf#page=18</t>
        </is>
      </c>
    </row>
    <row r="1113">
      <c r="A1113" s="2" t="inlineStr">
        <is>
          <t>F1112</t>
        </is>
      </c>
      <c r="B1113" s="2" t="inlineStr">
        <is>
          <t>management</t>
        </is>
      </c>
      <c r="C1113" s="2" t="inlineStr">
        <is>
          <t>acquisition</t>
        </is>
      </c>
      <c r="D1113" s="3" t="inlineStr">
        <is>
          <t>Acquisition / disposal: target, year, price, funding, outcome vs case</t>
        </is>
      </c>
      <c r="E1113" s="2" t="n"/>
      <c r="F1113" s="2" t="n"/>
      <c r="G1113" s="2" t="n"/>
      <c r="H1113" s="3" t="inlineStr">
        <is>
          <t>target: Missoni S.p.A., Sumirago, about 27% stake via Katjes Quiet Luxury GmbH, equity-accounted; year: 2026 (May); funding: existing corporate bond increased by EUR 15m to EUR 200m; price not stated separately.</t>
        </is>
      </c>
      <c r="I1113" s="2" t="inlineStr">
        <is>
          <t>S5</t>
        </is>
      </c>
      <c r="J1113" s="2" t="n">
        <v>21</v>
      </c>
      <c r="K1113" s="3" t="inlineStr">
        <is>
          <t>wholly owned subsidiary Katjes Quiet Luxury, of approximately 27% of the shares in Missoni S.p.A.</t>
        </is>
      </c>
      <c r="L1113" s="2" t="inlineStr">
        <is>
          <t>ok</t>
        </is>
      </c>
      <c r="M1113" s="2" t="inlineStr">
        <is>
          <t>demo reviewer</t>
        </is>
      </c>
      <c r="N1113" s="2" t="n"/>
      <c r="O1113" s="3" t="inlineStr">
        <is>
          <t>https://vanillabonds.com/dossier-data/pdf/katjes/katjes-h1-2026-interim-report.pdf#page=21</t>
        </is>
      </c>
    </row>
    <row r="1114">
      <c r="A1114" s="2" t="inlineStr">
        <is>
          <t>F1113</t>
        </is>
      </c>
      <c r="B1114" s="2" t="inlineStr">
        <is>
          <t>management</t>
        </is>
      </c>
      <c r="C1114" s="2" t="inlineStr">
        <is>
          <t>acquisition</t>
        </is>
      </c>
      <c r="D1114" s="3" t="inlineStr">
        <is>
          <t>Acquisition / disposal: target, year, price, funding, outcome vs case</t>
        </is>
      </c>
      <c r="E1114" s="2" t="n"/>
      <c r="F1114" s="2" t="n">
        <v>31.8</v>
      </c>
      <c r="G1114" s="2" t="n"/>
      <c r="H1114" s="3" t="inlineStr">
        <is>
          <t>target: Nature Delivered Ltd. (Graze), London, from Unilever, via Future Snacks Ltd.; year: 2026 (2 Feb); price: EUR 31.8m; badwill 11.2 in other operating income; Graze revenue about GBP 35m in 2025 and profitable.</t>
        </is>
      </c>
      <c r="I1114" s="2" t="inlineStr">
        <is>
          <t>S5</t>
        </is>
      </c>
      <c r="J1114" s="2" t="n">
        <v>38</v>
      </c>
      <c r="K1114" s="2" t="inlineStr">
        <is>
          <t>Purchase price 31.8 Badwill 11.2</t>
        </is>
      </c>
      <c r="L1114" s="2" t="inlineStr">
        <is>
          <t>ok</t>
        </is>
      </c>
      <c r="M1114" s="2" t="inlineStr">
        <is>
          <t>demo reviewer</t>
        </is>
      </c>
      <c r="N1114" s="2" t="n"/>
      <c r="O1114" s="3" t="inlineStr">
        <is>
          <t>https://vanillabonds.com/dossier-data/pdf/katjes/katjes-h1-2026-interim-report.pdf#page=38</t>
        </is>
      </c>
    </row>
    <row r="1115">
      <c r="A1115" s="2" t="inlineStr">
        <is>
          <t>F1114</t>
        </is>
      </c>
      <c r="B1115" s="2" t="inlineStr">
        <is>
          <t>management</t>
        </is>
      </c>
      <c r="C1115" s="2" t="inlineStr">
        <is>
          <t>acquisition</t>
        </is>
      </c>
      <c r="D1115" s="3" t="inlineStr">
        <is>
          <t>Acquisition / disposal: target, year, price, funding, outcome vs case</t>
        </is>
      </c>
      <c r="E1115" s="2" t="n"/>
      <c r="F1115" s="2" t="n">
        <v>0.4</v>
      </c>
      <c r="G1115" s="2" t="n"/>
      <c r="H1115" s="3" t="inlineStr">
        <is>
          <t>target: Pastificio Plin S.r.l., Villanova d'Albenga; year: 2026 (27 Feb); price: EUR 0.4m; badwill 2.6; revenue about EUR 4m in 2025 and profitable.</t>
        </is>
      </c>
      <c r="I1115" s="2" t="inlineStr">
        <is>
          <t>S5</t>
        </is>
      </c>
      <c r="J1115" s="2" t="n">
        <v>39</v>
      </c>
      <c r="K1115" s="2" t="inlineStr">
        <is>
          <t>Purchase price 0.4 Badwill 2.6</t>
        </is>
      </c>
      <c r="L1115" s="2" t="inlineStr">
        <is>
          <t>ok</t>
        </is>
      </c>
      <c r="M1115" s="2" t="inlineStr">
        <is>
          <t>demo reviewer</t>
        </is>
      </c>
      <c r="N1115" s="2" t="n"/>
      <c r="O1115" s="3" t="inlineStr">
        <is>
          <t>https://vanillabonds.com/dossier-data/pdf/katjes/katjes-h1-2026-interim-report.pdf#page=39</t>
        </is>
      </c>
    </row>
    <row r="1116">
      <c r="A1116" s="2" t="inlineStr">
        <is>
          <t>F1115</t>
        </is>
      </c>
      <c r="B1116" s="2" t="inlineStr">
        <is>
          <t>management</t>
        </is>
      </c>
      <c r="C1116" s="2" t="inlineStr">
        <is>
          <t>succession</t>
        </is>
      </c>
      <c r="D1116" s="3" t="inlineStr">
        <is>
          <t>Succession: plan, last change of CEO / CFO, who decides</t>
        </is>
      </c>
      <c r="E1116" s="2" t="n"/>
      <c r="F1116" s="2" t="n"/>
      <c r="G1116" s="2" t="n"/>
      <c r="H1116" s="3" t="inlineStr">
        <is>
          <t>Last changes: CFO Stephan Milde since 2012, Managing Partners Bachmüller since 1996 and Fassin since 2004; no succession plan stated in this report.</t>
        </is>
      </c>
      <c r="I1116" s="2" t="inlineStr">
        <is>
          <t>S5</t>
        </is>
      </c>
      <c r="J1116" s="2" t="n">
        <v>6</v>
      </c>
      <c r="K1116" s="2" t="inlineStr">
        <is>
          <t>since 2012 – CFO of Katjes International</t>
        </is>
      </c>
      <c r="L1116" s="2" t="inlineStr">
        <is>
          <t>ok</t>
        </is>
      </c>
      <c r="M1116" s="2" t="inlineStr">
        <is>
          <t>demo reviewer</t>
        </is>
      </c>
      <c r="N1116" s="2" t="n"/>
      <c r="O1116" s="3" t="inlineStr">
        <is>
          <t>https://vanillabonds.com/dossier-data/pdf/katjes/katjes-h1-2026-interim-report.pdf#page=6</t>
        </is>
      </c>
    </row>
    <row r="1117">
      <c r="A1117" s="2" t="inlineStr">
        <is>
          <t>F1116</t>
        </is>
      </c>
      <c r="B1117" s="2" t="inlineStr">
        <is>
          <t>management</t>
        </is>
      </c>
      <c r="C1117" s="2" t="inlineStr">
        <is>
          <t>governance</t>
        </is>
      </c>
      <c r="D1117" s="3" t="inlineStr">
        <is>
          <t>Board, independent members, group structure, related-party flows, dividends</t>
        </is>
      </c>
      <c r="E1117" s="2" t="n"/>
      <c r="F1117" s="2" t="n"/>
      <c r="G1117" s="2" t="n"/>
      <c r="H1117" s="3" t="inlineStr">
        <is>
          <t>Katjes International forms the Katjes Group with two legally independent sister companies, Katjes Fassin GmbH + Co. KG and Katjesgreenfood GmbH &amp; Co. KG; the interim statements cover only Katjes International and its subsidiaries.</t>
        </is>
      </c>
      <c r="I1117" s="2" t="inlineStr">
        <is>
          <t>S5</t>
        </is>
      </c>
      <c r="J1117" s="2" t="n">
        <v>17</v>
      </c>
      <c r="K1117" s="3" t="inlineStr">
        <is>
          <t>All three companies are le- gally independent entities.</t>
        </is>
      </c>
      <c r="L1117" s="2" t="inlineStr">
        <is>
          <t>ok</t>
        </is>
      </c>
      <c r="M1117" s="2" t="inlineStr">
        <is>
          <t>demo reviewer</t>
        </is>
      </c>
      <c r="N1117" s="2" t="n"/>
      <c r="O1117" s="3" t="inlineStr">
        <is>
          <t>https://vanillabonds.com/dossier-data/pdf/katjes/katjes-h1-2026-interim-report.pdf#page=17</t>
        </is>
      </c>
    </row>
    <row r="1118">
      <c r="A1118" s="2" t="inlineStr">
        <is>
          <t>F1117</t>
        </is>
      </c>
      <c r="B1118" s="2" t="inlineStr">
        <is>
          <t>management</t>
        </is>
      </c>
      <c r="C1118" s="2" t="inlineStr">
        <is>
          <t>governance</t>
        </is>
      </c>
      <c r="D1118" s="3" t="inlineStr">
        <is>
          <t>Board, independent members, group structure, related-party flows, dividends</t>
        </is>
      </c>
      <c r="E1118" s="2" t="n"/>
      <c r="F1118" s="2" t="n"/>
      <c r="G1118" s="2" t="n"/>
      <c r="H1118" s="3" t="inlineStr">
        <is>
          <t>Katjes International holds about 88% of Candy Kittens and 75% of Dulcioliva, each with an option to acquire the remaining shares.</t>
        </is>
      </c>
      <c r="I1118" s="2" t="inlineStr">
        <is>
          <t>S5</t>
        </is>
      </c>
      <c r="J1118" s="2" t="n">
        <v>18</v>
      </c>
      <c r="K1118" s="3" t="inlineStr">
        <is>
          <t>rectly holds approximately 88% of the British company Candy Kittens and 75% of the Italian company Dulcioliva, in each case with the option to acquire the remaining outstanding shares.</t>
        </is>
      </c>
      <c r="L1118" s="2" t="inlineStr">
        <is>
          <t>ok</t>
        </is>
      </c>
      <c r="M1118" s="2" t="inlineStr">
        <is>
          <t>demo reviewer</t>
        </is>
      </c>
      <c r="N1118" s="2" t="n"/>
      <c r="O1118" s="3" t="inlineStr">
        <is>
          <t>https://vanillabonds.com/dossier-data/pdf/katjes/katjes-h1-2026-interim-report.pdf#page=18</t>
        </is>
      </c>
    </row>
    <row r="1119">
      <c r="A1119" s="2" t="inlineStr">
        <is>
          <t>F1118</t>
        </is>
      </c>
      <c r="B1119" s="2" t="inlineStr">
        <is>
          <t>management</t>
        </is>
      </c>
      <c r="C1119" s="2" t="inlineStr">
        <is>
          <t>governance</t>
        </is>
      </c>
      <c r="D1119" s="3" t="inlineStr">
        <is>
          <t>Board, independent members, group structure, related-party flows, dividends</t>
        </is>
      </c>
      <c r="E1119" s="2" t="n"/>
      <c r="F1119" s="2" t="n"/>
      <c r="G1119" s="2" t="n"/>
      <c r="H1119" s="3" t="inlineStr">
        <is>
          <t>Katjes International is managed by its general partner Xaver Fassin International GmbH; Fassin and Bachmüller are its managing directors and shareholders and also the limited partners.</t>
        </is>
      </c>
      <c r="I1119" s="2" t="inlineStr">
        <is>
          <t>S5</t>
        </is>
      </c>
      <c r="J1119" s="2" t="n">
        <v>48</v>
      </c>
      <c r="K1119" s="3" t="inlineStr">
        <is>
          <t>These individuals are also the limited partners of the parent company.</t>
        </is>
      </c>
      <c r="L1119" s="2" t="inlineStr">
        <is>
          <t>ok</t>
        </is>
      </c>
      <c r="M1119" s="2" t="inlineStr">
        <is>
          <t>demo reviewer</t>
        </is>
      </c>
      <c r="N1119" s="2" t="n"/>
      <c r="O1119" s="3" t="inlineStr">
        <is>
          <t>https://vanillabonds.com/dossier-data/pdf/katjes/katjes-h1-2026-interim-report.pdf#page=48</t>
        </is>
      </c>
    </row>
    <row r="1120">
      <c r="A1120" s="2" t="inlineStr">
        <is>
          <t>F1119</t>
        </is>
      </c>
      <c r="B1120" s="2" t="inlineStr">
        <is>
          <t>management</t>
        </is>
      </c>
      <c r="C1120" s="2" t="inlineStr">
        <is>
          <t>governance</t>
        </is>
      </c>
      <c r="D1120" s="3" t="inlineStr">
        <is>
          <t>Board, independent members, group structure, related-party flows, dividends</t>
        </is>
      </c>
      <c r="E1120" s="2" t="n"/>
      <c r="F1120" s="2" t="n"/>
      <c r="G1120" s="2" t="n"/>
      <c r="H1120" s="3" t="inlineStr">
        <is>
          <t>Remuneration of governing bodies beyond the general partner's remuneration is not disclosed, with reference to Section 286 (4) HGB.</t>
        </is>
      </c>
      <c r="I1120" s="2" t="inlineStr">
        <is>
          <t>S5</t>
        </is>
      </c>
      <c r="J1120" s="2" t="n">
        <v>48</v>
      </c>
      <c r="K1120" s="3" t="inlineStr">
        <is>
          <t>Disclosure of the remuneration of governing bodies beyond the remuneration paid to the general partner is waived</t>
        </is>
      </c>
      <c r="L1120" s="2" t="inlineStr">
        <is>
          <t>ok</t>
        </is>
      </c>
      <c r="M1120" s="2" t="inlineStr">
        <is>
          <t>demo reviewer</t>
        </is>
      </c>
      <c r="N1120" s="2" t="n"/>
      <c r="O1120" s="3" t="inlineStr">
        <is>
          <t>https://vanillabonds.com/dossier-data/pdf/katjes/katjes-h1-2026-interim-report.pdf#page=48</t>
        </is>
      </c>
    </row>
    <row r="1121">
      <c r="A1121" s="2" t="inlineStr">
        <is>
          <t>F1120</t>
        </is>
      </c>
      <c r="B1121" s="2" t="inlineStr">
        <is>
          <t>management</t>
        </is>
      </c>
      <c r="C1121" s="2" t="inlineStr">
        <is>
          <t>governance</t>
        </is>
      </c>
      <c r="D1121" s="3" t="inlineStr">
        <is>
          <t>Board, independent members, group structure, related-party flows, dividends</t>
        </is>
      </c>
      <c r="E1121" s="2" t="n"/>
      <c r="F1121" s="2" t="n"/>
      <c r="G1121" s="2" t="n"/>
      <c r="H1121" s="3" t="inlineStr">
        <is>
          <t>All related-party business relationships are stated to be conducted on arm's length terms and are unsecured.</t>
        </is>
      </c>
      <c r="I1121" s="2" t="inlineStr">
        <is>
          <t>S5</t>
        </is>
      </c>
      <c r="J1121" s="2" t="n">
        <v>48</v>
      </c>
      <c r="K1121" s="3" t="inlineStr">
        <is>
          <t>All business relationships are conducted on arm's length terms and are unsecured.</t>
        </is>
      </c>
      <c r="L1121" s="2" t="inlineStr">
        <is>
          <t>ok</t>
        </is>
      </c>
      <c r="M1121" s="2" t="inlineStr">
        <is>
          <t>demo reviewer</t>
        </is>
      </c>
      <c r="N1121" s="2" t="n"/>
      <c r="O1121" s="3" t="inlineStr">
        <is>
          <t>https://vanillabonds.com/dossier-data/pdf/katjes/katjes-h1-2026-interim-report.pdf#page=48</t>
        </is>
      </c>
    </row>
    <row r="1122">
      <c r="A1122" s="2" t="inlineStr">
        <is>
          <t>F1121</t>
        </is>
      </c>
      <c r="B1122" s="2" t="inlineStr">
        <is>
          <t>management</t>
        </is>
      </c>
      <c r="C1122" s="2" t="inlineStr">
        <is>
          <t>reporting_practice</t>
        </is>
      </c>
      <c r="D1122" s="3" t="inlineStr">
        <is>
          <t>Monitoring: KPI reporting, frequency, budget process, controlling</t>
        </is>
      </c>
      <c r="E1122" s="2" t="n"/>
      <c r="F1122" s="2" t="n"/>
      <c r="G1122" s="2" t="n"/>
      <c r="H1122" s="3" t="inlineStr">
        <is>
          <t>Internal management and reporting is conducted exclusively at Group level; EBITDA and EBITDA margin are the key management metrics.</t>
        </is>
      </c>
      <c r="I1122" s="2" t="inlineStr">
        <is>
          <t>S5</t>
        </is>
      </c>
      <c r="J1122" s="2" t="n">
        <v>18</v>
      </c>
      <c r="K1122" s="3" t="inlineStr">
        <is>
          <t>Internal management and reporting within the Katjes International Group is conducted exclusively at Group level.</t>
        </is>
      </c>
      <c r="L1122" s="2" t="inlineStr">
        <is>
          <t>ok</t>
        </is>
      </c>
      <c r="M1122" s="2" t="inlineStr">
        <is>
          <t>demo reviewer</t>
        </is>
      </c>
      <c r="N1122" s="2" t="n"/>
      <c r="O1122" s="3" t="inlineStr">
        <is>
          <t>https://vanillabonds.com/dossier-data/pdf/katjes/katjes-h1-2026-interim-report.pdf#page=18</t>
        </is>
      </c>
    </row>
    <row r="1123">
      <c r="A1123" s="2" t="inlineStr">
        <is>
          <t>F1122</t>
        </is>
      </c>
      <c r="B1123" s="2" t="inlineStr">
        <is>
          <t>management</t>
        </is>
      </c>
      <c r="C1123" s="2" t="inlineStr">
        <is>
          <t>reporting_practice</t>
        </is>
      </c>
      <c r="D1123" s="3" t="inlineStr">
        <is>
          <t>Monitoring: KPI reporting, frequency, budget process, controlling</t>
        </is>
      </c>
      <c r="E1123" s="2" t="n"/>
      <c r="F1123" s="2" t="n"/>
      <c r="G1123" s="2" t="n"/>
      <c r="H1123" s="3" t="inlineStr">
        <is>
          <t>No regular internal reporting or performance assessment by business divisions; management decides on consolidated group figures (single IFRS 8 segment).</t>
        </is>
      </c>
      <c r="I1123" s="2" t="inlineStr">
        <is>
          <t>S5</t>
        </is>
      </c>
      <c r="J1123" s="2" t="n">
        <v>45</v>
      </c>
      <c r="K1123" s="3" t="inlineStr">
        <is>
          <t>There is no regular internal reporting or performance assessment by individual business divisions or operating segments.</t>
        </is>
      </c>
      <c r="L1123" s="2" t="inlineStr">
        <is>
          <t>ok</t>
        </is>
      </c>
      <c r="M1123" s="2" t="inlineStr">
        <is>
          <t>demo reviewer</t>
        </is>
      </c>
      <c r="N1123" s="2" t="n"/>
      <c r="O1123" s="3" t="inlineStr">
        <is>
          <t>https://vanillabonds.com/dossier-data/pdf/katjes/katjes-h1-2026-interim-report.pdf#page=45</t>
        </is>
      </c>
    </row>
    <row r="1124">
      <c r="A1124" s="2" t="inlineStr">
        <is>
          <t>F1123</t>
        </is>
      </c>
      <c r="B1124" s="2" t="inlineStr">
        <is>
          <t>market</t>
        </is>
      </c>
      <c r="C1124" s="2" t="inlineStr">
        <is>
          <t>market_fact</t>
        </is>
      </c>
      <c r="D1124" s="3" t="inlineStr">
        <is>
          <t>Market: size, growth, share, competitor capacity, regulation (source named)</t>
        </is>
      </c>
      <c r="E1124" s="2" t="n"/>
      <c r="F1124" s="2" t="n"/>
      <c r="G1124" s="2" t="n"/>
      <c r="H1124" s="3" t="inlineStr">
        <is>
          <t>company statement: Chinese consumers' affinity for alpine lifestyle and winter sports since the Beijing Winter Olympics drives structural growth in premium and luxury ski apparel.</t>
        </is>
      </c>
      <c r="I1124" s="2" t="inlineStr">
        <is>
          <t>S5</t>
        </is>
      </c>
      <c r="J1124" s="2" t="n">
        <v>15</v>
      </c>
      <c r="K1124" s="3" t="inlineStr">
        <is>
          <t>driving structural growth in the premium and luxury ski apparel segment.</t>
        </is>
      </c>
      <c r="L1124" s="2" t="inlineStr">
        <is>
          <t>ok</t>
        </is>
      </c>
      <c r="M1124" s="2" t="inlineStr">
        <is>
          <t>demo reviewer</t>
        </is>
      </c>
      <c r="N1124" s="2" t="n"/>
      <c r="O1124" s="3" t="inlineStr">
        <is>
          <t>https://vanillabonds.com/dossier-data/pdf/katjes/katjes-h1-2026-interim-report.pdf#page=15</t>
        </is>
      </c>
    </row>
    <row r="1125">
      <c r="A1125" s="2" t="inlineStr">
        <is>
          <t>F1124</t>
        </is>
      </c>
      <c r="B1125" s="2" t="inlineStr">
        <is>
          <t>market</t>
        </is>
      </c>
      <c r="C1125" s="2" t="inlineStr">
        <is>
          <t>market_fact</t>
        </is>
      </c>
      <c r="D1125" s="3" t="inlineStr">
        <is>
          <t>Market: size, growth, share, competitor capacity, regulation (source named)</t>
        </is>
      </c>
      <c r="E1125" s="2" t="n"/>
      <c r="F1125" s="2" t="n"/>
      <c r="G1125" s="2" t="n"/>
      <c r="H1125" s="3" t="inlineStr">
        <is>
          <t>company statement: confectionery volumes stagnate or decline slightly in saturated markets; price increases, premiumisation and innovation drive moderate revenue growth; demand for sugar-reduced, vegan, functional products.</t>
        </is>
      </c>
      <c r="I1125" s="2" t="inlineStr">
        <is>
          <t>S5</t>
        </is>
      </c>
      <c r="J1125" s="2" t="n">
        <v>19</v>
      </c>
      <c r="K1125" s="3" t="inlineStr">
        <is>
          <t>while sales volumes stagnate or decline slightly in the largely saturated markets, price increases, premi- umisation, and innovative product concepts are driving modera-</t>
        </is>
      </c>
      <c r="L1125" s="2" t="inlineStr">
        <is>
          <t>ok</t>
        </is>
      </c>
      <c r="M1125" s="2" t="inlineStr">
        <is>
          <t>demo reviewer</t>
        </is>
      </c>
      <c r="N1125" s="2" t="n"/>
      <c r="O1125" s="3" t="inlineStr">
        <is>
          <t>https://vanillabonds.com/dossier-data/pdf/katjes/katjes-h1-2026-interim-report.pdf#page=19</t>
        </is>
      </c>
    </row>
    <row r="1126">
      <c r="A1126" s="2" t="inlineStr">
        <is>
          <t>F1125</t>
        </is>
      </c>
      <c r="B1126" s="2" t="inlineStr">
        <is>
          <t>market</t>
        </is>
      </c>
      <c r="C1126" s="2" t="inlineStr">
        <is>
          <t>market_fact</t>
        </is>
      </c>
      <c r="D1126" s="3" t="inlineStr">
        <is>
          <t>Market: size, growth, share, competitor capacity, regulation (source named)</t>
        </is>
      </c>
      <c r="E1126" s="2" t="n"/>
      <c r="F1126" s="2" t="n"/>
      <c r="G1126" s="2" t="n"/>
      <c r="H1126" s="3" t="inlineStr">
        <is>
          <t>company statement: risks from raw-material cost inflation along the supply chain, shift to private labels and discounters, growing regulatory pressure on sugar content and limited consumer acceptance of further price increases.</t>
        </is>
      </c>
      <c r="I1126" s="2" t="inlineStr">
        <is>
          <t>S5</t>
        </is>
      </c>
      <c r="J1126" s="2" t="n">
        <v>19</v>
      </c>
      <c r="K1126" s="3" t="inlineStr">
        <is>
          <t>an increasing shift towards private labels and discounters, gro- wing regulatory pressure on sugar content, and consumers' limi- ted willingness to accept further price increases.</t>
        </is>
      </c>
      <c r="L1126" s="2" t="inlineStr">
        <is>
          <t>ok</t>
        </is>
      </c>
      <c r="M1126" s="2" t="inlineStr">
        <is>
          <t>demo reviewer</t>
        </is>
      </c>
      <c r="N1126" s="2" t="n"/>
      <c r="O1126" s="3" t="inlineStr">
        <is>
          <t>https://vanillabonds.com/dossier-data/pdf/katjes/katjes-h1-2026-interim-report.pdf#page=19</t>
        </is>
      </c>
    </row>
    <row r="1127">
      <c r="A1127" s="2" t="inlineStr">
        <is>
          <t>F1126</t>
        </is>
      </c>
      <c r="B1127" s="2" t="inlineStr">
        <is>
          <t>market</t>
        </is>
      </c>
      <c r="C1127" s="2" t="inlineStr">
        <is>
          <t>market_fact</t>
        </is>
      </c>
      <c r="D1127" s="3" t="inlineStr">
        <is>
          <t>Market: size, growth, share, competitor capacity, regulation (source named)</t>
        </is>
      </c>
      <c r="E1127" s="2" t="n"/>
      <c r="F1127" s="2" t="n"/>
      <c r="G1127" s="2" t="n"/>
      <c r="H1127" s="3" t="inlineStr">
        <is>
          <t>company statement: consumer goods sales markets show low cyclicality and high resilience to economic fluctuations, observed again in H1-2026.</t>
        </is>
      </c>
      <c r="I1127" s="2" t="inlineStr">
        <is>
          <t>S5</t>
        </is>
      </c>
      <c r="J1127" s="2" t="n">
        <v>19</v>
      </c>
      <c r="K1127" s="3" t="inlineStr">
        <is>
          <t>characterised by low cyclicality and high resilience to economic fluctuations. This was also observed in the first half of 2026.</t>
        </is>
      </c>
      <c r="L1127" s="2" t="inlineStr">
        <is>
          <t>ok</t>
        </is>
      </c>
      <c r="M1127" s="2" t="inlineStr">
        <is>
          <t>demo reviewer</t>
        </is>
      </c>
      <c r="N1127" s="2" t="n"/>
      <c r="O1127" s="3" t="inlineStr">
        <is>
          <t>https://vanillabonds.com/dossier-data/pdf/katjes/katjes-h1-2026-interim-report.pdf#page=19</t>
        </is>
      </c>
    </row>
    <row r="1128">
      <c r="A1128" s="2" t="inlineStr">
        <is>
          <t>F1127</t>
        </is>
      </c>
      <c r="B1128" s="2" t="inlineStr">
        <is>
          <t>market</t>
        </is>
      </c>
      <c r="C1128" s="2" t="inlineStr">
        <is>
          <t>concentration</t>
        </is>
      </c>
      <c r="D1128" s="3" t="inlineStr">
        <is>
          <t>Concentration: top customers / suppliers share, key contracts, sites</t>
        </is>
      </c>
      <c r="E1128" s="2" t="n"/>
      <c r="F1128" s="2" t="n"/>
      <c r="G1128" s="2" t="n"/>
      <c r="H1128" s="3" t="inlineStr">
        <is>
          <t>Germany 35.3% of H1-2026 revenue (34.7%), UK 14.8% (6.5%), Italy 13.5% (21.7%), Switzerland 9.6% (9.2%), Netherlands 3.4% (5.1%).</t>
        </is>
      </c>
      <c r="I1128" s="2" t="inlineStr">
        <is>
          <t>S5</t>
        </is>
      </c>
      <c r="J1128" s="2" t="n">
        <v>22</v>
      </c>
      <c r="K1128" s="3" t="inlineStr">
        <is>
          <t>35.3% of revenue (6M 2025: 34.7%) in Germany. The second most important individual market was the United Kingdom with 14.8% (6M 2025: 6.5%), followed by Italy with 13.5%</t>
        </is>
      </c>
      <c r="L1128" s="2" t="inlineStr">
        <is>
          <t>ok</t>
        </is>
      </c>
      <c r="M1128" s="2" t="inlineStr">
        <is>
          <t>demo reviewer</t>
        </is>
      </c>
      <c r="N1128" s="2" t="n"/>
      <c r="O1128" s="3" t="inlineStr">
        <is>
          <t>https://vanillabonds.com/dossier-data/pdf/katjes/katjes-h1-2026-interim-report.pdf#page=22</t>
        </is>
      </c>
    </row>
    <row r="1129">
      <c r="A1129" s="2" t="inlineStr">
        <is>
          <t>F1128</t>
        </is>
      </c>
      <c r="B1129" s="2" t="inlineStr">
        <is>
          <t>market</t>
        </is>
      </c>
      <c r="C1129" s="2" t="inlineStr">
        <is>
          <t>concentration</t>
        </is>
      </c>
      <c r="D1129" s="3" t="inlineStr">
        <is>
          <t>Concentration: top customers / suppliers share, key contracts, sites</t>
        </is>
      </c>
      <c r="E1129" s="2" t="n"/>
      <c r="F1129" s="2" t="n"/>
      <c r="G1129" s="2" t="n"/>
      <c r="H1129" s="3" t="inlineStr">
        <is>
          <t>Employees by country H1-2026: Germany 63%, Italy 21%, United Kingdom 11%.</t>
        </is>
      </c>
      <c r="I1129" s="2" t="inlineStr">
        <is>
          <t>S5</t>
        </is>
      </c>
      <c r="J1129" s="2" t="n">
        <v>25</v>
      </c>
      <c r="K1129" s="3" t="inlineStr">
        <is>
          <t>The majority worked in Ger- many (63%), followed by Italy (21%) and the United Kingdom (11%).</t>
        </is>
      </c>
      <c r="L1129" s="2" t="inlineStr">
        <is>
          <t>ok</t>
        </is>
      </c>
      <c r="M1129" s="2" t="inlineStr">
        <is>
          <t>demo reviewer</t>
        </is>
      </c>
      <c r="N1129" s="2" t="n"/>
      <c r="O1129" s="3" t="inlineStr">
        <is>
          <t>https://vanillabonds.com/dossier-data/pdf/katjes/katjes-h1-2026-interim-report.pdf#page=25</t>
        </is>
      </c>
    </row>
    <row r="1130">
      <c r="A1130" s="2" t="inlineStr">
        <is>
          <t>F1129</t>
        </is>
      </c>
      <c r="B1130" s="2" t="inlineStr">
        <is>
          <t>plan</t>
        </is>
      </c>
      <c r="C1130" s="2" t="inlineStr">
        <is>
          <t>bank_line</t>
        </is>
      </c>
      <c r="D1130" s="3" t="inlineStr">
        <is>
          <t>Bank facility: lender, amount, maturity, renewal history</t>
        </is>
      </c>
      <c r="E1130" s="2" t="n"/>
      <c r="F1130" s="2" t="n"/>
      <c r="G1130" s="2" t="n"/>
      <c r="H1130" s="3" t="inlineStr">
        <is>
          <t>New short-term credit lines drawn in H1-2026 (lender and amount not stated); current financial liabilities rose by EUR 16.7m to 91.0m.</t>
        </is>
      </c>
      <c r="I1130" s="2" t="inlineStr">
        <is>
          <t>S5</t>
        </is>
      </c>
      <c r="J1130" s="2" t="n">
        <v>25</v>
      </c>
      <c r="K1130" s="3" t="inlineStr">
        <is>
          <t>financial liabilities increased, primarily due to the drawing of new short-term credit lines</t>
        </is>
      </c>
      <c r="L1130" s="2" t="inlineStr">
        <is>
          <t>ok</t>
        </is>
      </c>
      <c r="M1130" s="2" t="inlineStr">
        <is>
          <t>demo reviewer</t>
        </is>
      </c>
      <c r="N1130" s="2" t="n"/>
      <c r="O1130" s="3" t="inlineStr">
        <is>
          <t>https://vanillabonds.com/dossier-data/pdf/katjes/katjes-h1-2026-interim-report.pdf#page=25</t>
        </is>
      </c>
    </row>
    <row r="1131">
      <c r="A1131" s="2" t="inlineStr">
        <is>
          <t>F1130</t>
        </is>
      </c>
      <c r="B1131" s="2" t="inlineStr">
        <is>
          <t>governance</t>
        </is>
      </c>
      <c r="C1131" s="2" t="inlineStr">
        <is>
          <t>group_entity</t>
        </is>
      </c>
      <c r="D1131" s="3" t="inlineStr">
        <is>
          <t>Group entity: entity; jurisdiction; revenue; ebitda; assets; debt; guarantor (yes / no)</t>
        </is>
      </c>
      <c r="E1131" s="2" t="n"/>
      <c r="F1131" s="2" t="n"/>
      <c r="G1131" s="2" t="n"/>
      <c r="H1131" s="3" t="inlineStr">
        <is>
          <t>entity: Nature Delivered Ltd. (Graze), London; jurisdiction: UK; assets: 62.2 at acquisition (PP&amp;E 10.4, ROU 8.0, intangibles 40.5, inventories 2.5, receivables 0.8); debt: 8.9 financial liabilities; 100% direct / 88% group</t>
        </is>
      </c>
      <c r="I1131" s="2" t="inlineStr">
        <is>
          <t>S5</t>
        </is>
      </c>
      <c r="J1131" s="2" t="n">
        <v>38</v>
      </c>
      <c r="K1131" s="3" t="inlineStr">
        <is>
          <t>Property, plant, equipment 10.4 Right-of-use assets 8.0 Intangible assets 40.5 Inventories 2.5 Trade receivables and other assets 0.8</t>
        </is>
      </c>
      <c r="L1131" s="2" t="inlineStr">
        <is>
          <t>ok</t>
        </is>
      </c>
      <c r="M1131" s="2" t="inlineStr">
        <is>
          <t>demo reviewer</t>
        </is>
      </c>
      <c r="N1131" s="2" t="n"/>
      <c r="O1131" s="3" t="inlineStr">
        <is>
          <t>https://vanillabonds.com/dossier-data/pdf/katjes/katjes-h1-2026-interim-report.pdf#page=38</t>
        </is>
      </c>
    </row>
    <row r="1132">
      <c r="A1132" s="2" t="inlineStr">
        <is>
          <t>F1131</t>
        </is>
      </c>
      <c r="B1132" s="2" t="inlineStr">
        <is>
          <t>governance</t>
        </is>
      </c>
      <c r="C1132" s="2" t="inlineStr">
        <is>
          <t>group_entity</t>
        </is>
      </c>
      <c r="D1132" s="3" t="inlineStr">
        <is>
          <t>Group entity: entity; jurisdiction; revenue; ebitda; assets; debt; guarantor (yes / no)</t>
        </is>
      </c>
      <c r="E1132" s="2" t="n"/>
      <c r="F1132" s="2" t="n"/>
      <c r="G1132" s="2" t="n"/>
      <c r="H1132" s="3" t="inlineStr">
        <is>
          <t>entity: Pastificio Plin S.r.l., Villanova d'Albenga; jurisdiction: IT; revenue: about 4 (2025, profitable); assets: PP&amp;E 2.8, intangibles 1.8 at acquisition; debt: 0.9 financial liabilities; 100% direct / 75% group</t>
        </is>
      </c>
      <c r="I1132" s="2" t="inlineStr">
        <is>
          <t>S5</t>
        </is>
      </c>
      <c r="J1132" s="2" t="n">
        <v>38</v>
      </c>
      <c r="K1132" s="3" t="inlineStr">
        <is>
          <t>In the past financial year, the company generated revenue of approximately EUR 4 million and was profitable.</t>
        </is>
      </c>
      <c r="L1132" s="2" t="inlineStr">
        <is>
          <t>ok</t>
        </is>
      </c>
      <c r="M1132" s="2" t="inlineStr">
        <is>
          <t>demo reviewer</t>
        </is>
      </c>
      <c r="N1132" s="2" t="n"/>
      <c r="O1132" s="3" t="inlineStr">
        <is>
          <t>https://vanillabonds.com/dossier-data/pdf/katjes/katjes-h1-2026-interim-report.pdf#page=38</t>
        </is>
      </c>
    </row>
    <row r="1133">
      <c r="A1133" s="2" t="inlineStr">
        <is>
          <t>F1132</t>
        </is>
      </c>
      <c r="B1133" s="2" t="inlineStr">
        <is>
          <t>governance</t>
        </is>
      </c>
      <c r="C1133" s="2" t="inlineStr">
        <is>
          <t>group_entity</t>
        </is>
      </c>
      <c r="D1133" s="3" t="inlineStr">
        <is>
          <t>Group entity: entity; jurisdiction; revenue; ebitda; assets; debt; guarantor (yes / no)</t>
        </is>
      </c>
      <c r="E1133" s="2" t="n"/>
      <c r="F1133" s="2" t="n"/>
      <c r="G1133" s="2" t="n"/>
      <c r="H1133" s="3" t="inlineStr">
        <is>
          <t>entity: Willy Bogner GmbH, München; jurisdiction: DE; 60% held, fully consolidated</t>
        </is>
      </c>
      <c r="I1133" s="2" t="inlineStr">
        <is>
          <t>S5</t>
        </is>
      </c>
      <c r="J1133" s="2" t="n">
        <v>50</v>
      </c>
      <c r="K1133" s="2" t="inlineStr">
        <is>
          <t>Willy Bogner GmbH, München 60 A 60 A</t>
        </is>
      </c>
      <c r="L1133" s="2" t="inlineStr">
        <is>
          <t>ok</t>
        </is>
      </c>
      <c r="M1133" s="2" t="inlineStr">
        <is>
          <t>demo reviewer</t>
        </is>
      </c>
      <c r="N1133" s="2" t="n"/>
      <c r="O1133" s="3" t="inlineStr">
        <is>
          <t>https://vanillabonds.com/dossier-data/pdf/katjes/katjes-h1-2026-interim-report.pdf#page=50</t>
        </is>
      </c>
    </row>
    <row r="1134">
      <c r="A1134" s="2" t="inlineStr">
        <is>
          <t>F1133</t>
        </is>
      </c>
      <c r="B1134" s="2" t="inlineStr">
        <is>
          <t>governance</t>
        </is>
      </c>
      <c r="C1134" s="2" t="inlineStr">
        <is>
          <t>group_entity</t>
        </is>
      </c>
      <c r="D1134" s="3" t="inlineStr">
        <is>
          <t>Group entity: entity; jurisdiction; revenue; ebitda; assets; debt; guarantor (yes / no)</t>
        </is>
      </c>
      <c r="E1134" s="2" t="n"/>
      <c r="F1134" s="2" t="n"/>
      <c r="G1134" s="2" t="n"/>
      <c r="H1134" s="3" t="inlineStr">
        <is>
          <t>entity: Katjes Quiet Luxury GmbH, Düsseldorf; jurisdiction: DE; 100%, holds the Missoni stake</t>
        </is>
      </c>
      <c r="I1134" s="2" t="inlineStr">
        <is>
          <t>S5</t>
        </is>
      </c>
      <c r="J1134" s="2" t="n">
        <v>50</v>
      </c>
      <c r="K1134" s="3" t="inlineStr">
        <is>
          <t>Katjes Quiet Luxury GmbH, Düsseldorf 100 A 100 A</t>
        </is>
      </c>
      <c r="L1134" s="2" t="inlineStr">
        <is>
          <t>ok</t>
        </is>
      </c>
      <c r="M1134" s="2" t="inlineStr">
        <is>
          <t>demo reviewer</t>
        </is>
      </c>
      <c r="N1134" s="2" t="n"/>
      <c r="O1134" s="3" t="inlineStr">
        <is>
          <t>https://vanillabonds.com/dossier-data/pdf/katjes/katjes-h1-2026-interim-report.pdf#page=50</t>
        </is>
      </c>
    </row>
    <row r="1135">
      <c r="A1135" s="2" t="inlineStr">
        <is>
          <t>F1134</t>
        </is>
      </c>
      <c r="B1135" s="2" t="inlineStr">
        <is>
          <t>governance</t>
        </is>
      </c>
      <c r="C1135" s="2" t="inlineStr">
        <is>
          <t>group_entity</t>
        </is>
      </c>
      <c r="D1135" s="3" t="inlineStr">
        <is>
          <t>Group entity: entity; jurisdiction; revenue; ebitda; assets; debt; guarantor (yes / no)</t>
        </is>
      </c>
      <c r="E1135" s="2" t="n"/>
      <c r="F1135" s="2" t="n"/>
      <c r="G1135" s="2" t="n"/>
      <c r="H1135" s="3" t="inlineStr">
        <is>
          <t>entity: Piasten GmbH, Forchheim; jurisdiction: DE; 100%, fully consolidated</t>
        </is>
      </c>
      <c r="I1135" s="2" t="inlineStr">
        <is>
          <t>S5</t>
        </is>
      </c>
      <c r="J1135" s="2" t="n">
        <v>50</v>
      </c>
      <c r="K1135" s="2" t="inlineStr">
        <is>
          <t>Piasten GmbH, Forchheim 100 A 100 A</t>
        </is>
      </c>
      <c r="L1135" s="2" t="inlineStr">
        <is>
          <t>ok</t>
        </is>
      </c>
      <c r="M1135" s="2" t="inlineStr">
        <is>
          <t>demo reviewer</t>
        </is>
      </c>
      <c r="N1135" s="2" t="n"/>
      <c r="O1135" s="3" t="inlineStr">
        <is>
          <t>https://vanillabonds.com/dossier-data/pdf/katjes/katjes-h1-2026-interim-report.pdf#page=50</t>
        </is>
      </c>
    </row>
    <row r="1136">
      <c r="A1136" s="2" t="inlineStr">
        <is>
          <t>F1135</t>
        </is>
      </c>
      <c r="B1136" s="2" t="inlineStr">
        <is>
          <t>governance</t>
        </is>
      </c>
      <c r="C1136" s="2" t="inlineStr">
        <is>
          <t>group_entity</t>
        </is>
      </c>
      <c r="D1136" s="3" t="inlineStr">
        <is>
          <t>Group entity: entity; jurisdiction; revenue; ebitda; assets; debt; guarantor (yes / no)</t>
        </is>
      </c>
      <c r="E1136" s="2" t="n"/>
      <c r="F1136" s="2" t="n"/>
      <c r="G1136" s="2" t="n"/>
      <c r="H1136" s="3" t="inlineStr">
        <is>
          <t>entity: Bübchen Bodycare GmbH, Düsseldorf; jurisdiction: DE; 100%, fully consolidated</t>
        </is>
      </c>
      <c r="I1136" s="2" t="inlineStr">
        <is>
          <t>S5</t>
        </is>
      </c>
      <c r="J1136" s="2" t="n">
        <v>50</v>
      </c>
      <c r="K1136" s="3" t="inlineStr">
        <is>
          <t>Bübchen Bodycare GmbH, Düsseldorf 100 A 100 A</t>
        </is>
      </c>
      <c r="L1136" s="2" t="inlineStr">
        <is>
          <t>ok</t>
        </is>
      </c>
      <c r="M1136" s="2" t="inlineStr">
        <is>
          <t>demo reviewer</t>
        </is>
      </c>
      <c r="N1136" s="2" t="n"/>
      <c r="O1136" s="3" t="inlineStr">
        <is>
          <t>https://vanillabonds.com/dossier-data/pdf/katjes/katjes-h1-2026-interim-report.pdf#page=50</t>
        </is>
      </c>
    </row>
    <row r="1137">
      <c r="A1137" s="2" t="inlineStr">
        <is>
          <t>F1136</t>
        </is>
      </c>
      <c r="B1137" s="2" t="inlineStr">
        <is>
          <t>governance</t>
        </is>
      </c>
      <c r="C1137" s="2" t="inlineStr">
        <is>
          <t>group_entity</t>
        </is>
      </c>
      <c r="D1137" s="3" t="inlineStr">
        <is>
          <t>Group entity: entity; jurisdiction; revenue; ebitda; assets; debt; guarantor (yes / no)</t>
        </is>
      </c>
      <c r="E1137" s="2" t="n"/>
      <c r="F1137" s="2" t="n"/>
      <c r="G1137" s="2" t="n"/>
      <c r="H1137" s="3" t="inlineStr">
        <is>
          <t>entity: Dallmann’s Pharma Candy GmbH, Hofheim am Taunus; jurisdiction: DE; 100%, fully consolidated</t>
        </is>
      </c>
      <c r="I1137" s="2" t="inlineStr">
        <is>
          <t>S5</t>
        </is>
      </c>
      <c r="J1137" s="2" t="n">
        <v>50</v>
      </c>
      <c r="K1137" s="3" t="inlineStr">
        <is>
          <t>Dallmann’s Pharma Candy GmbH, Hofheim am Taunus 100 A 100 A</t>
        </is>
      </c>
      <c r="L1137" s="2" t="inlineStr">
        <is>
          <t>ok</t>
        </is>
      </c>
      <c r="M1137" s="2" t="inlineStr">
        <is>
          <t>demo reviewer</t>
        </is>
      </c>
      <c r="N1137" s="2" t="n"/>
      <c r="O1137" s="3" t="inlineStr">
        <is>
          <t>https://vanillabonds.com/dossier-data/pdf/katjes/katjes-h1-2026-interim-report.pdf#page=50</t>
        </is>
      </c>
    </row>
    <row r="1138">
      <c r="A1138" s="2" t="inlineStr">
        <is>
          <t>F1137</t>
        </is>
      </c>
      <c r="B1138" s="2" t="inlineStr">
        <is>
          <t>governance</t>
        </is>
      </c>
      <c r="C1138" s="2" t="inlineStr">
        <is>
          <t>group_entity</t>
        </is>
      </c>
      <c r="D1138" s="3" t="inlineStr">
        <is>
          <t>Group entity: entity; jurisdiction; revenue; ebitda; assets; debt; guarantor (yes / no)</t>
        </is>
      </c>
      <c r="E1138" s="2" t="n"/>
      <c r="F1138" s="2" t="n"/>
      <c r="G1138" s="2" t="n"/>
      <c r="H1138" s="3" t="inlineStr">
        <is>
          <t>entity: Bogner Commerce International GmbH, München; jurisdiction: DE; new in H1-2026, 100% direct / 60% group</t>
        </is>
      </c>
      <c r="I1138" s="2" t="inlineStr">
        <is>
          <t>S5</t>
        </is>
      </c>
      <c r="J1138" s="2" t="n">
        <v>50</v>
      </c>
      <c r="K1138" s="3" t="inlineStr">
        <is>
          <t>Bogner Commerce International GmbH, München 100 (60)¹ A - -</t>
        </is>
      </c>
      <c r="L1138" s="2" t="inlineStr">
        <is>
          <t>ok</t>
        </is>
      </c>
      <c r="M1138" s="2" t="inlineStr">
        <is>
          <t>demo reviewer</t>
        </is>
      </c>
      <c r="N1138" s="2" t="n"/>
      <c r="O1138" s="3" t="inlineStr">
        <is>
          <t>https://vanillabonds.com/dossier-data/pdf/katjes/katjes-h1-2026-interim-report.pdf#page=50</t>
        </is>
      </c>
    </row>
    <row r="1139">
      <c r="A1139" s="2" t="inlineStr">
        <is>
          <t>F1138</t>
        </is>
      </c>
      <c r="B1139" s="2" t="inlineStr">
        <is>
          <t>governance</t>
        </is>
      </c>
      <c r="C1139" s="2" t="inlineStr">
        <is>
          <t>group_entity</t>
        </is>
      </c>
      <c r="D1139" s="3" t="inlineStr">
        <is>
          <t>Group entity: entity; jurisdiction; revenue; ebitda; assets; debt; guarantor (yes / no)</t>
        </is>
      </c>
      <c r="E1139" s="2" t="n"/>
      <c r="F1139" s="2" t="n"/>
      <c r="G1139" s="2" t="n"/>
      <c r="H1139" s="3" t="inlineStr">
        <is>
          <t>entity: Shirin Beauty GmbH, Düsseldorf; jurisdiction: DE; 50% joint venture (IFRS 11)</t>
        </is>
      </c>
      <c r="I1139" s="2" t="inlineStr">
        <is>
          <t>S5</t>
        </is>
      </c>
      <c r="J1139" s="2" t="n">
        <v>50</v>
      </c>
      <c r="K1139" s="2" t="inlineStr">
        <is>
          <t>Shirin Beauty GmbH, Düsseldorf 50 C 50 C</t>
        </is>
      </c>
      <c r="L1139" s="2" t="inlineStr">
        <is>
          <t>ok</t>
        </is>
      </c>
      <c r="M1139" s="2" t="inlineStr">
        <is>
          <t>demo reviewer</t>
        </is>
      </c>
      <c r="N1139" s="2" t="n"/>
      <c r="O1139" s="3" t="inlineStr">
        <is>
          <t>https://vanillabonds.com/dossier-data/pdf/katjes/katjes-h1-2026-interim-report.pdf#page=50</t>
        </is>
      </c>
    </row>
    <row r="1140">
      <c r="A1140" s="2" t="inlineStr">
        <is>
          <t>F1139</t>
        </is>
      </c>
      <c r="B1140" s="2" t="inlineStr">
        <is>
          <t>governance</t>
        </is>
      </c>
      <c r="C1140" s="2" t="inlineStr">
        <is>
          <t>group_entity</t>
        </is>
      </c>
      <c r="D1140" s="3" t="inlineStr">
        <is>
          <t>Group entity: entity; jurisdiction; revenue; ebitda; assets; debt; guarantor (yes / no)</t>
        </is>
      </c>
      <c r="E1140" s="2" t="n"/>
      <c r="F1140" s="2" t="n"/>
      <c r="G1140" s="2" t="n"/>
      <c r="H1140" s="3" t="inlineStr">
        <is>
          <t>entity: Harlekĳntjes B.V., Nĳkerk; jurisdiction: NL; 100%, fully consolidated</t>
        </is>
      </c>
      <c r="I1140" s="2" t="inlineStr">
        <is>
          <t>S5</t>
        </is>
      </c>
      <c r="J1140" s="2" t="n">
        <v>51</v>
      </c>
      <c r="K1140" s="3" t="inlineStr">
        <is>
          <t>Harlekĳntjes B.V., Nĳkerk, Netherlands 100 A 100 A</t>
        </is>
      </c>
      <c r="L1140" s="2" t="inlineStr">
        <is>
          <t>ok</t>
        </is>
      </c>
      <c r="M1140" s="2" t="inlineStr">
        <is>
          <t>demo reviewer</t>
        </is>
      </c>
      <c r="N1140" s="2" t="n"/>
      <c r="O1140" s="3" t="inlineStr">
        <is>
          <t>https://vanillabonds.com/dossier-data/pdf/katjes/katjes-h1-2026-interim-report.pdf#page=51</t>
        </is>
      </c>
    </row>
    <row r="1141">
      <c r="A1141" s="2" t="inlineStr">
        <is>
          <t>F1140</t>
        </is>
      </c>
      <c r="B1141" s="2" t="inlineStr">
        <is>
          <t>governance</t>
        </is>
      </c>
      <c r="C1141" s="2" t="inlineStr">
        <is>
          <t>group_entity</t>
        </is>
      </c>
      <c r="D1141" s="3" t="inlineStr">
        <is>
          <t>Group entity: entity; jurisdiction; revenue; ebitda; assets; debt; guarantor (yes / no)</t>
        </is>
      </c>
      <c r="E1141" s="2" t="n"/>
      <c r="F1141" s="2" t="n"/>
      <c r="G1141" s="2" t="n"/>
      <c r="H1141" s="3" t="inlineStr">
        <is>
          <t>entity: Sperlari S.r.l., Cremona; jurisdiction: IT; 100%, fully consolidated</t>
        </is>
      </c>
      <c r="I1141" s="2" t="inlineStr">
        <is>
          <t>S5</t>
        </is>
      </c>
      <c r="J1141" s="2" t="n">
        <v>51</v>
      </c>
      <c r="K1141" s="3" t="inlineStr">
        <is>
          <t>Sperlari S.r.l., Cremona, Italy 100 A 100 A</t>
        </is>
      </c>
      <c r="L1141" s="2" t="inlineStr">
        <is>
          <t>ok</t>
        </is>
      </c>
      <c r="M1141" s="2" t="inlineStr">
        <is>
          <t>demo reviewer</t>
        </is>
      </c>
      <c r="N1141" s="2" t="n"/>
      <c r="O1141" s="3" t="inlineStr">
        <is>
          <t>https://vanillabonds.com/dossier-data/pdf/katjes/katjes-h1-2026-interim-report.pdf#page=51</t>
        </is>
      </c>
    </row>
    <row r="1142">
      <c r="A1142" s="2" t="inlineStr">
        <is>
          <t>F1141</t>
        </is>
      </c>
      <c r="B1142" s="2" t="inlineStr">
        <is>
          <t>governance</t>
        </is>
      </c>
      <c r="C1142" s="2" t="inlineStr">
        <is>
          <t>group_entity</t>
        </is>
      </c>
      <c r="D1142" s="3" t="inlineStr">
        <is>
          <t>Group entity: entity; jurisdiction; revenue; ebitda; assets; debt; guarantor (yes / no)</t>
        </is>
      </c>
      <c r="E1142" s="2" t="n"/>
      <c r="F1142" s="2" t="n"/>
      <c r="G1142" s="2" t="n"/>
      <c r="H1142" s="3" t="inlineStr">
        <is>
          <t>entity: Dulcioliva S.r.l., Borgo San Dalmazzo; jurisdiction: IT; 75%, option on the rest recognised as a liability</t>
        </is>
      </c>
      <c r="I1142" s="2" t="inlineStr">
        <is>
          <t>S5</t>
        </is>
      </c>
      <c r="J1142" s="2" t="n">
        <v>51</v>
      </c>
      <c r="K1142" s="3" t="inlineStr">
        <is>
          <t>Dulcioliva S.r.l., Borgo San Dalmazzo, Italy 75 A 75 A</t>
        </is>
      </c>
      <c r="L1142" s="2" t="inlineStr">
        <is>
          <t>ok</t>
        </is>
      </c>
      <c r="M1142" s="2" t="inlineStr">
        <is>
          <t>demo reviewer</t>
        </is>
      </c>
      <c r="N1142" s="2" t="n"/>
      <c r="O1142" s="3" t="inlineStr">
        <is>
          <t>https://vanillabonds.com/dossier-data/pdf/katjes/katjes-h1-2026-interim-report.pdf#page=51</t>
        </is>
      </c>
    </row>
    <row r="1143">
      <c r="A1143" s="2" t="inlineStr">
        <is>
          <t>F1142</t>
        </is>
      </c>
      <c r="B1143" s="2" t="inlineStr">
        <is>
          <t>governance</t>
        </is>
      </c>
      <c r="C1143" s="2" t="inlineStr">
        <is>
          <t>group_entity</t>
        </is>
      </c>
      <c r="D1143" s="3" t="inlineStr">
        <is>
          <t>Group entity: entity; jurisdiction; revenue; ebitda; assets; debt; guarantor (yes / no)</t>
        </is>
      </c>
      <c r="E1143" s="2" t="n"/>
      <c r="F1143" s="2" t="n"/>
      <c r="G1143" s="2" t="n"/>
      <c r="H1143" s="3" t="inlineStr">
        <is>
          <t>entity: Paluani 1921 S.r.l., Verona; jurisdiction: IT; 100%, fully consolidated</t>
        </is>
      </c>
      <c r="I1143" s="2" t="inlineStr">
        <is>
          <t>S5</t>
        </is>
      </c>
      <c r="J1143" s="2" t="n">
        <v>51</v>
      </c>
      <c r="K1143" s="3" t="inlineStr">
        <is>
          <t>Paluani 1921 S.r.l., Verona, Italy 100 A 100 A</t>
        </is>
      </c>
      <c r="L1143" s="2" t="inlineStr">
        <is>
          <t>ok</t>
        </is>
      </c>
      <c r="M1143" s="2" t="inlineStr">
        <is>
          <t>demo reviewer</t>
        </is>
      </c>
      <c r="N1143" s="2" t="n"/>
      <c r="O1143" s="3" t="inlineStr">
        <is>
          <t>https://vanillabonds.com/dossier-data/pdf/katjes/katjes-h1-2026-interim-report.pdf#page=51</t>
        </is>
      </c>
    </row>
    <row r="1144">
      <c r="A1144" s="2" t="inlineStr">
        <is>
          <t>F1143</t>
        </is>
      </c>
      <c r="B1144" s="2" t="inlineStr">
        <is>
          <t>governance</t>
        </is>
      </c>
      <c r="C1144" s="2" t="inlineStr">
        <is>
          <t>group_entity</t>
        </is>
      </c>
      <c r="D1144" s="3" t="inlineStr">
        <is>
          <t>Group entity: entity; jurisdiction; revenue; ebitda; assets; debt; guarantor (yes / no)</t>
        </is>
      </c>
      <c r="E1144" s="2" t="n"/>
      <c r="F1144" s="2" t="n"/>
      <c r="G1144" s="2" t="n"/>
      <c r="H1144" s="3" t="inlineStr">
        <is>
          <t>entity: Candy Kittens Ltd., London; jurisdiction: UK; 88%, fully consolidated</t>
        </is>
      </c>
      <c r="I1144" s="2" t="inlineStr">
        <is>
          <t>S5</t>
        </is>
      </c>
      <c r="J1144" s="2" t="n">
        <v>51</v>
      </c>
      <c r="K1144" s="2" t="inlineStr">
        <is>
          <t>Candy Kittens Ltd., London, UK 88 A 88 A</t>
        </is>
      </c>
      <c r="L1144" s="2" t="inlineStr">
        <is>
          <t>ok</t>
        </is>
      </c>
      <c r="M1144" s="2" t="inlineStr">
        <is>
          <t>demo reviewer</t>
        </is>
      </c>
      <c r="N1144" s="2" t="n"/>
      <c r="O1144" s="3" t="inlineStr">
        <is>
          <t>https://vanillabonds.com/dossier-data/pdf/katjes/katjes-h1-2026-interim-report.pdf#page=51</t>
        </is>
      </c>
    </row>
    <row r="1145">
      <c r="A1145" s="2" t="inlineStr">
        <is>
          <t>F1144</t>
        </is>
      </c>
      <c r="B1145" s="2" t="inlineStr">
        <is>
          <t>governance</t>
        </is>
      </c>
      <c r="C1145" s="2" t="inlineStr">
        <is>
          <t>group_entity</t>
        </is>
      </c>
      <c r="D1145" s="3" t="inlineStr">
        <is>
          <t>Group entity: entity; jurisdiction; revenue; ebitda; assets; debt; guarantor (yes / no)</t>
        </is>
      </c>
      <c r="E1145" s="2" t="n"/>
      <c r="F1145" s="2" t="n"/>
      <c r="G1145" s="2" t="n"/>
      <c r="H1145" s="3" t="inlineStr">
        <is>
          <t>entity: Tuckshop Ltd, London; jurisdiction: UK; 75%, fully consolidated</t>
        </is>
      </c>
      <c r="I1145" s="2" t="inlineStr">
        <is>
          <t>S5</t>
        </is>
      </c>
      <c r="J1145" s="2" t="n">
        <v>51</v>
      </c>
      <c r="K1145" s="2" t="inlineStr">
        <is>
          <t>Tuckshop Ltd, London, UK 75 A 75 A</t>
        </is>
      </c>
      <c r="L1145" s="2" t="inlineStr">
        <is>
          <t>ok</t>
        </is>
      </c>
      <c r="M1145" s="2" t="inlineStr">
        <is>
          <t>demo reviewer</t>
        </is>
      </c>
      <c r="N1145" s="2" t="n"/>
      <c r="O1145" s="3" t="inlineStr">
        <is>
          <t>https://vanillabonds.com/dossier-data/pdf/katjes/katjes-h1-2026-interim-report.pdf#page=51</t>
        </is>
      </c>
    </row>
    <row r="1146">
      <c r="A1146" s="2" t="inlineStr">
        <is>
          <t>F1145</t>
        </is>
      </c>
      <c r="B1146" s="2" t="inlineStr">
        <is>
          <t>governance</t>
        </is>
      </c>
      <c r="C1146" s="2" t="inlineStr">
        <is>
          <t>group_entity</t>
        </is>
      </c>
      <c r="D1146" s="3" t="inlineStr">
        <is>
          <t>Group entity: entity; jurisdiction; revenue; ebitda; assets; debt; guarantor (yes / no)</t>
        </is>
      </c>
      <c r="E1146" s="2" t="n"/>
      <c r="F1146" s="2" t="n"/>
      <c r="G1146" s="2" t="n"/>
      <c r="H1146" s="3" t="inlineStr">
        <is>
          <t>entity: Future Snacks Ltd., London; jurisdiction: UK; acquisition vehicle for Graze, 100% direct / 88% group</t>
        </is>
      </c>
      <c r="I1146" s="2" t="inlineStr">
        <is>
          <t>S5</t>
        </is>
      </c>
      <c r="J1146" s="2" t="n">
        <v>51</v>
      </c>
      <c r="K1146" s="3" t="inlineStr">
        <is>
          <t>Future Snacks Ltd., London, UK 100 (88)¹ A 100 (88)¹ A</t>
        </is>
      </c>
      <c r="L1146" s="2" t="inlineStr">
        <is>
          <t>ok</t>
        </is>
      </c>
      <c r="M1146" s="2" t="inlineStr">
        <is>
          <t>demo reviewer</t>
        </is>
      </c>
      <c r="N1146" s="2" t="n"/>
      <c r="O1146" s="3" t="inlineStr">
        <is>
          <t>https://vanillabonds.com/dossier-data/pdf/katjes/katjes-h1-2026-interim-report.pdf#page=51</t>
        </is>
      </c>
    </row>
    <row r="1147">
      <c r="A1147" s="2" t="inlineStr">
        <is>
          <t>F1146</t>
        </is>
      </c>
      <c r="B1147" s="2" t="inlineStr">
        <is>
          <t>governance</t>
        </is>
      </c>
      <c r="C1147" s="2" t="inlineStr">
        <is>
          <t>group_entity</t>
        </is>
      </c>
      <c r="D1147" s="3" t="inlineStr">
        <is>
          <t>Group entity: entity; jurisdiction; revenue; ebitda; assets; debt; guarantor (yes / no)</t>
        </is>
      </c>
      <c r="E1147" s="2" t="n"/>
      <c r="F1147" s="2" t="n"/>
      <c r="G1147" s="2" t="n"/>
      <c r="H1147" s="3" t="inlineStr">
        <is>
          <t>entity: Bogner Eastern Europe LLC, Moscow; jurisdiction: RU; 100% direct / 60% group, fully consolidated</t>
        </is>
      </c>
      <c r="I1147" s="2" t="inlineStr">
        <is>
          <t>S5</t>
        </is>
      </c>
      <c r="J1147" s="2" t="n">
        <v>51</v>
      </c>
      <c r="K1147" s="3" t="inlineStr">
        <is>
          <t>Bogner Eastern Europe LLC, Moscow, Russia 100 (60)¹ A 100 (60)¹ A</t>
        </is>
      </c>
      <c r="L1147" s="2" t="inlineStr">
        <is>
          <t>ok</t>
        </is>
      </c>
      <c r="M1147" s="2" t="inlineStr">
        <is>
          <t>demo reviewer</t>
        </is>
      </c>
      <c r="N1147" s="2" t="n"/>
      <c r="O1147" s="3" t="inlineStr">
        <is>
          <t>https://vanillabonds.com/dossier-data/pdf/katjes/katjes-h1-2026-interim-report.pdf#page=51</t>
        </is>
      </c>
    </row>
    <row r="1148">
      <c r="A1148" s="2" t="inlineStr">
        <is>
          <t>F1147</t>
        </is>
      </c>
      <c r="B1148" s="2" t="inlineStr">
        <is>
          <t>governance</t>
        </is>
      </c>
      <c r="C1148" s="2" t="inlineStr">
        <is>
          <t>group_entity</t>
        </is>
      </c>
      <c r="D1148" s="3" t="inlineStr">
        <is>
          <t>Group entity: entity; jurisdiction; revenue; ebitda; assets; debt; guarantor (yes / no)</t>
        </is>
      </c>
      <c r="E1148" s="2" t="n"/>
      <c r="F1148" s="2" t="n"/>
      <c r="G1148" s="2" t="n"/>
      <c r="H1148" s="3" t="inlineStr">
        <is>
          <t>entity: Bogner Sport AG, Zürich; jurisdiction: CH; 100% direct / 60% group</t>
        </is>
      </c>
      <c r="I1148" s="2" t="inlineStr">
        <is>
          <t>S5</t>
        </is>
      </c>
      <c r="J1148" s="2" t="n">
        <v>51</v>
      </c>
      <c r="K1148" s="3" t="inlineStr">
        <is>
          <t>Bogner Sport AG, Zürich, Switzerland 100 (60)¹ A 100 (60)¹ A</t>
        </is>
      </c>
      <c r="L1148" s="2" t="inlineStr">
        <is>
          <t>ok</t>
        </is>
      </c>
      <c r="M1148" s="2" t="inlineStr">
        <is>
          <t>demo reviewer</t>
        </is>
      </c>
      <c r="N1148" s="2" t="n"/>
      <c r="O1148" s="3" t="inlineStr">
        <is>
          <t>https://vanillabonds.com/dossier-data/pdf/katjes/katjes-h1-2026-interim-report.pdf#page=51</t>
        </is>
      </c>
    </row>
    <row r="1149">
      <c r="A1149" s="2" t="inlineStr">
        <is>
          <t>F1148</t>
        </is>
      </c>
      <c r="B1149" s="2" t="inlineStr">
        <is>
          <t>governance</t>
        </is>
      </c>
      <c r="C1149" s="2" t="inlineStr">
        <is>
          <t>group_entity</t>
        </is>
      </c>
      <c r="D1149" s="3" t="inlineStr">
        <is>
          <t>Group entity: entity; jurisdiction; revenue; ebitda; assets; debt; guarantor (yes / no)</t>
        </is>
      </c>
      <c r="E1149" s="2" t="n"/>
      <c r="F1149" s="2" t="n"/>
      <c r="G1149" s="2" t="n"/>
      <c r="H1149" s="3" t="inlineStr">
        <is>
          <t>entity: Bogner of America Inc., New York City; jurisdiction: US; 100% direct / 60% group</t>
        </is>
      </c>
      <c r="I1149" s="2" t="inlineStr">
        <is>
          <t>S5</t>
        </is>
      </c>
      <c r="J1149" s="2" t="n">
        <v>51</v>
      </c>
      <c r="K1149" s="3" t="inlineStr">
        <is>
          <t>Bogner of America Inc., New York City, USA 100 (60)¹ A 100 (60)¹ A</t>
        </is>
      </c>
      <c r="L1149" s="2" t="inlineStr">
        <is>
          <t>ok</t>
        </is>
      </c>
      <c r="M1149" s="2" t="inlineStr">
        <is>
          <t>demo reviewer</t>
        </is>
      </c>
      <c r="N1149" s="2" t="n"/>
      <c r="O1149" s="3" t="inlineStr">
        <is>
          <t>https://vanillabonds.com/dossier-data/pdf/katjes/katjes-h1-2026-interim-report.pdf#page=51</t>
        </is>
      </c>
    </row>
    <row r="1150">
      <c r="A1150" s="2" t="inlineStr">
        <is>
          <t>F1149</t>
        </is>
      </c>
      <c r="B1150" s="2" t="inlineStr">
        <is>
          <t>governance</t>
        </is>
      </c>
      <c r="C1150" s="2" t="inlineStr">
        <is>
          <t>group_entity</t>
        </is>
      </c>
      <c r="D1150" s="3" t="inlineStr">
        <is>
          <t>Group entity: entity; jurisdiction; revenue; ebitda; assets; debt; guarantor (yes / no)</t>
        </is>
      </c>
      <c r="E1150" s="2" t="n"/>
      <c r="F1150" s="2" t="n"/>
      <c r="G1150" s="2" t="n"/>
      <c r="H1150" s="3" t="inlineStr">
        <is>
          <t>entity: Bogner Asia Ltd., Hong Kong/China; jurisdiction: HK; 100% direct / 60% group</t>
        </is>
      </c>
      <c r="I1150" s="2" t="inlineStr">
        <is>
          <t>S5</t>
        </is>
      </c>
      <c r="J1150" s="2" t="n">
        <v>51</v>
      </c>
      <c r="K1150" s="3" t="inlineStr">
        <is>
          <t>Bogner Asia Ltd., Hong Kong/China 100 (60)¹ A 100 (60)¹ A</t>
        </is>
      </c>
      <c r="L1150" s="2" t="inlineStr">
        <is>
          <t>ok</t>
        </is>
      </c>
      <c r="M1150" s="2" t="inlineStr">
        <is>
          <t>demo reviewer</t>
        </is>
      </c>
      <c r="N1150" s="2" t="n"/>
      <c r="O1150" s="3" t="inlineStr">
        <is>
          <t>https://vanillabonds.com/dossier-data/pdf/katjes/katjes-h1-2026-interim-report.pdf#page=51</t>
        </is>
      </c>
    </row>
    <row r="1151">
      <c r="A1151" s="2" t="inlineStr">
        <is>
          <t>F1150</t>
        </is>
      </c>
      <c r="B1151" s="2" t="inlineStr">
        <is>
          <t>governance</t>
        </is>
      </c>
      <c r="C1151" s="2" t="inlineStr">
        <is>
          <t>group_entity</t>
        </is>
      </c>
      <c r="D1151" s="3" t="inlineStr">
        <is>
          <t>Group entity: entity; jurisdiction; revenue; ebitda; assets; debt; guarantor (yes / no)</t>
        </is>
      </c>
      <c r="E1151" s="2" t="n"/>
      <c r="F1151" s="2" t="n"/>
      <c r="G1151" s="2" t="n"/>
      <c r="H1151" s="3" t="inlineStr">
        <is>
          <t>entity: Shades Snacks Ltd., London; jurisdiction: UK; 49% joint venture (IFRS 11)</t>
        </is>
      </c>
      <c r="I1151" s="2" t="inlineStr">
        <is>
          <t>S5</t>
        </is>
      </c>
      <c r="J1151" s="2" t="n">
        <v>51</v>
      </c>
      <c r="K1151" s="2" t="inlineStr">
        <is>
          <t>Shades Snacks Ltd., London, UK 49 C 49 C</t>
        </is>
      </c>
      <c r="L1151" s="2" t="inlineStr">
        <is>
          <t>ok</t>
        </is>
      </c>
      <c r="M1151" s="2" t="inlineStr">
        <is>
          <t>demo reviewer</t>
        </is>
      </c>
      <c r="N1151" s="2" t="n"/>
      <c r="O1151" s="3" t="inlineStr">
        <is>
          <t>https://vanillabonds.com/dossier-data/pdf/katjes/katjes-h1-2026-interim-report.pdf#page=51</t>
        </is>
      </c>
    </row>
    <row r="1152">
      <c r="A1152" s="2" t="inlineStr">
        <is>
          <t>F1151</t>
        </is>
      </c>
      <c r="B1152" s="2" t="inlineStr">
        <is>
          <t>governance</t>
        </is>
      </c>
      <c r="C1152" s="2" t="inlineStr">
        <is>
          <t>group_entity</t>
        </is>
      </c>
      <c r="D1152" s="3" t="inlineStr">
        <is>
          <t>Group entity: entity; jurisdiction; revenue; ebitda; assets; debt; guarantor (yes / no)</t>
        </is>
      </c>
      <c r="E1152" s="2" t="n"/>
      <c r="F1152" s="2" t="n"/>
      <c r="G1152" s="2" t="n"/>
      <c r="H1152" s="3" t="inlineStr">
        <is>
          <t>entity: Bogner GCA Holding PTE. Ltd., Singapore; jurisdiction: SG; 45% associate, equity method</t>
        </is>
      </c>
      <c r="I1152" s="2" t="inlineStr">
        <is>
          <t>S5</t>
        </is>
      </c>
      <c r="J1152" s="2" t="n">
        <v>51</v>
      </c>
      <c r="K1152" s="3" t="inlineStr">
        <is>
          <t>Bogner GCA Holding PTE. Ltd., Singapore 45 B 45 B</t>
        </is>
      </c>
      <c r="L1152" s="2" t="inlineStr">
        <is>
          <t>ok</t>
        </is>
      </c>
      <c r="M1152" s="2" t="inlineStr">
        <is>
          <t>demo reviewer</t>
        </is>
      </c>
      <c r="N1152" s="2" t="n"/>
      <c r="O1152" s="3" t="inlineStr">
        <is>
          <t>https://vanillabonds.com/dossier-data/pdf/katjes/katjes-h1-2026-interim-report.pdf#page=51</t>
        </is>
      </c>
    </row>
    <row r="1153">
      <c r="A1153" s="2" t="inlineStr">
        <is>
          <t>F1152</t>
        </is>
      </c>
      <c r="B1153" s="2" t="inlineStr">
        <is>
          <t>governance</t>
        </is>
      </c>
      <c r="C1153" s="2" t="inlineStr">
        <is>
          <t>group_entity</t>
        </is>
      </c>
      <c r="D1153" s="3" t="inlineStr">
        <is>
          <t>Group entity: entity; jurisdiction; revenue; ebitda; assets; debt; guarantor (yes / no)</t>
        </is>
      </c>
      <c r="E1153" s="2" t="n"/>
      <c r="F1153" s="2" t="n"/>
      <c r="G1153" s="2" t="n"/>
      <c r="H1153" s="3" t="inlineStr">
        <is>
          <t>entity: Missoni S.p.A., Sumirago; jurisdiction: IT; 27% associate since May 2026, equity method</t>
        </is>
      </c>
      <c r="I1153" s="2" t="inlineStr">
        <is>
          <t>S5</t>
        </is>
      </c>
      <c r="J1153" s="2" t="n">
        <v>51</v>
      </c>
      <c r="K1153" s="2" t="inlineStr">
        <is>
          <t>Missoni S.p.A., Sumirago, Italy 27 B - -</t>
        </is>
      </c>
      <c r="L1153" s="2" t="inlineStr">
        <is>
          <t>ok</t>
        </is>
      </c>
      <c r="M1153" s="2" t="inlineStr">
        <is>
          <t>demo reviewer</t>
        </is>
      </c>
      <c r="N1153" s="2" t="n"/>
      <c r="O1153" s="3" t="inlineStr">
        <is>
          <t>https://vanillabonds.com/dossier-data/pdf/katjes/katjes-h1-2026-interim-report.pdf#page=51</t>
        </is>
      </c>
    </row>
    <row r="1154">
      <c r="A1154" s="2" t="inlineStr">
        <is>
          <t>F1153</t>
        </is>
      </c>
      <c r="B1154" s="2" t="inlineStr">
        <is>
          <t>governance</t>
        </is>
      </c>
      <c r="C1154" s="2" t="inlineStr">
        <is>
          <t>group_entity</t>
        </is>
      </c>
      <c r="D1154" s="3" t="inlineStr">
        <is>
          <t>Group entity: entity; jurisdiction; revenue; ebitda; assets; debt; guarantor (yes / no)</t>
        </is>
      </c>
      <c r="E1154" s="2" t="n"/>
      <c r="F1154" s="2" t="n"/>
      <c r="G1154" s="2" t="n"/>
      <c r="H1154" s="3" t="inlineStr">
        <is>
          <t>entity: Nuud Snacks Ltd., London; jurisdiction: UK; 8%, not consolidated</t>
        </is>
      </c>
      <c r="I1154" s="2" t="inlineStr">
        <is>
          <t>S5</t>
        </is>
      </c>
      <c r="J1154" s="2" t="n">
        <v>51</v>
      </c>
      <c r="K1154" s="2" t="inlineStr">
        <is>
          <t>Nuud Snacks Ltd., London, UK 8 - 8 -</t>
        </is>
      </c>
      <c r="L1154" s="2" t="inlineStr">
        <is>
          <t>ok</t>
        </is>
      </c>
      <c r="M1154" s="2" t="inlineStr">
        <is>
          <t>demo reviewer</t>
        </is>
      </c>
      <c r="N1154" s="2" t="n"/>
      <c r="O1154" s="3" t="inlineStr">
        <is>
          <t>https://vanillabonds.com/dossier-data/pdf/katjes/katjes-h1-2026-interim-report.pdf#page=51</t>
        </is>
      </c>
    </row>
    <row r="1155">
      <c r="A1155" s="2" t="inlineStr">
        <is>
          <t>F1154</t>
        </is>
      </c>
      <c r="B1155" s="2" t="inlineStr">
        <is>
          <t>governance</t>
        </is>
      </c>
      <c r="C1155" s="2" t="inlineStr">
        <is>
          <t>board_member</t>
        </is>
      </c>
      <c r="D1155" s="3" t="inlineStr">
        <is>
          <t>Board member: name; body (management / supervisory); role; since; independent (yes / no); committees</t>
        </is>
      </c>
      <c r="E1155" s="2" t="n"/>
      <c r="F1155" s="2" t="n"/>
      <c r="G1155" s="2" t="n"/>
      <c r="H1155" s="3" t="inlineStr">
        <is>
          <t>name: Stephan Milde; body: management; role: Managing Director (CFO); since: 2012</t>
        </is>
      </c>
      <c r="I1155" s="2" t="inlineStr">
        <is>
          <t>S5</t>
        </is>
      </c>
      <c r="J1155" s="2" t="n">
        <v>6</v>
      </c>
      <c r="K1155" s="3" t="inlineStr">
        <is>
          <t>Managing Director (CFO) of Katjes International</t>
        </is>
      </c>
      <c r="L1155" s="2" t="inlineStr">
        <is>
          <t>ok</t>
        </is>
      </c>
      <c r="M1155" s="2" t="inlineStr">
        <is>
          <t>demo reviewer</t>
        </is>
      </c>
      <c r="N1155" s="2" t="n"/>
      <c r="O1155" s="3" t="inlineStr">
        <is>
          <t>https://vanillabonds.com/dossier-data/pdf/katjes/katjes-h1-2026-interim-report.pdf#page=6</t>
        </is>
      </c>
    </row>
    <row r="1156">
      <c r="A1156" s="2" t="inlineStr">
        <is>
          <t>F1155</t>
        </is>
      </c>
      <c r="B1156" s="2" t="inlineStr">
        <is>
          <t>governance</t>
        </is>
      </c>
      <c r="C1156" s="2" t="inlineStr">
        <is>
          <t>board_member</t>
        </is>
      </c>
      <c r="D1156" s="3" t="inlineStr">
        <is>
          <t>Board member: name; body (management / supervisory); role; since; independent (yes / no); committees</t>
        </is>
      </c>
      <c r="E1156" s="2" t="n"/>
      <c r="F1156" s="2" t="n"/>
      <c r="G1156" s="2" t="n"/>
      <c r="H1156" s="3" t="inlineStr">
        <is>
          <t>name: Bastian Fassin; body: management; role: Managing Partner; since: 2004</t>
        </is>
      </c>
      <c r="I1156" s="2" t="inlineStr">
        <is>
          <t>S5</t>
        </is>
      </c>
      <c r="J1156" s="2" t="n">
        <v>6</v>
      </c>
      <c r="K1156" s="3" t="inlineStr">
        <is>
          <t>since 2004 – Managing Partner of Katjes International</t>
        </is>
      </c>
      <c r="L1156" s="2" t="inlineStr">
        <is>
          <t>ok</t>
        </is>
      </c>
      <c r="M1156" s="2" t="inlineStr">
        <is>
          <t>demo reviewer</t>
        </is>
      </c>
      <c r="N1156" s="2" t="n"/>
      <c r="O1156" s="3" t="inlineStr">
        <is>
          <t>https://vanillabonds.com/dossier-data/pdf/katjes/katjes-h1-2026-interim-report.pdf#page=6</t>
        </is>
      </c>
    </row>
    <row r="1157">
      <c r="A1157" s="2" t="inlineStr">
        <is>
          <t>F1156</t>
        </is>
      </c>
      <c r="B1157" s="2" t="inlineStr">
        <is>
          <t>governance</t>
        </is>
      </c>
      <c r="C1157" s="2" t="inlineStr">
        <is>
          <t>board_member</t>
        </is>
      </c>
      <c r="D1157" s="3" t="inlineStr">
        <is>
          <t>Board member: name; body (management / supervisory); role; since; independent (yes / no); committees</t>
        </is>
      </c>
      <c r="E1157" s="2" t="n"/>
      <c r="F1157" s="2" t="n"/>
      <c r="G1157" s="2" t="n"/>
      <c r="H1157" s="3" t="inlineStr">
        <is>
          <t>name: Tobias Bachmüller; body: management; role: Managing Partner; since: 1996</t>
        </is>
      </c>
      <c r="I1157" s="2" t="inlineStr">
        <is>
          <t>S5</t>
        </is>
      </c>
      <c r="J1157" s="2" t="n">
        <v>6</v>
      </c>
      <c r="K1157" s="3" t="inlineStr">
        <is>
          <t>since 1996 – Managing Partner of Katjes International</t>
        </is>
      </c>
      <c r="L1157" s="2" t="inlineStr">
        <is>
          <t>ok</t>
        </is>
      </c>
      <c r="M1157" s="2" t="inlineStr">
        <is>
          <t>demo reviewer</t>
        </is>
      </c>
      <c r="N1157" s="2" t="n"/>
      <c r="O1157" s="3" t="inlineStr">
        <is>
          <t>https://vanillabonds.com/dossier-data/pdf/katjes/katjes-h1-2026-interim-report.pdf#page=6</t>
        </is>
      </c>
    </row>
    <row r="1158">
      <c r="A1158" s="2" t="inlineStr">
        <is>
          <t>F1157</t>
        </is>
      </c>
      <c r="B1158" s="2" t="inlineStr">
        <is>
          <t>governance</t>
        </is>
      </c>
      <c r="C1158" s="2" t="inlineStr">
        <is>
          <t>related_party_flow</t>
        </is>
      </c>
      <c r="D1158" s="3" t="inlineStr">
        <is>
          <t>Related-party flow: counterparty; kind (fee, rent, dividend, buyback, loan); amount; year; terms</t>
        </is>
      </c>
      <c r="E1158" s="2" t="n"/>
      <c r="F1158" s="2" t="n">
        <v>20.1</v>
      </c>
      <c r="G1158" s="2" t="n"/>
      <c r="H1158" s="3" t="inlineStr">
        <is>
          <t>counterparty: related parties (IAS 24, not named); kind: purchase of goods and services; amount: 20.1 (H1-2025: 9.4); year: H1-2026; terms: arm's length, unsecured</t>
        </is>
      </c>
      <c r="I1158" s="2" t="inlineStr">
        <is>
          <t>S5</t>
        </is>
      </c>
      <c r="J1158" s="2" t="n">
        <v>48</v>
      </c>
      <c r="K1158" s="3" t="inlineStr">
        <is>
          <t>Purchase of goods and services from re- lated parties 20.1 9.4</t>
        </is>
      </c>
      <c r="L1158" s="2" t="inlineStr">
        <is>
          <t>ok</t>
        </is>
      </c>
      <c r="M1158" s="2" t="inlineStr">
        <is>
          <t>demo reviewer</t>
        </is>
      </c>
      <c r="N1158" s="2" t="n"/>
      <c r="O1158" s="3" t="inlineStr">
        <is>
          <t>https://vanillabonds.com/dossier-data/pdf/katjes/katjes-h1-2026-interim-report.pdf#page=48</t>
        </is>
      </c>
    </row>
    <row r="1159">
      <c r="A1159" s="2" t="inlineStr">
        <is>
          <t>F1158</t>
        </is>
      </c>
      <c r="B1159" s="2" t="inlineStr">
        <is>
          <t>governance</t>
        </is>
      </c>
      <c r="C1159" s="2" t="inlineStr">
        <is>
          <t>related_party_flow</t>
        </is>
      </c>
      <c r="D1159" s="3" t="inlineStr">
        <is>
          <t>Related-party flow: counterparty; kind (fee, rent, dividend, buyback, loan); amount; year; terms</t>
        </is>
      </c>
      <c r="E1159" s="2" t="n"/>
      <c r="F1159" s="2" t="n">
        <v>4.1</v>
      </c>
      <c r="G1159" s="2" t="n"/>
      <c r="H1159" s="3" t="inlineStr">
        <is>
          <t>counterparty: related parties; kind: sale of goods and services; amount: 4.1 (H1-2025: 3.2); year: H1-2026; terms: arm's length, unsecured</t>
        </is>
      </c>
      <c r="I1159" s="2" t="inlineStr">
        <is>
          <t>S5</t>
        </is>
      </c>
      <c r="J1159" s="2" t="n">
        <v>48</v>
      </c>
      <c r="K1159" s="3" t="inlineStr">
        <is>
          <t>Sale of goods and services to related parties 4.1 3.2</t>
        </is>
      </c>
      <c r="L1159" s="2" t="inlineStr">
        <is>
          <t>ok</t>
        </is>
      </c>
      <c r="M1159" s="2" t="inlineStr">
        <is>
          <t>demo reviewer</t>
        </is>
      </c>
      <c r="N1159" s="2" t="n"/>
      <c r="O1159" s="3" t="inlineStr">
        <is>
          <t>https://vanillabonds.com/dossier-data/pdf/katjes/katjes-h1-2026-interim-report.pdf#page=48</t>
        </is>
      </c>
    </row>
    <row r="1160">
      <c r="A1160" s="2" t="inlineStr">
        <is>
          <t>F1159</t>
        </is>
      </c>
      <c r="B1160" s="2" t="inlineStr">
        <is>
          <t>governance</t>
        </is>
      </c>
      <c r="C1160" s="2" t="inlineStr">
        <is>
          <t>related_party_flow</t>
        </is>
      </c>
      <c r="D1160" s="3" t="inlineStr">
        <is>
          <t>Related-party flow: counterparty; kind (fee, rent, dividend, buyback, loan); amount; year; terms</t>
        </is>
      </c>
      <c r="E1160" s="2" t="n"/>
      <c r="F1160" s="2" t="n">
        <v>5.9</v>
      </c>
      <c r="G1160" s="2" t="n"/>
      <c r="H1160" s="3" t="inlineStr">
        <is>
          <t>counterparty: related parties; kind: trade payables; amount: 5.9 (31 Dec 2025: 3.2); year: H1-2026</t>
        </is>
      </c>
      <c r="I1160" s="2" t="inlineStr">
        <is>
          <t>S5</t>
        </is>
      </c>
      <c r="J1160" s="2" t="n">
        <v>48</v>
      </c>
      <c r="K1160" s="3" t="inlineStr">
        <is>
          <t>Trade payables to related parties 5.9 3.2</t>
        </is>
      </c>
      <c r="L1160" s="2" t="inlineStr">
        <is>
          <t>ok</t>
        </is>
      </c>
      <c r="M1160" s="2" t="inlineStr">
        <is>
          <t>demo reviewer</t>
        </is>
      </c>
      <c r="N1160" s="2" t="n"/>
      <c r="O1160" s="3" t="inlineStr">
        <is>
          <t>https://vanillabonds.com/dossier-data/pdf/katjes/katjes-h1-2026-interim-report.pdf#page=48</t>
        </is>
      </c>
    </row>
    <row r="1161">
      <c r="A1161" s="2" t="inlineStr">
        <is>
          <t>F1160</t>
        </is>
      </c>
      <c r="B1161" s="2" t="inlineStr">
        <is>
          <t>governance</t>
        </is>
      </c>
      <c r="C1161" s="2" t="inlineStr">
        <is>
          <t>related_party_flow</t>
        </is>
      </c>
      <c r="D1161" s="3" t="inlineStr">
        <is>
          <t>Related-party flow: counterparty; kind (fee, rent, dividend, buyback, loan); amount; year; terms</t>
        </is>
      </c>
      <c r="E1161" s="2" t="n"/>
      <c r="F1161" s="2" t="n">
        <v>6.3</v>
      </c>
      <c r="G1161" s="2" t="n"/>
      <c r="H1161" s="3" t="inlineStr">
        <is>
          <t>counterparty: related parties; kind: trade receivables; amount: 6.3 (31 Dec 2025: 3.2); year: H1-2026</t>
        </is>
      </c>
      <c r="I1161" s="2" t="inlineStr">
        <is>
          <t>S5</t>
        </is>
      </c>
      <c r="J1161" s="2" t="n">
        <v>48</v>
      </c>
      <c r="K1161" s="3" t="inlineStr">
        <is>
          <t>Trade receivables from related par- ties 6.3 3.2</t>
        </is>
      </c>
      <c r="L1161" s="2" t="inlineStr">
        <is>
          <t>ok</t>
        </is>
      </c>
      <c r="M1161" s="2" t="inlineStr">
        <is>
          <t>demo reviewer</t>
        </is>
      </c>
      <c r="N1161" s="2" t="n"/>
      <c r="O1161" s="3" t="inlineStr">
        <is>
          <t>https://vanillabonds.com/dossier-data/pdf/katjes/katjes-h1-2026-interim-report.pdf#page=48</t>
        </is>
      </c>
    </row>
    <row r="1162">
      <c r="A1162" s="2" t="inlineStr">
        <is>
          <t>F1161</t>
        </is>
      </c>
      <c r="B1162" s="2" t="inlineStr">
        <is>
          <t>governance</t>
        </is>
      </c>
      <c r="C1162" s="2" t="inlineStr">
        <is>
          <t>related_party_flow</t>
        </is>
      </c>
      <c r="D1162" s="3" t="inlineStr">
        <is>
          <t>Related-party flow: counterparty; kind (fee, rent, dividend, buyback, loan); amount; year; terms</t>
        </is>
      </c>
      <c r="E1162" s="2" t="n"/>
      <c r="F1162" s="2" t="n">
        <v>-3</v>
      </c>
      <c r="G1162" s="2" t="n"/>
      <c r="H1162" s="3" t="inlineStr">
        <is>
          <t>counterparty: related parties; kind: loan (net loans to/from related parties); amount: -3.0 (31 Dec 2025: 4.8); year: H1-2026; terms: unsecured</t>
        </is>
      </c>
      <c r="I1162" s="2" t="inlineStr">
        <is>
          <t>S5</t>
        </is>
      </c>
      <c r="J1162" s="2" t="n">
        <v>48</v>
      </c>
      <c r="K1162" s="2" t="inlineStr">
        <is>
          <t>Loans to/from related parties -3.0 4.8</t>
        </is>
      </c>
      <c r="L1162" s="2" t="inlineStr">
        <is>
          <t>ok</t>
        </is>
      </c>
      <c r="M1162" s="2" t="inlineStr">
        <is>
          <t>demo reviewer</t>
        </is>
      </c>
      <c r="N1162" s="2" t="n"/>
      <c r="O1162" s="3" t="inlineStr">
        <is>
          <t>https://vanillabonds.com/dossier-data/pdf/katjes/katjes-h1-2026-interim-report.pdf#page=48</t>
        </is>
      </c>
    </row>
    <row r="1163">
      <c r="A1163" s="2" t="inlineStr">
        <is>
          <t>F1162</t>
        </is>
      </c>
      <c r="B1163" s="2" t="inlineStr">
        <is>
          <t>governance</t>
        </is>
      </c>
      <c r="C1163" s="2" t="inlineStr">
        <is>
          <t>related_party_flow</t>
        </is>
      </c>
      <c r="D1163" s="3" t="inlineStr">
        <is>
          <t>Related-party flow: counterparty; kind (fee, rent, dividend, buyback, loan); amount; year; terms</t>
        </is>
      </c>
      <c r="E1163" s="2" t="n"/>
      <c r="F1163" s="2" t="n">
        <v>0.2</v>
      </c>
      <c r="G1163" s="2" t="n"/>
      <c r="H1163" s="3" t="inlineStr">
        <is>
          <t>counterparty: related parties; kind: interest income from loans; amount: 0.2 (H1-2025: 0.1); other income 0.1 (H1-2025: 5.0); year: H1-2026</t>
        </is>
      </c>
      <c r="I1163" s="2" t="inlineStr">
        <is>
          <t>S5</t>
        </is>
      </c>
      <c r="J1163" s="2" t="n">
        <v>48</v>
      </c>
      <c r="K1163" s="3" t="inlineStr">
        <is>
          <t>Interest income from loans 0.2 0.1 Other income 0.1 5.0</t>
        </is>
      </c>
      <c r="L1163" s="2" t="inlineStr">
        <is>
          <t>ok</t>
        </is>
      </c>
      <c r="M1163" s="2" t="inlineStr">
        <is>
          <t>demo reviewer</t>
        </is>
      </c>
      <c r="N1163" s="2" t="n"/>
      <c r="O1163" s="3" t="inlineStr">
        <is>
          <t>https://vanillabonds.com/dossier-data/pdf/katjes/katjes-h1-2026-interim-report.pdf#page=48</t>
        </is>
      </c>
    </row>
    <row r="1164">
      <c r="A1164" s="2" t="inlineStr">
        <is>
          <t>F1163</t>
        </is>
      </c>
      <c r="B1164" s="2" t="inlineStr">
        <is>
          <t>governance</t>
        </is>
      </c>
      <c r="C1164" s="2" t="inlineStr">
        <is>
          <t>shareholder_loan</t>
        </is>
      </c>
      <c r="D1164" s="3" t="inlineStr">
        <is>
          <t>Shareholder loan: lender; amount; rate; maturity; subordinated (yes / no)</t>
        </is>
      </c>
      <c r="E1164" s="2" t="n"/>
      <c r="F1164" s="2" t="n"/>
      <c r="G1164" s="2" t="n"/>
      <c r="H1164" s="3" t="inlineStr">
        <is>
          <t>lender: limited partners (Bastian Fassin, Tobias Bachmüller) via interest-bearing current accounts; rate: 5.0% (prior year 5.0%); amount not stated separately; subordinated: not stated</t>
        </is>
      </c>
      <c r="I1164" s="2" t="inlineStr">
        <is>
          <t>S5</t>
        </is>
      </c>
      <c r="J1164" s="2" t="n">
        <v>48</v>
      </c>
      <c r="K1164" s="3" t="inlineStr">
        <is>
          <t>The interest-bearing current accounts of the limited partners bear interest at 5.0% (previous year: 5.0%).</t>
        </is>
      </c>
      <c r="L1164" s="2" t="inlineStr">
        <is>
          <t>ok</t>
        </is>
      </c>
      <c r="M1164" s="2" t="inlineStr">
        <is>
          <t>demo reviewer</t>
        </is>
      </c>
      <c r="N1164" s="2" t="n"/>
      <c r="O1164" s="3" t="inlineStr">
        <is>
          <t>https://vanillabonds.com/dossier-data/pdf/katjes/katjes-h1-2026-interim-report.pdf#page=48</t>
        </is>
      </c>
    </row>
    <row r="1165">
      <c r="A1165" s="2" t="inlineStr">
        <is>
          <t>F1164</t>
        </is>
      </c>
      <c r="B1165" s="2" t="inlineStr">
        <is>
          <t>market</t>
        </is>
      </c>
      <c r="C1165" s="2" t="inlineStr">
        <is>
          <t>market_series</t>
        </is>
      </c>
      <c r="D1165" s="3" t="inlineStr">
        <is>
          <t>Market variable: variable; year; value; unit; source (a distribution adds n; median; spread; p10; p25; p75; p90)</t>
        </is>
      </c>
      <c r="E1165" s="2" t="n"/>
      <c r="F1165" s="2" t="n">
        <v>0.8</v>
      </c>
      <c r="G1165" s="2" t="n"/>
      <c r="H1165" s="3" t="inlineStr">
        <is>
          <t>variable: eurozone GDP growth forecast; year: 2026; value: 0.8; unit: %; source: OECD Economic Outlook June 2026 (2025: 1.4%)</t>
        </is>
      </c>
      <c r="I1165" s="2" t="inlineStr">
        <is>
          <t>S5</t>
        </is>
      </c>
      <c r="J1165" s="2" t="n">
        <v>19</v>
      </c>
      <c r="K1165" s="3" t="inlineStr">
        <is>
          <t>(GDP) is expected to increase overall by 0.8% (2025: 1.4%).</t>
        </is>
      </c>
      <c r="L1165" s="2" t="inlineStr">
        <is>
          <t>ok</t>
        </is>
      </c>
      <c r="M1165" s="2" t="inlineStr">
        <is>
          <t>demo reviewer</t>
        </is>
      </c>
      <c r="N1165" s="2" t="n"/>
      <c r="O1165" s="3" t="inlineStr">
        <is>
          <t>https://vanillabonds.com/dossier-data/pdf/katjes/katjes-h1-2026-interim-report.pdf#page=19</t>
        </is>
      </c>
    </row>
    <row r="1166">
      <c r="A1166" s="2" t="inlineStr">
        <is>
          <t>F1165</t>
        </is>
      </c>
      <c r="B1166" s="2" t="inlineStr">
        <is>
          <t>market</t>
        </is>
      </c>
      <c r="C1166" s="2" t="inlineStr">
        <is>
          <t>market_series</t>
        </is>
      </c>
      <c r="D1166" s="3" t="inlineStr">
        <is>
          <t>Market variable: variable; year; value; unit; source (a distribution adds n; median; spread; p10; p25; p75; p90)</t>
        </is>
      </c>
      <c r="E1166" s="2" t="n"/>
      <c r="F1166" s="2" t="n">
        <v>0.7</v>
      </c>
      <c r="G1166" s="2" t="n"/>
      <c r="H1166" s="3" t="inlineStr">
        <is>
          <t>variable: Germany GDP growth forecast; year: 2026; value: 0.7; unit: %; source: OECD June 2026 (2025: 0.3%)</t>
        </is>
      </c>
      <c r="I1166" s="2" t="inlineStr">
        <is>
          <t>S5</t>
        </is>
      </c>
      <c r="J1166" s="2" t="n">
        <v>19</v>
      </c>
      <c r="K1166" s="3" t="inlineStr">
        <is>
          <t>the German economy, positive development is expected, with growth of 0.7% (2025: 0.3%).</t>
        </is>
      </c>
      <c r="L1166" s="2" t="inlineStr">
        <is>
          <t>ok</t>
        </is>
      </c>
      <c r="M1166" s="2" t="inlineStr">
        <is>
          <t>demo reviewer</t>
        </is>
      </c>
      <c r="N1166" s="2" t="n"/>
      <c r="O1166" s="3" t="inlineStr">
        <is>
          <t>https://vanillabonds.com/dossier-data/pdf/katjes/katjes-h1-2026-interim-report.pdf#page=19</t>
        </is>
      </c>
    </row>
    <row r="1167">
      <c r="A1167" s="2" t="inlineStr">
        <is>
          <t>F1166</t>
        </is>
      </c>
      <c r="B1167" s="2" t="inlineStr">
        <is>
          <t>market</t>
        </is>
      </c>
      <c r="C1167" s="2" t="inlineStr">
        <is>
          <t>market_series</t>
        </is>
      </c>
      <c r="D1167" s="3" t="inlineStr">
        <is>
          <t>Market variable: variable; year; value; unit; source (a distribution adds n; median; spread; p10; p25; p75; p90)</t>
        </is>
      </c>
      <c r="E1167" s="2" t="n"/>
      <c r="F1167" s="2" t="n">
        <v>0.9</v>
      </c>
      <c r="G1167" s="2" t="n"/>
      <c r="H1167" s="3" t="inlineStr">
        <is>
          <t>variable: United Kingdom GDP growth forecast; year: 2026; value: 0.9; unit: %; source: OECD June 2026 (2025: 1.4%)</t>
        </is>
      </c>
      <c r="I1167" s="2" t="inlineStr">
        <is>
          <t>S5</t>
        </is>
      </c>
      <c r="J1167" s="2" t="n">
        <v>19</v>
      </c>
      <c r="K1167" s="3" t="inlineStr">
        <is>
          <t>with an increase of 0.9% (2025: 1.4%) and the Italian economy remains stable at 0.5% (2025: 0.5%).</t>
        </is>
      </c>
      <c r="L1167" s="2" t="inlineStr">
        <is>
          <t>ok</t>
        </is>
      </c>
      <c r="M1167" s="2" t="inlineStr">
        <is>
          <t>demo reviewer</t>
        </is>
      </c>
      <c r="N1167" s="2" t="n"/>
      <c r="O1167" s="3" t="inlineStr">
        <is>
          <t>https://vanillabonds.com/dossier-data/pdf/katjes/katjes-h1-2026-interim-report.pdf#page=19</t>
        </is>
      </c>
    </row>
    <row r="1168">
      <c r="A1168" s="2" t="inlineStr">
        <is>
          <t>F1167</t>
        </is>
      </c>
      <c r="B1168" s="2" t="inlineStr">
        <is>
          <t>market</t>
        </is>
      </c>
      <c r="C1168" s="2" t="inlineStr">
        <is>
          <t>market_series</t>
        </is>
      </c>
      <c r="D1168" s="3" t="inlineStr">
        <is>
          <t>Market variable: variable; year; value; unit; source (a distribution adds n; median; spread; p10; p25; p75; p90)</t>
        </is>
      </c>
      <c r="E1168" s="2" t="n"/>
      <c r="F1168" s="2" t="n">
        <v>0.5</v>
      </c>
      <c r="G1168" s="2" t="n"/>
      <c r="H1168" s="3" t="inlineStr">
        <is>
          <t>variable: Italy GDP growth forecast; year: 2026; value: 0.5; unit: %; source: OECD June 2026 (2025: 0.5%)</t>
        </is>
      </c>
      <c r="I1168" s="2" t="inlineStr">
        <is>
          <t>S5</t>
        </is>
      </c>
      <c r="J1168" s="2" t="n">
        <v>19</v>
      </c>
      <c r="K1168" s="3" t="inlineStr">
        <is>
          <t>the Italian economy remains stable at 0.5% (2025: 0.5%).</t>
        </is>
      </c>
      <c r="L1168" s="2" t="inlineStr">
        <is>
          <t>ok</t>
        </is>
      </c>
      <c r="M1168" s="2" t="inlineStr">
        <is>
          <t>demo reviewer</t>
        </is>
      </c>
      <c r="N1168" s="2" t="n"/>
      <c r="O1168" s="3" t="inlineStr">
        <is>
          <t>https://vanillabonds.com/dossier-data/pdf/katjes/katjes-h1-2026-interim-report.pdf#page=19</t>
        </is>
      </c>
    </row>
    <row r="1169">
      <c r="A1169" s="2" t="inlineStr">
        <is>
          <t>F1168</t>
        </is>
      </c>
      <c r="B1169" s="2" t="inlineStr">
        <is>
          <t>market</t>
        </is>
      </c>
      <c r="C1169" s="2" t="inlineStr">
        <is>
          <t>market_series</t>
        </is>
      </c>
      <c r="D1169" s="3" t="inlineStr">
        <is>
          <t>Market variable: variable; year; value; unit; source (a distribution adds n; median; spread; p10; p25; p75; p90)</t>
        </is>
      </c>
      <c r="E1169" s="2" t="n"/>
      <c r="F1169" s="2" t="n">
        <v>1.1</v>
      </c>
      <c r="G1169" s="2" t="n"/>
      <c r="H1169" s="3" t="inlineStr">
        <is>
          <t>variable: Switzerland GDP growth forecast; year: 2026; value: 1.1; unit: %; source: OECD June 2026 (2025: 1.3%)</t>
        </is>
      </c>
      <c r="I1169" s="2" t="inlineStr">
        <is>
          <t>S5</t>
        </is>
      </c>
      <c r="J1169" s="2" t="n">
        <v>19</v>
      </c>
      <c r="K1169" s="3" t="inlineStr">
        <is>
          <t>also slightly declining, with growth of 1.1% compared to the pre- vious year (2025: 1.3%).</t>
        </is>
      </c>
      <c r="L1169" s="2" t="inlineStr">
        <is>
          <t>ok</t>
        </is>
      </c>
      <c r="M1169" s="2" t="inlineStr">
        <is>
          <t>demo reviewer</t>
        </is>
      </c>
      <c r="N1169" s="2" t="n"/>
      <c r="O1169" s="3" t="inlineStr">
        <is>
          <t>https://vanillabonds.com/dossier-data/pdf/katjes/katjes-h1-2026-interim-report.pdf#page=19</t>
        </is>
      </c>
    </row>
    <row r="1170">
      <c r="A1170" s="2" t="inlineStr">
        <is>
          <t>F1169</t>
        </is>
      </c>
      <c r="B1170" s="2" t="inlineStr">
        <is>
          <t>market</t>
        </is>
      </c>
      <c r="C1170" s="2" t="inlineStr">
        <is>
          <t>market_series</t>
        </is>
      </c>
      <c r="D1170" s="3" t="inlineStr">
        <is>
          <t>Market variable: variable; year; value; unit; source (a distribution adds n; median; spread; p10; p25; p75; p90)</t>
        </is>
      </c>
      <c r="E1170" s="2" t="n"/>
      <c r="F1170" s="2" t="n">
        <v>1</v>
      </c>
      <c r="G1170" s="2" t="n"/>
      <c r="H1170" s="3" t="inlineStr">
        <is>
          <t>variable: Netherlands GDP growth forecast; year: 2026; value: 1.0; unit: %; source: OECD June 2026 (2025: 1.8%)</t>
        </is>
      </c>
      <c r="I1170" s="2" t="inlineStr">
        <is>
          <t>S5</t>
        </is>
      </c>
      <c r="J1170" s="2" t="n">
        <v>19</v>
      </c>
      <c r="K1170" s="3" t="inlineStr">
        <is>
          <t>is expected to be 1.0% (2025: 1.8%). The United States shows</t>
        </is>
      </c>
      <c r="L1170" s="2" t="inlineStr">
        <is>
          <t>ok</t>
        </is>
      </c>
      <c r="M1170" s="2" t="inlineStr">
        <is>
          <t>demo reviewer</t>
        </is>
      </c>
      <c r="N1170" s="2" t="n"/>
      <c r="O1170" s="3" t="inlineStr">
        <is>
          <t>https://vanillabonds.com/dossier-data/pdf/katjes/katjes-h1-2026-interim-report.pdf#page=19</t>
        </is>
      </c>
    </row>
    <row r="1171">
      <c r="A1171" s="2" t="inlineStr">
        <is>
          <t>F1170</t>
        </is>
      </c>
      <c r="B1171" s="2" t="inlineStr">
        <is>
          <t>market</t>
        </is>
      </c>
      <c r="C1171" s="2" t="inlineStr">
        <is>
          <t>market_series</t>
        </is>
      </c>
      <c r="D1171" s="3" t="inlineStr">
        <is>
          <t>Market variable: variable; year; value; unit; source (a distribution adds n; median; spread; p10; p25; p75; p90)</t>
        </is>
      </c>
      <c r="E1171" s="2" t="n"/>
      <c r="F1171" s="2" t="n">
        <v>2</v>
      </c>
      <c r="G1171" s="2" t="n"/>
      <c r="H1171" s="3" t="inlineStr">
        <is>
          <t>variable: United States GDP growth forecast; year: 2026; value: 2.0; unit: %; source: OECD June 2026 (2025: 2.1%)</t>
        </is>
      </c>
      <c r="I1171" s="2" t="inlineStr">
        <is>
          <t>S5</t>
        </is>
      </c>
      <c r="J1171" s="2" t="n">
        <v>19</v>
      </c>
      <c r="K1171" s="3" t="inlineStr">
        <is>
          <t>good growth with a GDP increase of 2.0%, although slightly be- low the previous year's growth (2025: 2.1%).</t>
        </is>
      </c>
      <c r="L1171" s="2" t="inlineStr">
        <is>
          <t>ok</t>
        </is>
      </c>
      <c r="M1171" s="2" t="inlineStr">
        <is>
          <t>demo reviewer</t>
        </is>
      </c>
      <c r="N1171" s="2" t="n"/>
      <c r="O1171" s="3" t="inlineStr">
        <is>
          <t>https://vanillabonds.com/dossier-data/pdf/katjes/katjes-h1-2026-interim-report.pdf#page=19</t>
        </is>
      </c>
    </row>
    <row r="1172">
      <c r="A1172" s="2" t="inlineStr">
        <is>
          <t>F1171</t>
        </is>
      </c>
      <c r="B1172" s="2" t="inlineStr">
        <is>
          <t>market</t>
        </is>
      </c>
      <c r="C1172" s="2" t="inlineStr">
        <is>
          <t>market_series</t>
        </is>
      </c>
      <c r="D1172" s="3" t="inlineStr">
        <is>
          <t>Market variable: variable; year; value; unit; source (a distribution adds n; median; spread; p10; p25; p75; p90)</t>
        </is>
      </c>
      <c r="E1172" s="2" t="n"/>
      <c r="F1172" s="2" t="n">
        <v>2.2</v>
      </c>
      <c r="G1172" s="2" t="n"/>
      <c r="H1172" s="3" t="inlineStr">
        <is>
          <t>variable: Spain GDP growth forecast; year: 2026; value: 2.2; unit: %; source: OECD June 2026 (2025: 2.8%); Austria 0.7% (0.6%), France 0.7% (0.9%)</t>
        </is>
      </c>
      <c r="I1172" s="2" t="inlineStr">
        <is>
          <t>S5</t>
        </is>
      </c>
      <c r="J1172" s="2" t="n">
        <v>19</v>
      </c>
      <c r="K1172" s="3" t="inlineStr">
        <is>
          <t>Spain is recording a solid, albeit slower GDP growth of 2.2% (2025: 2.8%).</t>
        </is>
      </c>
      <c r="L1172" s="2" t="inlineStr">
        <is>
          <t>ok</t>
        </is>
      </c>
      <c r="M1172" s="2" t="inlineStr">
        <is>
          <t>demo reviewer</t>
        </is>
      </c>
      <c r="N1172" s="2" t="n"/>
      <c r="O1172" s="3" t="inlineStr">
        <is>
          <t>https://vanillabonds.com/dossier-data/pdf/katjes/katjes-h1-2026-interim-report.pdf#page=19</t>
        </is>
      </c>
    </row>
    <row r="1173">
      <c r="A1173" s="2" t="inlineStr">
        <is>
          <t>F1172</t>
        </is>
      </c>
      <c r="B1173" s="2" t="inlineStr">
        <is>
          <t>market</t>
        </is>
      </c>
      <c r="C1173" s="2" t="inlineStr">
        <is>
          <t>market_series</t>
        </is>
      </c>
      <c r="D1173" s="3" t="inlineStr">
        <is>
          <t>Market variable: variable; year; value; unit; source (a distribution adds n; median; spread; p10; p25; p75; p90)</t>
        </is>
      </c>
      <c r="E1173" s="2" t="n"/>
      <c r="F1173" s="2" t="n">
        <v>7.4</v>
      </c>
      <c r="G1173" s="2" t="n"/>
      <c r="H1173" s="3" t="inlineStr">
        <is>
          <t>variable: confectionery market growth Western Europe; year: 2026; value: 7.4; unit: %; source: Euromonitor International as cited (Eastern Europe 5.4%)</t>
        </is>
      </c>
      <c r="I1173" s="2" t="inlineStr">
        <is>
          <t>S5</t>
        </is>
      </c>
      <c r="J1173" s="2" t="n">
        <v>19</v>
      </c>
      <c r="K1173" s="3" t="inlineStr">
        <is>
          <t>7.4% is forecasted for Western Europe and 5.4% for Eastern Europe in 2026.</t>
        </is>
      </c>
      <c r="L1173" s="2" t="inlineStr">
        <is>
          <t>ok</t>
        </is>
      </c>
      <c r="M1173" s="2" t="inlineStr">
        <is>
          <t>demo reviewer</t>
        </is>
      </c>
      <c r="N1173" s="2" t="n"/>
      <c r="O1173" s="3" t="inlineStr">
        <is>
          <t>https://vanillabonds.com/dossier-data/pdf/katjes/katjes-h1-2026-interim-report.pdf#page=19</t>
        </is>
      </c>
    </row>
    <row r="1174">
      <c r="A1174" s="2" t="inlineStr">
        <is>
          <t>F1173</t>
        </is>
      </c>
      <c r="B1174" s="2" t="inlineStr">
        <is>
          <t>market</t>
        </is>
      </c>
      <c r="C1174" s="2" t="inlineStr">
        <is>
          <t>market_series</t>
        </is>
      </c>
      <c r="D1174" s="3" t="inlineStr">
        <is>
          <t>Market variable: variable; year; value; unit; source (a distribution adds n; median; spread; p10; p25; p75; p90)</t>
        </is>
      </c>
      <c r="E1174" s="2" t="n"/>
      <c r="F1174" s="2" t="n">
        <v>115</v>
      </c>
      <c r="G1174" s="2" t="n"/>
      <c r="H1174" s="3" t="inlineStr">
        <is>
          <t>variable: European confectionery market volume (sugar confectionery and chocolate); year: 2030; value: over 115; unit: EUR bn; source: Euromonitor International</t>
        </is>
      </c>
      <c r="I1174" s="2" t="inlineStr">
        <is>
          <t>S5</t>
        </is>
      </c>
      <c r="J1174" s="2" t="n">
        <v>19</v>
      </c>
      <c r="K1174" s="3" t="inlineStr">
        <is>
          <t>products) to continue growing to a volume of over EUR 115 bil- lion by 2030.</t>
        </is>
      </c>
      <c r="L1174" s="2" t="inlineStr">
        <is>
          <t>ok</t>
        </is>
      </c>
      <c r="M1174" s="2" t="inlineStr">
        <is>
          <t>demo reviewer</t>
        </is>
      </c>
      <c r="N1174" s="2" t="n"/>
      <c r="O1174" s="3" t="inlineStr">
        <is>
          <t>https://vanillabonds.com/dossier-data/pdf/katjes/katjes-h1-2026-interim-report.pdf#page=19</t>
        </is>
      </c>
    </row>
    <row r="1175">
      <c r="A1175" s="2" t="inlineStr">
        <is>
          <t>F1174</t>
        </is>
      </c>
      <c r="B1175" s="2" t="inlineStr">
        <is>
          <t>market</t>
        </is>
      </c>
      <c r="C1175" s="2" t="inlineStr">
        <is>
          <t>market_series</t>
        </is>
      </c>
      <c r="D1175" s="3" t="inlineStr">
        <is>
          <t>Market variable: variable; year; value; unit; source (a distribution adds n; median; spread; p10; p25; p75; p90)</t>
        </is>
      </c>
      <c r="E1175" s="2" t="n"/>
      <c r="F1175" s="2" t="n">
        <v>295</v>
      </c>
      <c r="G1175" s="2" t="n"/>
      <c r="H1175" s="3" t="inlineStr">
        <is>
          <t>variable: German baby and kids care market volume; year: H1-2026; value: 295; unit: EUR m; source: Nielsen (comparable to prior-year period)</t>
        </is>
      </c>
      <c r="I1175" s="2" t="inlineStr">
        <is>
          <t>S5</t>
        </is>
      </c>
      <c r="J1175" s="2" t="n">
        <v>20</v>
      </c>
      <c r="K1175" s="3" t="inlineStr">
        <is>
          <t>amounted to EUR 295 million in the first half of 2026, compara- ble to the level of the prior-year period.</t>
        </is>
      </c>
      <c r="L1175" s="2" t="inlineStr">
        <is>
          <t>ok</t>
        </is>
      </c>
      <c r="M1175" s="2" t="inlineStr">
        <is>
          <t>demo reviewer</t>
        </is>
      </c>
      <c r="N1175" s="2" t="n"/>
      <c r="O1175" s="3" t="inlineStr">
        <is>
          <t>https://vanillabonds.com/dossier-data/pdf/katjes/katjes-h1-2026-interim-report.pdf#page=20</t>
        </is>
      </c>
    </row>
    <row r="1176">
      <c r="A1176" s="2" t="inlineStr">
        <is>
          <t>F1175</t>
        </is>
      </c>
      <c r="B1176" s="2" t="inlineStr">
        <is>
          <t>market</t>
        </is>
      </c>
      <c r="C1176" s="2" t="inlineStr">
        <is>
          <t>market_series</t>
        </is>
      </c>
      <c r="D1176" s="3" t="inlineStr">
        <is>
          <t>Market variable: variable; year; value; unit; source (a distribution adds n; median; spread; p10; p25; p75; p90)</t>
        </is>
      </c>
      <c r="E1176" s="2" t="n"/>
      <c r="F1176" s="2" t="n">
        <v>2360</v>
      </c>
      <c r="G1176" s="2" t="n"/>
      <c r="H1176" s="3" t="inlineStr">
        <is>
          <t>variable: German dental and oral care revenue; year: 2026; value: 2360; unit: EUR m; source: Euromonitor (+4.2% vs 2025)</t>
        </is>
      </c>
      <c r="I1176" s="2" t="inlineStr">
        <is>
          <t>S5</t>
        </is>
      </c>
      <c r="J1176" s="2" t="n">
        <v>20</v>
      </c>
      <c r="K1176" s="3" t="inlineStr">
        <is>
          <t>to amount to approximately EUR 2.36 billion for 2026 and, according to Euromonitor data, thus show an increase of 4.2%</t>
        </is>
      </c>
      <c r="L1176" s="2" t="inlineStr">
        <is>
          <t>ok</t>
        </is>
      </c>
      <c r="M1176" s="2" t="inlineStr">
        <is>
          <t>demo reviewer</t>
        </is>
      </c>
      <c r="N1176" s="2" t="n"/>
      <c r="O1176" s="3" t="inlineStr">
        <is>
          <t>https://vanillabonds.com/dossier-data/pdf/katjes/katjes-h1-2026-interim-report.pdf#page=20</t>
        </is>
      </c>
    </row>
    <row r="1177">
      <c r="A1177" s="2" t="inlineStr">
        <is>
          <t>F1176</t>
        </is>
      </c>
      <c r="B1177" s="2" t="inlineStr">
        <is>
          <t>market</t>
        </is>
      </c>
      <c r="C1177" s="2" t="inlineStr">
        <is>
          <t>market_series</t>
        </is>
      </c>
      <c r="D1177" s="3" t="inlineStr">
        <is>
          <t>Market variable: variable; year; value; unit; source (a distribution adds n; median; spread; p10; p25; p75; p90)</t>
        </is>
      </c>
      <c r="E1177" s="2" t="n"/>
      <c r="F1177" s="2" t="n">
        <v>3.8</v>
      </c>
      <c r="G1177" s="2" t="n"/>
      <c r="H1177" s="3" t="inlineStr">
        <is>
          <t>variable: German designer apparel market growth; year: 2026; value: 3.8; unit: %; source: Euromonitor</t>
        </is>
      </c>
      <c r="I1177" s="2" t="inlineStr">
        <is>
          <t>S5</t>
        </is>
      </c>
      <c r="J1177" s="2" t="n">
        <v>20</v>
      </c>
      <c r="K1177" s="3" t="inlineStr">
        <is>
          <t>According to Euromonitor data, the designer apparel market in Germany shows growth of 3.8% for 2026.</t>
        </is>
      </c>
      <c r="L1177" s="2" t="inlineStr">
        <is>
          <t>ok</t>
        </is>
      </c>
      <c r="M1177" s="2" t="inlineStr">
        <is>
          <t>demo reviewer</t>
        </is>
      </c>
      <c r="N1177" s="2" t="n"/>
      <c r="O1177" s="3" t="inlineStr">
        <is>
          <t>https://vanillabonds.com/dossier-data/pdf/katjes/katjes-h1-2026-interim-report.pdf#page=20</t>
        </is>
      </c>
    </row>
    <row r="1178">
      <c r="A1178" s="2" t="inlineStr">
        <is>
          <t>F1177</t>
        </is>
      </c>
      <c r="B1178" s="2" t="inlineStr">
        <is>
          <t>market</t>
        </is>
      </c>
      <c r="C1178" s="2" t="inlineStr">
        <is>
          <t>regulation_item</t>
        </is>
      </c>
      <c r="D1178" s="3" t="inlineStr">
        <is>
          <t>Regulation: measure; effective; effect on the company as stated; source</t>
        </is>
      </c>
      <c r="E1178" s="2" t="n"/>
      <c r="F1178" s="2" t="n"/>
      <c r="G1178" s="2" t="n"/>
      <c r="H1178" s="3" t="inlineStr">
        <is>
          <t>measure: IFRS 18 and IFRS 19; effective: financial years beginning on or after 2027-01-01; effect on the company as stated: presentation changes under IFRS 18, no material effects expected; source: notes 2</t>
        </is>
      </c>
      <c r="I1178" s="2" t="inlineStr">
        <is>
          <t>S5</t>
        </is>
      </c>
      <c r="J1178" s="2" t="n">
        <v>37</v>
      </c>
      <c r="K1178" s="3" t="inlineStr">
        <is>
          <t>IFRS 18 and IFRS 19 (applicable for financial years beginning on or after January 1, 2027).</t>
        </is>
      </c>
      <c r="L1178" s="2" t="inlineStr">
        <is>
          <t>ok</t>
        </is>
      </c>
      <c r="M1178" s="2" t="inlineStr">
        <is>
          <t>demo reviewer</t>
        </is>
      </c>
      <c r="N1178" s="2" t="n"/>
      <c r="O1178" s="3" t="inlineStr">
        <is>
          <t>https://vanillabonds.com/dossier-data/pdf/katjes/katjes-h1-2026-interim-report.pdf#page=37</t>
        </is>
      </c>
    </row>
    <row r="1179">
      <c r="A1179" s="2" t="inlineStr">
        <is>
          <t>F1178</t>
        </is>
      </c>
      <c r="B1179" s="2" t="inlineStr">
        <is>
          <t>market</t>
        </is>
      </c>
      <c r="C1179" s="2" t="inlineStr">
        <is>
          <t>permit</t>
        </is>
      </c>
      <c r="D1179" s="3" t="inlineStr">
        <is>
          <t>Certification, licence, permit or patent: item; issuer; expiry; register</t>
        </is>
      </c>
      <c r="E1179" s="2" t="n"/>
      <c r="F1179" s="2" t="n"/>
      <c r="G1179" s="2" t="n"/>
      <c r="H1179" s="3" t="inlineStr">
        <is>
          <t>item: Minions licence for Treets Buttons; issuer: Universal Products &amp; Experiences (UP&amp;E)</t>
        </is>
      </c>
      <c r="I1179" s="2" t="inlineStr">
        <is>
          <t>S5</t>
        </is>
      </c>
      <c r="J1179" s="2" t="n">
        <v>9</v>
      </c>
      <c r="K1179" s="3" t="inlineStr">
        <is>
          <t>Minions license, created in cooperation with Universal Products &amp; Experiences (UP&amp;E), are colorful lentils</t>
        </is>
      </c>
      <c r="L1179" s="2" t="inlineStr">
        <is>
          <t>ok</t>
        </is>
      </c>
      <c r="M1179" s="2" t="inlineStr">
        <is>
          <t>demo reviewer</t>
        </is>
      </c>
      <c r="N1179" s="2" t="n"/>
      <c r="O1179" s="3" t="inlineStr">
        <is>
          <t>https://vanillabonds.com/dossier-data/pdf/katjes/katjes-h1-2026-interim-report.pdf#page=9</t>
        </is>
      </c>
    </row>
    <row r="1180">
      <c r="A1180" s="2" t="inlineStr">
        <is>
          <t>F1179</t>
        </is>
      </c>
      <c r="B1180" s="2" t="inlineStr">
        <is>
          <t>market</t>
        </is>
      </c>
      <c r="C1180" s="2" t="inlineStr">
        <is>
          <t>permit</t>
        </is>
      </c>
      <c r="D1180" s="3" t="inlineStr">
        <is>
          <t>Certification, licence, permit or patent: item; issuer; expiry; register</t>
        </is>
      </c>
      <c r="E1180" s="2" t="n"/>
      <c r="F1180" s="2" t="n"/>
      <c r="G1180" s="2" t="n"/>
      <c r="H1180" s="3" t="inlineStr">
        <is>
          <t>item: ÖKO-TEST awards for Shirin Beauty Blueberry Body Oil and Blueberry Body Scrub; issuer: ÖKO-TEST</t>
        </is>
      </c>
      <c r="I1180" s="2" t="inlineStr">
        <is>
          <t>S5</t>
        </is>
      </c>
      <c r="J1180" s="2" t="n">
        <v>12</v>
      </c>
      <c r="K1180" s="3" t="inlineStr">
        <is>
          <t>by ÖKO-TEST awards for the Blueberry Body Oil and the Blueberry Body Scrub.</t>
        </is>
      </c>
      <c r="L1180" s="2" t="inlineStr">
        <is>
          <t>ok</t>
        </is>
      </c>
      <c r="M1180" s="2" t="inlineStr">
        <is>
          <t>demo reviewer</t>
        </is>
      </c>
      <c r="N1180" s="2" t="n"/>
      <c r="O1180" s="3" t="inlineStr">
        <is>
          <t>https://vanillabonds.com/dossier-data/pdf/katjes/katjes-h1-2026-interim-report.pdf#page=12</t>
        </is>
      </c>
    </row>
    <row r="1181">
      <c r="A1181" s="2" t="inlineStr">
        <is>
          <t>F1180</t>
        </is>
      </c>
      <c r="B1181" s="2" t="inlineStr">
        <is>
          <t>financials</t>
        </is>
      </c>
      <c r="C1181" s="2" t="inlineStr">
        <is>
          <t>one_off</t>
        </is>
      </c>
      <c r="D1181" s="3" t="inlineStr">
        <is>
          <t>One-off item: item; amount; recurrence (years in which it recurred)</t>
        </is>
      </c>
      <c r="E1181" s="2" t="inlineStr">
        <is>
          <t>H1-2026</t>
        </is>
      </c>
      <c r="F1181" s="2" t="n">
        <v>13.8</v>
      </c>
      <c r="G1181" s="2" t="n"/>
      <c r="H1181" s="3" t="inlineStr">
        <is>
          <t>item: positive results from purchase price allocations in other operating result; amount: 13.8; recurrence: none in H1-2025</t>
        </is>
      </c>
      <c r="I1181" s="2" t="inlineStr">
        <is>
          <t>S5</t>
        </is>
      </c>
      <c r="J1181" s="2" t="n">
        <v>23</v>
      </c>
      <c r="K1181" s="3" t="inlineStr">
        <is>
          <t>this item includes the positive results from the purchase price allocations carried out during the first half of 2026 (EUR 13.8 million)</t>
        </is>
      </c>
      <c r="L1181" s="2" t="inlineStr">
        <is>
          <t>ok</t>
        </is>
      </c>
      <c r="M1181" s="2" t="inlineStr">
        <is>
          <t>demo reviewer</t>
        </is>
      </c>
      <c r="N1181" s="2" t="n"/>
      <c r="O1181" s="3" t="inlineStr">
        <is>
          <t>https://vanillabonds.com/dossier-data/pdf/katjes/katjes-h1-2026-interim-report.pdf#page=23</t>
        </is>
      </c>
    </row>
    <row r="1182">
      <c r="A1182" s="2" t="inlineStr">
        <is>
          <t>F1181</t>
        </is>
      </c>
      <c r="B1182" s="2" t="inlineStr">
        <is>
          <t>financials</t>
        </is>
      </c>
      <c r="C1182" s="2" t="inlineStr">
        <is>
          <t>one_off</t>
        </is>
      </c>
      <c r="D1182" s="3" t="inlineStr">
        <is>
          <t>One-off item: item; amount; recurrence (years in which it recurred)</t>
        </is>
      </c>
      <c r="E1182" s="2" t="inlineStr">
        <is>
          <t>H1-2026</t>
        </is>
      </c>
      <c r="F1182" s="2" t="n"/>
      <c r="G1182" s="2" t="n"/>
      <c r="H1182" s="3" t="inlineStr">
        <is>
          <t>item: expenses from damage caused by third parties, two instances, in other operating result; amount: not stated; recurrence: none stated</t>
        </is>
      </c>
      <c r="I1182" s="2" t="inlineStr">
        <is>
          <t>S5</t>
        </is>
      </c>
      <c r="J1182" s="2" t="n">
        <v>23</v>
      </c>
      <c r="K1182" s="3" t="inlineStr">
        <is>
          <t>damage caused by third parties occurred in two instances during the reporting peri-</t>
        </is>
      </c>
      <c r="L1182" s="2" t="inlineStr">
        <is>
          <t>ok</t>
        </is>
      </c>
      <c r="M1182" s="2" t="inlineStr">
        <is>
          <t>demo reviewer</t>
        </is>
      </c>
      <c r="N1182" s="2" t="n"/>
      <c r="O1182" s="3" t="inlineStr">
        <is>
          <t>https://vanillabonds.com/dossier-data/pdf/katjes/katjes-h1-2026-interim-report.pdf#page=23</t>
        </is>
      </c>
    </row>
    <row r="1183">
      <c r="A1183" s="2" t="inlineStr">
        <is>
          <t>F1182</t>
        </is>
      </c>
      <c r="B1183" s="2" t="inlineStr">
        <is>
          <t>financials</t>
        </is>
      </c>
      <c r="C1183" s="2" t="inlineStr">
        <is>
          <t>one_off</t>
        </is>
      </c>
      <c r="D1183" s="3" t="inlineStr">
        <is>
          <t>One-off item: item; amount; recurrence (years in which it recurred)</t>
        </is>
      </c>
      <c r="E1183" s="2" t="inlineStr">
        <is>
          <t>H1-2026</t>
        </is>
      </c>
      <c r="F1183" s="2" t="n">
        <v>1.9</v>
      </c>
      <c r="G1183" s="2" t="n"/>
      <c r="H1183" s="3" t="inlineStr">
        <is>
          <t>item: income from the two joint ventures and the equity-accounted Missoni investment in other operating result; amount: 1.9 (H1-2025: 0.7); recurrence: 2025</t>
        </is>
      </c>
      <c r="I1183" s="2" t="inlineStr">
        <is>
          <t>S5</t>
        </is>
      </c>
      <c r="J1183" s="2" t="n">
        <v>23</v>
      </c>
      <c r="K1183" s="3" t="inlineStr">
        <is>
          <t>income from the two joint ventures as well as from the equity-accounted investment in Missoni (EUR 1.9 million; 6M 2025: EUR 0.7 million)</t>
        </is>
      </c>
      <c r="L1183" s="2" t="inlineStr">
        <is>
          <t>ok</t>
        </is>
      </c>
      <c r="M1183" s="2" t="inlineStr">
        <is>
          <t>demo reviewer</t>
        </is>
      </c>
      <c r="N1183" s="2" t="n"/>
      <c r="O1183" s="3" t="inlineStr">
        <is>
          <t>https://vanillabonds.com/dossier-data/pdf/katjes/katjes-h1-2026-interim-report.pdf#page=23</t>
        </is>
      </c>
    </row>
    <row r="1184">
      <c r="A1184" s="2" t="inlineStr">
        <is>
          <t>F1183</t>
        </is>
      </c>
      <c r="B1184" s="2" t="inlineStr">
        <is>
          <t>financials</t>
        </is>
      </c>
      <c r="C1184" s="2" t="inlineStr">
        <is>
          <t>one_off</t>
        </is>
      </c>
      <c r="D1184" s="3" t="inlineStr">
        <is>
          <t>One-off item: item; amount; recurrence (years in which it recurred)</t>
        </is>
      </c>
      <c r="E1184" s="2" t="inlineStr">
        <is>
          <t>H1-2026</t>
        </is>
      </c>
      <c r="F1184" s="2" t="n">
        <v>11.2</v>
      </c>
      <c r="G1184" s="2" t="n"/>
      <c r="H1184" s="3" t="inlineStr">
        <is>
          <t>item: badwill on the Graze acquisition, recognised in other operating income (preliminary PPA); amount: 11.2; recurrence: none stated</t>
        </is>
      </c>
      <c r="I1184" s="2" t="inlineStr">
        <is>
          <t>S5</t>
        </is>
      </c>
      <c r="J1184" s="2" t="n">
        <v>38</v>
      </c>
      <c r="K1184" s="2" t="inlineStr">
        <is>
          <t>Purchase price 31.8 Badwill 11.2</t>
        </is>
      </c>
      <c r="L1184" s="2" t="inlineStr">
        <is>
          <t>ok</t>
        </is>
      </c>
      <c r="M1184" s="2" t="inlineStr">
        <is>
          <t>demo reviewer</t>
        </is>
      </c>
      <c r="N1184" s="2" t="n"/>
      <c r="O1184" s="3" t="inlineStr">
        <is>
          <t>https://vanillabonds.com/dossier-data/pdf/katjes/katjes-h1-2026-interim-report.pdf#page=38</t>
        </is>
      </c>
    </row>
    <row r="1185">
      <c r="A1185" s="2" t="inlineStr">
        <is>
          <t>F1184</t>
        </is>
      </c>
      <c r="B1185" s="2" t="inlineStr">
        <is>
          <t>financials</t>
        </is>
      </c>
      <c r="C1185" s="2" t="inlineStr">
        <is>
          <t>one_off</t>
        </is>
      </c>
      <c r="D1185" s="3" t="inlineStr">
        <is>
          <t>One-off item: item; amount; recurrence (years in which it recurred)</t>
        </is>
      </c>
      <c r="E1185" s="2" t="inlineStr">
        <is>
          <t>H1-2026</t>
        </is>
      </c>
      <c r="F1185" s="2" t="n">
        <v>2.6</v>
      </c>
      <c r="G1185" s="2" t="n"/>
      <c r="H1185" s="3" t="inlineStr">
        <is>
          <t>item: badwill on the Pastificio Plin acquisition, recognised in other operating income; amount: 2.6; recurrence: none stated</t>
        </is>
      </c>
      <c r="I1185" s="2" t="inlineStr">
        <is>
          <t>S5</t>
        </is>
      </c>
      <c r="J1185" s="2" t="n">
        <v>39</v>
      </c>
      <c r="K1185" s="2" t="inlineStr">
        <is>
          <t>Purchase price 0.4 Badwill 2.6</t>
        </is>
      </c>
      <c r="L1185" s="2" t="inlineStr">
        <is>
          <t>ok</t>
        </is>
      </c>
      <c r="M1185" s="2" t="inlineStr">
        <is>
          <t>demo reviewer</t>
        </is>
      </c>
      <c r="N1185" s="2" t="n"/>
      <c r="O1185" s="3" t="inlineStr">
        <is>
          <t>https://vanillabonds.com/dossier-data/pdf/katjes/katjes-h1-2026-interim-report.pdf#page=39</t>
        </is>
      </c>
    </row>
    <row r="1186">
      <c r="A1186" s="2" t="inlineStr">
        <is>
          <t>F1185</t>
        </is>
      </c>
      <c r="B1186" s="2" t="inlineStr">
        <is>
          <t>financials</t>
        </is>
      </c>
      <c r="C1186" s="2" t="inlineStr">
        <is>
          <t>one_off</t>
        </is>
      </c>
      <c r="D1186" s="3" t="inlineStr">
        <is>
          <t>One-off item: item; amount; recurrence (years in which it recurred)</t>
        </is>
      </c>
      <c r="E1186" s="2" t="inlineStr">
        <is>
          <t>H1-2026</t>
        </is>
      </c>
      <c r="F1186" s="2" t="n">
        <v>1</v>
      </c>
      <c r="G1186" s="2" t="n"/>
      <c r="H1186" s="3" t="inlineStr">
        <is>
          <t>item: reversal of value adjustments on inventories; amount: 1.0 (H1-2025: -0.4); recurrence: 2025</t>
        </is>
      </c>
      <c r="I1186" s="2" t="inlineStr">
        <is>
          <t>S5</t>
        </is>
      </c>
      <c r="J1186" s="2" t="n">
        <v>41</v>
      </c>
      <c r="K1186" s="3" t="inlineStr">
        <is>
          <t>Value adjustments (reversals) on inventories were recognised in the amount of EUR 1.0 million (6M 2025: EUR -0.4 million).</t>
        </is>
      </c>
      <c r="L1186" s="2" t="inlineStr">
        <is>
          <t>ok</t>
        </is>
      </c>
      <c r="M1186" s="2" t="inlineStr">
        <is>
          <t>demo reviewer</t>
        </is>
      </c>
      <c r="N1186" s="2" t="n"/>
      <c r="O1186" s="3" t="inlineStr">
        <is>
          <t>https://vanillabonds.com/dossier-data/pdf/katjes/katjes-h1-2026-interim-report.pdf#page=41</t>
        </is>
      </c>
    </row>
    <row r="1187">
      <c r="A1187" s="2" t="inlineStr">
        <is>
          <t>F1186</t>
        </is>
      </c>
      <c r="B1187" s="2" t="inlineStr">
        <is>
          <t>financials</t>
        </is>
      </c>
      <c r="C1187" s="2" t="inlineStr">
        <is>
          <t>offbalance_item</t>
        </is>
      </c>
      <c r="D1187" s="3" t="inlineStr">
        <is>
          <t>Off-balance item: kind (lease, factoring, guarantee given, pension deficit, earn-out, litigation provision); amount; counterparty</t>
        </is>
      </c>
      <c r="E1187" s="2" t="inlineStr">
        <is>
          <t>H1-2026</t>
        </is>
      </c>
      <c r="F1187" s="2" t="n">
        <v>16.4</v>
      </c>
      <c r="G1187" s="2" t="n"/>
      <c r="H1187" s="3" t="inlineStr">
        <is>
          <t>kind: pension provisions (defined benefit, on balance sheet); amount: 16.4 (31 Dec 2025: 16.1)</t>
        </is>
      </c>
      <c r="I1187" s="2" t="inlineStr">
        <is>
          <t>S5</t>
        </is>
      </c>
      <c r="J1187" s="2" t="n">
        <v>25</v>
      </c>
      <c r="K1187" s="3" t="inlineStr">
        <is>
          <t>Provisions for pensions and similar obligations also remained constant at EUR 16.4 million as at June 30, 2026 (December 31, 2025: EUR 16.1 million).</t>
        </is>
      </c>
      <c r="L1187" s="2" t="inlineStr">
        <is>
          <t>ok</t>
        </is>
      </c>
      <c r="M1187" s="2" t="inlineStr">
        <is>
          <t>demo reviewer</t>
        </is>
      </c>
      <c r="N1187" s="2" t="n"/>
      <c r="O1187" s="3" t="inlineStr">
        <is>
          <t>https://vanillabonds.com/dossier-data/pdf/katjes/katjes-h1-2026-interim-report.pdf#page=25</t>
        </is>
      </c>
    </row>
    <row r="1188">
      <c r="A1188" s="2" t="inlineStr">
        <is>
          <t>F1187</t>
        </is>
      </c>
      <c r="B1188" s="2" t="inlineStr">
        <is>
          <t>financials</t>
        </is>
      </c>
      <c r="C1188" s="2" t="inlineStr">
        <is>
          <t>offbalance_item</t>
        </is>
      </c>
      <c r="D1188" s="3" t="inlineStr">
        <is>
          <t>Off-balance item: kind (lease, factoring, guarantee given, pension deficit, earn-out, litigation provision); amount; counterparty</t>
        </is>
      </c>
      <c r="E1188" s="2" t="inlineStr">
        <is>
          <t>H1-2026</t>
        </is>
      </c>
      <c r="F1188" s="2" t="n"/>
      <c r="G1188" s="2" t="n"/>
      <c r="H1188" s="3" t="inlineStr">
        <is>
          <t>kind: purchase option liability for the Dulcioliva minority interests, recognised in full as a liability due to the likelihood of exercise; counterparty: Dulcioliva minority shareholders</t>
        </is>
      </c>
      <c r="I1188" s="2" t="inlineStr">
        <is>
          <t>S5</t>
        </is>
      </c>
      <c r="J1188" s="2" t="n">
        <v>25</v>
      </c>
      <c r="K1188" s="3" t="inlineStr">
        <is>
          <t>In addition, the purchase option resulting from the future acquisition of the minority interests in Dulcioliva is reported here as a liability.</t>
        </is>
      </c>
      <c r="L1188" s="2" t="inlineStr">
        <is>
          <t>ok</t>
        </is>
      </c>
      <c r="M1188" s="2" t="inlineStr">
        <is>
          <t>demo reviewer</t>
        </is>
      </c>
      <c r="N1188" s="2" t="n"/>
      <c r="O1188" s="3" t="inlineStr">
        <is>
          <t>https://vanillabonds.com/dossier-data/pdf/katjes/katjes-h1-2026-interim-report.pdf#page=25</t>
        </is>
      </c>
    </row>
    <row r="1189">
      <c r="A1189" s="2" t="inlineStr">
        <is>
          <t>F1188</t>
        </is>
      </c>
      <c r="B1189" s="2" t="inlineStr">
        <is>
          <t>financials</t>
        </is>
      </c>
      <c r="C1189" s="2" t="inlineStr">
        <is>
          <t>offbalance_item</t>
        </is>
      </c>
      <c r="D1189" s="3" t="inlineStr">
        <is>
          <t>Off-balance item: kind (lease, factoring, guarantee given, pension deficit, earn-out, litigation provision); amount; counterparty</t>
        </is>
      </c>
      <c r="E1189" s="2" t="inlineStr">
        <is>
          <t>H1-2026</t>
        </is>
      </c>
      <c r="F1189" s="2" t="n"/>
      <c r="G1189" s="2" t="n"/>
      <c r="H1189" s="3" t="inlineStr">
        <is>
          <t>kind: put option liability (IAS 32.23) granting the Bogner minority shareholders the right to sell part of their shares to the Group; amount: within other financial liabilities of 7.2; counterparty: Bogner minority shareholders</t>
        </is>
      </c>
      <c r="I1189" s="2" t="inlineStr">
        <is>
          <t>S5</t>
        </is>
      </c>
      <c r="J1189" s="2" t="n">
        <v>25</v>
      </c>
      <c r="K1189" s="3" t="inlineStr">
        <is>
          <t>tion held by the minority shareholders, granting them the right to sell part of their shares to the Group.</t>
        </is>
      </c>
      <c r="L1189" s="2" t="inlineStr">
        <is>
          <t>ok</t>
        </is>
      </c>
      <c r="M1189" s="2" t="inlineStr">
        <is>
          <t>demo reviewer</t>
        </is>
      </c>
      <c r="N1189" s="2" t="n"/>
      <c r="O1189" s="3" t="inlineStr">
        <is>
          <t>https://vanillabonds.com/dossier-data/pdf/katjes/katjes-h1-2026-interim-report.pdf#page=25</t>
        </is>
      </c>
    </row>
    <row r="1190">
      <c r="A1190" s="2" t="inlineStr">
        <is>
          <t>F1189</t>
        </is>
      </c>
      <c r="B1190" s="2" t="inlineStr">
        <is>
          <t>financials</t>
        </is>
      </c>
      <c r="C1190" s="2" t="inlineStr">
        <is>
          <t>offbalance_item</t>
        </is>
      </c>
      <c r="D1190" s="3" t="inlineStr">
        <is>
          <t>Off-balance item: kind (lease, factoring, guarantee given, pension deficit, earn-out, litigation provision); amount; counterparty</t>
        </is>
      </c>
      <c r="E1190" s="2" t="inlineStr">
        <is>
          <t>H1-2026</t>
        </is>
      </c>
      <c r="F1190" s="2" t="n">
        <v>1.2</v>
      </c>
      <c r="G1190" s="2" t="n"/>
      <c r="H1190" s="3" t="inlineStr">
        <is>
          <t>kind: purchase commitments for property, plant and equipment; amount: 1.2 at 30 June 2026</t>
        </is>
      </c>
      <c r="I1190" s="2" t="inlineStr">
        <is>
          <t>S5</t>
        </is>
      </c>
      <c r="J1190" s="2" t="n">
        <v>47</v>
      </c>
      <c r="K1190" s="3" t="inlineStr">
        <is>
          <t>property, plant and equipment amounted to EUR 1.2 million.</t>
        </is>
      </c>
      <c r="L1190" s="2" t="inlineStr">
        <is>
          <t>ok</t>
        </is>
      </c>
      <c r="M1190" s="2" t="inlineStr">
        <is>
          <t>demo reviewer</t>
        </is>
      </c>
      <c r="N1190" s="2" t="n"/>
      <c r="O1190" s="3" t="inlineStr">
        <is>
          <t>https://vanillabonds.com/dossier-data/pdf/katjes/katjes-h1-2026-interim-report.pdf#page=47</t>
        </is>
      </c>
    </row>
    <row r="1191">
      <c r="A1191" s="2" t="inlineStr">
        <is>
          <t>F1190</t>
        </is>
      </c>
      <c r="B1191" s="2" t="inlineStr">
        <is>
          <t>financials</t>
        </is>
      </c>
      <c r="C1191" s="2" t="inlineStr">
        <is>
          <t>filing_days</t>
        </is>
      </c>
      <c r="D1191" s="3" t="inlineStr">
        <is>
          <t>Days from year end to filing of the accounts</t>
        </is>
      </c>
      <c r="E1191" s="2" t="inlineStr">
        <is>
          <t>H1-2026</t>
        </is>
      </c>
      <c r="F1191" s="2" t="n">
        <v>70</v>
      </c>
      <c r="G1191" s="2" t="n"/>
      <c r="H1191" s="3" t="inlineStr">
        <is>
          <t>70 days from the 30 June 2026 period end to management's approval and release on 8 September 2026 (unaudited interim).</t>
        </is>
      </c>
      <c r="I1191" s="2" t="inlineStr">
        <is>
          <t>S5</t>
        </is>
      </c>
      <c r="J1191" s="2" t="n">
        <v>49</v>
      </c>
      <c r="K1191" s="3" t="inlineStr">
        <is>
          <t>These interim consolidated financial statements were approved and released for publication by management on September 8, 2026.</t>
        </is>
      </c>
      <c r="L1191" s="2" t="inlineStr">
        <is>
          <t>ok</t>
        </is>
      </c>
      <c r="M1191" s="2" t="inlineStr">
        <is>
          <t>demo reviewer</t>
        </is>
      </c>
      <c r="N1191" s="2" t="n"/>
      <c r="O1191" s="3" t="inlineStr">
        <is>
          <t>https://vanillabonds.com/dossier-data/pdf/katjes/katjes-h1-2026-interim-report.pdf#page=49</t>
        </is>
      </c>
    </row>
    <row r="1192">
      <c r="A1192" s="2" t="inlineStr">
        <is>
          <t>F1191</t>
        </is>
      </c>
      <c r="B1192" s="2" t="inlineStr">
        <is>
          <t>financials</t>
        </is>
      </c>
      <c r="C1192" s="2" t="inlineStr">
        <is>
          <t>tax_item</t>
        </is>
      </c>
      <c r="D1192" s="3" t="inlineStr">
        <is>
          <t>Tax item: position, open assessment, dispute, ruling, payment-behaviour statement</t>
        </is>
      </c>
      <c r="E1192" s="2" t="n"/>
      <c r="F1192" s="2" t="n"/>
      <c r="G1192" s="2" t="n"/>
      <c r="H1192" s="3" t="inlineStr">
        <is>
          <t>Deferred tax liabilities rose to EUR 59.8m (52.4m) on the H1-2026 purchase price allocations; deferred tax assets 14.8 (13.2); income tax liabilities 3.5 (4.1), receivables 2.0 (3.2).</t>
        </is>
      </c>
      <c r="I1192" s="2" t="inlineStr">
        <is>
          <t>S5</t>
        </is>
      </c>
      <c r="J1192" s="2" t="n">
        <v>25</v>
      </c>
      <c r="K1192" s="3" t="inlineStr">
        <is>
          <t>se price allocations carried out in the first half of the year, to EUR 59.8 million (December 31, 2025: EUR 52.4 million).</t>
        </is>
      </c>
      <c r="L1192" s="2" t="inlineStr">
        <is>
          <t>ok</t>
        </is>
      </c>
      <c r="M1192" s="2" t="inlineStr">
        <is>
          <t>demo reviewer</t>
        </is>
      </c>
      <c r="N1192" s="2" t="n"/>
      <c r="O1192" s="3" t="inlineStr">
        <is>
          <t>https://vanillabonds.com/dossier-data/pdf/katjes/katjes-h1-2026-interim-report.pdf#page=25</t>
        </is>
      </c>
    </row>
    <row r="1193">
      <c r="A1193" s="2" t="inlineStr">
        <is>
          <t>F1192</t>
        </is>
      </c>
      <c r="B1193" s="2" t="inlineStr">
        <is>
          <t>financials</t>
        </is>
      </c>
      <c r="C1193" s="2" t="inlineStr">
        <is>
          <t>tax_item</t>
        </is>
      </c>
      <c r="D1193" s="3" t="inlineStr">
        <is>
          <t>Tax item: position, open assessment, dispute, ruling, payment-behaviour statement</t>
        </is>
      </c>
      <c r="E1193" s="2" t="n"/>
      <c r="F1193" s="2" t="n"/>
      <c r="G1193" s="2" t="n"/>
      <c r="H1193" s="3" t="inlineStr">
        <is>
          <t>H1-2026 tax income EUR 2.1m (H1-2025 expense 0.6): current tax Germany -0.7, other countries -0.5; deferred tax income Germany 0.8, other countries 2.5.</t>
        </is>
      </c>
      <c r="I1193" s="2" t="inlineStr">
        <is>
          <t>S5</t>
        </is>
      </c>
      <c r="J1193" s="2" t="n">
        <v>40</v>
      </c>
      <c r="K1193" s="3" t="inlineStr">
        <is>
          <t>Deferred tax expense/income: Germany 0.8 0.2 Other countries 2.5 1.4 Total 2.1 -0.6</t>
        </is>
      </c>
      <c r="L1193" s="2" t="inlineStr">
        <is>
          <t>ok</t>
        </is>
      </c>
      <c r="M1193" s="2" t="inlineStr">
        <is>
          <t>demo reviewer</t>
        </is>
      </c>
      <c r="N1193" s="2" t="n"/>
      <c r="O1193" s="3" t="inlineStr">
        <is>
          <t>https://vanillabonds.com/dossier-data/pdf/katjes/katjes-h1-2026-interim-report.pdf#page=40</t>
        </is>
      </c>
    </row>
    <row r="1194">
      <c r="A1194" s="2" t="inlineStr">
        <is>
          <t>F1193</t>
        </is>
      </c>
      <c r="B1194" s="2" t="inlineStr">
        <is>
          <t>financials</t>
        </is>
      </c>
      <c r="C1194" s="2" t="inlineStr">
        <is>
          <t>segment</t>
        </is>
      </c>
      <c r="D1194" s="3" t="inlineStr">
        <is>
          <t>Segment: segment; revenue; ebitda; assets</t>
        </is>
      </c>
      <c r="E1194" s="2" t="inlineStr">
        <is>
          <t>FY2025</t>
        </is>
      </c>
      <c r="F1194" s="2" t="n"/>
      <c r="G1194" s="2" t="n"/>
      <c r="H1194" s="3" t="inlineStr">
        <is>
          <t>segment: Germany (material non-current assets by region, 31 Dec 2025); assets: 305.4</t>
        </is>
      </c>
      <c r="I1194" s="2" t="inlineStr">
        <is>
          <t>S5</t>
        </is>
      </c>
      <c r="J1194" s="2" t="n">
        <v>46</v>
      </c>
      <c r="K1194" s="2" t="inlineStr">
        <is>
          <t>Germany 367.4 305.4</t>
        </is>
      </c>
      <c r="L1194" s="2" t="inlineStr">
        <is>
          <t>ok</t>
        </is>
      </c>
      <c r="M1194" s="2" t="inlineStr">
        <is>
          <t>demo reviewer</t>
        </is>
      </c>
      <c r="N1194" s="2" t="n"/>
      <c r="O1194" s="3" t="inlineStr">
        <is>
          <t>https://vanillabonds.com/dossier-data/pdf/katjes/katjes-h1-2026-interim-report.pdf#page=46</t>
        </is>
      </c>
    </row>
    <row r="1195">
      <c r="A1195" s="2" t="inlineStr">
        <is>
          <t>F1194</t>
        </is>
      </c>
      <c r="B1195" s="2" t="inlineStr">
        <is>
          <t>financials</t>
        </is>
      </c>
      <c r="C1195" s="2" t="inlineStr">
        <is>
          <t>segment</t>
        </is>
      </c>
      <c r="D1195" s="3" t="inlineStr">
        <is>
          <t>Segment: segment; revenue; ebitda; assets</t>
        </is>
      </c>
      <c r="E1195" s="2" t="inlineStr">
        <is>
          <t>FY2025</t>
        </is>
      </c>
      <c r="F1195" s="2" t="n"/>
      <c r="G1195" s="2" t="n"/>
      <c r="H1195" s="3" t="inlineStr">
        <is>
          <t>segment: Italy (material non-current assets by region, 31 Dec 2025); assets: 93.9</t>
        </is>
      </c>
      <c r="I1195" s="2" t="inlineStr">
        <is>
          <t>S5</t>
        </is>
      </c>
      <c r="J1195" s="2" t="n">
        <v>46</v>
      </c>
      <c r="K1195" s="2" t="inlineStr">
        <is>
          <t>Italy 95.6 93.9</t>
        </is>
      </c>
      <c r="L1195" s="2" t="inlineStr">
        <is>
          <t>ok</t>
        </is>
      </c>
      <c r="M1195" s="2" t="inlineStr">
        <is>
          <t>demo reviewer</t>
        </is>
      </c>
      <c r="N1195" s="2" t="n"/>
      <c r="O1195" s="3" t="inlineStr">
        <is>
          <t>https://vanillabonds.com/dossier-data/pdf/katjes/katjes-h1-2026-interim-report.pdf#page=46</t>
        </is>
      </c>
    </row>
    <row r="1196">
      <c r="A1196" s="2" t="inlineStr">
        <is>
          <t>F1195</t>
        </is>
      </c>
      <c r="B1196" s="2" t="inlineStr">
        <is>
          <t>financials</t>
        </is>
      </c>
      <c r="C1196" s="2" t="inlineStr">
        <is>
          <t>segment</t>
        </is>
      </c>
      <c r="D1196" s="3" t="inlineStr">
        <is>
          <t>Segment: segment; revenue; ebitda; assets</t>
        </is>
      </c>
      <c r="E1196" s="2" t="inlineStr">
        <is>
          <t>FY2025</t>
        </is>
      </c>
      <c r="F1196" s="2" t="n"/>
      <c r="G1196" s="2" t="n"/>
      <c r="H1196" s="3" t="inlineStr">
        <is>
          <t>segment: UK (material non-current assets by region, 31 Dec 2025); assets: 10.9</t>
        </is>
      </c>
      <c r="I1196" s="2" t="inlineStr">
        <is>
          <t>S5</t>
        </is>
      </c>
      <c r="J1196" s="2" t="n">
        <v>46</v>
      </c>
      <c r="K1196" s="2" t="inlineStr">
        <is>
          <t>UK 71.1 10.9</t>
        </is>
      </c>
      <c r="L1196" s="2" t="inlineStr">
        <is>
          <t>ok</t>
        </is>
      </c>
      <c r="M1196" s="2" t="inlineStr">
        <is>
          <t>demo reviewer</t>
        </is>
      </c>
      <c r="N1196" s="2" t="n"/>
      <c r="O1196" s="3" t="inlineStr">
        <is>
          <t>https://vanillabonds.com/dossier-data/pdf/katjes/katjes-h1-2026-interim-report.pdf#page=46</t>
        </is>
      </c>
    </row>
    <row r="1197">
      <c r="A1197" s="2" t="inlineStr">
        <is>
          <t>F1196</t>
        </is>
      </c>
      <c r="B1197" s="2" t="inlineStr">
        <is>
          <t>financials</t>
        </is>
      </c>
      <c r="C1197" s="2" t="inlineStr">
        <is>
          <t>segment</t>
        </is>
      </c>
      <c r="D1197" s="3" t="inlineStr">
        <is>
          <t>Segment: segment; revenue; ebitda; assets</t>
        </is>
      </c>
      <c r="E1197" s="2" t="inlineStr">
        <is>
          <t>FY2025</t>
        </is>
      </c>
      <c r="F1197" s="2" t="n"/>
      <c r="G1197" s="2" t="n"/>
      <c r="H1197" s="3" t="inlineStr">
        <is>
          <t>segment: Switzerland (material non-current assets by region, 31 Dec 2025); assets: 17.5</t>
        </is>
      </c>
      <c r="I1197" s="2" t="inlineStr">
        <is>
          <t>S5</t>
        </is>
      </c>
      <c r="J1197" s="2" t="n">
        <v>46</v>
      </c>
      <c r="K1197" s="2" t="inlineStr">
        <is>
          <t>Switzerland 16.6 17.5</t>
        </is>
      </c>
      <c r="L1197" s="2" t="inlineStr">
        <is>
          <t>ok</t>
        </is>
      </c>
      <c r="M1197" s="2" t="inlineStr">
        <is>
          <t>demo reviewer</t>
        </is>
      </c>
      <c r="N1197" s="2" t="n"/>
      <c r="O1197" s="3" t="inlineStr">
        <is>
          <t>https://vanillabonds.com/dossier-data/pdf/katjes/katjes-h1-2026-interim-report.pdf#page=46</t>
        </is>
      </c>
    </row>
    <row r="1198">
      <c r="A1198" s="2" t="inlineStr">
        <is>
          <t>F1197</t>
        </is>
      </c>
      <c r="B1198" s="2" t="inlineStr">
        <is>
          <t>financials</t>
        </is>
      </c>
      <c r="C1198" s="2" t="inlineStr">
        <is>
          <t>segment</t>
        </is>
      </c>
      <c r="D1198" s="3" t="inlineStr">
        <is>
          <t>Segment: segment; revenue; ebitda; assets</t>
        </is>
      </c>
      <c r="E1198" s="2" t="inlineStr">
        <is>
          <t>FY2025</t>
        </is>
      </c>
      <c r="F1198" s="2" t="n"/>
      <c r="G1198" s="2" t="n"/>
      <c r="H1198" s="3" t="inlineStr">
        <is>
          <t>segment: Netherlands (material non-current assets by region, 31 Dec 2025); assets: 12.3</t>
        </is>
      </c>
      <c r="I1198" s="2" t="inlineStr">
        <is>
          <t>S5</t>
        </is>
      </c>
      <c r="J1198" s="2" t="n">
        <v>46</v>
      </c>
      <c r="K1198" s="2" t="inlineStr">
        <is>
          <t>Netherlands 14.3 12.3</t>
        </is>
      </c>
      <c r="L1198" s="2" t="inlineStr">
        <is>
          <t>ok</t>
        </is>
      </c>
      <c r="M1198" s="2" t="inlineStr">
        <is>
          <t>demo reviewer</t>
        </is>
      </c>
      <c r="N1198" s="2" t="n"/>
      <c r="O1198" s="3" t="inlineStr">
        <is>
          <t>https://vanillabonds.com/dossier-data/pdf/katjes/katjes-h1-2026-interim-report.pdf#page=46</t>
        </is>
      </c>
    </row>
    <row r="1199">
      <c r="A1199" s="2" t="inlineStr">
        <is>
          <t>F1198</t>
        </is>
      </c>
      <c r="B1199" s="2" t="inlineStr">
        <is>
          <t>financials</t>
        </is>
      </c>
      <c r="C1199" s="2" t="inlineStr">
        <is>
          <t>segment</t>
        </is>
      </c>
      <c r="D1199" s="3" t="inlineStr">
        <is>
          <t>Segment: segment; revenue; ebitda; assets</t>
        </is>
      </c>
      <c r="E1199" s="2" t="inlineStr">
        <is>
          <t>FY2025</t>
        </is>
      </c>
      <c r="F1199" s="2" t="n"/>
      <c r="G1199" s="2" t="n"/>
      <c r="H1199" s="3" t="inlineStr">
        <is>
          <t>segment: North America (material non-current assets by region, 31 Dec 2025); assets: 9.7</t>
        </is>
      </c>
      <c r="I1199" s="2" t="inlineStr">
        <is>
          <t>S5</t>
        </is>
      </c>
      <c r="J1199" s="2" t="n">
        <v>46</v>
      </c>
      <c r="K1199" s="2" t="inlineStr">
        <is>
          <t>North America 8.9 9.7</t>
        </is>
      </c>
      <c r="L1199" s="2" t="inlineStr">
        <is>
          <t>ok</t>
        </is>
      </c>
      <c r="M1199" s="2" t="inlineStr">
        <is>
          <t>demo reviewer</t>
        </is>
      </c>
      <c r="N1199" s="2" t="n"/>
      <c r="O1199" s="3" t="inlineStr">
        <is>
          <t>https://vanillabonds.com/dossier-data/pdf/katjes/katjes-h1-2026-interim-report.pdf#page=46</t>
        </is>
      </c>
    </row>
    <row r="1200">
      <c r="A1200" s="2" t="inlineStr">
        <is>
          <t>F1199</t>
        </is>
      </c>
      <c r="B1200" s="2" t="inlineStr">
        <is>
          <t>financials</t>
        </is>
      </c>
      <c r="C1200" s="2" t="inlineStr">
        <is>
          <t>segment</t>
        </is>
      </c>
      <c r="D1200" s="3" t="inlineStr">
        <is>
          <t>Segment: segment; revenue; ebitda; assets</t>
        </is>
      </c>
      <c r="E1200" s="2" t="inlineStr">
        <is>
          <t>FY2025</t>
        </is>
      </c>
      <c r="F1200" s="2" t="n"/>
      <c r="G1200" s="2" t="n"/>
      <c r="H1200" s="3" t="inlineStr">
        <is>
          <t>segment: Austria (material non-current assets by region, 31 Dec 2025); assets: 1.2</t>
        </is>
      </c>
      <c r="I1200" s="2" t="inlineStr">
        <is>
          <t>S5</t>
        </is>
      </c>
      <c r="J1200" s="2" t="n">
        <v>46</v>
      </c>
      <c r="K1200" s="2" t="inlineStr">
        <is>
          <t>Austria 1.1 1.2</t>
        </is>
      </c>
      <c r="L1200" s="2" t="inlineStr">
        <is>
          <t>ok</t>
        </is>
      </c>
      <c r="M1200" s="2" t="inlineStr">
        <is>
          <t>demo reviewer</t>
        </is>
      </c>
      <c r="N1200" s="2" t="n"/>
      <c r="O1200" s="3" t="inlineStr">
        <is>
          <t>https://vanillabonds.com/dossier-data/pdf/katjes/katjes-h1-2026-interim-report.pdf#page=46</t>
        </is>
      </c>
    </row>
    <row r="1201">
      <c r="A1201" s="2" t="inlineStr">
        <is>
          <t>F1200</t>
        </is>
      </c>
      <c r="B1201" s="2" t="inlineStr">
        <is>
          <t>financials</t>
        </is>
      </c>
      <c r="C1201" s="2" t="inlineStr">
        <is>
          <t>segment</t>
        </is>
      </c>
      <c r="D1201" s="3" t="inlineStr">
        <is>
          <t>Segment: segment; revenue; ebitda; assets</t>
        </is>
      </c>
      <c r="E1201" s="2" t="inlineStr">
        <is>
          <t>FY2025</t>
        </is>
      </c>
      <c r="F1201" s="2" t="n"/>
      <c r="G1201" s="2" t="n"/>
      <c r="H1201" s="3" t="inlineStr">
        <is>
          <t>segment: Other (material non-current assets by region, 31 Dec 2025); assets: 0.5</t>
        </is>
      </c>
      <c r="I1201" s="2" t="inlineStr">
        <is>
          <t>S5</t>
        </is>
      </c>
      <c r="J1201" s="2" t="n">
        <v>46</v>
      </c>
      <c r="K1201" s="2" t="inlineStr">
        <is>
          <t>Other 0.4 0.5</t>
        </is>
      </c>
      <c r="L1201" s="2" t="inlineStr">
        <is>
          <t>ok</t>
        </is>
      </c>
      <c r="M1201" s="2" t="inlineStr">
        <is>
          <t>demo reviewer</t>
        </is>
      </c>
      <c r="N1201" s="2" t="n"/>
      <c r="O1201" s="3" t="inlineStr">
        <is>
          <t>https://vanillabonds.com/dossier-data/pdf/katjes/katjes-h1-2026-interim-report.pdf#page=46</t>
        </is>
      </c>
    </row>
    <row r="1202">
      <c r="A1202" s="2" t="inlineStr">
        <is>
          <t>F1201</t>
        </is>
      </c>
      <c r="B1202" s="2" t="inlineStr">
        <is>
          <t>financials</t>
        </is>
      </c>
      <c r="C1202" s="2" t="inlineStr">
        <is>
          <t>segment</t>
        </is>
      </c>
      <c r="D1202" s="3" t="inlineStr">
        <is>
          <t>Segment: segment; revenue; ebitda; assets</t>
        </is>
      </c>
      <c r="E1202" s="2" t="inlineStr">
        <is>
          <t>H1-2025</t>
        </is>
      </c>
      <c r="F1202" s="2" t="n">
        <v>57.2</v>
      </c>
      <c r="G1202" s="2" t="n"/>
      <c r="H1202" s="3" t="inlineStr">
        <is>
          <t>segment: Germany (revenue by region); revenue: 57.2</t>
        </is>
      </c>
      <c r="I1202" s="2" t="inlineStr">
        <is>
          <t>S5</t>
        </is>
      </c>
      <c r="J1202" s="2" t="n">
        <v>45</v>
      </c>
      <c r="K1202" s="2" t="inlineStr">
        <is>
          <t>Germany 90.4 57.2</t>
        </is>
      </c>
      <c r="L1202" s="2" t="inlineStr">
        <is>
          <t>ok</t>
        </is>
      </c>
      <c r="M1202" s="2" t="inlineStr">
        <is>
          <t>demo reviewer</t>
        </is>
      </c>
      <c r="N1202" s="2" t="n"/>
      <c r="O1202" s="3" t="inlineStr">
        <is>
          <t>https://vanillabonds.com/dossier-data/pdf/katjes/katjes-h1-2026-interim-report.pdf#page=45</t>
        </is>
      </c>
    </row>
    <row r="1203">
      <c r="A1203" s="2" t="inlineStr">
        <is>
          <t>F1202</t>
        </is>
      </c>
      <c r="B1203" s="2" t="inlineStr">
        <is>
          <t>financials</t>
        </is>
      </c>
      <c r="C1203" s="2" t="inlineStr">
        <is>
          <t>segment</t>
        </is>
      </c>
      <c r="D1203" s="3" t="inlineStr">
        <is>
          <t>Segment: segment; revenue; ebitda; assets</t>
        </is>
      </c>
      <c r="E1203" s="2" t="inlineStr">
        <is>
          <t>H1-2025</t>
        </is>
      </c>
      <c r="F1203" s="2" t="n">
        <v>10.7</v>
      </c>
      <c r="G1203" s="2" t="n"/>
      <c r="H1203" s="3" t="inlineStr">
        <is>
          <t>segment: UK (revenue by region); revenue: 10.7</t>
        </is>
      </c>
      <c r="I1203" s="2" t="inlineStr">
        <is>
          <t>S5</t>
        </is>
      </c>
      <c r="J1203" s="2" t="n">
        <v>45</v>
      </c>
      <c r="K1203" s="2" t="inlineStr">
        <is>
          <t>UK 37.8 10.7</t>
        </is>
      </c>
      <c r="L1203" s="2" t="inlineStr">
        <is>
          <t>ok</t>
        </is>
      </c>
      <c r="M1203" s="2" t="inlineStr">
        <is>
          <t>demo reviewer</t>
        </is>
      </c>
      <c r="N1203" s="2" t="n"/>
      <c r="O1203" s="3" t="inlineStr">
        <is>
          <t>https://vanillabonds.com/dossier-data/pdf/katjes/katjes-h1-2026-interim-report.pdf#page=45</t>
        </is>
      </c>
    </row>
    <row r="1204">
      <c r="A1204" s="2" t="inlineStr">
        <is>
          <t>F1203</t>
        </is>
      </c>
      <c r="B1204" s="2" t="inlineStr">
        <is>
          <t>financials</t>
        </is>
      </c>
      <c r="C1204" s="2" t="inlineStr">
        <is>
          <t>segment</t>
        </is>
      </c>
      <c r="D1204" s="3" t="inlineStr">
        <is>
          <t>Segment: segment; revenue; ebitda; assets</t>
        </is>
      </c>
      <c r="E1204" s="2" t="inlineStr">
        <is>
          <t>H1-2025</t>
        </is>
      </c>
      <c r="F1204" s="2" t="n">
        <v>35.7</v>
      </c>
      <c r="G1204" s="2" t="n"/>
      <c r="H1204" s="3" t="inlineStr">
        <is>
          <t>segment: Italy (revenue by region); revenue: 35.7</t>
        </is>
      </c>
      <c r="I1204" s="2" t="inlineStr">
        <is>
          <t>S5</t>
        </is>
      </c>
      <c r="J1204" s="2" t="n">
        <v>45</v>
      </c>
      <c r="K1204" s="2" t="inlineStr">
        <is>
          <t>Italy 34.5 35.7</t>
        </is>
      </c>
      <c r="L1204" s="2" t="inlineStr">
        <is>
          <t>ok</t>
        </is>
      </c>
      <c r="M1204" s="2" t="inlineStr">
        <is>
          <t>demo reviewer</t>
        </is>
      </c>
      <c r="N1204" s="2" t="n"/>
      <c r="O1204" s="3" t="inlineStr">
        <is>
          <t>https://vanillabonds.com/dossier-data/pdf/katjes/katjes-h1-2026-interim-report.pdf#page=45</t>
        </is>
      </c>
    </row>
    <row r="1205">
      <c r="A1205" s="2" t="inlineStr">
        <is>
          <t>F1204</t>
        </is>
      </c>
      <c r="B1205" s="2" t="inlineStr">
        <is>
          <t>financials</t>
        </is>
      </c>
      <c r="C1205" s="2" t="inlineStr">
        <is>
          <t>segment</t>
        </is>
      </c>
      <c r="D1205" s="3" t="inlineStr">
        <is>
          <t>Segment: segment; revenue; ebitda; assets</t>
        </is>
      </c>
      <c r="E1205" s="2" t="inlineStr">
        <is>
          <t>H1-2025</t>
        </is>
      </c>
      <c r="F1205" s="2" t="n">
        <v>15.1</v>
      </c>
      <c r="G1205" s="2" t="n"/>
      <c r="H1205" s="3" t="inlineStr">
        <is>
          <t>segment: Switzerland (revenue by region); revenue: 15.1</t>
        </is>
      </c>
      <c r="I1205" s="2" t="inlineStr">
        <is>
          <t>S5</t>
        </is>
      </c>
      <c r="J1205" s="2" t="n">
        <v>45</v>
      </c>
      <c r="K1205" s="2" t="inlineStr">
        <is>
          <t>Switzerland 24.6 15.1</t>
        </is>
      </c>
      <c r="L1205" s="2" t="inlineStr">
        <is>
          <t>ok</t>
        </is>
      </c>
      <c r="M1205" s="2" t="inlineStr">
        <is>
          <t>demo reviewer</t>
        </is>
      </c>
      <c r="N1205" s="2" t="n"/>
      <c r="O1205" s="3" t="inlineStr">
        <is>
          <t>https://vanillabonds.com/dossier-data/pdf/katjes/katjes-h1-2026-interim-report.pdf#page=45</t>
        </is>
      </c>
    </row>
    <row r="1206">
      <c r="A1206" s="2" t="inlineStr">
        <is>
          <t>F1205</t>
        </is>
      </c>
      <c r="B1206" s="2" t="inlineStr">
        <is>
          <t>financials</t>
        </is>
      </c>
      <c r="C1206" s="2" t="inlineStr">
        <is>
          <t>segment</t>
        </is>
      </c>
      <c r="D1206" s="3" t="inlineStr">
        <is>
          <t>Segment: segment; revenue; ebitda; assets</t>
        </is>
      </c>
      <c r="E1206" s="2" t="inlineStr">
        <is>
          <t>H1-2025</t>
        </is>
      </c>
      <c r="F1206" s="2" t="n">
        <v>8.5</v>
      </c>
      <c r="G1206" s="2" t="n"/>
      <c r="H1206" s="3" t="inlineStr">
        <is>
          <t>segment: Netherlands (revenue by region); revenue: 8.5</t>
        </is>
      </c>
      <c r="I1206" s="2" t="inlineStr">
        <is>
          <t>S5</t>
        </is>
      </c>
      <c r="J1206" s="2" t="n">
        <v>45</v>
      </c>
      <c r="K1206" s="2" t="inlineStr">
        <is>
          <t>Netherlands 8.8 8.5</t>
        </is>
      </c>
      <c r="L1206" s="2" t="inlineStr">
        <is>
          <t>ok</t>
        </is>
      </c>
      <c r="M1206" s="2" t="inlineStr">
        <is>
          <t>demo reviewer</t>
        </is>
      </c>
      <c r="N1206" s="2" t="n"/>
      <c r="O1206" s="3" t="inlineStr">
        <is>
          <t>https://vanillabonds.com/dossier-data/pdf/katjes/katjes-h1-2026-interim-report.pdf#page=45</t>
        </is>
      </c>
    </row>
    <row r="1207">
      <c r="A1207" s="2" t="inlineStr">
        <is>
          <t>F1206</t>
        </is>
      </c>
      <c r="B1207" s="2" t="inlineStr">
        <is>
          <t>financials</t>
        </is>
      </c>
      <c r="C1207" s="2" t="inlineStr">
        <is>
          <t>segment</t>
        </is>
      </c>
      <c r="D1207" s="3" t="inlineStr">
        <is>
          <t>Segment: segment; revenue; ebitda; assets</t>
        </is>
      </c>
      <c r="E1207" s="2" t="inlineStr">
        <is>
          <t>H1-2025</t>
        </is>
      </c>
      <c r="F1207" s="2" t="n">
        <v>2.4</v>
      </c>
      <c r="G1207" s="2" t="n"/>
      <c r="H1207" s="3" t="inlineStr">
        <is>
          <t>segment: North America (revenue by region); revenue: 2.4</t>
        </is>
      </c>
      <c r="I1207" s="2" t="inlineStr">
        <is>
          <t>S5</t>
        </is>
      </c>
      <c r="J1207" s="2" t="n">
        <v>45</v>
      </c>
      <c r="K1207" s="2" t="inlineStr">
        <is>
          <t>North America 7.2 2.4</t>
        </is>
      </c>
      <c r="L1207" s="2" t="inlineStr">
        <is>
          <t>ok</t>
        </is>
      </c>
      <c r="M1207" s="2" t="inlineStr">
        <is>
          <t>demo reviewer</t>
        </is>
      </c>
      <c r="N1207" s="2" t="n"/>
      <c r="O1207" s="3" t="inlineStr">
        <is>
          <t>https://vanillabonds.com/dossier-data/pdf/katjes/katjes-h1-2026-interim-report.pdf#page=45</t>
        </is>
      </c>
    </row>
    <row r="1208">
      <c r="A1208" s="2" t="inlineStr">
        <is>
          <t>F1207</t>
        </is>
      </c>
      <c r="B1208" s="2" t="inlineStr">
        <is>
          <t>financials</t>
        </is>
      </c>
      <c r="C1208" s="2" t="inlineStr">
        <is>
          <t>segment</t>
        </is>
      </c>
      <c r="D1208" s="3" t="inlineStr">
        <is>
          <t>Segment: segment; revenue; ebitda; assets</t>
        </is>
      </c>
      <c r="E1208" s="2" t="inlineStr">
        <is>
          <t>H1-2025</t>
        </is>
      </c>
      <c r="F1208" s="2" t="n">
        <v>6.8</v>
      </c>
      <c r="G1208" s="2" t="n"/>
      <c r="H1208" s="3" t="inlineStr">
        <is>
          <t>segment: France (revenue by region); revenue: 6.8</t>
        </is>
      </c>
      <c r="I1208" s="2" t="inlineStr">
        <is>
          <t>S5</t>
        </is>
      </c>
      <c r="J1208" s="2" t="n">
        <v>45</v>
      </c>
      <c r="K1208" s="2" t="inlineStr">
        <is>
          <t>France 5.2 6.8</t>
        </is>
      </c>
      <c r="L1208" s="2" t="inlineStr">
        <is>
          <t>ok</t>
        </is>
      </c>
      <c r="M1208" s="2" t="inlineStr">
        <is>
          <t>demo reviewer</t>
        </is>
      </c>
      <c r="N1208" s="2" t="n"/>
      <c r="O1208" s="3" t="inlineStr">
        <is>
          <t>https://vanillabonds.com/dossier-data/pdf/katjes/katjes-h1-2026-interim-report.pdf#page=45</t>
        </is>
      </c>
    </row>
    <row r="1209">
      <c r="A1209" s="2" t="inlineStr">
        <is>
          <t>F1208</t>
        </is>
      </c>
      <c r="B1209" s="2" t="inlineStr">
        <is>
          <t>financials</t>
        </is>
      </c>
      <c r="C1209" s="2" t="inlineStr">
        <is>
          <t>segment</t>
        </is>
      </c>
      <c r="D1209" s="3" t="inlineStr">
        <is>
          <t>Segment: segment; revenue; ebitda; assets</t>
        </is>
      </c>
      <c r="E1209" s="2" t="inlineStr">
        <is>
          <t>H1-2025</t>
        </is>
      </c>
      <c r="F1209" s="2" t="n">
        <v>27.1</v>
      </c>
      <c r="G1209" s="2" t="n"/>
      <c r="H1209" s="3" t="inlineStr">
        <is>
          <t>segment: Other EU countries (revenue by region); revenue: 27.1</t>
        </is>
      </c>
      <c r="I1209" s="2" t="inlineStr">
        <is>
          <t>S5</t>
        </is>
      </c>
      <c r="J1209" s="2" t="n">
        <v>45</v>
      </c>
      <c r="K1209" s="2" t="inlineStr">
        <is>
          <t>Other EU countries 34.5 27.1</t>
        </is>
      </c>
      <c r="L1209" s="2" t="inlineStr">
        <is>
          <t>ok</t>
        </is>
      </c>
      <c r="M1209" s="2" t="inlineStr">
        <is>
          <t>demo reviewer</t>
        </is>
      </c>
      <c r="N1209" s="2" t="n"/>
      <c r="O1209" s="3" t="inlineStr">
        <is>
          <t>https://vanillabonds.com/dossier-data/pdf/katjes/katjes-h1-2026-interim-report.pdf#page=45</t>
        </is>
      </c>
    </row>
    <row r="1210">
      <c r="A1210" s="2" t="inlineStr">
        <is>
          <t>F1209</t>
        </is>
      </c>
      <c r="B1210" s="2" t="inlineStr">
        <is>
          <t>financials</t>
        </is>
      </c>
      <c r="C1210" s="2" t="inlineStr">
        <is>
          <t>segment</t>
        </is>
      </c>
      <c r="D1210" s="3" t="inlineStr">
        <is>
          <t>Segment: segment; revenue; ebitda; assets</t>
        </is>
      </c>
      <c r="E1210" s="2" t="inlineStr">
        <is>
          <t>H1-2025</t>
        </is>
      </c>
      <c r="F1210" s="2" t="n">
        <v>1.3</v>
      </c>
      <c r="G1210" s="2" t="n"/>
      <c r="H1210" s="3" t="inlineStr">
        <is>
          <t>segment: Countries outside the EU (revenue by region); revenue: 1.3</t>
        </is>
      </c>
      <c r="I1210" s="2" t="inlineStr">
        <is>
          <t>S5</t>
        </is>
      </c>
      <c r="J1210" s="2" t="n">
        <v>45</v>
      </c>
      <c r="K1210" s="2" t="inlineStr">
        <is>
          <t>Countries outside the EU 13.0 1.3</t>
        </is>
      </c>
      <c r="L1210" s="2" t="inlineStr">
        <is>
          <t>ok</t>
        </is>
      </c>
      <c r="M1210" s="2" t="inlineStr">
        <is>
          <t>demo reviewer</t>
        </is>
      </c>
      <c r="N1210" s="2" t="n"/>
      <c r="O1210" s="3" t="inlineStr">
        <is>
          <t>https://vanillabonds.com/dossier-data/pdf/katjes/katjes-h1-2026-interim-report.pdf#page=45</t>
        </is>
      </c>
    </row>
    <row r="1211">
      <c r="A1211" s="2" t="inlineStr">
        <is>
          <t>F1210</t>
        </is>
      </c>
      <c r="B1211" s="2" t="inlineStr">
        <is>
          <t>financials</t>
        </is>
      </c>
      <c r="C1211" s="2" t="inlineStr">
        <is>
          <t>segment</t>
        </is>
      </c>
      <c r="D1211" s="3" t="inlineStr">
        <is>
          <t>Segment: segment; revenue; ebitda; assets</t>
        </is>
      </c>
      <c r="E1211" s="2" t="inlineStr">
        <is>
          <t>H1-2026</t>
        </is>
      </c>
      <c r="F1211" s="2" t="n"/>
      <c r="G1211" s="2" t="n"/>
      <c r="H1211" s="3" t="inlineStr">
        <is>
          <t>segment: sugar confectionery (product group); revenue: 0.343 share of group revenue (H1-2025: 0.471)</t>
        </is>
      </c>
      <c r="I1211" s="2" t="inlineStr">
        <is>
          <t>S5</t>
        </is>
      </c>
      <c r="J1211" s="2" t="n">
        <v>22</v>
      </c>
      <c r="K1211" s="3" t="inlineStr">
        <is>
          <t>Katjes International generated 34.3% of revenue (6M 2025: 47.1%) from "sugar confectionery"</t>
        </is>
      </c>
      <c r="L1211" s="2" t="inlineStr">
        <is>
          <t>ok</t>
        </is>
      </c>
      <c r="M1211" s="2" t="inlineStr">
        <is>
          <t>demo reviewer</t>
        </is>
      </c>
      <c r="N1211" s="2" t="n"/>
      <c r="O1211" s="3" t="inlineStr">
        <is>
          <t>https://vanillabonds.com/dossier-data/pdf/katjes/katjes-h1-2026-interim-report.pdf#page=22</t>
        </is>
      </c>
    </row>
    <row r="1212">
      <c r="A1212" s="2" t="inlineStr">
        <is>
          <t>F1211</t>
        </is>
      </c>
      <c r="B1212" s="2" t="inlineStr">
        <is>
          <t>financials</t>
        </is>
      </c>
      <c r="C1212" s="2" t="inlineStr">
        <is>
          <t>segment</t>
        </is>
      </c>
      <c r="D1212" s="3" t="inlineStr">
        <is>
          <t>Segment: segment; revenue; ebitda; assets</t>
        </is>
      </c>
      <c r="E1212" s="2" t="inlineStr">
        <is>
          <t>H1-2026</t>
        </is>
      </c>
      <c r="F1212" s="2" t="n"/>
      <c r="G1212" s="2" t="n"/>
      <c r="H1212" s="3" t="inlineStr">
        <is>
          <t>segment: care products (product group); revenue: 0.195 share of group revenue (H1-2025: 0.288)</t>
        </is>
      </c>
      <c r="I1212" s="2" t="inlineStr">
        <is>
          <t>S5</t>
        </is>
      </c>
      <c r="J1212" s="2" t="n">
        <v>22</v>
      </c>
      <c r="K1212" s="3" t="inlineStr">
        <is>
          <t>and 19.5% (6M 2025: 28.8%) from care products.</t>
        </is>
      </c>
      <c r="L1212" s="2" t="inlineStr">
        <is>
          <t>ok</t>
        </is>
      </c>
      <c r="M1212" s="2" t="inlineStr">
        <is>
          <t>demo reviewer</t>
        </is>
      </c>
      <c r="N1212" s="2" t="n"/>
      <c r="O1212" s="3" t="inlineStr">
        <is>
          <t>https://vanillabonds.com/dossier-data/pdf/katjes/katjes-h1-2026-interim-report.pdf#page=22</t>
        </is>
      </c>
    </row>
    <row r="1213">
      <c r="A1213" s="2" t="inlineStr">
        <is>
          <t>F1212</t>
        </is>
      </c>
      <c r="B1213" s="2" t="inlineStr">
        <is>
          <t>financials</t>
        </is>
      </c>
      <c r="C1213" s="2" t="inlineStr">
        <is>
          <t>segment</t>
        </is>
      </c>
      <c r="D1213" s="3" t="inlineStr">
        <is>
          <t>Segment: segment; revenue; ebitda; assets</t>
        </is>
      </c>
      <c r="E1213" s="2" t="inlineStr">
        <is>
          <t>H1-2026</t>
        </is>
      </c>
      <c r="F1213" s="2" t="n"/>
      <c r="G1213" s="2" t="n"/>
      <c r="H1213" s="3" t="inlineStr">
        <is>
          <t>segment: seasonal products (product group); revenue: 0.125 share of group revenue (H1-2025: 0.025, not comparable due to Bogner)</t>
        </is>
      </c>
      <c r="I1213" s="2" t="inlineStr">
        <is>
          <t>S5</t>
        </is>
      </c>
      <c r="J1213" s="2" t="n">
        <v>22</v>
      </c>
      <c r="K1213" s="3" t="inlineStr">
        <is>
          <t>The "seasonal products" category contributed 12.5% (6M 2025: 2.5%) to Group revenue</t>
        </is>
      </c>
      <c r="L1213" s="2" t="inlineStr">
        <is>
          <t>ok</t>
        </is>
      </c>
      <c r="M1213" s="2" t="inlineStr">
        <is>
          <t>demo reviewer</t>
        </is>
      </c>
      <c r="N1213" s="2" t="n"/>
      <c r="O1213" s="3" t="inlineStr">
        <is>
          <t>https://vanillabonds.com/dossier-data/pdf/katjes/katjes-h1-2026-interim-report.pdf#page=22</t>
        </is>
      </c>
    </row>
    <row r="1214">
      <c r="A1214" s="2" t="inlineStr">
        <is>
          <t>F1213</t>
        </is>
      </c>
      <c r="B1214" s="2" t="inlineStr">
        <is>
          <t>financials</t>
        </is>
      </c>
      <c r="C1214" s="2" t="inlineStr">
        <is>
          <t>segment</t>
        </is>
      </c>
      <c r="D1214" s="3" t="inlineStr">
        <is>
          <t>Segment: segment; revenue; ebitda; assets</t>
        </is>
      </c>
      <c r="E1214" s="2" t="inlineStr">
        <is>
          <t>H1-2026</t>
        </is>
      </c>
      <c r="F1214" s="2" t="n"/>
      <c r="G1214" s="2" t="n"/>
      <c r="H1214" s="3" t="inlineStr">
        <is>
          <t>segment: chocolate (product group); revenue: 0.079 share of group revenue (H1-2025: 0.139)</t>
        </is>
      </c>
      <c r="I1214" s="2" t="inlineStr">
        <is>
          <t>S5</t>
        </is>
      </c>
      <c r="J1214" s="2" t="n">
        <v>22</v>
      </c>
      <c r="K1214" s="3" t="inlineStr">
        <is>
          <t>and the "chocolate" category contributed 7.9% (6M 2025: 13.9%).</t>
        </is>
      </c>
      <c r="L1214" s="2" t="inlineStr">
        <is>
          <t>ok</t>
        </is>
      </c>
      <c r="M1214" s="2" t="inlineStr">
        <is>
          <t>demo reviewer</t>
        </is>
      </c>
      <c r="N1214" s="2" t="n"/>
      <c r="O1214" s="3" t="inlineStr">
        <is>
          <t>https://vanillabonds.com/dossier-data/pdf/katjes/katjes-h1-2026-interim-report.pdf#page=22</t>
        </is>
      </c>
    </row>
    <row r="1215">
      <c r="A1215" s="2" t="inlineStr">
        <is>
          <t>F1214</t>
        </is>
      </c>
      <c r="B1215" s="2" t="inlineStr">
        <is>
          <t>financials</t>
        </is>
      </c>
      <c r="C1215" s="2" t="inlineStr">
        <is>
          <t>segment</t>
        </is>
      </c>
      <c r="D1215" s="3" t="inlineStr">
        <is>
          <t>Segment: segment; revenue; ebitda; assets</t>
        </is>
      </c>
      <c r="E1215" s="2" t="inlineStr">
        <is>
          <t>H1-2026</t>
        </is>
      </c>
      <c r="F1215" s="2" t="n">
        <v>90.40000000000001</v>
      </c>
      <c r="G1215" s="2" t="n"/>
      <c r="H1215" s="3" t="inlineStr">
        <is>
          <t>segment: Germany (revenue by region); revenue: 90.4</t>
        </is>
      </c>
      <c r="I1215" s="2" t="inlineStr">
        <is>
          <t>S5</t>
        </is>
      </c>
      <c r="J1215" s="2" t="n">
        <v>45</v>
      </c>
      <c r="K1215" s="2" t="inlineStr">
        <is>
          <t>Germany 90.4 57.2</t>
        </is>
      </c>
      <c r="L1215" s="2" t="inlineStr">
        <is>
          <t>ok</t>
        </is>
      </c>
      <c r="M1215" s="2" t="inlineStr">
        <is>
          <t>demo reviewer</t>
        </is>
      </c>
      <c r="N1215" s="2" t="n"/>
      <c r="O1215" s="3" t="inlineStr">
        <is>
          <t>https://vanillabonds.com/dossier-data/pdf/katjes/katjes-h1-2026-interim-report.pdf#page=45</t>
        </is>
      </c>
    </row>
    <row r="1216">
      <c r="A1216" s="2" t="inlineStr">
        <is>
          <t>F1215</t>
        </is>
      </c>
      <c r="B1216" s="2" t="inlineStr">
        <is>
          <t>financials</t>
        </is>
      </c>
      <c r="C1216" s="2" t="inlineStr">
        <is>
          <t>segment</t>
        </is>
      </c>
      <c r="D1216" s="3" t="inlineStr">
        <is>
          <t>Segment: segment; revenue; ebitda; assets</t>
        </is>
      </c>
      <c r="E1216" s="2" t="inlineStr">
        <is>
          <t>H1-2026</t>
        </is>
      </c>
      <c r="F1216" s="2" t="n">
        <v>37.8</v>
      </c>
      <c r="G1216" s="2" t="n"/>
      <c r="H1216" s="3" t="inlineStr">
        <is>
          <t>segment: UK (revenue by region); revenue: 37.8</t>
        </is>
      </c>
      <c r="I1216" s="2" t="inlineStr">
        <is>
          <t>S5</t>
        </is>
      </c>
      <c r="J1216" s="2" t="n">
        <v>45</v>
      </c>
      <c r="K1216" s="2" t="inlineStr">
        <is>
          <t>UK 37.8 10.7</t>
        </is>
      </c>
      <c r="L1216" s="2" t="inlineStr">
        <is>
          <t>ok</t>
        </is>
      </c>
      <c r="M1216" s="2" t="inlineStr">
        <is>
          <t>demo reviewer</t>
        </is>
      </c>
      <c r="N1216" s="2" t="n"/>
      <c r="O1216" s="3" t="inlineStr">
        <is>
          <t>https://vanillabonds.com/dossier-data/pdf/katjes/katjes-h1-2026-interim-report.pdf#page=45</t>
        </is>
      </c>
    </row>
    <row r="1217">
      <c r="A1217" s="2" t="inlineStr">
        <is>
          <t>F1216</t>
        </is>
      </c>
      <c r="B1217" s="2" t="inlineStr">
        <is>
          <t>financials</t>
        </is>
      </c>
      <c r="C1217" s="2" t="inlineStr">
        <is>
          <t>segment</t>
        </is>
      </c>
      <c r="D1217" s="3" t="inlineStr">
        <is>
          <t>Segment: segment; revenue; ebitda; assets</t>
        </is>
      </c>
      <c r="E1217" s="2" t="inlineStr">
        <is>
          <t>H1-2026</t>
        </is>
      </c>
      <c r="F1217" s="2" t="n">
        <v>34.5</v>
      </c>
      <c r="G1217" s="2" t="n"/>
      <c r="H1217" s="3" t="inlineStr">
        <is>
          <t>segment: Italy (revenue by region); revenue: 34.5</t>
        </is>
      </c>
      <c r="I1217" s="2" t="inlineStr">
        <is>
          <t>S5</t>
        </is>
      </c>
      <c r="J1217" s="2" t="n">
        <v>45</v>
      </c>
      <c r="K1217" s="2" t="inlineStr">
        <is>
          <t>Italy 34.5 35.7</t>
        </is>
      </c>
      <c r="L1217" s="2" t="inlineStr">
        <is>
          <t>ok</t>
        </is>
      </c>
      <c r="M1217" s="2" t="inlineStr">
        <is>
          <t>demo reviewer</t>
        </is>
      </c>
      <c r="N1217" s="2" t="n"/>
      <c r="O1217" s="3" t="inlineStr">
        <is>
          <t>https://vanillabonds.com/dossier-data/pdf/katjes/katjes-h1-2026-interim-report.pdf#page=45</t>
        </is>
      </c>
    </row>
    <row r="1218">
      <c r="A1218" s="2" t="inlineStr">
        <is>
          <t>F1217</t>
        </is>
      </c>
      <c r="B1218" s="2" t="inlineStr">
        <is>
          <t>financials</t>
        </is>
      </c>
      <c r="C1218" s="2" t="inlineStr">
        <is>
          <t>segment</t>
        </is>
      </c>
      <c r="D1218" s="3" t="inlineStr">
        <is>
          <t>Segment: segment; revenue; ebitda; assets</t>
        </is>
      </c>
      <c r="E1218" s="2" t="inlineStr">
        <is>
          <t>H1-2026</t>
        </is>
      </c>
      <c r="F1218" s="2" t="n">
        <v>24.6</v>
      </c>
      <c r="G1218" s="2" t="n"/>
      <c r="H1218" s="3" t="inlineStr">
        <is>
          <t>segment: Switzerland (revenue by region); revenue: 24.6</t>
        </is>
      </c>
      <c r="I1218" s="2" t="inlineStr">
        <is>
          <t>S5</t>
        </is>
      </c>
      <c r="J1218" s="2" t="n">
        <v>45</v>
      </c>
      <c r="K1218" s="2" t="inlineStr">
        <is>
          <t>Switzerland 24.6 15.1</t>
        </is>
      </c>
      <c r="L1218" s="2" t="inlineStr">
        <is>
          <t>ok</t>
        </is>
      </c>
      <c r="M1218" s="2" t="inlineStr">
        <is>
          <t>demo reviewer</t>
        </is>
      </c>
      <c r="N1218" s="2" t="n"/>
      <c r="O1218" s="3" t="inlineStr">
        <is>
          <t>https://vanillabonds.com/dossier-data/pdf/katjes/katjes-h1-2026-interim-report.pdf#page=45</t>
        </is>
      </c>
    </row>
    <row r="1219">
      <c r="A1219" s="2" t="inlineStr">
        <is>
          <t>F1218</t>
        </is>
      </c>
      <c r="B1219" s="2" t="inlineStr">
        <is>
          <t>financials</t>
        </is>
      </c>
      <c r="C1219" s="2" t="inlineStr">
        <is>
          <t>segment</t>
        </is>
      </c>
      <c r="D1219" s="3" t="inlineStr">
        <is>
          <t>Segment: segment; revenue; ebitda; assets</t>
        </is>
      </c>
      <c r="E1219" s="2" t="inlineStr">
        <is>
          <t>H1-2026</t>
        </is>
      </c>
      <c r="F1219" s="2" t="n">
        <v>8.800000000000001</v>
      </c>
      <c r="G1219" s="2" t="n"/>
      <c r="H1219" s="3" t="inlineStr">
        <is>
          <t>segment: Netherlands (revenue by region); revenue: 8.8</t>
        </is>
      </c>
      <c r="I1219" s="2" t="inlineStr">
        <is>
          <t>S5</t>
        </is>
      </c>
      <c r="J1219" s="2" t="n">
        <v>45</v>
      </c>
      <c r="K1219" s="2" t="inlineStr">
        <is>
          <t>Netherlands 8.8 8.5</t>
        </is>
      </c>
      <c r="L1219" s="2" t="inlineStr">
        <is>
          <t>ok</t>
        </is>
      </c>
      <c r="M1219" s="2" t="inlineStr">
        <is>
          <t>demo reviewer</t>
        </is>
      </c>
      <c r="N1219" s="2" t="n"/>
      <c r="O1219" s="3" t="inlineStr">
        <is>
          <t>https://vanillabonds.com/dossier-data/pdf/katjes/katjes-h1-2026-interim-report.pdf#page=45</t>
        </is>
      </c>
    </row>
    <row r="1220">
      <c r="A1220" s="2" t="inlineStr">
        <is>
          <t>F1219</t>
        </is>
      </c>
      <c r="B1220" s="2" t="inlineStr">
        <is>
          <t>financials</t>
        </is>
      </c>
      <c r="C1220" s="2" t="inlineStr">
        <is>
          <t>segment</t>
        </is>
      </c>
      <c r="D1220" s="3" t="inlineStr">
        <is>
          <t>Segment: segment; revenue; ebitda; assets</t>
        </is>
      </c>
      <c r="E1220" s="2" t="inlineStr">
        <is>
          <t>H1-2026</t>
        </is>
      </c>
      <c r="F1220" s="2" t="n">
        <v>7.2</v>
      </c>
      <c r="G1220" s="2" t="n"/>
      <c r="H1220" s="3" t="inlineStr">
        <is>
          <t>segment: North America (revenue by region); revenue: 7.2</t>
        </is>
      </c>
      <c r="I1220" s="2" t="inlineStr">
        <is>
          <t>S5</t>
        </is>
      </c>
      <c r="J1220" s="2" t="n">
        <v>45</v>
      </c>
      <c r="K1220" s="2" t="inlineStr">
        <is>
          <t>North America 7.2 2.4</t>
        </is>
      </c>
      <c r="L1220" s="2" t="inlineStr">
        <is>
          <t>ok</t>
        </is>
      </c>
      <c r="M1220" s="2" t="inlineStr">
        <is>
          <t>demo reviewer</t>
        </is>
      </c>
      <c r="N1220" s="2" t="n"/>
      <c r="O1220" s="3" t="inlineStr">
        <is>
          <t>https://vanillabonds.com/dossier-data/pdf/katjes/katjes-h1-2026-interim-report.pdf#page=45</t>
        </is>
      </c>
    </row>
    <row r="1221">
      <c r="A1221" s="2" t="inlineStr">
        <is>
          <t>F1220</t>
        </is>
      </c>
      <c r="B1221" s="2" t="inlineStr">
        <is>
          <t>financials</t>
        </is>
      </c>
      <c r="C1221" s="2" t="inlineStr">
        <is>
          <t>segment</t>
        </is>
      </c>
      <c r="D1221" s="3" t="inlineStr">
        <is>
          <t>Segment: segment; revenue; ebitda; assets</t>
        </is>
      </c>
      <c r="E1221" s="2" t="inlineStr">
        <is>
          <t>H1-2026</t>
        </is>
      </c>
      <c r="F1221" s="2" t="n">
        <v>5.2</v>
      </c>
      <c r="G1221" s="2" t="n"/>
      <c r="H1221" s="3" t="inlineStr">
        <is>
          <t>segment: France (revenue by region); revenue: 5.2</t>
        </is>
      </c>
      <c r="I1221" s="2" t="inlineStr">
        <is>
          <t>S5</t>
        </is>
      </c>
      <c r="J1221" s="2" t="n">
        <v>45</v>
      </c>
      <c r="K1221" s="2" t="inlineStr">
        <is>
          <t>France 5.2 6.8</t>
        </is>
      </c>
      <c r="L1221" s="2" t="inlineStr">
        <is>
          <t>ok</t>
        </is>
      </c>
      <c r="M1221" s="2" t="inlineStr">
        <is>
          <t>demo reviewer</t>
        </is>
      </c>
      <c r="N1221" s="2" t="n"/>
      <c r="O1221" s="3" t="inlineStr">
        <is>
          <t>https://vanillabonds.com/dossier-data/pdf/katjes/katjes-h1-2026-interim-report.pdf#page=45</t>
        </is>
      </c>
    </row>
    <row r="1222">
      <c r="A1222" s="2" t="inlineStr">
        <is>
          <t>F1221</t>
        </is>
      </c>
      <c r="B1222" s="2" t="inlineStr">
        <is>
          <t>financials</t>
        </is>
      </c>
      <c r="C1222" s="2" t="inlineStr">
        <is>
          <t>segment</t>
        </is>
      </c>
      <c r="D1222" s="3" t="inlineStr">
        <is>
          <t>Segment: segment; revenue; ebitda; assets</t>
        </is>
      </c>
      <c r="E1222" s="2" t="inlineStr">
        <is>
          <t>H1-2026</t>
        </is>
      </c>
      <c r="F1222" s="2" t="n">
        <v>34.5</v>
      </c>
      <c r="G1222" s="2" t="n"/>
      <c r="H1222" s="3" t="inlineStr">
        <is>
          <t>segment: Other EU countries (revenue by region); revenue: 34.5</t>
        </is>
      </c>
      <c r="I1222" s="2" t="inlineStr">
        <is>
          <t>S5</t>
        </is>
      </c>
      <c r="J1222" s="2" t="n">
        <v>45</v>
      </c>
      <c r="K1222" s="2" t="inlineStr">
        <is>
          <t>Other EU countries 34.5 27.1</t>
        </is>
      </c>
      <c r="L1222" s="2" t="inlineStr">
        <is>
          <t>ok</t>
        </is>
      </c>
      <c r="M1222" s="2" t="inlineStr">
        <is>
          <t>demo reviewer</t>
        </is>
      </c>
      <c r="N1222" s="2" t="n"/>
      <c r="O1222" s="3" t="inlineStr">
        <is>
          <t>https://vanillabonds.com/dossier-data/pdf/katjes/katjes-h1-2026-interim-report.pdf#page=45</t>
        </is>
      </c>
    </row>
    <row r="1223">
      <c r="A1223" s="2" t="inlineStr">
        <is>
          <t>F1222</t>
        </is>
      </c>
      <c r="B1223" s="2" t="inlineStr">
        <is>
          <t>financials</t>
        </is>
      </c>
      <c r="C1223" s="2" t="inlineStr">
        <is>
          <t>segment</t>
        </is>
      </c>
      <c r="D1223" s="3" t="inlineStr">
        <is>
          <t>Segment: segment; revenue; ebitda; assets</t>
        </is>
      </c>
      <c r="E1223" s="2" t="inlineStr">
        <is>
          <t>H1-2026</t>
        </is>
      </c>
      <c r="F1223" s="2" t="n">
        <v>13</v>
      </c>
      <c r="G1223" s="2" t="n"/>
      <c r="H1223" s="3" t="inlineStr">
        <is>
          <t>segment: Countries outside the EU (revenue by region); revenue: 13.0</t>
        </is>
      </c>
      <c r="I1223" s="2" t="inlineStr">
        <is>
          <t>S5</t>
        </is>
      </c>
      <c r="J1223" s="2" t="n">
        <v>45</v>
      </c>
      <c r="K1223" s="2" t="inlineStr">
        <is>
          <t>Countries outside the EU 13.0 1.3</t>
        </is>
      </c>
      <c r="L1223" s="2" t="inlineStr">
        <is>
          <t>ok</t>
        </is>
      </c>
      <c r="M1223" s="2" t="inlineStr">
        <is>
          <t>demo reviewer</t>
        </is>
      </c>
      <c r="N1223" s="2" t="n"/>
      <c r="O1223" s="3" t="inlineStr">
        <is>
          <t>https://vanillabonds.com/dossier-data/pdf/katjes/katjes-h1-2026-interim-report.pdf#page=45</t>
        </is>
      </c>
    </row>
    <row r="1224">
      <c r="A1224" s="2" t="inlineStr">
        <is>
          <t>F1223</t>
        </is>
      </c>
      <c r="B1224" s="2" t="inlineStr">
        <is>
          <t>financials</t>
        </is>
      </c>
      <c r="C1224" s="2" t="inlineStr">
        <is>
          <t>segment</t>
        </is>
      </c>
      <c r="D1224" s="3" t="inlineStr">
        <is>
          <t>Segment: segment; revenue; ebitda; assets</t>
        </is>
      </c>
      <c r="E1224" s="2" t="inlineStr">
        <is>
          <t>H1-2026</t>
        </is>
      </c>
      <c r="F1224" s="2" t="n"/>
      <c r="G1224" s="2" t="n"/>
      <c r="H1224" s="3" t="inlineStr">
        <is>
          <t>segment: Group (single IFRS 8 operating segment); revenue: 256.0; ebitda: 15.8</t>
        </is>
      </c>
      <c r="I1224" s="2" t="inlineStr">
        <is>
          <t>S5</t>
        </is>
      </c>
      <c r="J1224" s="2" t="n">
        <v>45</v>
      </c>
      <c r="K1224" s="3" t="inlineStr">
        <is>
          <t>the Group represents a single opera- ting segment within the meaning of IFRS 8 from the perspective of internal management.</t>
        </is>
      </c>
      <c r="L1224" s="2" t="inlineStr">
        <is>
          <t>ok</t>
        </is>
      </c>
      <c r="M1224" s="2" t="inlineStr">
        <is>
          <t>demo reviewer</t>
        </is>
      </c>
      <c r="N1224" s="2" t="n"/>
      <c r="O1224" s="3" t="inlineStr">
        <is>
          <t>https://vanillabonds.com/dossier-data/pdf/katjes/katjes-h1-2026-interim-report.pdf#page=45</t>
        </is>
      </c>
    </row>
    <row r="1225">
      <c r="A1225" s="2" t="inlineStr">
        <is>
          <t>F1224</t>
        </is>
      </c>
      <c r="B1225" s="2" t="inlineStr">
        <is>
          <t>financials</t>
        </is>
      </c>
      <c r="C1225" s="2" t="inlineStr">
        <is>
          <t>segment</t>
        </is>
      </c>
      <c r="D1225" s="3" t="inlineStr">
        <is>
          <t>Segment: segment; revenue; ebitda; assets</t>
        </is>
      </c>
      <c r="E1225" s="2" t="inlineStr">
        <is>
          <t>H1-2026</t>
        </is>
      </c>
      <c r="F1225" s="2" t="n"/>
      <c r="G1225" s="2" t="n"/>
      <c r="H1225" s="3" t="inlineStr">
        <is>
          <t>segment: Germany (material non-current assets by region, 30 June 2026); assets: 367.4</t>
        </is>
      </c>
      <c r="I1225" s="2" t="inlineStr">
        <is>
          <t>S5</t>
        </is>
      </c>
      <c r="J1225" s="2" t="n">
        <v>46</v>
      </c>
      <c r="K1225" s="2" t="inlineStr">
        <is>
          <t>Germany 367.4 305.4</t>
        </is>
      </c>
      <c r="L1225" s="2" t="inlineStr">
        <is>
          <t>ok</t>
        </is>
      </c>
      <c r="M1225" s="2" t="inlineStr">
        <is>
          <t>demo reviewer</t>
        </is>
      </c>
      <c r="N1225" s="2" t="n"/>
      <c r="O1225" s="3" t="inlineStr">
        <is>
          <t>https://vanillabonds.com/dossier-data/pdf/katjes/katjes-h1-2026-interim-report.pdf#page=46</t>
        </is>
      </c>
    </row>
    <row r="1226">
      <c r="A1226" s="2" t="inlineStr">
        <is>
          <t>F1225</t>
        </is>
      </c>
      <c r="B1226" s="2" t="inlineStr">
        <is>
          <t>financials</t>
        </is>
      </c>
      <c r="C1226" s="2" t="inlineStr">
        <is>
          <t>segment</t>
        </is>
      </c>
      <c r="D1226" s="3" t="inlineStr">
        <is>
          <t>Segment: segment; revenue; ebitda; assets</t>
        </is>
      </c>
      <c r="E1226" s="2" t="inlineStr">
        <is>
          <t>H1-2026</t>
        </is>
      </c>
      <c r="F1226" s="2" t="n"/>
      <c r="G1226" s="2" t="n"/>
      <c r="H1226" s="3" t="inlineStr">
        <is>
          <t>segment: Italy (material non-current assets by region, 30 June 2026); assets: 95.6</t>
        </is>
      </c>
      <c r="I1226" s="2" t="inlineStr">
        <is>
          <t>S5</t>
        </is>
      </c>
      <c r="J1226" s="2" t="n">
        <v>46</v>
      </c>
      <c r="K1226" s="2" t="inlineStr">
        <is>
          <t>Italy 95.6 93.9</t>
        </is>
      </c>
      <c r="L1226" s="2" t="inlineStr">
        <is>
          <t>ok</t>
        </is>
      </c>
      <c r="M1226" s="2" t="inlineStr">
        <is>
          <t>demo reviewer</t>
        </is>
      </c>
      <c r="N1226" s="2" t="n"/>
      <c r="O1226" s="3" t="inlineStr">
        <is>
          <t>https://vanillabonds.com/dossier-data/pdf/katjes/katjes-h1-2026-interim-report.pdf#page=46</t>
        </is>
      </c>
    </row>
    <row r="1227">
      <c r="A1227" s="2" t="inlineStr">
        <is>
          <t>F1226</t>
        </is>
      </c>
      <c r="B1227" s="2" t="inlineStr">
        <is>
          <t>financials</t>
        </is>
      </c>
      <c r="C1227" s="2" t="inlineStr">
        <is>
          <t>segment</t>
        </is>
      </c>
      <c r="D1227" s="3" t="inlineStr">
        <is>
          <t>Segment: segment; revenue; ebitda; assets</t>
        </is>
      </c>
      <c r="E1227" s="2" t="inlineStr">
        <is>
          <t>H1-2026</t>
        </is>
      </c>
      <c r="F1227" s="2" t="n"/>
      <c r="G1227" s="2" t="n"/>
      <c r="H1227" s="3" t="inlineStr">
        <is>
          <t>segment: UK (material non-current assets by region, 30 June 2026); assets: 71.1</t>
        </is>
      </c>
      <c r="I1227" s="2" t="inlineStr">
        <is>
          <t>S5</t>
        </is>
      </c>
      <c r="J1227" s="2" t="n">
        <v>46</v>
      </c>
      <c r="K1227" s="2" t="inlineStr">
        <is>
          <t>UK 71.1 10.9</t>
        </is>
      </c>
      <c r="L1227" s="2" t="inlineStr">
        <is>
          <t>ok</t>
        </is>
      </c>
      <c r="M1227" s="2" t="inlineStr">
        <is>
          <t>demo reviewer</t>
        </is>
      </c>
      <c r="N1227" s="2" t="n"/>
      <c r="O1227" s="3" t="inlineStr">
        <is>
          <t>https://vanillabonds.com/dossier-data/pdf/katjes/katjes-h1-2026-interim-report.pdf#page=46</t>
        </is>
      </c>
    </row>
    <row r="1228">
      <c r="A1228" s="2" t="inlineStr">
        <is>
          <t>F1227</t>
        </is>
      </c>
      <c r="B1228" s="2" t="inlineStr">
        <is>
          <t>financials</t>
        </is>
      </c>
      <c r="C1228" s="2" t="inlineStr">
        <is>
          <t>segment</t>
        </is>
      </c>
      <c r="D1228" s="3" t="inlineStr">
        <is>
          <t>Segment: segment; revenue; ebitda; assets</t>
        </is>
      </c>
      <c r="E1228" s="2" t="inlineStr">
        <is>
          <t>H1-2026</t>
        </is>
      </c>
      <c r="F1228" s="2" t="n"/>
      <c r="G1228" s="2" t="n"/>
      <c r="H1228" s="3" t="inlineStr">
        <is>
          <t>segment: Switzerland (material non-current assets by region, 30 June 2026); assets: 16.6</t>
        </is>
      </c>
      <c r="I1228" s="2" t="inlineStr">
        <is>
          <t>S5</t>
        </is>
      </c>
      <c r="J1228" s="2" t="n">
        <v>46</v>
      </c>
      <c r="K1228" s="2" t="inlineStr">
        <is>
          <t>Switzerland 16.6 17.5</t>
        </is>
      </c>
      <c r="L1228" s="2" t="inlineStr">
        <is>
          <t>ok</t>
        </is>
      </c>
      <c r="M1228" s="2" t="inlineStr">
        <is>
          <t>demo reviewer</t>
        </is>
      </c>
      <c r="N1228" s="2" t="n"/>
      <c r="O1228" s="3" t="inlineStr">
        <is>
          <t>https://vanillabonds.com/dossier-data/pdf/katjes/katjes-h1-2026-interim-report.pdf#page=46</t>
        </is>
      </c>
    </row>
    <row r="1229">
      <c r="A1229" s="2" t="inlineStr">
        <is>
          <t>F1228</t>
        </is>
      </c>
      <c r="B1229" s="2" t="inlineStr">
        <is>
          <t>financials</t>
        </is>
      </c>
      <c r="C1229" s="2" t="inlineStr">
        <is>
          <t>segment</t>
        </is>
      </c>
      <c r="D1229" s="3" t="inlineStr">
        <is>
          <t>Segment: segment; revenue; ebitda; assets</t>
        </is>
      </c>
      <c r="E1229" s="2" t="inlineStr">
        <is>
          <t>H1-2026</t>
        </is>
      </c>
      <c r="F1229" s="2" t="n"/>
      <c r="G1229" s="2" t="n"/>
      <c r="H1229" s="3" t="inlineStr">
        <is>
          <t>segment: Netherlands (material non-current assets by region, 30 June 2026); assets: 14.3</t>
        </is>
      </c>
      <c r="I1229" s="2" t="inlineStr">
        <is>
          <t>S5</t>
        </is>
      </c>
      <c r="J1229" s="2" t="n">
        <v>46</v>
      </c>
      <c r="K1229" s="2" t="inlineStr">
        <is>
          <t>Netherlands 14.3 12.3</t>
        </is>
      </c>
      <c r="L1229" s="2" t="inlineStr">
        <is>
          <t>ok</t>
        </is>
      </c>
      <c r="M1229" s="2" t="inlineStr">
        <is>
          <t>demo reviewer</t>
        </is>
      </c>
      <c r="N1229" s="2" t="n"/>
      <c r="O1229" s="3" t="inlineStr">
        <is>
          <t>https://vanillabonds.com/dossier-data/pdf/katjes/katjes-h1-2026-interim-report.pdf#page=46</t>
        </is>
      </c>
    </row>
    <row r="1230">
      <c r="A1230" s="2" t="inlineStr">
        <is>
          <t>F1229</t>
        </is>
      </c>
      <c r="B1230" s="2" t="inlineStr">
        <is>
          <t>financials</t>
        </is>
      </c>
      <c r="C1230" s="2" t="inlineStr">
        <is>
          <t>segment</t>
        </is>
      </c>
      <c r="D1230" s="3" t="inlineStr">
        <is>
          <t>Segment: segment; revenue; ebitda; assets</t>
        </is>
      </c>
      <c r="E1230" s="2" t="inlineStr">
        <is>
          <t>H1-2026</t>
        </is>
      </c>
      <c r="F1230" s="2" t="n"/>
      <c r="G1230" s="2" t="n"/>
      <c r="H1230" s="3" t="inlineStr">
        <is>
          <t>segment: North America (material non-current assets by region, 30 June 2026); assets: 8.9</t>
        </is>
      </c>
      <c r="I1230" s="2" t="inlineStr">
        <is>
          <t>S5</t>
        </is>
      </c>
      <c r="J1230" s="2" t="n">
        <v>46</v>
      </c>
      <c r="K1230" s="2" t="inlineStr">
        <is>
          <t>North America 8.9 9.7</t>
        </is>
      </c>
      <c r="L1230" s="2" t="inlineStr">
        <is>
          <t>ok</t>
        </is>
      </c>
      <c r="M1230" s="2" t="inlineStr">
        <is>
          <t>demo reviewer</t>
        </is>
      </c>
      <c r="N1230" s="2" t="n"/>
      <c r="O1230" s="3" t="inlineStr">
        <is>
          <t>https://vanillabonds.com/dossier-data/pdf/katjes/katjes-h1-2026-interim-report.pdf#page=46</t>
        </is>
      </c>
    </row>
    <row r="1231">
      <c r="A1231" s="2" t="inlineStr">
        <is>
          <t>F1230</t>
        </is>
      </c>
      <c r="B1231" s="2" t="inlineStr">
        <is>
          <t>financials</t>
        </is>
      </c>
      <c r="C1231" s="2" t="inlineStr">
        <is>
          <t>segment</t>
        </is>
      </c>
      <c r="D1231" s="3" t="inlineStr">
        <is>
          <t>Segment: segment; revenue; ebitda; assets</t>
        </is>
      </c>
      <c r="E1231" s="2" t="inlineStr">
        <is>
          <t>H1-2026</t>
        </is>
      </c>
      <c r="F1231" s="2" t="n"/>
      <c r="G1231" s="2" t="n"/>
      <c r="H1231" s="3" t="inlineStr">
        <is>
          <t>segment: Austria (material non-current assets by region, 30 June 2026); assets: 1.1</t>
        </is>
      </c>
      <c r="I1231" s="2" t="inlineStr">
        <is>
          <t>S5</t>
        </is>
      </c>
      <c r="J1231" s="2" t="n">
        <v>46</v>
      </c>
      <c r="K1231" s="2" t="inlineStr">
        <is>
          <t>Austria 1.1 1.2</t>
        </is>
      </c>
      <c r="L1231" s="2" t="inlineStr">
        <is>
          <t>ok</t>
        </is>
      </c>
      <c r="M1231" s="2" t="inlineStr">
        <is>
          <t>demo reviewer</t>
        </is>
      </c>
      <c r="N1231" s="2" t="n"/>
      <c r="O1231" s="3" t="inlineStr">
        <is>
          <t>https://vanillabonds.com/dossier-data/pdf/katjes/katjes-h1-2026-interim-report.pdf#page=46</t>
        </is>
      </c>
    </row>
    <row r="1232">
      <c r="A1232" s="2" t="inlineStr">
        <is>
          <t>F1231</t>
        </is>
      </c>
      <c r="B1232" s="2" t="inlineStr">
        <is>
          <t>financials</t>
        </is>
      </c>
      <c r="C1232" s="2" t="inlineStr">
        <is>
          <t>segment</t>
        </is>
      </c>
      <c r="D1232" s="3" t="inlineStr">
        <is>
          <t>Segment: segment; revenue; ebitda; assets</t>
        </is>
      </c>
      <c r="E1232" s="2" t="inlineStr">
        <is>
          <t>H1-2026</t>
        </is>
      </c>
      <c r="F1232" s="2" t="n"/>
      <c r="G1232" s="2" t="n"/>
      <c r="H1232" s="3" t="inlineStr">
        <is>
          <t>segment: Other (material non-current assets by region, 30 June 2026); assets: 0.4</t>
        </is>
      </c>
      <c r="I1232" s="2" t="inlineStr">
        <is>
          <t>S5</t>
        </is>
      </c>
      <c r="J1232" s="2" t="n">
        <v>46</v>
      </c>
      <c r="K1232" s="2" t="inlineStr">
        <is>
          <t>Other 0.4 0.5</t>
        </is>
      </c>
      <c r="L1232" s="2" t="inlineStr">
        <is>
          <t>ok</t>
        </is>
      </c>
      <c r="M1232" s="2" t="inlineStr">
        <is>
          <t>demo reviewer</t>
        </is>
      </c>
      <c r="N1232" s="2" t="n"/>
      <c r="O1232" s="3" t="inlineStr">
        <is>
          <t>https://vanillabonds.com/dossier-data/pdf/katjes/katjes-h1-2026-interim-report.pdf#page=46</t>
        </is>
      </c>
    </row>
    <row r="1233">
      <c r="A1233" s="2" t="inlineStr">
        <is>
          <t>F1232</t>
        </is>
      </c>
      <c r="B1233" s="2" t="inlineStr">
        <is>
          <t>financials</t>
        </is>
      </c>
      <c r="C1233" s="2" t="inlineStr">
        <is>
          <t>tax_paid</t>
        </is>
      </c>
      <c r="D1233" s="2" t="inlineStr">
        <is>
          <t>Income taxes paid (cash flow statement)</t>
        </is>
      </c>
      <c r="E1233" s="2" t="inlineStr">
        <is>
          <t>H1-2025</t>
        </is>
      </c>
      <c r="F1233" s="2" t="n">
        <v>0.3</v>
      </c>
      <c r="G1233" s="2" t="inlineStr">
        <is>
          <t>EUR m</t>
        </is>
      </c>
      <c r="H1233" s="3" t="inlineStr">
        <is>
          <t>Income taxes paid H1-2025 (cash flow statement).</t>
        </is>
      </c>
      <c r="I1233" s="2" t="inlineStr">
        <is>
          <t>S5</t>
        </is>
      </c>
      <c r="J1233" s="2" t="n">
        <v>34</v>
      </c>
      <c r="K1233" s="2" t="inlineStr">
        <is>
          <t>Income taxes paid -0.9 -0.3</t>
        </is>
      </c>
      <c r="L1233" s="2" t="inlineStr">
        <is>
          <t>ok</t>
        </is>
      </c>
      <c r="M1233" s="2" t="inlineStr">
        <is>
          <t>demo reviewer</t>
        </is>
      </c>
      <c r="N1233" s="2" t="n"/>
      <c r="O1233" s="3" t="inlineStr">
        <is>
          <t>https://vanillabonds.com/dossier-data/pdf/katjes/katjes-h1-2026-interim-report.pdf#page=34</t>
        </is>
      </c>
    </row>
    <row r="1234">
      <c r="A1234" s="2" t="inlineStr">
        <is>
          <t>F1233</t>
        </is>
      </c>
      <c r="B1234" s="2" t="inlineStr">
        <is>
          <t>financials</t>
        </is>
      </c>
      <c r="C1234" s="2" t="inlineStr">
        <is>
          <t>tax_paid</t>
        </is>
      </c>
      <c r="D1234" s="2" t="inlineStr">
        <is>
          <t>Income taxes paid (cash flow statement)</t>
        </is>
      </c>
      <c r="E1234" s="2" t="inlineStr">
        <is>
          <t>H1-2026</t>
        </is>
      </c>
      <c r="F1234" s="2" t="n">
        <v>0.9</v>
      </c>
      <c r="G1234" s="2" t="inlineStr">
        <is>
          <t>EUR m</t>
        </is>
      </c>
      <c r="H1234" s="3" t="inlineStr">
        <is>
          <t>Income taxes paid H1-2026 (cash flow statement).</t>
        </is>
      </c>
      <c r="I1234" s="2" t="inlineStr">
        <is>
          <t>S5</t>
        </is>
      </c>
      <c r="J1234" s="2" t="n">
        <v>34</v>
      </c>
      <c r="K1234" s="2" t="inlineStr">
        <is>
          <t>Income taxes paid -0.9 -0.3</t>
        </is>
      </c>
      <c r="L1234" s="2" t="inlineStr">
        <is>
          <t>ok</t>
        </is>
      </c>
      <c r="M1234" s="2" t="inlineStr">
        <is>
          <t>demo reviewer</t>
        </is>
      </c>
      <c r="N1234" s="2" t="n"/>
      <c r="O1234" s="3" t="inlineStr">
        <is>
          <t>https://vanillabonds.com/dossier-data/pdf/katjes/katjes-h1-2026-interim-report.pdf#page=34</t>
        </is>
      </c>
    </row>
    <row r="1235">
      <c r="A1235" s="2" t="inlineStr">
        <is>
          <t>F1234</t>
        </is>
      </c>
      <c r="B1235" s="2" t="inlineStr">
        <is>
          <t>debt</t>
        </is>
      </c>
      <c r="C1235" s="2" t="inlineStr">
        <is>
          <t>hedge</t>
        </is>
      </c>
      <c r="D1235" s="3" t="inlineStr">
        <is>
          <t>Hedge: instrument; counterparty; notional; maturity; hedged item (rate, FX)</t>
        </is>
      </c>
      <c r="E1235" s="2" t="n"/>
      <c r="F1235" s="2" t="n">
        <v>2.3</v>
      </c>
      <c r="G1235" s="2" t="n"/>
      <c r="H1235" s="3" t="inlineStr">
        <is>
          <t>instrument: interest rate swap; notional: 2.3; hedged item: rate (hedges an increase in the variable interest rate); 31 Dec 2025: one swap of 3.6</t>
        </is>
      </c>
      <c r="I1235" s="2" t="inlineStr">
        <is>
          <t>S5</t>
        </is>
      </c>
      <c r="J1235" s="2" t="n">
        <v>43</v>
      </c>
      <c r="K1235" s="3" t="inlineStr">
        <is>
          <t>As at June 30, 2026, the Group held one interest rate swap with a notional principal amount of EUR 2.3 million</t>
        </is>
      </c>
      <c r="L1235" s="2" t="inlineStr">
        <is>
          <t>ok</t>
        </is>
      </c>
      <c r="M1235" s="2" t="inlineStr">
        <is>
          <t>demo reviewer</t>
        </is>
      </c>
      <c r="N1235" s="2" t="n"/>
      <c r="O1235" s="3" t="inlineStr">
        <is>
          <t>https://vanillabonds.com/dossier-data/pdf/katjes/katjes-h1-2026-interim-report.pdf#page=43</t>
        </is>
      </c>
    </row>
    <row r="1236">
      <c r="A1236" s="2" t="inlineStr">
        <is>
          <t>F1235</t>
        </is>
      </c>
      <c r="B1236" s="2" t="inlineStr">
        <is>
          <t>debt</t>
        </is>
      </c>
      <c r="C1236" s="2" t="inlineStr">
        <is>
          <t>hedge</t>
        </is>
      </c>
      <c r="D1236" s="3" t="inlineStr">
        <is>
          <t>Hedge: instrument; counterparty; notional; maturity; hedged item (rate, FX)</t>
        </is>
      </c>
      <c r="E1236" s="2" t="n"/>
      <c r="F1236" s="2" t="n"/>
      <c r="G1236" s="2" t="n"/>
      <c r="H1236" s="3" t="inlineStr">
        <is>
          <t>instrument: foreign currency forward contracts (cash flow hedges); notional: USD 36.5m against hedged items of USD 61.7m; maturity: by early 2028 (USD 24.5m within 1 year, 12.0m in 1-2 years); hedged item: FX, expected revenue in euros and purchases in US dollars</t>
        </is>
      </c>
      <c r="I1236" s="2" t="inlineStr">
        <is>
          <t>S5</t>
        </is>
      </c>
      <c r="J1236" s="2" t="n">
        <v>44</v>
      </c>
      <c r="K1236" s="3" t="inlineStr">
        <is>
          <t>The foreign currency forward contracts used within cash flow hedges have a notional volume of USD 36.5 million, the hedged items amount to USD 61.7 million, and they mature by early 2028.</t>
        </is>
      </c>
      <c r="L1236" s="2" t="inlineStr">
        <is>
          <t>ok</t>
        </is>
      </c>
      <c r="M1236" s="2" t="inlineStr">
        <is>
          <t>demo reviewer</t>
        </is>
      </c>
      <c r="N1236" s="2" t="n"/>
      <c r="O1236" s="3" t="inlineStr">
        <is>
          <t>https://vanillabonds.com/dossier-data/pdf/katjes/katjes-h1-2026-interim-report.pdf#page=44</t>
        </is>
      </c>
    </row>
    <row r="1237">
      <c r="A1237" s="2" t="inlineStr">
        <is>
          <t>F1236</t>
        </is>
      </c>
      <c r="B1237" s="2" t="inlineStr">
        <is>
          <t>management</t>
        </is>
      </c>
      <c r="C1237" s="2" t="inlineStr">
        <is>
          <t>strategy_statement</t>
        </is>
      </c>
      <c r="D1237" s="3" t="inlineStr">
        <is>
          <t>Stated strategy: year; statement; what happened; source</t>
        </is>
      </c>
      <c r="E1237" s="2" t="n"/>
      <c r="F1237" s="2" t="n"/>
      <c r="G1237" s="2" t="n"/>
      <c r="H1237" s="3" t="inlineStr">
        <is>
          <t>year: 2026; statement: carve-out investor acquiring divisions of large corporations that fell below critical mass; what happened: Bübchen 2020, Oral Care 2022, Bogner 2025, Graze 2026, Missoni 2026; source: management report 1.2</t>
        </is>
      </c>
      <c r="I1237" s="2" t="inlineStr">
        <is>
          <t>S5</t>
        </is>
      </c>
      <c r="J1237" s="2" t="n">
        <v>17</v>
      </c>
      <c r="K1237" s="3" t="inlineStr">
        <is>
          <t>Katjes International also sees itself as a carve-out investor that acquires divisions of large corporations</t>
        </is>
      </c>
      <c r="L1237" s="2" t="inlineStr">
        <is>
          <t>ok</t>
        </is>
      </c>
      <c r="M1237" s="2" t="inlineStr">
        <is>
          <t>demo reviewer</t>
        </is>
      </c>
      <c r="N1237" s="2" t="n"/>
      <c r="O1237" s="3" t="inlineStr">
        <is>
          <t>https://vanillabonds.com/dossier-data/pdf/katjes/katjes-h1-2026-interim-report.pdf#page=17</t>
        </is>
      </c>
    </row>
    <row r="1238">
      <c r="A1238" s="2" t="inlineStr">
        <is>
          <t>F1237</t>
        </is>
      </c>
      <c r="B1238" s="2" t="inlineStr">
        <is>
          <t>management</t>
        </is>
      </c>
      <c r="C1238" s="2" t="inlineStr">
        <is>
          <t>strategy_statement</t>
        </is>
      </c>
      <c r="D1238" s="3" t="inlineStr">
        <is>
          <t>Stated strategy: year; statement; what happened; source</t>
        </is>
      </c>
      <c r="E1238" s="2" t="n"/>
      <c r="F1238" s="2" t="n"/>
      <c r="G1238" s="2" t="n"/>
      <c r="H1238" s="3" t="inlineStr">
        <is>
          <t>year: 2026; statement: continue the proven strategy of organic growth of subsidiaries plus further investments with a focus on 'strong consumer goods brands' with an emphasis on Europe; source: forecast report H1-2026</t>
        </is>
      </c>
      <c r="I1238" s="2" t="inlineStr">
        <is>
          <t>S5</t>
        </is>
      </c>
      <c r="J1238" s="2" t="n">
        <v>27</v>
      </c>
      <c r="K1238" s="3" t="inlineStr">
        <is>
          <t>Katjes International will continue to pursue its proven strategy for the remainder of 2026: this includes promoting the organic growth of the Group's subsidiaries as well as further invest-</t>
        </is>
      </c>
      <c r="L1238" s="2" t="inlineStr">
        <is>
          <t>ok</t>
        </is>
      </c>
      <c r="M1238" s="2" t="inlineStr">
        <is>
          <t>demo reviewer</t>
        </is>
      </c>
      <c r="N1238" s="3" t="inlineStr">
        <is>
          <t>text: company wording put in quotation marks (reviewer, 20 Oct 2026)</t>
        </is>
      </c>
      <c r="O1238" s="3" t="inlineStr">
        <is>
          <t>https://vanillabonds.com/dossier-data/pdf/katjes/katjes-h1-2026-interim-report.pdf#page=27</t>
        </is>
      </c>
    </row>
    <row r="1239">
      <c r="A1239" s="2" t="inlineStr">
        <is>
          <t>F1238</t>
        </is>
      </c>
      <c r="B1239" s="2" t="inlineStr">
        <is>
          <t>management</t>
        </is>
      </c>
      <c r="C1239" s="2" t="inlineStr">
        <is>
          <t>strategy_statement</t>
        </is>
      </c>
      <c r="D1239" s="3" t="inlineStr">
        <is>
          <t>Stated strategy: year; statement; what happened; source</t>
        </is>
      </c>
      <c r="E1239" s="2" t="n"/>
      <c r="F1239" s="2" t="n"/>
      <c r="G1239" s="2" t="n"/>
      <c r="H1239" s="3" t="inlineStr">
        <is>
          <t>year: 2026; statement: opportunities seen in succession situations, corporate carve-outs and market consolidation; the company is 'regularly involved in various stages of initiation or negotiation'; source: forecast report</t>
        </is>
      </c>
      <c r="I1239" s="2" t="inlineStr">
        <is>
          <t>S5</t>
        </is>
      </c>
      <c r="J1239" s="2" t="n">
        <v>27</v>
      </c>
      <c r="K1239" s="3" t="inlineStr">
        <is>
          <t>The Company sees various business opportunities arising in particular from succession situations, corporate carve-outs as part of portfolio streamlining</t>
        </is>
      </c>
      <c r="L1239" s="2" t="inlineStr">
        <is>
          <t>ok</t>
        </is>
      </c>
      <c r="M1239" s="2" t="inlineStr">
        <is>
          <t>demo reviewer</t>
        </is>
      </c>
      <c r="N1239" s="2" t="n"/>
      <c r="O1239" s="3" t="inlineStr">
        <is>
          <t>https://vanillabonds.com/dossier-data/pdf/katjes/katjes-h1-2026-interim-report.pdf#page=27</t>
        </is>
      </c>
    </row>
    <row r="1240">
      <c r="A1240" s="2" t="inlineStr">
        <is>
          <t>F1239</t>
        </is>
      </c>
      <c r="B1240" s="2" t="inlineStr">
        <is>
          <t>management</t>
        </is>
      </c>
      <c r="C1240" s="2" t="inlineStr">
        <is>
          <t>risk_policy</t>
        </is>
      </c>
      <c r="D1240" s="3" t="inlineStr">
        <is>
          <t>Financial policy, stated and revealed: item (leverage target, dividend, hedging, cash held, acquisition funding); stated; realised; year</t>
        </is>
      </c>
      <c r="E1240" s="2" t="n"/>
      <c r="F1240" s="2" t="n">
        <v>74.09999999999999</v>
      </c>
      <c r="G1240" s="2" t="n"/>
      <c r="H1240" s="3" t="inlineStr">
        <is>
          <t>item: cash held; stated: management calls EUR 74.1m a 'comfortable liquidity position' after the acquisitions; realised: cash 74.1 at 30 June 2026 vs 146.8 at year end; year: 2026</t>
        </is>
      </c>
      <c r="I1240" s="2" t="inlineStr">
        <is>
          <t>S5</t>
        </is>
      </c>
      <c r="J1240" s="2" t="n">
        <v>5</v>
      </c>
      <c r="K1240" s="3" t="inlineStr">
        <is>
          <t>we continued to hold a comfortable liquidity position of EUR 74.1 million.</t>
        </is>
      </c>
      <c r="L1240" s="2" t="inlineStr">
        <is>
          <t>ok</t>
        </is>
      </c>
      <c r="M1240" s="2" t="inlineStr">
        <is>
          <t>demo reviewer</t>
        </is>
      </c>
      <c r="N1240" s="2" t="n"/>
      <c r="O1240" s="3" t="inlineStr">
        <is>
          <t>https://vanillabonds.com/dossier-data/pdf/katjes/katjes-h1-2026-interim-report.pdf#page=5</t>
        </is>
      </c>
    </row>
    <row r="1241">
      <c r="A1241" s="2" t="inlineStr">
        <is>
          <t>F1240</t>
        </is>
      </c>
      <c r="B1241" s="2" t="inlineStr">
        <is>
          <t>management</t>
        </is>
      </c>
      <c r="C1241" s="2" t="inlineStr">
        <is>
          <t>risk_policy</t>
        </is>
      </c>
      <c r="D1241" s="3" t="inlineStr">
        <is>
          <t>Financial policy, stated and revealed: item (leverage target, dividend, hedging, cash held, acquisition funding); stated; realised; year</t>
        </is>
      </c>
      <c r="E1241" s="2" t="n"/>
      <c r="F1241" s="2" t="n"/>
      <c r="G1241" s="2" t="n"/>
      <c r="H1241" s="3" t="inlineStr">
        <is>
          <t>item: acquisition funding; stated: Missoni funded via bond increase, Graze partly via acquisition financing, plus new loans; realised: financing cash flow +22.6, investing cash flow -96.4 in H1-2026; year: 2026</t>
        </is>
      </c>
      <c r="I1241" s="2" t="inlineStr">
        <is>
          <t>S5</t>
        </is>
      </c>
      <c r="J1241" s="2" t="n">
        <v>23</v>
      </c>
      <c r="K1241" s="3" t="inlineStr">
        <is>
          <t>Cash flow from financing activities totalled EUR 22.6 million in the first half of 2026 (6M 2025: EUR 1.2 million).</t>
        </is>
      </c>
      <c r="L1241" s="2" t="inlineStr">
        <is>
          <t>ok</t>
        </is>
      </c>
      <c r="M1241" s="2" t="inlineStr">
        <is>
          <t>demo reviewer</t>
        </is>
      </c>
      <c r="N1241" s="2" t="n"/>
      <c r="O1241" s="3" t="inlineStr">
        <is>
          <t>https://vanillabonds.com/dossier-data/pdf/katjes/katjes-h1-2026-interim-report.pdf#page=23</t>
        </is>
      </c>
    </row>
    <row r="1242">
      <c r="A1242" s="2" t="inlineStr">
        <is>
          <t>F1241</t>
        </is>
      </c>
      <c r="B1242" s="2" t="inlineStr">
        <is>
          <t>management</t>
        </is>
      </c>
      <c r="C1242" s="2" t="inlineStr">
        <is>
          <t>insurance</t>
        </is>
      </c>
      <c r="D1242" s="3" t="inlineStr">
        <is>
          <t>Insurance: cover (property, business interruption, key person, cyber, D&amp;O); insurer; sum; expiry</t>
        </is>
      </c>
      <c r="E1242" s="2" t="n"/>
      <c r="F1242" s="2" t="n"/>
      <c r="G1242" s="2" t="n"/>
      <c r="H1242" s="3" t="inlineStr">
        <is>
          <t>cover: third-party damage, two instances in H1-2026; insurer: not named; sum: not stated; company states 'insurance coverage or a right of recourse generally exists'</t>
        </is>
      </c>
      <c r="I1242" s="2" t="inlineStr">
        <is>
          <t>S5</t>
        </is>
      </c>
      <c r="J1242" s="2" t="n">
        <v>23</v>
      </c>
      <c r="K1242" s="3" t="inlineStr">
        <is>
          <t>cases, insurance coverage or a right of recourse generally exists.</t>
        </is>
      </c>
      <c r="L1242" s="2" t="inlineStr">
        <is>
          <t>ok</t>
        </is>
      </c>
      <c r="M1242" s="2" t="inlineStr">
        <is>
          <t>demo reviewer</t>
        </is>
      </c>
      <c r="N1242" s="2" t="n"/>
      <c r="O1242" s="3" t="inlineStr">
        <is>
          <t>https://vanillabonds.com/dossier-data/pdf/katjes/katjes-h1-2026-interim-report.pdf#page=23</t>
        </is>
      </c>
    </row>
    <row r="1243">
      <c r="A1243" s="2" t="inlineStr">
        <is>
          <t>F1242</t>
        </is>
      </c>
      <c r="B1243" s="2" t="inlineStr">
        <is>
          <t>management</t>
        </is>
      </c>
      <c r="C1243" s="2" t="inlineStr">
        <is>
          <t>team_turnover</t>
        </is>
      </c>
      <c r="D1243" s="3" t="inlineStr">
        <is>
          <t>Top-team change: role; person; joined; left; reason as stated</t>
        </is>
      </c>
      <c r="E1243" s="2" t="n"/>
      <c r="F1243" s="2" t="n"/>
      <c r="G1243" s="2" t="n"/>
      <c r="H1243" s="3" t="inlineStr">
        <is>
          <t>role: CEO Bogner (subsidiary); person: Arne Freundt; joined: 2026-06-01; reason as stated: former PUMA CEO assumed leadership to develop the brand and its international expansion</t>
        </is>
      </c>
      <c r="I1243" s="2" t="inlineStr">
        <is>
          <t>S5</t>
        </is>
      </c>
      <c r="J1243" s="2" t="n">
        <v>15</v>
      </c>
      <c r="K1243" s="3" t="inlineStr">
        <is>
          <t>Since June 1, 2026, Arne Freundt has been responsible for BOGNER's future direction as CEO.</t>
        </is>
      </c>
      <c r="L1243" s="2" t="inlineStr">
        <is>
          <t>ok</t>
        </is>
      </c>
      <c r="M1243" s="2" t="inlineStr">
        <is>
          <t>demo reviewer</t>
        </is>
      </c>
      <c r="N1243" s="2" t="n"/>
      <c r="O1243" s="3" t="inlineStr">
        <is>
          <t>https://vanillabonds.com/dossier-data/pdf/katjes/katjes-h1-2026-interim-report.pdf#page=15</t>
        </is>
      </c>
    </row>
    <row r="1244">
      <c r="A1244" s="2" t="inlineStr">
        <is>
          <t>F1243</t>
        </is>
      </c>
      <c r="B1244" s="2" t="inlineStr">
        <is>
          <t>management</t>
        </is>
      </c>
      <c r="C1244" s="2" t="inlineStr">
        <is>
          <t>remuneration</t>
        </is>
      </c>
      <c r="D1244" s="3" t="inlineStr">
        <is>
          <t>Remuneration as disclosed in the filed accounts: person or body; amount; year</t>
        </is>
      </c>
      <c r="E1244" s="2" t="n"/>
      <c r="F1244" s="2" t="n">
        <v>0.3</v>
      </c>
      <c r="G1244" s="2" t="n"/>
      <c r="H1244" s="3" t="inlineStr">
        <is>
          <t>person or body: general partner Xaver Fassin International GmbH (total remuneration of management); amount: 0.3 (H1-2025: 0.1); year: H1-2026</t>
        </is>
      </c>
      <c r="I1244" s="2" t="inlineStr">
        <is>
          <t>S5</t>
        </is>
      </c>
      <c r="J1244" s="2" t="n">
        <v>48</v>
      </c>
      <c r="K1244" s="3" t="inlineStr">
        <is>
          <t>Total remuneration of management* 0.3 0.1</t>
        </is>
      </c>
      <c r="L1244" s="2" t="inlineStr">
        <is>
          <t>ok</t>
        </is>
      </c>
      <c r="M1244" s="2" t="inlineStr">
        <is>
          <t>demo reviewer</t>
        </is>
      </c>
      <c r="N1244" s="2" t="n"/>
      <c r="O1244" s="3" t="inlineStr">
        <is>
          <t>https://vanillabonds.com/dossier-data/pdf/katjes/katjes-h1-2026-interim-report.pdf#page=48</t>
        </is>
      </c>
    </row>
    <row r="1245">
      <c r="A1245" s="2" t="inlineStr">
        <is>
          <t>F1244</t>
        </is>
      </c>
      <c r="B1245" s="2" t="inlineStr">
        <is>
          <t>plan</t>
        </is>
      </c>
      <c r="C1245" s="2" t="inlineStr">
        <is>
          <t>plan_variable</t>
        </is>
      </c>
      <c r="D1245" s="3" t="inlineStr">
        <is>
          <t>Plan claim as a variable: variable; value; year; reference_class; n; median; spread; percentile; source</t>
        </is>
      </c>
      <c r="E1245" s="2" t="n"/>
      <c r="F1245" s="2" t="n"/>
      <c r="G1245" s="2" t="n"/>
      <c r="H1245" s="3" t="inlineStr">
        <is>
          <t>variable: earnings H2-2026; value: 'significant increase in earnings over the remainder of the year' expected by management; year: 2026; source: letter from management</t>
        </is>
      </c>
      <c r="I1245" s="2" t="inlineStr">
        <is>
          <t>S5</t>
        </is>
      </c>
      <c r="J1245" s="2" t="n">
        <v>5</v>
      </c>
      <c r="K1245" s="3" t="inlineStr">
        <is>
          <t>a significant increase in earnings over the remainder of the year.</t>
        </is>
      </c>
      <c r="L1245" s="2" t="inlineStr">
        <is>
          <t>ok</t>
        </is>
      </c>
      <c r="M1245" s="2" t="inlineStr">
        <is>
          <t>demo reviewer</t>
        </is>
      </c>
      <c r="N1245" s="2" t="n"/>
      <c r="O1245" s="3" t="inlineStr">
        <is>
          <t>https://vanillabonds.com/dossier-data/pdf/katjes/katjes-h1-2026-interim-report.pdf#page=5</t>
        </is>
      </c>
    </row>
    <row r="1246">
      <c r="A1246" s="2" t="inlineStr">
        <is>
          <t>F1245</t>
        </is>
      </c>
      <c r="B1246" s="2" t="inlineStr">
        <is>
          <t>plan</t>
        </is>
      </c>
      <c r="C1246" s="2" t="inlineStr">
        <is>
          <t>plan_variable</t>
        </is>
      </c>
      <c r="D1246" s="3" t="inlineStr">
        <is>
          <t>Plan claim as a variable: variable; value; year; reference_class; n; median; spread; percentile; source</t>
        </is>
      </c>
      <c r="E1246" s="2" t="n"/>
      <c r="F1246" s="2" t="n"/>
      <c r="G1246" s="2" t="n"/>
      <c r="H1246" s="3" t="inlineStr">
        <is>
          <t>variable: EBITDA margin; value: 0.10-0.12; year: 2026; source: company guidance confirmed in the forecast report</t>
        </is>
      </c>
      <c r="I1246" s="2" t="inlineStr">
        <is>
          <t>S5</t>
        </is>
      </c>
      <c r="J1246" s="2" t="n">
        <v>27</v>
      </c>
      <c r="K1246" s="2" t="inlineStr">
        <is>
          <t>on and an EBITDA margin of 10% – 12%.</t>
        </is>
      </c>
      <c r="L1246" s="2" t="inlineStr">
        <is>
          <t>ok</t>
        </is>
      </c>
      <c r="M1246" s="2" t="inlineStr">
        <is>
          <t>demo reviewer</t>
        </is>
      </c>
      <c r="N1246" s="2" t="n"/>
      <c r="O1246" s="3" t="inlineStr">
        <is>
          <t>https://vanillabonds.com/dossier-data/pdf/katjes/katjes-h1-2026-interim-report.pdf#page=27</t>
        </is>
      </c>
    </row>
    <row r="1247">
      <c r="A1247" s="2" t="inlineStr">
        <is>
          <t>F1246</t>
        </is>
      </c>
      <c r="B1247" s="2" t="inlineStr">
        <is>
          <t>compliance</t>
        </is>
      </c>
      <c r="C1247" s="2" t="inlineStr">
        <is>
          <t>esg_fact</t>
        </is>
      </c>
      <c r="D1247" s="3" t="inlineStr">
        <is>
          <t>ESG fact: item (CSRD / VSME status, energy, emissions, taxonomy, permit, incident, labour); value; year; source</t>
        </is>
      </c>
      <c r="E1247" s="2" t="n"/>
      <c r="F1247" s="2" t="n"/>
      <c r="G1247" s="2" t="n"/>
      <c r="H1247" s="3" t="inlineStr">
        <is>
          <t>item: product portfolio converted to 100% vegan (Treets dragees); value: all dragees free of animal-derived ingredients; year: 2026; source: introduction section 4.2</t>
        </is>
      </c>
      <c r="I1247" s="2" t="inlineStr">
        <is>
          <t>S5</t>
        </is>
      </c>
      <c r="J1247" s="2" t="n">
        <v>9</v>
      </c>
      <c r="K1247" s="3" t="inlineStr">
        <is>
          <t>all dragees have been free of animal-derived ingredients.</t>
        </is>
      </c>
      <c r="L1247" s="2" t="inlineStr">
        <is>
          <t>ok</t>
        </is>
      </c>
      <c r="M1247" s="2" t="inlineStr">
        <is>
          <t>demo reviewer</t>
        </is>
      </c>
      <c r="N1247" s="2" t="n"/>
      <c r="O1247" s="3" t="inlineStr">
        <is>
          <t>https://vanillabonds.com/dossier-data/pdf/katjes/katjes-h1-2026-interim-report.pdf#page=9</t>
        </is>
      </c>
    </row>
    <row r="1248">
      <c r="A1248" s="2" t="inlineStr">
        <is>
          <t>F1247</t>
        </is>
      </c>
      <c r="B1248" s="2" t="inlineStr">
        <is>
          <t>compliance</t>
        </is>
      </c>
      <c r="C1248" s="2" t="inlineStr">
        <is>
          <t>esg_fact</t>
        </is>
      </c>
      <c r="D1248" s="3" t="inlineStr">
        <is>
          <t>ESG fact: item (CSRD / VSME status, energy, emissions, taxonomy, permit, incident, labour); value; year; source</t>
        </is>
      </c>
      <c r="E1248" s="2" t="n"/>
      <c r="F1248" s="2" t="n"/>
      <c r="G1248" s="2" t="n"/>
      <c r="H1248" s="3" t="inlineStr">
        <is>
          <t>item: labour, temporary workers (average); value: 140 (H1-2025: 154); year: 2026; source: notes 4</t>
        </is>
      </c>
      <c r="I1248" s="2" t="inlineStr">
        <is>
          <t>S5</t>
        </is>
      </c>
      <c r="J1248" s="2" t="n">
        <v>40</v>
      </c>
      <c r="K1248" s="3" t="inlineStr">
        <is>
          <t>In addition, the Group employed an average of 140 temporary workers (6M 2025: 154).</t>
        </is>
      </c>
      <c r="L1248" s="2" t="inlineStr">
        <is>
          <t>ok</t>
        </is>
      </c>
      <c r="M1248" s="2" t="inlineStr">
        <is>
          <t>demo reviewer</t>
        </is>
      </c>
      <c r="N1248" s="2" t="n"/>
      <c r="O1248" s="3" t="inlineStr">
        <is>
          <t>https://vanillabonds.com/dossier-data/pdf/katjes/katjes-h1-2026-interim-report.pdf#page=40</t>
        </is>
      </c>
    </row>
    <row r="1249">
      <c r="A1249" s="2" t="inlineStr">
        <is>
          <t>F1248</t>
        </is>
      </c>
      <c r="B1249" s="2" t="inlineStr">
        <is>
          <t>compliance</t>
        </is>
      </c>
      <c r="C1249" s="2" t="inlineStr">
        <is>
          <t>esg_fact</t>
        </is>
      </c>
      <c r="D1249" s="3" t="inlineStr">
        <is>
          <t>ESG fact: item (CSRD / VSME status, energy, emissions, taxonomy, permit, incident, labour); value; year; source</t>
        </is>
      </c>
      <c r="E1249" s="2" t="n"/>
      <c r="F1249" s="2" t="n"/>
      <c r="G1249" s="2" t="n"/>
      <c r="H1249" s="3" t="inlineStr">
        <is>
          <t>item: labour, workforce split (average H1-2026); value: 803 blue-collar, 946 salaried, 38 other; year: 2026; source: notes 4</t>
        </is>
      </c>
      <c r="I1249" s="2" t="inlineStr">
        <is>
          <t>S5</t>
        </is>
      </c>
      <c r="J1249" s="2" t="n">
        <v>40</v>
      </c>
      <c r="K1249" s="3" t="inlineStr">
        <is>
          <t>Blue-collar workers 803 710 Salaried employees 946 388 Other 38 20</t>
        </is>
      </c>
      <c r="L1249" s="2" t="inlineStr">
        <is>
          <t>ok</t>
        </is>
      </c>
      <c r="M1249" s="2" t="inlineStr">
        <is>
          <t>demo reviewer</t>
        </is>
      </c>
      <c r="N1249" s="2" t="n"/>
      <c r="O1249" s="3" t="inlineStr">
        <is>
          <t>https://vanillabonds.com/dossier-data/pdf/katjes/katjes-h1-2026-interim-report.pdf#page=40</t>
        </is>
      </c>
    </row>
    <row r="1250">
      <c r="A1250" s="2" t="inlineStr">
        <is>
          <t>F1249</t>
        </is>
      </c>
      <c r="B1250" s="2" t="inlineStr">
        <is>
          <t>market_data</t>
        </is>
      </c>
      <c r="C1250" s="2" t="inlineStr">
        <is>
          <t>instrument_term</t>
        </is>
      </c>
      <c r="D1250" s="3" t="inlineStr">
        <is>
          <t>Instrument term: term (rate type, base rate, maturity, call, listing, ISIN, denomination, settlement, holders, transfer); value</t>
        </is>
      </c>
      <c r="E1250" s="2" t="n"/>
      <c r="F1250" s="2" t="n"/>
      <c r="G1250" s="2" t="n"/>
      <c r="H1250" s="3" t="inlineStr">
        <is>
          <t>term: maturity; value: 2028 (bond named '2023/2028 bond')</t>
        </is>
      </c>
      <c r="I1250" s="2" t="inlineStr">
        <is>
          <t>S5</t>
        </is>
      </c>
      <c r="J1250" s="2" t="n">
        <v>23</v>
      </c>
      <c r="K1250" s="3" t="inlineStr">
        <is>
          <t>attributable to the increase in the 2023/2028 bond in connection with the acquisition of Missoni</t>
        </is>
      </c>
      <c r="L1250" s="2" t="inlineStr">
        <is>
          <t>ok</t>
        </is>
      </c>
      <c r="M1250" s="2" t="inlineStr">
        <is>
          <t>demo reviewer</t>
        </is>
      </c>
      <c r="N1250" s="2" t="n"/>
      <c r="O1250" s="3" t="inlineStr">
        <is>
          <t>https://vanillabonds.com/dossier-data/pdf/katjes/katjes-h1-2026-interim-report.pdf#page=23</t>
        </is>
      </c>
    </row>
    <row r="1251">
      <c r="A1251" s="2" t="inlineStr">
        <is>
          <t>F1250</t>
        </is>
      </c>
      <c r="B1251" s="2" t="inlineStr">
        <is>
          <t>market_data</t>
        </is>
      </c>
      <c r="C1251" s="2" t="inlineStr">
        <is>
          <t>instrument_term</t>
        </is>
      </c>
      <c r="D1251" s="3" t="inlineStr">
        <is>
          <t>Instrument term: term (rate type, base rate, maturity, call, listing, ISIN, denomination, settlement, holders, transfer); value</t>
        </is>
      </c>
      <c r="E1251" s="2" t="n"/>
      <c r="F1251" s="2" t="n">
        <v>14.8</v>
      </c>
      <c r="G1251" s="2" t="n"/>
      <c r="H1251" s="3" t="inlineStr">
        <is>
          <t>term: tap; value: increase of the 2023/2028 bond, EUR 14.8m net of transaction costs received in H1-2026</t>
        </is>
      </c>
      <c r="I1251" s="2" t="inlineStr">
        <is>
          <t>S5</t>
        </is>
      </c>
      <c r="J1251" s="2" t="n">
        <v>34</v>
      </c>
      <c r="K1251" s="3" t="inlineStr">
        <is>
          <t>Increase in the 2023/2028 bond, net of transaction costs relating to the increase 14.8 0.0</t>
        </is>
      </c>
      <c r="L1251" s="2" t="inlineStr">
        <is>
          <t>ok</t>
        </is>
      </c>
      <c r="M1251" s="2" t="inlineStr">
        <is>
          <t>demo reviewer</t>
        </is>
      </c>
      <c r="N1251" s="2" t="n"/>
      <c r="O1251" s="3" t="inlineStr">
        <is>
          <t>https://vanillabonds.com/dossier-data/pdf/katjes/katjes-h1-2026-interim-report.pdf#page=34</t>
        </is>
      </c>
    </row>
    <row r="1252">
      <c r="A1252" s="2" t="inlineStr">
        <is>
          <t>F1251</t>
        </is>
      </c>
      <c r="B1252" s="2" t="inlineStr">
        <is>
          <t>market_data</t>
        </is>
      </c>
      <c r="C1252" s="2" t="inlineStr">
        <is>
          <t>instrument_term</t>
        </is>
      </c>
      <c r="D1252" s="3" t="inlineStr">
        <is>
          <t>Instrument term: term (rate type, base rate, maturity, call, listing, ISIN, denomination, settlement, holders, transfer); value</t>
        </is>
      </c>
      <c r="E1252" s="2" t="n"/>
      <c r="F1252" s="2" t="n">
        <v>191.3</v>
      </c>
      <c r="G1252" s="2" t="n"/>
      <c r="H1252" s="3" t="inlineStr">
        <is>
          <t>term: fair value; value: EUR 191.3m fair value (level II) vs 200.0 carrying amount at 30 June 2026, amortised cost</t>
        </is>
      </c>
      <c r="I1252" s="2" t="inlineStr">
        <is>
          <t>S5</t>
        </is>
      </c>
      <c r="J1252" s="2" t="n">
        <v>42</v>
      </c>
      <c r="K1252" s="3" t="inlineStr">
        <is>
          <t>Liabilities from the issuance of a bond2 200.0 191.3** Amortised cost</t>
        </is>
      </c>
      <c r="L1252" s="2" t="inlineStr">
        <is>
          <t>ok</t>
        </is>
      </c>
      <c r="M1252" s="2" t="inlineStr">
        <is>
          <t>demo reviewer</t>
        </is>
      </c>
      <c r="N1252" s="2" t="n"/>
      <c r="O1252" s="3" t="inlineStr">
        <is>
          <t>https://vanillabonds.com/dossier-data/pdf/katjes/katjes-h1-2026-interim-report.pdf#page=42</t>
        </is>
      </c>
    </row>
    <row r="1253">
      <c r="A1253" s="2" t="inlineStr">
        <is>
          <t>F1252</t>
        </is>
      </c>
      <c r="B1253" s="2" t="inlineStr">
        <is>
          <t>financials</t>
        </is>
      </c>
      <c r="C1253" s="2" t="inlineStr">
        <is>
          <t>gross_debt</t>
        </is>
      </c>
      <c r="D1253" s="3" t="inlineStr">
        <is>
          <t>Gross financial debt (bonds + loans, excl. leases)</t>
        </is>
      </c>
      <c r="E1253" s="2" t="inlineStr">
        <is>
          <t>FY2025</t>
        </is>
      </c>
      <c r="F1253" s="2" t="n"/>
      <c r="G1253" s="2" t="inlineStr">
        <is>
          <t>EUR m</t>
        </is>
      </c>
      <c r="H1253" s="3" t="inlineStr">
        <is>
          <t>No total excluding leases stated; components at 31 Dec 2025: bond 185.0; liabilities to banks and other financial liabilities 35.5 non-current and 53.8 current; interest liabilities 3.8 (lease liabilities 58.0 non-current and 16.7 current excluded). Sum left to schema.derive or the reviewer.</t>
        </is>
      </c>
      <c r="I1253" s="2" t="inlineStr">
        <is>
          <t>S3</t>
        </is>
      </c>
      <c r="J1253" s="2" t="n">
        <v>68</v>
      </c>
      <c r="K1253" s="3" t="inlineStr">
        <is>
          <t>Liabilities from the issuance of a bond 185.0 115.0 Liabilities to banks and other financial liabilities 35.5 27.5</t>
        </is>
      </c>
      <c r="L1253" s="2" t="inlineStr">
        <is>
          <t>ok</t>
        </is>
      </c>
      <c r="M1253" s="2" t="inlineStr">
        <is>
          <t>demo reviewer</t>
        </is>
      </c>
      <c r="N1253" s="2" t="n"/>
      <c r="O1253" s="3" t="inlineStr">
        <is>
          <t>https://vanillabonds.com/dossier-data/pdf/katjes/katjes-2025-annual-report.pdf#page=68</t>
        </is>
      </c>
    </row>
    <row r="1254">
      <c r="A1254" s="2" t="inlineStr">
        <is>
          <t>F1253</t>
        </is>
      </c>
      <c r="B1254" s="2" t="inlineStr">
        <is>
          <t>financials</t>
        </is>
      </c>
      <c r="C1254" s="2" t="inlineStr">
        <is>
          <t>audit_adjustment</t>
        </is>
      </c>
      <c r="D1254" s="3" t="inlineStr">
        <is>
          <t>Audit facts: adjustments (number); management_letter_points (number); restatements; key_audit_matters</t>
        </is>
      </c>
      <c r="E1254" s="2" t="inlineStr">
        <is>
          <t>FY2024</t>
        </is>
      </c>
      <c r="F1254" s="2" t="n"/>
      <c r="G1254" s="2" t="n"/>
      <c r="H1254" s="3" t="inlineStr">
        <is>
          <t>restatements: FY2024 regional revenue figures adjusted in the FY2025 report to reflect the inclusion of the Bogner entities</t>
        </is>
      </c>
      <c r="I1254" s="2" t="inlineStr">
        <is>
          <t>S3</t>
        </is>
      </c>
      <c r="J1254" s="2" t="n">
        <v>77</v>
      </c>
      <c r="K1254" s="3" t="inlineStr">
        <is>
          <t>To reflect the inclusion of the Bogner entities, prior year figures have been adjusted in certain areas.</t>
        </is>
      </c>
      <c r="L1254" s="2" t="inlineStr">
        <is>
          <t>ok</t>
        </is>
      </c>
      <c r="M1254" s="2" t="inlineStr">
        <is>
          <t>demo reviewer</t>
        </is>
      </c>
      <c r="N1254" s="2" t="n"/>
      <c r="O1254" s="3" t="inlineStr">
        <is>
          <t>https://vanillabonds.com/dossier-data/pdf/katjes/katjes-2025-annual-report.pdf#page=77</t>
        </is>
      </c>
    </row>
    <row r="1255">
      <c r="A1255" s="2" t="inlineStr">
        <is>
          <t>F1254</t>
        </is>
      </c>
      <c r="B1255" s="2" t="inlineStr">
        <is>
          <t>management</t>
        </is>
      </c>
      <c r="C1255" s="2" t="inlineStr">
        <is>
          <t>ebitda_budget</t>
        </is>
      </c>
      <c r="D1255" s="3" t="inlineStr">
        <is>
          <t>EBITDA as budgeted for that year (management plan at the time)</t>
        </is>
      </c>
      <c r="E1255" s="2" t="inlineStr">
        <is>
          <t>FY2025</t>
        </is>
      </c>
      <c r="F1255" s="2" t="n"/>
      <c r="G1255" s="2" t="inlineStr">
        <is>
          <t>EUR m</t>
        </is>
      </c>
      <c r="H1255" s="3" t="inlineStr">
        <is>
          <t>Guidance for 2025 as stated in the FY2024 report: EBITDA margin between 9% and 10% (no absolute figure).</t>
        </is>
      </c>
      <c r="I1255" s="2" t="inlineStr">
        <is>
          <t>S2</t>
        </is>
      </c>
      <c r="J1255" s="2" t="n">
        <v>38</v>
      </c>
      <c r="K1255" s="3" t="inlineStr">
        <is>
          <t>Katjes International is targeting an EBITDA margin between 9% and 10% in 2025.</t>
        </is>
      </c>
      <c r="L1255" s="2" t="inlineStr">
        <is>
          <t>ok</t>
        </is>
      </c>
      <c r="M1255" s="2" t="inlineStr">
        <is>
          <t>demo reviewer</t>
        </is>
      </c>
      <c r="N1255" s="2" t="n"/>
      <c r="O1255" s="3" t="inlineStr">
        <is>
          <t>https://vanillabonds.com/dossier-data/pdf/katjes/katjes-2024-annual-report.pdf#page=38</t>
        </is>
      </c>
    </row>
    <row r="1256">
      <c r="A1256" s="2" t="inlineStr">
        <is>
          <t>F1255</t>
        </is>
      </c>
      <c r="B1256" s="2" t="inlineStr">
        <is>
          <t>management</t>
        </is>
      </c>
      <c r="C1256" s="2" t="inlineStr">
        <is>
          <t>ebitda_budget</t>
        </is>
      </c>
      <c r="D1256" s="3" t="inlineStr">
        <is>
          <t>EBITDA as budgeted for that year (management plan at the time)</t>
        </is>
      </c>
      <c r="E1256" s="2" t="inlineStr">
        <is>
          <t>FY2026</t>
        </is>
      </c>
      <c r="F1256" s="2" t="n"/>
      <c r="G1256" s="2" t="inlineStr">
        <is>
          <t>EUR m</t>
        </is>
      </c>
      <c r="H1256" s="3" t="inlineStr">
        <is>
          <t>Guidance for 2026 as stated in the FY2025 report: EBITDA margin between 10% and 12% (no absolute figure).</t>
        </is>
      </c>
      <c r="I1256" s="2" t="inlineStr">
        <is>
          <t>S3</t>
        </is>
      </c>
      <c r="J1256" s="2" t="n">
        <v>35</v>
      </c>
      <c r="K1256" s="3" t="inlineStr">
        <is>
          <t>With regard to earnings, Katjes International plans to achieve an EBITDA margin between 10% and 12% in the financial year 2026.</t>
        </is>
      </c>
      <c r="L1256" s="2" t="inlineStr">
        <is>
          <t>ok</t>
        </is>
      </c>
      <c r="M1256" s="2" t="inlineStr">
        <is>
          <t>demo reviewer</t>
        </is>
      </c>
      <c r="N1256" s="2" t="n"/>
      <c r="O1256" s="3" t="inlineStr">
        <is>
          <t>https://vanillabonds.com/dossier-data/pdf/katjes/katjes-2025-annual-report.pdf#page=35</t>
        </is>
      </c>
    </row>
    <row r="1257">
      <c r="A1257" s="2" t="inlineStr">
        <is>
          <t>F1256</t>
        </is>
      </c>
      <c r="B1257" s="2" t="inlineStr">
        <is>
          <t>identity</t>
        </is>
      </c>
      <c r="C1257" s="2" t="inlineStr">
        <is>
          <t>lei</t>
        </is>
      </c>
      <c r="D1257" s="2" t="inlineStr">
        <is>
          <t>LEI</t>
        </is>
      </c>
      <c r="E1257" s="2" t="n"/>
      <c r="F1257" s="2" t="n"/>
      <c r="G1257" s="2" t="n"/>
      <c r="H1257" s="3" t="inlineStr">
        <is>
          <t>LEI: 529900UHZK3SEUYFH322; legal name: Katjes International GmbH &amp; Co. KG; registration status: ISSUED; entity status: ACTIVE; last update: 2026-09-19; next renewal: 2027-11-17</t>
        </is>
      </c>
      <c r="I1257" s="2" t="inlineStr">
        <is>
          <t>S6</t>
        </is>
      </c>
      <c r="J1257" s="2" t="n">
        <v>0</v>
      </c>
      <c r="K1257" s="3" t="inlineStr">
        <is>
          <t>LEI: 529900UHZK3SEUYFH322 ... Registration status: ISSUED ... Next renewal date: 2027-11-17</t>
        </is>
      </c>
      <c r="L1257" s="2" t="inlineStr">
        <is>
          <t>pend</t>
        </is>
      </c>
      <c r="M1257" s="2" t="n"/>
      <c r="N1257" s="2" t="inlineStr">
        <is>
          <t>web quote, verify at URL</t>
        </is>
      </c>
      <c r="O1257" s="3" t="inlineStr">
        <is>
          <t>https://api.gleif.org/api/v1/lei-records?filter[entity.legalName]=Katjes International</t>
        </is>
      </c>
    </row>
    <row r="1258">
      <c r="A1258" s="2" t="inlineStr">
        <is>
          <t>F1257</t>
        </is>
      </c>
      <c r="B1258" s="2" t="inlineStr">
        <is>
          <t>identity</t>
        </is>
      </c>
      <c r="C1258" s="2" t="inlineStr">
        <is>
          <t>registry</t>
        </is>
      </c>
      <c r="D1258" s="2" t="inlineStr">
        <is>
          <t>Commercial register / registration no.</t>
        </is>
      </c>
      <c r="E1258" s="2" t="n"/>
      <c r="F1258" s="2" t="n"/>
      <c r="G1258" s="2" t="n"/>
      <c r="H1258" s="3" t="inlineStr">
        <is>
          <t>register: Amtsgericht Kleve; number: HRA 1076; registration authority entity ID: RA000278 (as recorded in the GLEIF record)</t>
        </is>
      </c>
      <c r="I1258" s="2" t="inlineStr">
        <is>
          <t>S6</t>
        </is>
      </c>
      <c r="J1258" s="2" t="n">
        <v>0</v>
      </c>
      <c r="K1258" s="3" t="inlineStr">
        <is>
          <t>Registration authority entity ID: RA000278 (registered as HRA 1076)</t>
        </is>
      </c>
      <c r="L1258" s="2" t="inlineStr">
        <is>
          <t>pend</t>
        </is>
      </c>
      <c r="M1258" s="2" t="n"/>
      <c r="N1258" s="2" t="inlineStr">
        <is>
          <t>web quote, verify at URL</t>
        </is>
      </c>
      <c r="O1258" s="3" t="inlineStr">
        <is>
          <t>https://api.gleif.org/api/v1/lei-records?filter[entity.legalName]=Katjes International</t>
        </is>
      </c>
    </row>
    <row r="1259">
      <c r="A1259" s="2" t="inlineStr">
        <is>
          <t>F1258</t>
        </is>
      </c>
      <c r="B1259" s="2" t="inlineStr">
        <is>
          <t>market_data</t>
        </is>
      </c>
      <c r="C1259" s="2" t="inlineStr">
        <is>
          <t>instrument_term</t>
        </is>
      </c>
      <c r="D1259" s="3" t="inlineStr">
        <is>
          <t>Instrument term: term (rate type, base rate, maturity, call, listing, ISIN, denomination, settlement, holders, transfer); value</t>
        </is>
      </c>
      <c r="E1259" s="2" t="n"/>
      <c r="F1259" s="2" t="n">
        <v>102.45</v>
      </c>
      <c r="G1259" s="2" t="n"/>
      <c r="H1259" s="3" t="inlineStr">
        <is>
          <t>term: last price; value: 102.45 (price date shown in the yield section: 2026-10-19; venue: Munich; page shows 'heute' for the quote time)</t>
        </is>
      </c>
      <c r="I1259" s="2" t="inlineStr">
        <is>
          <t>S7</t>
        </is>
      </c>
      <c r="J1259" s="2" t="n">
        <v>0</v>
      </c>
      <c r="K1259" s="3" t="inlineStr">
        <is>
          <t>Kurs 102,450 % München 10:16:27; Kurs-Datum 19.10.2026</t>
        </is>
      </c>
      <c r="L1259" s="2" t="inlineStr">
        <is>
          <t>pend</t>
        </is>
      </c>
      <c r="M1259" s="2" t="n"/>
      <c r="N1259" s="2" t="inlineStr">
        <is>
          <t>web quote, verify at URL</t>
        </is>
      </c>
      <c r="O1259" s="3" t="inlineStr">
        <is>
          <t>https://www.onvista.de/anleihen/KATJES-INT-IHS-23-28-Anleihe-NO0012888769</t>
        </is>
      </c>
    </row>
    <row r="1260">
      <c r="A1260" s="2" t="inlineStr">
        <is>
          <t>F1259</t>
        </is>
      </c>
      <c r="B1260" s="2" t="inlineStr">
        <is>
          <t>market_data</t>
        </is>
      </c>
      <c r="C1260" s="2" t="inlineStr">
        <is>
          <t>instrument_term</t>
        </is>
      </c>
      <c r="D1260" s="3" t="inlineStr">
        <is>
          <t>Instrument term: term (rate type, base rate, maturity, call, listing, ISIN, denomination, settlement, holders, transfer); value</t>
        </is>
      </c>
      <c r="E1260" s="2" t="n"/>
      <c r="F1260" s="2" t="n">
        <v>6.75</v>
      </c>
      <c r="G1260" s="2" t="n"/>
      <c r="H1260" s="3" t="inlineStr">
        <is>
          <t>term: coupon; value: 6.75 % fixed, annual; maturity: 2028-09-21; ISIN: NO0012888769; denomination: 1,000</t>
        </is>
      </c>
      <c r="I1260" s="2" t="inlineStr">
        <is>
          <t>S7</t>
        </is>
      </c>
      <c r="J1260" s="2" t="n">
        <v>0</v>
      </c>
      <c r="K1260" s="2" t="inlineStr">
        <is>
          <t>Fälligkeit 21.09.2028</t>
        </is>
      </c>
      <c r="L1260" s="2" t="inlineStr">
        <is>
          <t>pend</t>
        </is>
      </c>
      <c r="M1260" s="2" t="n"/>
      <c r="N1260" s="2" t="inlineStr">
        <is>
          <t>web quote, verify at URL</t>
        </is>
      </c>
      <c r="O1260" s="3" t="inlineStr">
        <is>
          <t>https://www.onvista.de/anleihen/KATJES-INT-IHS-23-28-Anleihe-NO0012888769</t>
        </is>
      </c>
    </row>
    <row r="1261">
      <c r="A1261" s="2" t="inlineStr">
        <is>
          <t>F1260</t>
        </is>
      </c>
      <c r="B1261" s="2" t="inlineStr">
        <is>
          <t>business</t>
        </is>
      </c>
      <c r="C1261" s="2" t="inlineStr">
        <is>
          <t>key_event</t>
        </is>
      </c>
      <c r="D1261" s="2" t="inlineStr">
        <is>
          <t>Key event (M&amp;A, financing, strategy)</t>
        </is>
      </c>
      <c r="E1261" s="2" t="n"/>
      <c r="F1261" s="2" t="n">
        <v>70</v>
      </c>
      <c r="G1261" s="2" t="n"/>
      <c r="H1261" s="3" t="inlineStr">
        <is>
          <t>event: tap of the 2023/2028 corporate bond by EUR 70m via private placement; date: 2025-08-05; use of proceeds as stated by the company: acquisition of a 60% stake in Willy Bogner GmbH</t>
        </is>
      </c>
      <c r="I1261" s="2" t="inlineStr">
        <is>
          <t>S8</t>
        </is>
      </c>
      <c r="J1261" s="2" t="n">
        <v>0</v>
      </c>
      <c r="K1261" s="3" t="inlineStr">
        <is>
          <t>Tap of EUR 70 million based on significant oversubscription</t>
        </is>
      </c>
      <c r="L1261" s="2" t="inlineStr">
        <is>
          <t>pend</t>
        </is>
      </c>
      <c r="M1261" s="2" t="n"/>
      <c r="N1261" s="2" t="inlineStr">
        <is>
          <t>web quote, verify at URL</t>
        </is>
      </c>
      <c r="O1261" s="3" t="inlineStr">
        <is>
          <t>https://www.placera.se/pressmeddelanden/katjes-international-successfully-taps-its-corporate-bond-by-eur-70-million-20250805</t>
        </is>
      </c>
    </row>
    <row r="1262">
      <c r="A1262" s="2" t="inlineStr">
        <is>
          <t>F1261</t>
        </is>
      </c>
      <c r="B1262" s="2" t="inlineStr">
        <is>
          <t>business</t>
        </is>
      </c>
      <c r="C1262" s="2" t="inlineStr">
        <is>
          <t>key_event</t>
        </is>
      </c>
      <c r="D1262" s="2" t="inlineStr">
        <is>
          <t>Key event (M&amp;A, financing, strategy)</t>
        </is>
      </c>
      <c r="E1262" s="2" t="n"/>
      <c r="F1262" s="2" t="n">
        <v>185</v>
      </c>
      <c r="G1262" s="2" t="n"/>
      <c r="H1262" s="3" t="inlineStr">
        <is>
          <t>event: outstanding volume of the bond after the tap; amount: EUR 185m; date: 2025-08-05</t>
        </is>
      </c>
      <c r="I1262" s="2" t="inlineStr">
        <is>
          <t>S8</t>
        </is>
      </c>
      <c r="J1262" s="2" t="n">
        <v>0</v>
      </c>
      <c r="K1262" s="3" t="inlineStr">
        <is>
          <t>...bringing the total outstanding volume to EUR 185 million.</t>
        </is>
      </c>
      <c r="L1262" s="2" t="inlineStr">
        <is>
          <t>pend</t>
        </is>
      </c>
      <c r="M1262" s="2" t="n"/>
      <c r="N1262" s="2" t="inlineStr">
        <is>
          <t>web quote, verify at URL</t>
        </is>
      </c>
      <c r="O1262" s="3" t="inlineStr">
        <is>
          <t>https://www.placera.se/pressmeddelanden/katjes-international-successfully-taps-its-corporate-bond-by-eur-70-million-20250805</t>
        </is>
      </c>
    </row>
    <row r="1263">
      <c r="A1263" s="2" t="inlineStr">
        <is>
          <t>F1262</t>
        </is>
      </c>
      <c r="B1263" s="2" t="inlineStr">
        <is>
          <t>business</t>
        </is>
      </c>
      <c r="C1263" s="2" t="inlineStr">
        <is>
          <t>key_event</t>
        </is>
      </c>
      <c r="D1263" s="2" t="inlineStr">
        <is>
          <t>Key event (M&amp;A, financing, strategy)</t>
        </is>
      </c>
      <c r="E1263" s="2" t="n"/>
      <c r="F1263" s="2" t="n"/>
      <c r="G1263" s="2" t="n"/>
      <c r="H1263" s="3" t="inlineStr">
        <is>
          <t>event: law firm announcement on the tap under the existing increase option; date: 2025-08-06; outstanding amount stated: EUR 185m</t>
        </is>
      </c>
      <c r="I1263" s="2" t="inlineStr">
        <is>
          <t>S9</t>
        </is>
      </c>
      <c r="J1263" s="2" t="n">
        <v>0</v>
      </c>
      <c r="K1263" s="3" t="inlineStr">
        <is>
          <t>Insgesamt beträgt das ausstehende Anleihevolumen damit EUR 185 Mio.</t>
        </is>
      </c>
      <c r="L1263" s="2" t="inlineStr">
        <is>
          <t>pend</t>
        </is>
      </c>
      <c r="M1263" s="2" t="n"/>
      <c r="N1263" s="2" t="inlineStr">
        <is>
          <t>web quote, verify at URL</t>
        </is>
      </c>
      <c r="O1263" s="3" t="inlineStr">
        <is>
          <t>https://www.hlc.com/de/news/hogan-lovells-beraet-katjes-bei-aufstockung-ihrer-nordic-bonds</t>
        </is>
      </c>
    </row>
    <row r="1264">
      <c r="A1264" s="2" t="inlineStr">
        <is>
          <t>F1263</t>
        </is>
      </c>
      <c r="B1264" s="2" t="inlineStr">
        <is>
          <t>business</t>
        </is>
      </c>
      <c r="C1264" s="2" t="inlineStr">
        <is>
          <t>key_event</t>
        </is>
      </c>
      <c r="D1264" s="2" t="inlineStr">
        <is>
          <t>Key event (M&amp;A, financing, strategy)</t>
        </is>
      </c>
      <c r="E1264" s="2" t="inlineStr">
        <is>
          <t>FY2025</t>
        </is>
      </c>
      <c r="F1264" s="2" t="n"/>
      <c r="G1264" s="2" t="n"/>
      <c r="H1264" s="3" t="inlineStr">
        <is>
          <t>event: publication of the 2025 consolidated financial statements; date: 2026-04-02 (Euronext Oslo company-news entry dated 2026-04-02); revenue as stated by the company: EUR 503.0m</t>
        </is>
      </c>
      <c r="I1264" s="2" t="inlineStr">
        <is>
          <t>S10</t>
        </is>
      </c>
      <c r="J1264" s="2" t="n">
        <v>0</v>
      </c>
      <c r="K1264" s="3" t="inlineStr">
        <is>
          <t>Der Konzernumsatz stieg auf EUR 503,0 Mio. (Vorjahr: EUR 392,6 Mio.; +28,1%).</t>
        </is>
      </c>
      <c r="L1264" s="2" t="inlineStr">
        <is>
          <t>pend</t>
        </is>
      </c>
      <c r="M1264" s="2" t="n"/>
      <c r="N1264" s="2" t="inlineStr">
        <is>
          <t>web quote, verify at URL</t>
        </is>
      </c>
      <c r="O1264" s="3" t="inlineStr">
        <is>
          <t>https://www.yumda.com/de/news/1188448/katjes-mit-rekord-bei-umsatz-und-ergebnis.html</t>
        </is>
      </c>
    </row>
    <row r="1265">
      <c r="A1265" s="2" t="inlineStr">
        <is>
          <t>F1264</t>
        </is>
      </c>
      <c r="B1265" s="2" t="inlineStr">
        <is>
          <t>compliance</t>
        </is>
      </c>
      <c r="C1265" s="2" t="inlineStr">
        <is>
          <t>litigation_item</t>
        </is>
      </c>
      <c r="D1265" s="3" t="inlineStr">
        <is>
          <t>Litigation, insolvency, fine or tax dispute: register; case; date; amount; status</t>
        </is>
      </c>
      <c r="E1265" s="2" t="n"/>
      <c r="F1265" s="2" t="n">
        <v>37</v>
      </c>
      <c r="G1265" s="2" t="n"/>
      <c r="H1265" s="3" t="inlineStr">
        <is>
          <t>register: press report (court register not queried); case: Katjes as claimant against Südzucker, Nordzucker, Pfeifer &amp; Langen (Diamant-Zucker), Mannheim; date: 2016-02-01 (article date); amount: about EUR 37m claimed; status: trial begun at date of article, current status not checked</t>
        </is>
      </c>
      <c r="I1265" s="2" t="inlineStr">
        <is>
          <t>S11</t>
        </is>
      </c>
      <c r="J1265" s="2" t="n">
        <v>0</v>
      </c>
      <c r="K1265" s="3" t="inlineStr">
        <is>
          <t>verlangt insgesamt rund 37 Millionen Euro Entschädigung</t>
        </is>
      </c>
      <c r="L1265" s="2" t="inlineStr">
        <is>
          <t>pend</t>
        </is>
      </c>
      <c r="M1265" s="2" t="n"/>
      <c r="N1265" s="2" t="inlineStr">
        <is>
          <t>web quote, verify at URL</t>
        </is>
      </c>
      <c r="O1265" s="3" t="inlineStr">
        <is>
          <t>https://www.yumda.com/de/news/1147058/katjes-und-zuckerproduzenten-streiten-vor-gericht-um-schadensersatz.html</t>
        </is>
      </c>
    </row>
    <row r="1266">
      <c r="A1266" s="2" t="inlineStr">
        <is>
          <t>F1265</t>
        </is>
      </c>
      <c r="B1266" s="2" t="inlineStr">
        <is>
          <t>management</t>
        </is>
      </c>
      <c r="C1266" s="2" t="inlineStr">
        <is>
          <t>mgmt_person</t>
        </is>
      </c>
      <c r="D1266" s="3" t="inlineStr">
        <is>
          <t>Executive: name, role, since, prior roles (register / report)</t>
        </is>
      </c>
      <c r="E1266" s="2" t="n"/>
      <c r="F1266" s="2" t="n"/>
      <c r="G1266" s="2" t="n"/>
      <c r="H1266" s="3" t="inlineStr">
        <is>
          <t>names listed on Wikipedia as key people: Tobias Bachmüller, Bastian Fassin (managing shareholders), Stephan Milde (managing director, CFO); Handelsregister extract not retrieved, page may be dated</t>
        </is>
      </c>
      <c r="I1266" s="2" t="inlineStr">
        <is>
          <t>S12</t>
        </is>
      </c>
      <c r="J1266" s="2" t="n">
        <v>0</v>
      </c>
      <c r="K1266" s="3" t="inlineStr">
        <is>
          <t>Key people: Tobias Bachmüller, Bastian Fassin (managing shareholders) Stephan Milde (managing director, CFO)</t>
        </is>
      </c>
      <c r="L1266" s="2" t="inlineStr">
        <is>
          <t>pend</t>
        </is>
      </c>
      <c r="M1266" s="2" t="n"/>
      <c r="N1266" s="2" t="inlineStr">
        <is>
          <t>web quote, verify at URL</t>
        </is>
      </c>
      <c r="O1266" s="3" t="inlineStr">
        <is>
          <t>https://en.wikipedia.org/wiki/Katjes_International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27" r:id="rId626"/>
    <hyperlink xmlns:r="http://schemas.openxmlformats.org/officeDocument/2006/relationships" ref="O628" r:id="rId627"/>
    <hyperlink xmlns:r="http://schemas.openxmlformats.org/officeDocument/2006/relationships" ref="O629" r:id="rId628"/>
    <hyperlink xmlns:r="http://schemas.openxmlformats.org/officeDocument/2006/relationships" ref="O630" r:id="rId629"/>
    <hyperlink xmlns:r="http://schemas.openxmlformats.org/officeDocument/2006/relationships" ref="O631" r:id="rId630"/>
    <hyperlink xmlns:r="http://schemas.openxmlformats.org/officeDocument/2006/relationships" ref="O632" r:id="rId631"/>
    <hyperlink xmlns:r="http://schemas.openxmlformats.org/officeDocument/2006/relationships" ref="O633" r:id="rId632"/>
    <hyperlink xmlns:r="http://schemas.openxmlformats.org/officeDocument/2006/relationships" ref="O634" r:id="rId633"/>
    <hyperlink xmlns:r="http://schemas.openxmlformats.org/officeDocument/2006/relationships" ref="O635" r:id="rId634"/>
    <hyperlink xmlns:r="http://schemas.openxmlformats.org/officeDocument/2006/relationships" ref="O636" r:id="rId635"/>
    <hyperlink xmlns:r="http://schemas.openxmlformats.org/officeDocument/2006/relationships" ref="O637" r:id="rId636"/>
    <hyperlink xmlns:r="http://schemas.openxmlformats.org/officeDocument/2006/relationships" ref="O638" r:id="rId637"/>
    <hyperlink xmlns:r="http://schemas.openxmlformats.org/officeDocument/2006/relationships" ref="O639" r:id="rId638"/>
    <hyperlink xmlns:r="http://schemas.openxmlformats.org/officeDocument/2006/relationships" ref="O640" r:id="rId639"/>
    <hyperlink xmlns:r="http://schemas.openxmlformats.org/officeDocument/2006/relationships" ref="O641" r:id="rId640"/>
    <hyperlink xmlns:r="http://schemas.openxmlformats.org/officeDocument/2006/relationships" ref="O642" r:id="rId641"/>
    <hyperlink xmlns:r="http://schemas.openxmlformats.org/officeDocument/2006/relationships" ref="O643" r:id="rId642"/>
    <hyperlink xmlns:r="http://schemas.openxmlformats.org/officeDocument/2006/relationships" ref="O644" r:id="rId643"/>
    <hyperlink xmlns:r="http://schemas.openxmlformats.org/officeDocument/2006/relationships" ref="O645" r:id="rId644"/>
    <hyperlink xmlns:r="http://schemas.openxmlformats.org/officeDocument/2006/relationships" ref="O646" r:id="rId645"/>
    <hyperlink xmlns:r="http://schemas.openxmlformats.org/officeDocument/2006/relationships" ref="O647" r:id="rId646"/>
    <hyperlink xmlns:r="http://schemas.openxmlformats.org/officeDocument/2006/relationships" ref="O648" r:id="rId647"/>
    <hyperlink xmlns:r="http://schemas.openxmlformats.org/officeDocument/2006/relationships" ref="O649" r:id="rId648"/>
    <hyperlink xmlns:r="http://schemas.openxmlformats.org/officeDocument/2006/relationships" ref="O650" r:id="rId649"/>
    <hyperlink xmlns:r="http://schemas.openxmlformats.org/officeDocument/2006/relationships" ref="O651" r:id="rId650"/>
    <hyperlink xmlns:r="http://schemas.openxmlformats.org/officeDocument/2006/relationships" ref="O652" r:id="rId651"/>
    <hyperlink xmlns:r="http://schemas.openxmlformats.org/officeDocument/2006/relationships" ref="O653" r:id="rId652"/>
    <hyperlink xmlns:r="http://schemas.openxmlformats.org/officeDocument/2006/relationships" ref="O654" r:id="rId653"/>
    <hyperlink xmlns:r="http://schemas.openxmlformats.org/officeDocument/2006/relationships" ref="O655" r:id="rId654"/>
    <hyperlink xmlns:r="http://schemas.openxmlformats.org/officeDocument/2006/relationships" ref="O656" r:id="rId655"/>
    <hyperlink xmlns:r="http://schemas.openxmlformats.org/officeDocument/2006/relationships" ref="O657" r:id="rId656"/>
    <hyperlink xmlns:r="http://schemas.openxmlformats.org/officeDocument/2006/relationships" ref="O658" r:id="rId657"/>
    <hyperlink xmlns:r="http://schemas.openxmlformats.org/officeDocument/2006/relationships" ref="O659" r:id="rId658"/>
    <hyperlink xmlns:r="http://schemas.openxmlformats.org/officeDocument/2006/relationships" ref="O660" r:id="rId659"/>
    <hyperlink xmlns:r="http://schemas.openxmlformats.org/officeDocument/2006/relationships" ref="O661" r:id="rId660"/>
    <hyperlink xmlns:r="http://schemas.openxmlformats.org/officeDocument/2006/relationships" ref="O662" r:id="rId661"/>
    <hyperlink xmlns:r="http://schemas.openxmlformats.org/officeDocument/2006/relationships" ref="O663" r:id="rId662"/>
    <hyperlink xmlns:r="http://schemas.openxmlformats.org/officeDocument/2006/relationships" ref="O664" r:id="rId663"/>
    <hyperlink xmlns:r="http://schemas.openxmlformats.org/officeDocument/2006/relationships" ref="O665" r:id="rId664"/>
    <hyperlink xmlns:r="http://schemas.openxmlformats.org/officeDocument/2006/relationships" ref="O666" r:id="rId665"/>
    <hyperlink xmlns:r="http://schemas.openxmlformats.org/officeDocument/2006/relationships" ref="O667" r:id="rId666"/>
    <hyperlink xmlns:r="http://schemas.openxmlformats.org/officeDocument/2006/relationships" ref="O668" r:id="rId667"/>
    <hyperlink xmlns:r="http://schemas.openxmlformats.org/officeDocument/2006/relationships" ref="O669" r:id="rId668"/>
    <hyperlink xmlns:r="http://schemas.openxmlformats.org/officeDocument/2006/relationships" ref="O670" r:id="rId669"/>
    <hyperlink xmlns:r="http://schemas.openxmlformats.org/officeDocument/2006/relationships" ref="O671" r:id="rId670"/>
    <hyperlink xmlns:r="http://schemas.openxmlformats.org/officeDocument/2006/relationships" ref="O672" r:id="rId671"/>
    <hyperlink xmlns:r="http://schemas.openxmlformats.org/officeDocument/2006/relationships" ref="O673" r:id="rId672"/>
    <hyperlink xmlns:r="http://schemas.openxmlformats.org/officeDocument/2006/relationships" ref="O674" r:id="rId673"/>
    <hyperlink xmlns:r="http://schemas.openxmlformats.org/officeDocument/2006/relationships" ref="O675" r:id="rId674"/>
    <hyperlink xmlns:r="http://schemas.openxmlformats.org/officeDocument/2006/relationships" ref="O676" r:id="rId675"/>
    <hyperlink xmlns:r="http://schemas.openxmlformats.org/officeDocument/2006/relationships" ref="O677" r:id="rId676"/>
    <hyperlink xmlns:r="http://schemas.openxmlformats.org/officeDocument/2006/relationships" ref="O678" r:id="rId677"/>
    <hyperlink xmlns:r="http://schemas.openxmlformats.org/officeDocument/2006/relationships" ref="O679" r:id="rId678"/>
    <hyperlink xmlns:r="http://schemas.openxmlformats.org/officeDocument/2006/relationships" ref="O680" r:id="rId679"/>
    <hyperlink xmlns:r="http://schemas.openxmlformats.org/officeDocument/2006/relationships" ref="O681" r:id="rId680"/>
    <hyperlink xmlns:r="http://schemas.openxmlformats.org/officeDocument/2006/relationships" ref="O682" r:id="rId681"/>
    <hyperlink xmlns:r="http://schemas.openxmlformats.org/officeDocument/2006/relationships" ref="O683" r:id="rId682"/>
    <hyperlink xmlns:r="http://schemas.openxmlformats.org/officeDocument/2006/relationships" ref="O684" r:id="rId683"/>
    <hyperlink xmlns:r="http://schemas.openxmlformats.org/officeDocument/2006/relationships" ref="O685" r:id="rId684"/>
    <hyperlink xmlns:r="http://schemas.openxmlformats.org/officeDocument/2006/relationships" ref="O686" r:id="rId685"/>
    <hyperlink xmlns:r="http://schemas.openxmlformats.org/officeDocument/2006/relationships" ref="O687" r:id="rId686"/>
    <hyperlink xmlns:r="http://schemas.openxmlformats.org/officeDocument/2006/relationships" ref="O688" r:id="rId687"/>
    <hyperlink xmlns:r="http://schemas.openxmlformats.org/officeDocument/2006/relationships" ref="O689" r:id="rId688"/>
    <hyperlink xmlns:r="http://schemas.openxmlformats.org/officeDocument/2006/relationships" ref="O690" r:id="rId689"/>
    <hyperlink xmlns:r="http://schemas.openxmlformats.org/officeDocument/2006/relationships" ref="O691" r:id="rId690"/>
    <hyperlink xmlns:r="http://schemas.openxmlformats.org/officeDocument/2006/relationships" ref="O692" r:id="rId691"/>
    <hyperlink xmlns:r="http://schemas.openxmlformats.org/officeDocument/2006/relationships" ref="O693" r:id="rId692"/>
    <hyperlink xmlns:r="http://schemas.openxmlformats.org/officeDocument/2006/relationships" ref="O694" r:id="rId693"/>
    <hyperlink xmlns:r="http://schemas.openxmlformats.org/officeDocument/2006/relationships" ref="O695" r:id="rId694"/>
    <hyperlink xmlns:r="http://schemas.openxmlformats.org/officeDocument/2006/relationships" ref="O696" r:id="rId695"/>
    <hyperlink xmlns:r="http://schemas.openxmlformats.org/officeDocument/2006/relationships" ref="O697" r:id="rId696"/>
    <hyperlink xmlns:r="http://schemas.openxmlformats.org/officeDocument/2006/relationships" ref="O698" r:id="rId697"/>
    <hyperlink xmlns:r="http://schemas.openxmlformats.org/officeDocument/2006/relationships" ref="O699" r:id="rId698"/>
    <hyperlink xmlns:r="http://schemas.openxmlformats.org/officeDocument/2006/relationships" ref="O700" r:id="rId699"/>
    <hyperlink xmlns:r="http://schemas.openxmlformats.org/officeDocument/2006/relationships" ref="O701" r:id="rId700"/>
    <hyperlink xmlns:r="http://schemas.openxmlformats.org/officeDocument/2006/relationships" ref="O702" r:id="rId701"/>
    <hyperlink xmlns:r="http://schemas.openxmlformats.org/officeDocument/2006/relationships" ref="O703" r:id="rId702"/>
    <hyperlink xmlns:r="http://schemas.openxmlformats.org/officeDocument/2006/relationships" ref="O704" r:id="rId703"/>
    <hyperlink xmlns:r="http://schemas.openxmlformats.org/officeDocument/2006/relationships" ref="O705" r:id="rId704"/>
    <hyperlink xmlns:r="http://schemas.openxmlformats.org/officeDocument/2006/relationships" ref="O706" r:id="rId705"/>
    <hyperlink xmlns:r="http://schemas.openxmlformats.org/officeDocument/2006/relationships" ref="O707" r:id="rId706"/>
    <hyperlink xmlns:r="http://schemas.openxmlformats.org/officeDocument/2006/relationships" ref="O708" r:id="rId707"/>
    <hyperlink xmlns:r="http://schemas.openxmlformats.org/officeDocument/2006/relationships" ref="O709" r:id="rId708"/>
    <hyperlink xmlns:r="http://schemas.openxmlformats.org/officeDocument/2006/relationships" ref="O710" r:id="rId709"/>
    <hyperlink xmlns:r="http://schemas.openxmlformats.org/officeDocument/2006/relationships" ref="O711" r:id="rId710"/>
    <hyperlink xmlns:r="http://schemas.openxmlformats.org/officeDocument/2006/relationships" ref="O712" r:id="rId711"/>
    <hyperlink xmlns:r="http://schemas.openxmlformats.org/officeDocument/2006/relationships" ref="O713" r:id="rId712"/>
    <hyperlink xmlns:r="http://schemas.openxmlformats.org/officeDocument/2006/relationships" ref="O714" r:id="rId713"/>
    <hyperlink xmlns:r="http://schemas.openxmlformats.org/officeDocument/2006/relationships" ref="O715" r:id="rId714"/>
    <hyperlink xmlns:r="http://schemas.openxmlformats.org/officeDocument/2006/relationships" ref="O716" r:id="rId715"/>
    <hyperlink xmlns:r="http://schemas.openxmlformats.org/officeDocument/2006/relationships" ref="O717" r:id="rId716"/>
    <hyperlink xmlns:r="http://schemas.openxmlformats.org/officeDocument/2006/relationships" ref="O718" r:id="rId717"/>
    <hyperlink xmlns:r="http://schemas.openxmlformats.org/officeDocument/2006/relationships" ref="O719" r:id="rId718"/>
    <hyperlink xmlns:r="http://schemas.openxmlformats.org/officeDocument/2006/relationships" ref="O720" r:id="rId719"/>
    <hyperlink xmlns:r="http://schemas.openxmlformats.org/officeDocument/2006/relationships" ref="O721" r:id="rId720"/>
    <hyperlink xmlns:r="http://schemas.openxmlformats.org/officeDocument/2006/relationships" ref="O722" r:id="rId721"/>
    <hyperlink xmlns:r="http://schemas.openxmlformats.org/officeDocument/2006/relationships" ref="O723" r:id="rId722"/>
    <hyperlink xmlns:r="http://schemas.openxmlformats.org/officeDocument/2006/relationships" ref="O724" r:id="rId723"/>
    <hyperlink xmlns:r="http://schemas.openxmlformats.org/officeDocument/2006/relationships" ref="O725" r:id="rId724"/>
    <hyperlink xmlns:r="http://schemas.openxmlformats.org/officeDocument/2006/relationships" ref="O726" r:id="rId725"/>
    <hyperlink xmlns:r="http://schemas.openxmlformats.org/officeDocument/2006/relationships" ref="O727" r:id="rId726"/>
    <hyperlink xmlns:r="http://schemas.openxmlformats.org/officeDocument/2006/relationships" ref="O728" r:id="rId727"/>
    <hyperlink xmlns:r="http://schemas.openxmlformats.org/officeDocument/2006/relationships" ref="O729" r:id="rId728"/>
    <hyperlink xmlns:r="http://schemas.openxmlformats.org/officeDocument/2006/relationships" ref="O730" r:id="rId729"/>
    <hyperlink xmlns:r="http://schemas.openxmlformats.org/officeDocument/2006/relationships" ref="O731" r:id="rId730"/>
    <hyperlink xmlns:r="http://schemas.openxmlformats.org/officeDocument/2006/relationships" ref="O732" r:id="rId731"/>
    <hyperlink xmlns:r="http://schemas.openxmlformats.org/officeDocument/2006/relationships" ref="O733" r:id="rId732"/>
    <hyperlink xmlns:r="http://schemas.openxmlformats.org/officeDocument/2006/relationships" ref="O734" r:id="rId733"/>
    <hyperlink xmlns:r="http://schemas.openxmlformats.org/officeDocument/2006/relationships" ref="O735" r:id="rId734"/>
    <hyperlink xmlns:r="http://schemas.openxmlformats.org/officeDocument/2006/relationships" ref="O736" r:id="rId735"/>
    <hyperlink xmlns:r="http://schemas.openxmlformats.org/officeDocument/2006/relationships" ref="O737" r:id="rId736"/>
    <hyperlink xmlns:r="http://schemas.openxmlformats.org/officeDocument/2006/relationships" ref="O738" r:id="rId737"/>
    <hyperlink xmlns:r="http://schemas.openxmlformats.org/officeDocument/2006/relationships" ref="O739" r:id="rId738"/>
    <hyperlink xmlns:r="http://schemas.openxmlformats.org/officeDocument/2006/relationships" ref="O740" r:id="rId739"/>
    <hyperlink xmlns:r="http://schemas.openxmlformats.org/officeDocument/2006/relationships" ref="O741" r:id="rId740"/>
    <hyperlink xmlns:r="http://schemas.openxmlformats.org/officeDocument/2006/relationships" ref="O742" r:id="rId741"/>
    <hyperlink xmlns:r="http://schemas.openxmlformats.org/officeDocument/2006/relationships" ref="O743" r:id="rId742"/>
    <hyperlink xmlns:r="http://schemas.openxmlformats.org/officeDocument/2006/relationships" ref="O744" r:id="rId743"/>
    <hyperlink xmlns:r="http://schemas.openxmlformats.org/officeDocument/2006/relationships" ref="O745" r:id="rId744"/>
    <hyperlink xmlns:r="http://schemas.openxmlformats.org/officeDocument/2006/relationships" ref="O746" r:id="rId745"/>
    <hyperlink xmlns:r="http://schemas.openxmlformats.org/officeDocument/2006/relationships" ref="O747" r:id="rId746"/>
    <hyperlink xmlns:r="http://schemas.openxmlformats.org/officeDocument/2006/relationships" ref="O748" r:id="rId747"/>
    <hyperlink xmlns:r="http://schemas.openxmlformats.org/officeDocument/2006/relationships" ref="O749" r:id="rId748"/>
    <hyperlink xmlns:r="http://schemas.openxmlformats.org/officeDocument/2006/relationships" ref="O750" r:id="rId749"/>
    <hyperlink xmlns:r="http://schemas.openxmlformats.org/officeDocument/2006/relationships" ref="O751" r:id="rId750"/>
    <hyperlink xmlns:r="http://schemas.openxmlformats.org/officeDocument/2006/relationships" ref="O752" r:id="rId751"/>
    <hyperlink xmlns:r="http://schemas.openxmlformats.org/officeDocument/2006/relationships" ref="O753" r:id="rId752"/>
    <hyperlink xmlns:r="http://schemas.openxmlformats.org/officeDocument/2006/relationships" ref="O754" r:id="rId753"/>
    <hyperlink xmlns:r="http://schemas.openxmlformats.org/officeDocument/2006/relationships" ref="O755" r:id="rId754"/>
    <hyperlink xmlns:r="http://schemas.openxmlformats.org/officeDocument/2006/relationships" ref="O756" r:id="rId755"/>
    <hyperlink xmlns:r="http://schemas.openxmlformats.org/officeDocument/2006/relationships" ref="O757" r:id="rId756"/>
    <hyperlink xmlns:r="http://schemas.openxmlformats.org/officeDocument/2006/relationships" ref="O758" r:id="rId757"/>
    <hyperlink xmlns:r="http://schemas.openxmlformats.org/officeDocument/2006/relationships" ref="O759" r:id="rId758"/>
    <hyperlink xmlns:r="http://schemas.openxmlformats.org/officeDocument/2006/relationships" ref="O760" r:id="rId759"/>
    <hyperlink xmlns:r="http://schemas.openxmlformats.org/officeDocument/2006/relationships" ref="O761" r:id="rId760"/>
    <hyperlink xmlns:r="http://schemas.openxmlformats.org/officeDocument/2006/relationships" ref="O762" r:id="rId761"/>
    <hyperlink xmlns:r="http://schemas.openxmlformats.org/officeDocument/2006/relationships" ref="O763" r:id="rId762"/>
    <hyperlink xmlns:r="http://schemas.openxmlformats.org/officeDocument/2006/relationships" ref="O764" r:id="rId763"/>
    <hyperlink xmlns:r="http://schemas.openxmlformats.org/officeDocument/2006/relationships" ref="O765" r:id="rId764"/>
    <hyperlink xmlns:r="http://schemas.openxmlformats.org/officeDocument/2006/relationships" ref="O766" r:id="rId765"/>
    <hyperlink xmlns:r="http://schemas.openxmlformats.org/officeDocument/2006/relationships" ref="O767" r:id="rId766"/>
    <hyperlink xmlns:r="http://schemas.openxmlformats.org/officeDocument/2006/relationships" ref="O768" r:id="rId767"/>
    <hyperlink xmlns:r="http://schemas.openxmlformats.org/officeDocument/2006/relationships" ref="O769" r:id="rId768"/>
    <hyperlink xmlns:r="http://schemas.openxmlformats.org/officeDocument/2006/relationships" ref="O770" r:id="rId769"/>
    <hyperlink xmlns:r="http://schemas.openxmlformats.org/officeDocument/2006/relationships" ref="O771" r:id="rId770"/>
    <hyperlink xmlns:r="http://schemas.openxmlformats.org/officeDocument/2006/relationships" ref="O772" r:id="rId771"/>
    <hyperlink xmlns:r="http://schemas.openxmlformats.org/officeDocument/2006/relationships" ref="O773" r:id="rId772"/>
    <hyperlink xmlns:r="http://schemas.openxmlformats.org/officeDocument/2006/relationships" ref="O774" r:id="rId773"/>
    <hyperlink xmlns:r="http://schemas.openxmlformats.org/officeDocument/2006/relationships" ref="O775" r:id="rId774"/>
    <hyperlink xmlns:r="http://schemas.openxmlformats.org/officeDocument/2006/relationships" ref="O776" r:id="rId775"/>
    <hyperlink xmlns:r="http://schemas.openxmlformats.org/officeDocument/2006/relationships" ref="O777" r:id="rId776"/>
    <hyperlink xmlns:r="http://schemas.openxmlformats.org/officeDocument/2006/relationships" ref="O778" r:id="rId777"/>
    <hyperlink xmlns:r="http://schemas.openxmlformats.org/officeDocument/2006/relationships" ref="O779" r:id="rId778"/>
    <hyperlink xmlns:r="http://schemas.openxmlformats.org/officeDocument/2006/relationships" ref="O780" r:id="rId779"/>
    <hyperlink xmlns:r="http://schemas.openxmlformats.org/officeDocument/2006/relationships" ref="O781" r:id="rId780"/>
    <hyperlink xmlns:r="http://schemas.openxmlformats.org/officeDocument/2006/relationships" ref="O782" r:id="rId781"/>
    <hyperlink xmlns:r="http://schemas.openxmlformats.org/officeDocument/2006/relationships" ref="O783" r:id="rId782"/>
    <hyperlink xmlns:r="http://schemas.openxmlformats.org/officeDocument/2006/relationships" ref="O784" r:id="rId783"/>
    <hyperlink xmlns:r="http://schemas.openxmlformats.org/officeDocument/2006/relationships" ref="O785" r:id="rId784"/>
    <hyperlink xmlns:r="http://schemas.openxmlformats.org/officeDocument/2006/relationships" ref="O786" r:id="rId785"/>
    <hyperlink xmlns:r="http://schemas.openxmlformats.org/officeDocument/2006/relationships" ref="O787" r:id="rId786"/>
    <hyperlink xmlns:r="http://schemas.openxmlformats.org/officeDocument/2006/relationships" ref="O788" r:id="rId787"/>
    <hyperlink xmlns:r="http://schemas.openxmlformats.org/officeDocument/2006/relationships" ref="O789" r:id="rId788"/>
    <hyperlink xmlns:r="http://schemas.openxmlformats.org/officeDocument/2006/relationships" ref="O790" r:id="rId789"/>
    <hyperlink xmlns:r="http://schemas.openxmlformats.org/officeDocument/2006/relationships" ref="O791" r:id="rId790"/>
    <hyperlink xmlns:r="http://schemas.openxmlformats.org/officeDocument/2006/relationships" ref="O792" r:id="rId791"/>
    <hyperlink xmlns:r="http://schemas.openxmlformats.org/officeDocument/2006/relationships" ref="O793" r:id="rId792"/>
    <hyperlink xmlns:r="http://schemas.openxmlformats.org/officeDocument/2006/relationships" ref="O794" r:id="rId793"/>
    <hyperlink xmlns:r="http://schemas.openxmlformats.org/officeDocument/2006/relationships" ref="O795" r:id="rId794"/>
    <hyperlink xmlns:r="http://schemas.openxmlformats.org/officeDocument/2006/relationships" ref="O796" r:id="rId795"/>
    <hyperlink xmlns:r="http://schemas.openxmlformats.org/officeDocument/2006/relationships" ref="O797" r:id="rId796"/>
    <hyperlink xmlns:r="http://schemas.openxmlformats.org/officeDocument/2006/relationships" ref="O798" r:id="rId797"/>
    <hyperlink xmlns:r="http://schemas.openxmlformats.org/officeDocument/2006/relationships" ref="O799" r:id="rId798"/>
    <hyperlink xmlns:r="http://schemas.openxmlformats.org/officeDocument/2006/relationships" ref="O800" r:id="rId799"/>
    <hyperlink xmlns:r="http://schemas.openxmlformats.org/officeDocument/2006/relationships" ref="O801" r:id="rId800"/>
    <hyperlink xmlns:r="http://schemas.openxmlformats.org/officeDocument/2006/relationships" ref="O802" r:id="rId801"/>
    <hyperlink xmlns:r="http://schemas.openxmlformats.org/officeDocument/2006/relationships" ref="O803" r:id="rId802"/>
    <hyperlink xmlns:r="http://schemas.openxmlformats.org/officeDocument/2006/relationships" ref="O804" r:id="rId803"/>
    <hyperlink xmlns:r="http://schemas.openxmlformats.org/officeDocument/2006/relationships" ref="O805" r:id="rId804"/>
    <hyperlink xmlns:r="http://schemas.openxmlformats.org/officeDocument/2006/relationships" ref="O806" r:id="rId805"/>
    <hyperlink xmlns:r="http://schemas.openxmlformats.org/officeDocument/2006/relationships" ref="O807" r:id="rId806"/>
    <hyperlink xmlns:r="http://schemas.openxmlformats.org/officeDocument/2006/relationships" ref="O808" r:id="rId807"/>
    <hyperlink xmlns:r="http://schemas.openxmlformats.org/officeDocument/2006/relationships" ref="O809" r:id="rId808"/>
    <hyperlink xmlns:r="http://schemas.openxmlformats.org/officeDocument/2006/relationships" ref="O810" r:id="rId809"/>
    <hyperlink xmlns:r="http://schemas.openxmlformats.org/officeDocument/2006/relationships" ref="O811" r:id="rId810"/>
    <hyperlink xmlns:r="http://schemas.openxmlformats.org/officeDocument/2006/relationships" ref="O812" r:id="rId811"/>
    <hyperlink xmlns:r="http://schemas.openxmlformats.org/officeDocument/2006/relationships" ref="O813" r:id="rId812"/>
    <hyperlink xmlns:r="http://schemas.openxmlformats.org/officeDocument/2006/relationships" ref="O814" r:id="rId813"/>
    <hyperlink xmlns:r="http://schemas.openxmlformats.org/officeDocument/2006/relationships" ref="O815" r:id="rId814"/>
    <hyperlink xmlns:r="http://schemas.openxmlformats.org/officeDocument/2006/relationships" ref="O816" r:id="rId815"/>
    <hyperlink xmlns:r="http://schemas.openxmlformats.org/officeDocument/2006/relationships" ref="O817" r:id="rId816"/>
    <hyperlink xmlns:r="http://schemas.openxmlformats.org/officeDocument/2006/relationships" ref="O818" r:id="rId817"/>
    <hyperlink xmlns:r="http://schemas.openxmlformats.org/officeDocument/2006/relationships" ref="O819" r:id="rId818"/>
    <hyperlink xmlns:r="http://schemas.openxmlformats.org/officeDocument/2006/relationships" ref="O820" r:id="rId819"/>
    <hyperlink xmlns:r="http://schemas.openxmlformats.org/officeDocument/2006/relationships" ref="O821" r:id="rId820"/>
    <hyperlink xmlns:r="http://schemas.openxmlformats.org/officeDocument/2006/relationships" ref="O822" r:id="rId821"/>
    <hyperlink xmlns:r="http://schemas.openxmlformats.org/officeDocument/2006/relationships" ref="O823" r:id="rId822"/>
    <hyperlink xmlns:r="http://schemas.openxmlformats.org/officeDocument/2006/relationships" ref="O824" r:id="rId823"/>
    <hyperlink xmlns:r="http://schemas.openxmlformats.org/officeDocument/2006/relationships" ref="O825" r:id="rId824"/>
    <hyperlink xmlns:r="http://schemas.openxmlformats.org/officeDocument/2006/relationships" ref="O826" r:id="rId825"/>
    <hyperlink xmlns:r="http://schemas.openxmlformats.org/officeDocument/2006/relationships" ref="O827" r:id="rId826"/>
    <hyperlink xmlns:r="http://schemas.openxmlformats.org/officeDocument/2006/relationships" ref="O828" r:id="rId827"/>
    <hyperlink xmlns:r="http://schemas.openxmlformats.org/officeDocument/2006/relationships" ref="O829" r:id="rId828"/>
    <hyperlink xmlns:r="http://schemas.openxmlformats.org/officeDocument/2006/relationships" ref="O830" r:id="rId829"/>
    <hyperlink xmlns:r="http://schemas.openxmlformats.org/officeDocument/2006/relationships" ref="O831" r:id="rId830"/>
    <hyperlink xmlns:r="http://schemas.openxmlformats.org/officeDocument/2006/relationships" ref="O832" r:id="rId831"/>
    <hyperlink xmlns:r="http://schemas.openxmlformats.org/officeDocument/2006/relationships" ref="O833" r:id="rId832"/>
    <hyperlink xmlns:r="http://schemas.openxmlformats.org/officeDocument/2006/relationships" ref="O834" r:id="rId833"/>
    <hyperlink xmlns:r="http://schemas.openxmlformats.org/officeDocument/2006/relationships" ref="O835" r:id="rId834"/>
    <hyperlink xmlns:r="http://schemas.openxmlformats.org/officeDocument/2006/relationships" ref="O836" r:id="rId835"/>
    <hyperlink xmlns:r="http://schemas.openxmlformats.org/officeDocument/2006/relationships" ref="O837" r:id="rId836"/>
    <hyperlink xmlns:r="http://schemas.openxmlformats.org/officeDocument/2006/relationships" ref="O838" r:id="rId837"/>
    <hyperlink xmlns:r="http://schemas.openxmlformats.org/officeDocument/2006/relationships" ref="O839" r:id="rId838"/>
    <hyperlink xmlns:r="http://schemas.openxmlformats.org/officeDocument/2006/relationships" ref="O840" r:id="rId839"/>
    <hyperlink xmlns:r="http://schemas.openxmlformats.org/officeDocument/2006/relationships" ref="O841" r:id="rId840"/>
    <hyperlink xmlns:r="http://schemas.openxmlformats.org/officeDocument/2006/relationships" ref="O842" r:id="rId841"/>
    <hyperlink xmlns:r="http://schemas.openxmlformats.org/officeDocument/2006/relationships" ref="O843" r:id="rId842"/>
    <hyperlink xmlns:r="http://schemas.openxmlformats.org/officeDocument/2006/relationships" ref="O844" r:id="rId843"/>
    <hyperlink xmlns:r="http://schemas.openxmlformats.org/officeDocument/2006/relationships" ref="O845" r:id="rId844"/>
    <hyperlink xmlns:r="http://schemas.openxmlformats.org/officeDocument/2006/relationships" ref="O846" r:id="rId845"/>
    <hyperlink xmlns:r="http://schemas.openxmlformats.org/officeDocument/2006/relationships" ref="O847" r:id="rId846"/>
    <hyperlink xmlns:r="http://schemas.openxmlformats.org/officeDocument/2006/relationships" ref="O848" r:id="rId847"/>
    <hyperlink xmlns:r="http://schemas.openxmlformats.org/officeDocument/2006/relationships" ref="O849" r:id="rId848"/>
    <hyperlink xmlns:r="http://schemas.openxmlformats.org/officeDocument/2006/relationships" ref="O850" r:id="rId849"/>
    <hyperlink xmlns:r="http://schemas.openxmlformats.org/officeDocument/2006/relationships" ref="O851" r:id="rId850"/>
    <hyperlink xmlns:r="http://schemas.openxmlformats.org/officeDocument/2006/relationships" ref="O852" r:id="rId851"/>
    <hyperlink xmlns:r="http://schemas.openxmlformats.org/officeDocument/2006/relationships" ref="O853" r:id="rId852"/>
    <hyperlink xmlns:r="http://schemas.openxmlformats.org/officeDocument/2006/relationships" ref="O854" r:id="rId853"/>
    <hyperlink xmlns:r="http://schemas.openxmlformats.org/officeDocument/2006/relationships" ref="O855" r:id="rId854"/>
    <hyperlink xmlns:r="http://schemas.openxmlformats.org/officeDocument/2006/relationships" ref="O856" r:id="rId855"/>
    <hyperlink xmlns:r="http://schemas.openxmlformats.org/officeDocument/2006/relationships" ref="O857" r:id="rId856"/>
    <hyperlink xmlns:r="http://schemas.openxmlformats.org/officeDocument/2006/relationships" ref="O858" r:id="rId857"/>
    <hyperlink xmlns:r="http://schemas.openxmlformats.org/officeDocument/2006/relationships" ref="O859" r:id="rId858"/>
    <hyperlink xmlns:r="http://schemas.openxmlformats.org/officeDocument/2006/relationships" ref="O860" r:id="rId859"/>
    <hyperlink xmlns:r="http://schemas.openxmlformats.org/officeDocument/2006/relationships" ref="O861" r:id="rId860"/>
    <hyperlink xmlns:r="http://schemas.openxmlformats.org/officeDocument/2006/relationships" ref="O862" r:id="rId861"/>
    <hyperlink xmlns:r="http://schemas.openxmlformats.org/officeDocument/2006/relationships" ref="O863" r:id="rId862"/>
    <hyperlink xmlns:r="http://schemas.openxmlformats.org/officeDocument/2006/relationships" ref="O864" r:id="rId863"/>
    <hyperlink xmlns:r="http://schemas.openxmlformats.org/officeDocument/2006/relationships" ref="O865" r:id="rId864"/>
    <hyperlink xmlns:r="http://schemas.openxmlformats.org/officeDocument/2006/relationships" ref="O866" r:id="rId865"/>
    <hyperlink xmlns:r="http://schemas.openxmlformats.org/officeDocument/2006/relationships" ref="O867" r:id="rId866"/>
    <hyperlink xmlns:r="http://schemas.openxmlformats.org/officeDocument/2006/relationships" ref="O868" r:id="rId867"/>
    <hyperlink xmlns:r="http://schemas.openxmlformats.org/officeDocument/2006/relationships" ref="O869" r:id="rId868"/>
    <hyperlink xmlns:r="http://schemas.openxmlformats.org/officeDocument/2006/relationships" ref="O870" r:id="rId869"/>
    <hyperlink xmlns:r="http://schemas.openxmlformats.org/officeDocument/2006/relationships" ref="O871" r:id="rId870"/>
    <hyperlink xmlns:r="http://schemas.openxmlformats.org/officeDocument/2006/relationships" ref="O872" r:id="rId871"/>
    <hyperlink xmlns:r="http://schemas.openxmlformats.org/officeDocument/2006/relationships" ref="O873" r:id="rId872"/>
    <hyperlink xmlns:r="http://schemas.openxmlformats.org/officeDocument/2006/relationships" ref="O874" r:id="rId873"/>
    <hyperlink xmlns:r="http://schemas.openxmlformats.org/officeDocument/2006/relationships" ref="O875" r:id="rId874"/>
    <hyperlink xmlns:r="http://schemas.openxmlformats.org/officeDocument/2006/relationships" ref="O876" r:id="rId875"/>
    <hyperlink xmlns:r="http://schemas.openxmlformats.org/officeDocument/2006/relationships" ref="O877" r:id="rId876"/>
    <hyperlink xmlns:r="http://schemas.openxmlformats.org/officeDocument/2006/relationships" ref="O878" r:id="rId877"/>
    <hyperlink xmlns:r="http://schemas.openxmlformats.org/officeDocument/2006/relationships" ref="O879" r:id="rId878"/>
    <hyperlink xmlns:r="http://schemas.openxmlformats.org/officeDocument/2006/relationships" ref="O880" r:id="rId879"/>
    <hyperlink xmlns:r="http://schemas.openxmlformats.org/officeDocument/2006/relationships" ref="O881" r:id="rId880"/>
    <hyperlink xmlns:r="http://schemas.openxmlformats.org/officeDocument/2006/relationships" ref="O882" r:id="rId881"/>
    <hyperlink xmlns:r="http://schemas.openxmlformats.org/officeDocument/2006/relationships" ref="O883" r:id="rId882"/>
    <hyperlink xmlns:r="http://schemas.openxmlformats.org/officeDocument/2006/relationships" ref="O884" r:id="rId883"/>
    <hyperlink xmlns:r="http://schemas.openxmlformats.org/officeDocument/2006/relationships" ref="O885" r:id="rId884"/>
    <hyperlink xmlns:r="http://schemas.openxmlformats.org/officeDocument/2006/relationships" ref="O886" r:id="rId885"/>
    <hyperlink xmlns:r="http://schemas.openxmlformats.org/officeDocument/2006/relationships" ref="O887" r:id="rId886"/>
    <hyperlink xmlns:r="http://schemas.openxmlformats.org/officeDocument/2006/relationships" ref="O888" r:id="rId887"/>
    <hyperlink xmlns:r="http://schemas.openxmlformats.org/officeDocument/2006/relationships" ref="O889" r:id="rId888"/>
    <hyperlink xmlns:r="http://schemas.openxmlformats.org/officeDocument/2006/relationships" ref="O890" r:id="rId889"/>
    <hyperlink xmlns:r="http://schemas.openxmlformats.org/officeDocument/2006/relationships" ref="O891" r:id="rId890"/>
    <hyperlink xmlns:r="http://schemas.openxmlformats.org/officeDocument/2006/relationships" ref="O892" r:id="rId891"/>
    <hyperlink xmlns:r="http://schemas.openxmlformats.org/officeDocument/2006/relationships" ref="O893" r:id="rId892"/>
    <hyperlink xmlns:r="http://schemas.openxmlformats.org/officeDocument/2006/relationships" ref="O894" r:id="rId893"/>
    <hyperlink xmlns:r="http://schemas.openxmlformats.org/officeDocument/2006/relationships" ref="O895" r:id="rId894"/>
    <hyperlink xmlns:r="http://schemas.openxmlformats.org/officeDocument/2006/relationships" ref="O896" r:id="rId895"/>
    <hyperlink xmlns:r="http://schemas.openxmlformats.org/officeDocument/2006/relationships" ref="O897" r:id="rId896"/>
    <hyperlink xmlns:r="http://schemas.openxmlformats.org/officeDocument/2006/relationships" ref="O898" r:id="rId897"/>
    <hyperlink xmlns:r="http://schemas.openxmlformats.org/officeDocument/2006/relationships" ref="O899" r:id="rId898"/>
    <hyperlink xmlns:r="http://schemas.openxmlformats.org/officeDocument/2006/relationships" ref="O900" r:id="rId899"/>
    <hyperlink xmlns:r="http://schemas.openxmlformats.org/officeDocument/2006/relationships" ref="O901" r:id="rId900"/>
    <hyperlink xmlns:r="http://schemas.openxmlformats.org/officeDocument/2006/relationships" ref="O902" r:id="rId901"/>
    <hyperlink xmlns:r="http://schemas.openxmlformats.org/officeDocument/2006/relationships" ref="O903" r:id="rId902"/>
    <hyperlink xmlns:r="http://schemas.openxmlformats.org/officeDocument/2006/relationships" ref="O904" r:id="rId903"/>
    <hyperlink xmlns:r="http://schemas.openxmlformats.org/officeDocument/2006/relationships" ref="O905" r:id="rId904"/>
    <hyperlink xmlns:r="http://schemas.openxmlformats.org/officeDocument/2006/relationships" ref="O906" r:id="rId905"/>
    <hyperlink xmlns:r="http://schemas.openxmlformats.org/officeDocument/2006/relationships" ref="O907" r:id="rId906"/>
    <hyperlink xmlns:r="http://schemas.openxmlformats.org/officeDocument/2006/relationships" ref="O908" r:id="rId907"/>
    <hyperlink xmlns:r="http://schemas.openxmlformats.org/officeDocument/2006/relationships" ref="O909" r:id="rId908"/>
    <hyperlink xmlns:r="http://schemas.openxmlformats.org/officeDocument/2006/relationships" ref="O910" r:id="rId909"/>
    <hyperlink xmlns:r="http://schemas.openxmlformats.org/officeDocument/2006/relationships" ref="O911" r:id="rId910"/>
    <hyperlink xmlns:r="http://schemas.openxmlformats.org/officeDocument/2006/relationships" ref="O912" r:id="rId911"/>
    <hyperlink xmlns:r="http://schemas.openxmlformats.org/officeDocument/2006/relationships" ref="O913" r:id="rId912"/>
    <hyperlink xmlns:r="http://schemas.openxmlformats.org/officeDocument/2006/relationships" ref="O914" r:id="rId913"/>
    <hyperlink xmlns:r="http://schemas.openxmlformats.org/officeDocument/2006/relationships" ref="O915" r:id="rId914"/>
    <hyperlink xmlns:r="http://schemas.openxmlformats.org/officeDocument/2006/relationships" ref="O916" r:id="rId915"/>
    <hyperlink xmlns:r="http://schemas.openxmlformats.org/officeDocument/2006/relationships" ref="O917" r:id="rId916"/>
    <hyperlink xmlns:r="http://schemas.openxmlformats.org/officeDocument/2006/relationships" ref="O918" r:id="rId917"/>
    <hyperlink xmlns:r="http://schemas.openxmlformats.org/officeDocument/2006/relationships" ref="O919" r:id="rId918"/>
    <hyperlink xmlns:r="http://schemas.openxmlformats.org/officeDocument/2006/relationships" ref="O920" r:id="rId919"/>
    <hyperlink xmlns:r="http://schemas.openxmlformats.org/officeDocument/2006/relationships" ref="O921" r:id="rId920"/>
    <hyperlink xmlns:r="http://schemas.openxmlformats.org/officeDocument/2006/relationships" ref="O922" r:id="rId921"/>
    <hyperlink xmlns:r="http://schemas.openxmlformats.org/officeDocument/2006/relationships" ref="O923" r:id="rId922"/>
    <hyperlink xmlns:r="http://schemas.openxmlformats.org/officeDocument/2006/relationships" ref="O924" r:id="rId923"/>
    <hyperlink xmlns:r="http://schemas.openxmlformats.org/officeDocument/2006/relationships" ref="O925" r:id="rId924"/>
    <hyperlink xmlns:r="http://schemas.openxmlformats.org/officeDocument/2006/relationships" ref="O926" r:id="rId925"/>
    <hyperlink xmlns:r="http://schemas.openxmlformats.org/officeDocument/2006/relationships" ref="O927" r:id="rId926"/>
    <hyperlink xmlns:r="http://schemas.openxmlformats.org/officeDocument/2006/relationships" ref="O928" r:id="rId927"/>
    <hyperlink xmlns:r="http://schemas.openxmlformats.org/officeDocument/2006/relationships" ref="O929" r:id="rId928"/>
    <hyperlink xmlns:r="http://schemas.openxmlformats.org/officeDocument/2006/relationships" ref="O930" r:id="rId929"/>
    <hyperlink xmlns:r="http://schemas.openxmlformats.org/officeDocument/2006/relationships" ref="O931" r:id="rId930"/>
    <hyperlink xmlns:r="http://schemas.openxmlformats.org/officeDocument/2006/relationships" ref="O932" r:id="rId931"/>
    <hyperlink xmlns:r="http://schemas.openxmlformats.org/officeDocument/2006/relationships" ref="O933" r:id="rId932"/>
    <hyperlink xmlns:r="http://schemas.openxmlformats.org/officeDocument/2006/relationships" ref="O934" r:id="rId933"/>
    <hyperlink xmlns:r="http://schemas.openxmlformats.org/officeDocument/2006/relationships" ref="O935" r:id="rId934"/>
    <hyperlink xmlns:r="http://schemas.openxmlformats.org/officeDocument/2006/relationships" ref="O936" r:id="rId935"/>
    <hyperlink xmlns:r="http://schemas.openxmlformats.org/officeDocument/2006/relationships" ref="O937" r:id="rId936"/>
    <hyperlink xmlns:r="http://schemas.openxmlformats.org/officeDocument/2006/relationships" ref="O938" r:id="rId937"/>
    <hyperlink xmlns:r="http://schemas.openxmlformats.org/officeDocument/2006/relationships" ref="O939" r:id="rId938"/>
    <hyperlink xmlns:r="http://schemas.openxmlformats.org/officeDocument/2006/relationships" ref="O940" r:id="rId939"/>
    <hyperlink xmlns:r="http://schemas.openxmlformats.org/officeDocument/2006/relationships" ref="O941" r:id="rId940"/>
    <hyperlink xmlns:r="http://schemas.openxmlformats.org/officeDocument/2006/relationships" ref="O942" r:id="rId941"/>
    <hyperlink xmlns:r="http://schemas.openxmlformats.org/officeDocument/2006/relationships" ref="O943" r:id="rId942"/>
    <hyperlink xmlns:r="http://schemas.openxmlformats.org/officeDocument/2006/relationships" ref="O944" r:id="rId943"/>
    <hyperlink xmlns:r="http://schemas.openxmlformats.org/officeDocument/2006/relationships" ref="O945" r:id="rId944"/>
    <hyperlink xmlns:r="http://schemas.openxmlformats.org/officeDocument/2006/relationships" ref="O946" r:id="rId945"/>
    <hyperlink xmlns:r="http://schemas.openxmlformats.org/officeDocument/2006/relationships" ref="O947" r:id="rId946"/>
    <hyperlink xmlns:r="http://schemas.openxmlformats.org/officeDocument/2006/relationships" ref="O948" r:id="rId947"/>
    <hyperlink xmlns:r="http://schemas.openxmlformats.org/officeDocument/2006/relationships" ref="O949" r:id="rId948"/>
    <hyperlink xmlns:r="http://schemas.openxmlformats.org/officeDocument/2006/relationships" ref="O950" r:id="rId949"/>
    <hyperlink xmlns:r="http://schemas.openxmlformats.org/officeDocument/2006/relationships" ref="O951" r:id="rId950"/>
    <hyperlink xmlns:r="http://schemas.openxmlformats.org/officeDocument/2006/relationships" ref="O952" r:id="rId951"/>
    <hyperlink xmlns:r="http://schemas.openxmlformats.org/officeDocument/2006/relationships" ref="O953" r:id="rId952"/>
    <hyperlink xmlns:r="http://schemas.openxmlformats.org/officeDocument/2006/relationships" ref="O954" r:id="rId953"/>
    <hyperlink xmlns:r="http://schemas.openxmlformats.org/officeDocument/2006/relationships" ref="O955" r:id="rId954"/>
    <hyperlink xmlns:r="http://schemas.openxmlformats.org/officeDocument/2006/relationships" ref="O956" r:id="rId955"/>
    <hyperlink xmlns:r="http://schemas.openxmlformats.org/officeDocument/2006/relationships" ref="O957" r:id="rId956"/>
    <hyperlink xmlns:r="http://schemas.openxmlformats.org/officeDocument/2006/relationships" ref="O958" r:id="rId957"/>
    <hyperlink xmlns:r="http://schemas.openxmlformats.org/officeDocument/2006/relationships" ref="O959" r:id="rId958"/>
    <hyperlink xmlns:r="http://schemas.openxmlformats.org/officeDocument/2006/relationships" ref="O960" r:id="rId959"/>
    <hyperlink xmlns:r="http://schemas.openxmlformats.org/officeDocument/2006/relationships" ref="O961" r:id="rId960"/>
    <hyperlink xmlns:r="http://schemas.openxmlformats.org/officeDocument/2006/relationships" ref="O962" r:id="rId961"/>
    <hyperlink xmlns:r="http://schemas.openxmlformats.org/officeDocument/2006/relationships" ref="O963" r:id="rId962"/>
    <hyperlink xmlns:r="http://schemas.openxmlformats.org/officeDocument/2006/relationships" ref="O964" r:id="rId963"/>
    <hyperlink xmlns:r="http://schemas.openxmlformats.org/officeDocument/2006/relationships" ref="O965" r:id="rId964"/>
    <hyperlink xmlns:r="http://schemas.openxmlformats.org/officeDocument/2006/relationships" ref="O966" r:id="rId965"/>
    <hyperlink xmlns:r="http://schemas.openxmlformats.org/officeDocument/2006/relationships" ref="O967" r:id="rId966"/>
    <hyperlink xmlns:r="http://schemas.openxmlformats.org/officeDocument/2006/relationships" ref="O968" r:id="rId967"/>
    <hyperlink xmlns:r="http://schemas.openxmlformats.org/officeDocument/2006/relationships" ref="O969" r:id="rId968"/>
    <hyperlink xmlns:r="http://schemas.openxmlformats.org/officeDocument/2006/relationships" ref="O970" r:id="rId969"/>
    <hyperlink xmlns:r="http://schemas.openxmlformats.org/officeDocument/2006/relationships" ref="O971" r:id="rId970"/>
    <hyperlink xmlns:r="http://schemas.openxmlformats.org/officeDocument/2006/relationships" ref="O972" r:id="rId971"/>
    <hyperlink xmlns:r="http://schemas.openxmlformats.org/officeDocument/2006/relationships" ref="O973" r:id="rId972"/>
    <hyperlink xmlns:r="http://schemas.openxmlformats.org/officeDocument/2006/relationships" ref="O974" r:id="rId973"/>
    <hyperlink xmlns:r="http://schemas.openxmlformats.org/officeDocument/2006/relationships" ref="O975" r:id="rId974"/>
    <hyperlink xmlns:r="http://schemas.openxmlformats.org/officeDocument/2006/relationships" ref="O976" r:id="rId975"/>
    <hyperlink xmlns:r="http://schemas.openxmlformats.org/officeDocument/2006/relationships" ref="O977" r:id="rId976"/>
    <hyperlink xmlns:r="http://schemas.openxmlformats.org/officeDocument/2006/relationships" ref="O978" r:id="rId977"/>
    <hyperlink xmlns:r="http://schemas.openxmlformats.org/officeDocument/2006/relationships" ref="O979" r:id="rId978"/>
    <hyperlink xmlns:r="http://schemas.openxmlformats.org/officeDocument/2006/relationships" ref="O980" r:id="rId979"/>
    <hyperlink xmlns:r="http://schemas.openxmlformats.org/officeDocument/2006/relationships" ref="O981" r:id="rId980"/>
    <hyperlink xmlns:r="http://schemas.openxmlformats.org/officeDocument/2006/relationships" ref="O982" r:id="rId981"/>
    <hyperlink xmlns:r="http://schemas.openxmlformats.org/officeDocument/2006/relationships" ref="O983" r:id="rId982"/>
    <hyperlink xmlns:r="http://schemas.openxmlformats.org/officeDocument/2006/relationships" ref="O984" r:id="rId983"/>
    <hyperlink xmlns:r="http://schemas.openxmlformats.org/officeDocument/2006/relationships" ref="O985" r:id="rId984"/>
    <hyperlink xmlns:r="http://schemas.openxmlformats.org/officeDocument/2006/relationships" ref="O986" r:id="rId985"/>
    <hyperlink xmlns:r="http://schemas.openxmlformats.org/officeDocument/2006/relationships" ref="O987" r:id="rId986"/>
    <hyperlink xmlns:r="http://schemas.openxmlformats.org/officeDocument/2006/relationships" ref="O988" r:id="rId987"/>
    <hyperlink xmlns:r="http://schemas.openxmlformats.org/officeDocument/2006/relationships" ref="O989" r:id="rId988"/>
    <hyperlink xmlns:r="http://schemas.openxmlformats.org/officeDocument/2006/relationships" ref="O990" r:id="rId989"/>
    <hyperlink xmlns:r="http://schemas.openxmlformats.org/officeDocument/2006/relationships" ref="O991" r:id="rId990"/>
    <hyperlink xmlns:r="http://schemas.openxmlformats.org/officeDocument/2006/relationships" ref="O992" r:id="rId991"/>
    <hyperlink xmlns:r="http://schemas.openxmlformats.org/officeDocument/2006/relationships" ref="O993" r:id="rId992"/>
    <hyperlink xmlns:r="http://schemas.openxmlformats.org/officeDocument/2006/relationships" ref="O994" r:id="rId993"/>
    <hyperlink xmlns:r="http://schemas.openxmlformats.org/officeDocument/2006/relationships" ref="O995" r:id="rId994"/>
    <hyperlink xmlns:r="http://schemas.openxmlformats.org/officeDocument/2006/relationships" ref="O996" r:id="rId995"/>
    <hyperlink xmlns:r="http://schemas.openxmlformats.org/officeDocument/2006/relationships" ref="O997" r:id="rId996"/>
    <hyperlink xmlns:r="http://schemas.openxmlformats.org/officeDocument/2006/relationships" ref="O998" r:id="rId997"/>
    <hyperlink xmlns:r="http://schemas.openxmlformats.org/officeDocument/2006/relationships" ref="O999" r:id="rId998"/>
    <hyperlink xmlns:r="http://schemas.openxmlformats.org/officeDocument/2006/relationships" ref="O1000" r:id="rId999"/>
    <hyperlink xmlns:r="http://schemas.openxmlformats.org/officeDocument/2006/relationships" ref="O1001" r:id="rId1000"/>
    <hyperlink xmlns:r="http://schemas.openxmlformats.org/officeDocument/2006/relationships" ref="O1002" r:id="rId1001"/>
    <hyperlink xmlns:r="http://schemas.openxmlformats.org/officeDocument/2006/relationships" ref="O1003" r:id="rId1002"/>
    <hyperlink xmlns:r="http://schemas.openxmlformats.org/officeDocument/2006/relationships" ref="O1004" r:id="rId1003"/>
    <hyperlink xmlns:r="http://schemas.openxmlformats.org/officeDocument/2006/relationships" ref="O1005" r:id="rId1004"/>
    <hyperlink xmlns:r="http://schemas.openxmlformats.org/officeDocument/2006/relationships" ref="O1006" r:id="rId1005"/>
    <hyperlink xmlns:r="http://schemas.openxmlformats.org/officeDocument/2006/relationships" ref="O1007" r:id="rId1006"/>
    <hyperlink xmlns:r="http://schemas.openxmlformats.org/officeDocument/2006/relationships" ref="O1008" r:id="rId1007"/>
    <hyperlink xmlns:r="http://schemas.openxmlformats.org/officeDocument/2006/relationships" ref="O1009" r:id="rId1008"/>
    <hyperlink xmlns:r="http://schemas.openxmlformats.org/officeDocument/2006/relationships" ref="O1010" r:id="rId1009"/>
    <hyperlink xmlns:r="http://schemas.openxmlformats.org/officeDocument/2006/relationships" ref="O1011" r:id="rId1010"/>
    <hyperlink xmlns:r="http://schemas.openxmlformats.org/officeDocument/2006/relationships" ref="O1012" r:id="rId1011"/>
    <hyperlink xmlns:r="http://schemas.openxmlformats.org/officeDocument/2006/relationships" ref="O1013" r:id="rId1012"/>
    <hyperlink xmlns:r="http://schemas.openxmlformats.org/officeDocument/2006/relationships" ref="O1014" r:id="rId1013"/>
    <hyperlink xmlns:r="http://schemas.openxmlformats.org/officeDocument/2006/relationships" ref="O1015" r:id="rId1014"/>
    <hyperlink xmlns:r="http://schemas.openxmlformats.org/officeDocument/2006/relationships" ref="O1016" r:id="rId1015"/>
    <hyperlink xmlns:r="http://schemas.openxmlformats.org/officeDocument/2006/relationships" ref="O1017" r:id="rId1016"/>
    <hyperlink xmlns:r="http://schemas.openxmlformats.org/officeDocument/2006/relationships" ref="O1018" r:id="rId1017"/>
    <hyperlink xmlns:r="http://schemas.openxmlformats.org/officeDocument/2006/relationships" ref="O1019" r:id="rId1018"/>
    <hyperlink xmlns:r="http://schemas.openxmlformats.org/officeDocument/2006/relationships" ref="O1020" r:id="rId1019"/>
    <hyperlink xmlns:r="http://schemas.openxmlformats.org/officeDocument/2006/relationships" ref="O1021" r:id="rId1020"/>
    <hyperlink xmlns:r="http://schemas.openxmlformats.org/officeDocument/2006/relationships" ref="O1022" r:id="rId1021"/>
    <hyperlink xmlns:r="http://schemas.openxmlformats.org/officeDocument/2006/relationships" ref="O1023" r:id="rId1022"/>
    <hyperlink xmlns:r="http://schemas.openxmlformats.org/officeDocument/2006/relationships" ref="O1024" r:id="rId1023"/>
    <hyperlink xmlns:r="http://schemas.openxmlformats.org/officeDocument/2006/relationships" ref="O1025" r:id="rId1024"/>
    <hyperlink xmlns:r="http://schemas.openxmlformats.org/officeDocument/2006/relationships" ref="O1026" r:id="rId1025"/>
    <hyperlink xmlns:r="http://schemas.openxmlformats.org/officeDocument/2006/relationships" ref="O1027" r:id="rId1026"/>
    <hyperlink xmlns:r="http://schemas.openxmlformats.org/officeDocument/2006/relationships" ref="O1028" r:id="rId1027"/>
    <hyperlink xmlns:r="http://schemas.openxmlformats.org/officeDocument/2006/relationships" ref="O1029" r:id="rId1028"/>
    <hyperlink xmlns:r="http://schemas.openxmlformats.org/officeDocument/2006/relationships" ref="O1030" r:id="rId1029"/>
    <hyperlink xmlns:r="http://schemas.openxmlformats.org/officeDocument/2006/relationships" ref="O1031" r:id="rId1030"/>
    <hyperlink xmlns:r="http://schemas.openxmlformats.org/officeDocument/2006/relationships" ref="O1032" r:id="rId1031"/>
    <hyperlink xmlns:r="http://schemas.openxmlformats.org/officeDocument/2006/relationships" ref="O1033" r:id="rId1032"/>
    <hyperlink xmlns:r="http://schemas.openxmlformats.org/officeDocument/2006/relationships" ref="O1034" r:id="rId1033"/>
    <hyperlink xmlns:r="http://schemas.openxmlformats.org/officeDocument/2006/relationships" ref="O1035" r:id="rId1034"/>
    <hyperlink xmlns:r="http://schemas.openxmlformats.org/officeDocument/2006/relationships" ref="O1036" r:id="rId1035"/>
    <hyperlink xmlns:r="http://schemas.openxmlformats.org/officeDocument/2006/relationships" ref="O1037" r:id="rId1036"/>
    <hyperlink xmlns:r="http://schemas.openxmlformats.org/officeDocument/2006/relationships" ref="O1038" r:id="rId1037"/>
    <hyperlink xmlns:r="http://schemas.openxmlformats.org/officeDocument/2006/relationships" ref="O1039" r:id="rId1038"/>
    <hyperlink xmlns:r="http://schemas.openxmlformats.org/officeDocument/2006/relationships" ref="O1040" r:id="rId1039"/>
    <hyperlink xmlns:r="http://schemas.openxmlformats.org/officeDocument/2006/relationships" ref="O1041" r:id="rId1040"/>
    <hyperlink xmlns:r="http://schemas.openxmlformats.org/officeDocument/2006/relationships" ref="O1042" r:id="rId1041"/>
    <hyperlink xmlns:r="http://schemas.openxmlformats.org/officeDocument/2006/relationships" ref="O1043" r:id="rId1042"/>
    <hyperlink xmlns:r="http://schemas.openxmlformats.org/officeDocument/2006/relationships" ref="O1044" r:id="rId1043"/>
    <hyperlink xmlns:r="http://schemas.openxmlformats.org/officeDocument/2006/relationships" ref="O1045" r:id="rId1044"/>
    <hyperlink xmlns:r="http://schemas.openxmlformats.org/officeDocument/2006/relationships" ref="O1046" r:id="rId1045"/>
    <hyperlink xmlns:r="http://schemas.openxmlformats.org/officeDocument/2006/relationships" ref="O1047" r:id="rId1046"/>
    <hyperlink xmlns:r="http://schemas.openxmlformats.org/officeDocument/2006/relationships" ref="O1048" r:id="rId1047"/>
    <hyperlink xmlns:r="http://schemas.openxmlformats.org/officeDocument/2006/relationships" ref="O1049" r:id="rId1048"/>
    <hyperlink xmlns:r="http://schemas.openxmlformats.org/officeDocument/2006/relationships" ref="O1050" r:id="rId1049"/>
    <hyperlink xmlns:r="http://schemas.openxmlformats.org/officeDocument/2006/relationships" ref="O1051" r:id="rId1050"/>
    <hyperlink xmlns:r="http://schemas.openxmlformats.org/officeDocument/2006/relationships" ref="O1052" r:id="rId1051"/>
    <hyperlink xmlns:r="http://schemas.openxmlformats.org/officeDocument/2006/relationships" ref="O1053" r:id="rId1052"/>
    <hyperlink xmlns:r="http://schemas.openxmlformats.org/officeDocument/2006/relationships" ref="O1054" r:id="rId1053"/>
    <hyperlink xmlns:r="http://schemas.openxmlformats.org/officeDocument/2006/relationships" ref="O1055" r:id="rId1054"/>
    <hyperlink xmlns:r="http://schemas.openxmlformats.org/officeDocument/2006/relationships" ref="O1056" r:id="rId1055"/>
    <hyperlink xmlns:r="http://schemas.openxmlformats.org/officeDocument/2006/relationships" ref="O1057" r:id="rId1056"/>
    <hyperlink xmlns:r="http://schemas.openxmlformats.org/officeDocument/2006/relationships" ref="O1058" r:id="rId1057"/>
    <hyperlink xmlns:r="http://schemas.openxmlformats.org/officeDocument/2006/relationships" ref="O1059" r:id="rId1058"/>
    <hyperlink xmlns:r="http://schemas.openxmlformats.org/officeDocument/2006/relationships" ref="O1060" r:id="rId1059"/>
    <hyperlink xmlns:r="http://schemas.openxmlformats.org/officeDocument/2006/relationships" ref="O1061" r:id="rId1060"/>
    <hyperlink xmlns:r="http://schemas.openxmlformats.org/officeDocument/2006/relationships" ref="O1062" r:id="rId1061"/>
    <hyperlink xmlns:r="http://schemas.openxmlformats.org/officeDocument/2006/relationships" ref="O1063" r:id="rId1062"/>
    <hyperlink xmlns:r="http://schemas.openxmlformats.org/officeDocument/2006/relationships" ref="O1064" r:id="rId1063"/>
    <hyperlink xmlns:r="http://schemas.openxmlformats.org/officeDocument/2006/relationships" ref="O1065" r:id="rId1064"/>
    <hyperlink xmlns:r="http://schemas.openxmlformats.org/officeDocument/2006/relationships" ref="O1066" r:id="rId1065"/>
    <hyperlink xmlns:r="http://schemas.openxmlformats.org/officeDocument/2006/relationships" ref="O1067" r:id="rId1066"/>
    <hyperlink xmlns:r="http://schemas.openxmlformats.org/officeDocument/2006/relationships" ref="O1068" r:id="rId1067"/>
    <hyperlink xmlns:r="http://schemas.openxmlformats.org/officeDocument/2006/relationships" ref="O1069" r:id="rId1068"/>
    <hyperlink xmlns:r="http://schemas.openxmlformats.org/officeDocument/2006/relationships" ref="O1070" r:id="rId1069"/>
    <hyperlink xmlns:r="http://schemas.openxmlformats.org/officeDocument/2006/relationships" ref="O1071" r:id="rId1070"/>
    <hyperlink xmlns:r="http://schemas.openxmlformats.org/officeDocument/2006/relationships" ref="O1072" r:id="rId1071"/>
    <hyperlink xmlns:r="http://schemas.openxmlformats.org/officeDocument/2006/relationships" ref="O1073" r:id="rId1072"/>
    <hyperlink xmlns:r="http://schemas.openxmlformats.org/officeDocument/2006/relationships" ref="O1074" r:id="rId1073"/>
    <hyperlink xmlns:r="http://schemas.openxmlformats.org/officeDocument/2006/relationships" ref="O1075" r:id="rId1074"/>
    <hyperlink xmlns:r="http://schemas.openxmlformats.org/officeDocument/2006/relationships" ref="O1076" r:id="rId1075"/>
    <hyperlink xmlns:r="http://schemas.openxmlformats.org/officeDocument/2006/relationships" ref="O1077" r:id="rId1076"/>
    <hyperlink xmlns:r="http://schemas.openxmlformats.org/officeDocument/2006/relationships" ref="O1078" r:id="rId1077"/>
    <hyperlink xmlns:r="http://schemas.openxmlformats.org/officeDocument/2006/relationships" ref="O1079" r:id="rId1078"/>
    <hyperlink xmlns:r="http://schemas.openxmlformats.org/officeDocument/2006/relationships" ref="O1080" r:id="rId1079"/>
    <hyperlink xmlns:r="http://schemas.openxmlformats.org/officeDocument/2006/relationships" ref="O1081" r:id="rId1080"/>
    <hyperlink xmlns:r="http://schemas.openxmlformats.org/officeDocument/2006/relationships" ref="O1082" r:id="rId1081"/>
    <hyperlink xmlns:r="http://schemas.openxmlformats.org/officeDocument/2006/relationships" ref="O1083" r:id="rId1082"/>
    <hyperlink xmlns:r="http://schemas.openxmlformats.org/officeDocument/2006/relationships" ref="O1084" r:id="rId1083"/>
    <hyperlink xmlns:r="http://schemas.openxmlformats.org/officeDocument/2006/relationships" ref="O1085" r:id="rId1084"/>
    <hyperlink xmlns:r="http://schemas.openxmlformats.org/officeDocument/2006/relationships" ref="O1086" r:id="rId1085"/>
    <hyperlink xmlns:r="http://schemas.openxmlformats.org/officeDocument/2006/relationships" ref="O1087" r:id="rId1086"/>
    <hyperlink xmlns:r="http://schemas.openxmlformats.org/officeDocument/2006/relationships" ref="O1088" r:id="rId1087"/>
    <hyperlink xmlns:r="http://schemas.openxmlformats.org/officeDocument/2006/relationships" ref="O1089" r:id="rId1088"/>
    <hyperlink xmlns:r="http://schemas.openxmlformats.org/officeDocument/2006/relationships" ref="O1090" r:id="rId1089"/>
    <hyperlink xmlns:r="http://schemas.openxmlformats.org/officeDocument/2006/relationships" ref="O1091" r:id="rId1090"/>
    <hyperlink xmlns:r="http://schemas.openxmlformats.org/officeDocument/2006/relationships" ref="O1092" r:id="rId1091"/>
    <hyperlink xmlns:r="http://schemas.openxmlformats.org/officeDocument/2006/relationships" ref="O1093" r:id="rId1092"/>
    <hyperlink xmlns:r="http://schemas.openxmlformats.org/officeDocument/2006/relationships" ref="O1094" r:id="rId1093"/>
    <hyperlink xmlns:r="http://schemas.openxmlformats.org/officeDocument/2006/relationships" ref="O1095" r:id="rId1094"/>
    <hyperlink xmlns:r="http://schemas.openxmlformats.org/officeDocument/2006/relationships" ref="O1096" r:id="rId1095"/>
    <hyperlink xmlns:r="http://schemas.openxmlformats.org/officeDocument/2006/relationships" ref="O1097" r:id="rId1096"/>
    <hyperlink xmlns:r="http://schemas.openxmlformats.org/officeDocument/2006/relationships" ref="O1098" r:id="rId1097"/>
    <hyperlink xmlns:r="http://schemas.openxmlformats.org/officeDocument/2006/relationships" ref="O1099" r:id="rId1098"/>
    <hyperlink xmlns:r="http://schemas.openxmlformats.org/officeDocument/2006/relationships" ref="O1100" r:id="rId1099"/>
    <hyperlink xmlns:r="http://schemas.openxmlformats.org/officeDocument/2006/relationships" ref="O1101" r:id="rId1100"/>
    <hyperlink xmlns:r="http://schemas.openxmlformats.org/officeDocument/2006/relationships" ref="O1102" r:id="rId1101"/>
    <hyperlink xmlns:r="http://schemas.openxmlformats.org/officeDocument/2006/relationships" ref="O1103" r:id="rId1102"/>
    <hyperlink xmlns:r="http://schemas.openxmlformats.org/officeDocument/2006/relationships" ref="O1104" r:id="rId1103"/>
    <hyperlink xmlns:r="http://schemas.openxmlformats.org/officeDocument/2006/relationships" ref="O1105" r:id="rId1104"/>
    <hyperlink xmlns:r="http://schemas.openxmlformats.org/officeDocument/2006/relationships" ref="O1106" r:id="rId1105"/>
    <hyperlink xmlns:r="http://schemas.openxmlformats.org/officeDocument/2006/relationships" ref="O1107" r:id="rId1106"/>
    <hyperlink xmlns:r="http://schemas.openxmlformats.org/officeDocument/2006/relationships" ref="O1108" r:id="rId1107"/>
    <hyperlink xmlns:r="http://schemas.openxmlformats.org/officeDocument/2006/relationships" ref="O1109" r:id="rId1108"/>
    <hyperlink xmlns:r="http://schemas.openxmlformats.org/officeDocument/2006/relationships" ref="O1110" r:id="rId1109"/>
    <hyperlink xmlns:r="http://schemas.openxmlformats.org/officeDocument/2006/relationships" ref="O1111" r:id="rId1110"/>
    <hyperlink xmlns:r="http://schemas.openxmlformats.org/officeDocument/2006/relationships" ref="O1112" r:id="rId1111"/>
    <hyperlink xmlns:r="http://schemas.openxmlformats.org/officeDocument/2006/relationships" ref="O1113" r:id="rId1112"/>
    <hyperlink xmlns:r="http://schemas.openxmlformats.org/officeDocument/2006/relationships" ref="O1114" r:id="rId1113"/>
    <hyperlink xmlns:r="http://schemas.openxmlformats.org/officeDocument/2006/relationships" ref="O1115" r:id="rId1114"/>
    <hyperlink xmlns:r="http://schemas.openxmlformats.org/officeDocument/2006/relationships" ref="O1116" r:id="rId1115"/>
    <hyperlink xmlns:r="http://schemas.openxmlformats.org/officeDocument/2006/relationships" ref="O1117" r:id="rId1116"/>
    <hyperlink xmlns:r="http://schemas.openxmlformats.org/officeDocument/2006/relationships" ref="O1118" r:id="rId1117"/>
    <hyperlink xmlns:r="http://schemas.openxmlformats.org/officeDocument/2006/relationships" ref="O1119" r:id="rId1118"/>
    <hyperlink xmlns:r="http://schemas.openxmlformats.org/officeDocument/2006/relationships" ref="O1120" r:id="rId1119"/>
    <hyperlink xmlns:r="http://schemas.openxmlformats.org/officeDocument/2006/relationships" ref="O1121" r:id="rId1120"/>
    <hyperlink xmlns:r="http://schemas.openxmlformats.org/officeDocument/2006/relationships" ref="O1122" r:id="rId1121"/>
    <hyperlink xmlns:r="http://schemas.openxmlformats.org/officeDocument/2006/relationships" ref="O1123" r:id="rId1122"/>
    <hyperlink xmlns:r="http://schemas.openxmlformats.org/officeDocument/2006/relationships" ref="O1124" r:id="rId1123"/>
    <hyperlink xmlns:r="http://schemas.openxmlformats.org/officeDocument/2006/relationships" ref="O1125" r:id="rId1124"/>
    <hyperlink xmlns:r="http://schemas.openxmlformats.org/officeDocument/2006/relationships" ref="O1126" r:id="rId1125"/>
    <hyperlink xmlns:r="http://schemas.openxmlformats.org/officeDocument/2006/relationships" ref="O1127" r:id="rId1126"/>
    <hyperlink xmlns:r="http://schemas.openxmlformats.org/officeDocument/2006/relationships" ref="O1128" r:id="rId1127"/>
    <hyperlink xmlns:r="http://schemas.openxmlformats.org/officeDocument/2006/relationships" ref="O1129" r:id="rId1128"/>
    <hyperlink xmlns:r="http://schemas.openxmlformats.org/officeDocument/2006/relationships" ref="O1130" r:id="rId1129"/>
    <hyperlink xmlns:r="http://schemas.openxmlformats.org/officeDocument/2006/relationships" ref="O1131" r:id="rId1130"/>
    <hyperlink xmlns:r="http://schemas.openxmlformats.org/officeDocument/2006/relationships" ref="O1132" r:id="rId1131"/>
    <hyperlink xmlns:r="http://schemas.openxmlformats.org/officeDocument/2006/relationships" ref="O1133" r:id="rId1132"/>
    <hyperlink xmlns:r="http://schemas.openxmlformats.org/officeDocument/2006/relationships" ref="O1134" r:id="rId1133"/>
    <hyperlink xmlns:r="http://schemas.openxmlformats.org/officeDocument/2006/relationships" ref="O1135" r:id="rId1134"/>
    <hyperlink xmlns:r="http://schemas.openxmlformats.org/officeDocument/2006/relationships" ref="O1136" r:id="rId1135"/>
    <hyperlink xmlns:r="http://schemas.openxmlformats.org/officeDocument/2006/relationships" ref="O1137" r:id="rId1136"/>
    <hyperlink xmlns:r="http://schemas.openxmlformats.org/officeDocument/2006/relationships" ref="O1138" r:id="rId1137"/>
    <hyperlink xmlns:r="http://schemas.openxmlformats.org/officeDocument/2006/relationships" ref="O1139" r:id="rId1138"/>
    <hyperlink xmlns:r="http://schemas.openxmlformats.org/officeDocument/2006/relationships" ref="O1140" r:id="rId1139"/>
    <hyperlink xmlns:r="http://schemas.openxmlformats.org/officeDocument/2006/relationships" ref="O1141" r:id="rId1140"/>
    <hyperlink xmlns:r="http://schemas.openxmlformats.org/officeDocument/2006/relationships" ref="O1142" r:id="rId1141"/>
    <hyperlink xmlns:r="http://schemas.openxmlformats.org/officeDocument/2006/relationships" ref="O1143" r:id="rId1142"/>
    <hyperlink xmlns:r="http://schemas.openxmlformats.org/officeDocument/2006/relationships" ref="O1144" r:id="rId1143"/>
    <hyperlink xmlns:r="http://schemas.openxmlformats.org/officeDocument/2006/relationships" ref="O1145" r:id="rId1144"/>
    <hyperlink xmlns:r="http://schemas.openxmlformats.org/officeDocument/2006/relationships" ref="O1146" r:id="rId1145"/>
    <hyperlink xmlns:r="http://schemas.openxmlformats.org/officeDocument/2006/relationships" ref="O1147" r:id="rId1146"/>
    <hyperlink xmlns:r="http://schemas.openxmlformats.org/officeDocument/2006/relationships" ref="O1148" r:id="rId1147"/>
    <hyperlink xmlns:r="http://schemas.openxmlformats.org/officeDocument/2006/relationships" ref="O1149" r:id="rId1148"/>
    <hyperlink xmlns:r="http://schemas.openxmlformats.org/officeDocument/2006/relationships" ref="O1150" r:id="rId1149"/>
    <hyperlink xmlns:r="http://schemas.openxmlformats.org/officeDocument/2006/relationships" ref="O1151" r:id="rId1150"/>
    <hyperlink xmlns:r="http://schemas.openxmlformats.org/officeDocument/2006/relationships" ref="O1152" r:id="rId1151"/>
    <hyperlink xmlns:r="http://schemas.openxmlformats.org/officeDocument/2006/relationships" ref="O1153" r:id="rId1152"/>
    <hyperlink xmlns:r="http://schemas.openxmlformats.org/officeDocument/2006/relationships" ref="O1154" r:id="rId1153"/>
    <hyperlink xmlns:r="http://schemas.openxmlformats.org/officeDocument/2006/relationships" ref="O1155" r:id="rId1154"/>
    <hyperlink xmlns:r="http://schemas.openxmlformats.org/officeDocument/2006/relationships" ref="O1156" r:id="rId1155"/>
    <hyperlink xmlns:r="http://schemas.openxmlformats.org/officeDocument/2006/relationships" ref="O1157" r:id="rId1156"/>
    <hyperlink xmlns:r="http://schemas.openxmlformats.org/officeDocument/2006/relationships" ref="O1158" r:id="rId1157"/>
    <hyperlink xmlns:r="http://schemas.openxmlformats.org/officeDocument/2006/relationships" ref="O1159" r:id="rId1158"/>
    <hyperlink xmlns:r="http://schemas.openxmlformats.org/officeDocument/2006/relationships" ref="O1160" r:id="rId1159"/>
    <hyperlink xmlns:r="http://schemas.openxmlformats.org/officeDocument/2006/relationships" ref="O1161" r:id="rId1160"/>
    <hyperlink xmlns:r="http://schemas.openxmlformats.org/officeDocument/2006/relationships" ref="O1162" r:id="rId1161"/>
    <hyperlink xmlns:r="http://schemas.openxmlformats.org/officeDocument/2006/relationships" ref="O1163" r:id="rId1162"/>
    <hyperlink xmlns:r="http://schemas.openxmlformats.org/officeDocument/2006/relationships" ref="O1164" r:id="rId1163"/>
    <hyperlink xmlns:r="http://schemas.openxmlformats.org/officeDocument/2006/relationships" ref="O1165" r:id="rId1164"/>
    <hyperlink xmlns:r="http://schemas.openxmlformats.org/officeDocument/2006/relationships" ref="O1166" r:id="rId1165"/>
    <hyperlink xmlns:r="http://schemas.openxmlformats.org/officeDocument/2006/relationships" ref="O1167" r:id="rId1166"/>
    <hyperlink xmlns:r="http://schemas.openxmlformats.org/officeDocument/2006/relationships" ref="O1168" r:id="rId1167"/>
    <hyperlink xmlns:r="http://schemas.openxmlformats.org/officeDocument/2006/relationships" ref="O1169" r:id="rId1168"/>
    <hyperlink xmlns:r="http://schemas.openxmlformats.org/officeDocument/2006/relationships" ref="O1170" r:id="rId1169"/>
    <hyperlink xmlns:r="http://schemas.openxmlformats.org/officeDocument/2006/relationships" ref="O1171" r:id="rId1170"/>
    <hyperlink xmlns:r="http://schemas.openxmlformats.org/officeDocument/2006/relationships" ref="O1172" r:id="rId1171"/>
    <hyperlink xmlns:r="http://schemas.openxmlformats.org/officeDocument/2006/relationships" ref="O1173" r:id="rId1172"/>
    <hyperlink xmlns:r="http://schemas.openxmlformats.org/officeDocument/2006/relationships" ref="O1174" r:id="rId1173"/>
    <hyperlink xmlns:r="http://schemas.openxmlformats.org/officeDocument/2006/relationships" ref="O1175" r:id="rId1174"/>
    <hyperlink xmlns:r="http://schemas.openxmlformats.org/officeDocument/2006/relationships" ref="O1176" r:id="rId1175"/>
    <hyperlink xmlns:r="http://schemas.openxmlformats.org/officeDocument/2006/relationships" ref="O1177" r:id="rId1176"/>
    <hyperlink xmlns:r="http://schemas.openxmlformats.org/officeDocument/2006/relationships" ref="O1178" r:id="rId1177"/>
    <hyperlink xmlns:r="http://schemas.openxmlformats.org/officeDocument/2006/relationships" ref="O1179" r:id="rId1178"/>
    <hyperlink xmlns:r="http://schemas.openxmlformats.org/officeDocument/2006/relationships" ref="O1180" r:id="rId1179"/>
    <hyperlink xmlns:r="http://schemas.openxmlformats.org/officeDocument/2006/relationships" ref="O1181" r:id="rId1180"/>
    <hyperlink xmlns:r="http://schemas.openxmlformats.org/officeDocument/2006/relationships" ref="O1182" r:id="rId1181"/>
    <hyperlink xmlns:r="http://schemas.openxmlformats.org/officeDocument/2006/relationships" ref="O1183" r:id="rId1182"/>
    <hyperlink xmlns:r="http://schemas.openxmlformats.org/officeDocument/2006/relationships" ref="O1184" r:id="rId1183"/>
    <hyperlink xmlns:r="http://schemas.openxmlformats.org/officeDocument/2006/relationships" ref="O1185" r:id="rId1184"/>
    <hyperlink xmlns:r="http://schemas.openxmlformats.org/officeDocument/2006/relationships" ref="O1186" r:id="rId1185"/>
    <hyperlink xmlns:r="http://schemas.openxmlformats.org/officeDocument/2006/relationships" ref="O1187" r:id="rId1186"/>
    <hyperlink xmlns:r="http://schemas.openxmlformats.org/officeDocument/2006/relationships" ref="O1188" r:id="rId1187"/>
    <hyperlink xmlns:r="http://schemas.openxmlformats.org/officeDocument/2006/relationships" ref="O1189" r:id="rId1188"/>
    <hyperlink xmlns:r="http://schemas.openxmlformats.org/officeDocument/2006/relationships" ref="O1190" r:id="rId1189"/>
    <hyperlink xmlns:r="http://schemas.openxmlformats.org/officeDocument/2006/relationships" ref="O1191" r:id="rId1190"/>
    <hyperlink xmlns:r="http://schemas.openxmlformats.org/officeDocument/2006/relationships" ref="O1192" r:id="rId1191"/>
    <hyperlink xmlns:r="http://schemas.openxmlformats.org/officeDocument/2006/relationships" ref="O1193" r:id="rId1192"/>
    <hyperlink xmlns:r="http://schemas.openxmlformats.org/officeDocument/2006/relationships" ref="O1194" r:id="rId1193"/>
    <hyperlink xmlns:r="http://schemas.openxmlformats.org/officeDocument/2006/relationships" ref="O1195" r:id="rId1194"/>
    <hyperlink xmlns:r="http://schemas.openxmlformats.org/officeDocument/2006/relationships" ref="O1196" r:id="rId1195"/>
    <hyperlink xmlns:r="http://schemas.openxmlformats.org/officeDocument/2006/relationships" ref="O1197" r:id="rId1196"/>
    <hyperlink xmlns:r="http://schemas.openxmlformats.org/officeDocument/2006/relationships" ref="O1198" r:id="rId1197"/>
    <hyperlink xmlns:r="http://schemas.openxmlformats.org/officeDocument/2006/relationships" ref="O1199" r:id="rId1198"/>
    <hyperlink xmlns:r="http://schemas.openxmlformats.org/officeDocument/2006/relationships" ref="O1200" r:id="rId1199"/>
    <hyperlink xmlns:r="http://schemas.openxmlformats.org/officeDocument/2006/relationships" ref="O1201" r:id="rId1200"/>
    <hyperlink xmlns:r="http://schemas.openxmlformats.org/officeDocument/2006/relationships" ref="O1202" r:id="rId1201"/>
    <hyperlink xmlns:r="http://schemas.openxmlformats.org/officeDocument/2006/relationships" ref="O1203" r:id="rId1202"/>
    <hyperlink xmlns:r="http://schemas.openxmlformats.org/officeDocument/2006/relationships" ref="O1204" r:id="rId1203"/>
    <hyperlink xmlns:r="http://schemas.openxmlformats.org/officeDocument/2006/relationships" ref="O1205" r:id="rId1204"/>
    <hyperlink xmlns:r="http://schemas.openxmlformats.org/officeDocument/2006/relationships" ref="O1206" r:id="rId1205"/>
    <hyperlink xmlns:r="http://schemas.openxmlformats.org/officeDocument/2006/relationships" ref="O1207" r:id="rId1206"/>
    <hyperlink xmlns:r="http://schemas.openxmlformats.org/officeDocument/2006/relationships" ref="O1208" r:id="rId1207"/>
    <hyperlink xmlns:r="http://schemas.openxmlformats.org/officeDocument/2006/relationships" ref="O1209" r:id="rId1208"/>
    <hyperlink xmlns:r="http://schemas.openxmlformats.org/officeDocument/2006/relationships" ref="O1210" r:id="rId1209"/>
    <hyperlink xmlns:r="http://schemas.openxmlformats.org/officeDocument/2006/relationships" ref="O1211" r:id="rId1210"/>
    <hyperlink xmlns:r="http://schemas.openxmlformats.org/officeDocument/2006/relationships" ref="O1212" r:id="rId1211"/>
    <hyperlink xmlns:r="http://schemas.openxmlformats.org/officeDocument/2006/relationships" ref="O1213" r:id="rId1212"/>
    <hyperlink xmlns:r="http://schemas.openxmlformats.org/officeDocument/2006/relationships" ref="O1214" r:id="rId1213"/>
    <hyperlink xmlns:r="http://schemas.openxmlformats.org/officeDocument/2006/relationships" ref="O1215" r:id="rId1214"/>
    <hyperlink xmlns:r="http://schemas.openxmlformats.org/officeDocument/2006/relationships" ref="O1216" r:id="rId1215"/>
    <hyperlink xmlns:r="http://schemas.openxmlformats.org/officeDocument/2006/relationships" ref="O1217" r:id="rId1216"/>
    <hyperlink xmlns:r="http://schemas.openxmlformats.org/officeDocument/2006/relationships" ref="O1218" r:id="rId1217"/>
    <hyperlink xmlns:r="http://schemas.openxmlformats.org/officeDocument/2006/relationships" ref="O1219" r:id="rId1218"/>
    <hyperlink xmlns:r="http://schemas.openxmlformats.org/officeDocument/2006/relationships" ref="O1220" r:id="rId1219"/>
    <hyperlink xmlns:r="http://schemas.openxmlformats.org/officeDocument/2006/relationships" ref="O1221" r:id="rId1220"/>
    <hyperlink xmlns:r="http://schemas.openxmlformats.org/officeDocument/2006/relationships" ref="O1222" r:id="rId1221"/>
    <hyperlink xmlns:r="http://schemas.openxmlformats.org/officeDocument/2006/relationships" ref="O1223" r:id="rId1222"/>
    <hyperlink xmlns:r="http://schemas.openxmlformats.org/officeDocument/2006/relationships" ref="O1224" r:id="rId1223"/>
    <hyperlink xmlns:r="http://schemas.openxmlformats.org/officeDocument/2006/relationships" ref="O1225" r:id="rId1224"/>
    <hyperlink xmlns:r="http://schemas.openxmlformats.org/officeDocument/2006/relationships" ref="O1226" r:id="rId1225"/>
    <hyperlink xmlns:r="http://schemas.openxmlformats.org/officeDocument/2006/relationships" ref="O1227" r:id="rId1226"/>
    <hyperlink xmlns:r="http://schemas.openxmlformats.org/officeDocument/2006/relationships" ref="O1228" r:id="rId1227"/>
    <hyperlink xmlns:r="http://schemas.openxmlformats.org/officeDocument/2006/relationships" ref="O1229" r:id="rId1228"/>
    <hyperlink xmlns:r="http://schemas.openxmlformats.org/officeDocument/2006/relationships" ref="O1230" r:id="rId1229"/>
    <hyperlink xmlns:r="http://schemas.openxmlformats.org/officeDocument/2006/relationships" ref="O1231" r:id="rId1230"/>
    <hyperlink xmlns:r="http://schemas.openxmlformats.org/officeDocument/2006/relationships" ref="O1232" r:id="rId1231"/>
    <hyperlink xmlns:r="http://schemas.openxmlformats.org/officeDocument/2006/relationships" ref="O1233" r:id="rId1232"/>
    <hyperlink xmlns:r="http://schemas.openxmlformats.org/officeDocument/2006/relationships" ref="O1234" r:id="rId1233"/>
    <hyperlink xmlns:r="http://schemas.openxmlformats.org/officeDocument/2006/relationships" ref="O1235" r:id="rId1234"/>
    <hyperlink xmlns:r="http://schemas.openxmlformats.org/officeDocument/2006/relationships" ref="O1236" r:id="rId1235"/>
    <hyperlink xmlns:r="http://schemas.openxmlformats.org/officeDocument/2006/relationships" ref="O1237" r:id="rId1236"/>
    <hyperlink xmlns:r="http://schemas.openxmlformats.org/officeDocument/2006/relationships" ref="O1238" r:id="rId1237"/>
    <hyperlink xmlns:r="http://schemas.openxmlformats.org/officeDocument/2006/relationships" ref="O1239" r:id="rId1238"/>
    <hyperlink xmlns:r="http://schemas.openxmlformats.org/officeDocument/2006/relationships" ref="O1240" r:id="rId1239"/>
    <hyperlink xmlns:r="http://schemas.openxmlformats.org/officeDocument/2006/relationships" ref="O1241" r:id="rId1240"/>
    <hyperlink xmlns:r="http://schemas.openxmlformats.org/officeDocument/2006/relationships" ref="O1242" r:id="rId1241"/>
    <hyperlink xmlns:r="http://schemas.openxmlformats.org/officeDocument/2006/relationships" ref="O1243" r:id="rId1242"/>
    <hyperlink xmlns:r="http://schemas.openxmlformats.org/officeDocument/2006/relationships" ref="O1244" r:id="rId1243"/>
    <hyperlink xmlns:r="http://schemas.openxmlformats.org/officeDocument/2006/relationships" ref="O1245" r:id="rId1244"/>
    <hyperlink xmlns:r="http://schemas.openxmlformats.org/officeDocument/2006/relationships" ref="O1246" r:id="rId1245"/>
    <hyperlink xmlns:r="http://schemas.openxmlformats.org/officeDocument/2006/relationships" ref="O1247" r:id="rId1246"/>
    <hyperlink xmlns:r="http://schemas.openxmlformats.org/officeDocument/2006/relationships" ref="O1248" r:id="rId1247"/>
    <hyperlink xmlns:r="http://schemas.openxmlformats.org/officeDocument/2006/relationships" ref="O1249" r:id="rId1248"/>
    <hyperlink xmlns:r="http://schemas.openxmlformats.org/officeDocument/2006/relationships" ref="O1250" r:id="rId1249"/>
    <hyperlink xmlns:r="http://schemas.openxmlformats.org/officeDocument/2006/relationships" ref="O1251" r:id="rId1250"/>
    <hyperlink xmlns:r="http://schemas.openxmlformats.org/officeDocument/2006/relationships" ref="O1252" r:id="rId1251"/>
    <hyperlink xmlns:r="http://schemas.openxmlformats.org/officeDocument/2006/relationships" ref="O1253" r:id="rId1252"/>
    <hyperlink xmlns:r="http://schemas.openxmlformats.org/officeDocument/2006/relationships" ref="O1254" r:id="rId1253"/>
    <hyperlink xmlns:r="http://schemas.openxmlformats.org/officeDocument/2006/relationships" ref="O1255" r:id="rId1254"/>
    <hyperlink xmlns:r="http://schemas.openxmlformats.org/officeDocument/2006/relationships" ref="O1256" r:id="rId1255"/>
    <hyperlink xmlns:r="http://schemas.openxmlformats.org/officeDocument/2006/relationships" ref="O1257" r:id="rId1256"/>
    <hyperlink xmlns:r="http://schemas.openxmlformats.org/officeDocument/2006/relationships" ref="O1258" r:id="rId1257"/>
    <hyperlink xmlns:r="http://schemas.openxmlformats.org/officeDocument/2006/relationships" ref="O1259" r:id="rId1258"/>
    <hyperlink xmlns:r="http://schemas.openxmlformats.org/officeDocument/2006/relationships" ref="O1260" r:id="rId1259"/>
    <hyperlink xmlns:r="http://schemas.openxmlformats.org/officeDocument/2006/relationships" ref="O1261" r:id="rId1260"/>
    <hyperlink xmlns:r="http://schemas.openxmlformats.org/officeDocument/2006/relationships" ref="O1262" r:id="rId1261"/>
    <hyperlink xmlns:r="http://schemas.openxmlformats.org/officeDocument/2006/relationships" ref="O1263" r:id="rId1262"/>
    <hyperlink xmlns:r="http://schemas.openxmlformats.org/officeDocument/2006/relationships" ref="O1264" r:id="rId1263"/>
    <hyperlink xmlns:r="http://schemas.openxmlformats.org/officeDocument/2006/relationships" ref="O1265" r:id="rId1264"/>
    <hyperlink xmlns:r="http://schemas.openxmlformats.org/officeDocument/2006/relationships" ref="O1266" r:id="rId126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2" customWidth="1" min="4" max="4"/>
    <col width="40" customWidth="1" min="5" max="5"/>
    <col width="8" customWidth="1" min="6" max="6"/>
    <col width="6" customWidth="1" min="7" max="7"/>
    <col width="80" customWidth="1" min="8" max="8"/>
  </cols>
  <sheetData>
    <row r="1">
      <c r="A1" s="1" t="inlineStr">
        <is>
          <t>Source</t>
        </is>
      </c>
      <c r="B1" s="1" t="inlineStr">
        <is>
          <t>Kind</t>
        </is>
      </c>
      <c r="C1" s="1" t="inlineStr">
        <is>
          <t>Period</t>
        </is>
      </c>
      <c r="D1" s="1" t="inlineStr">
        <is>
          <t>Date</t>
        </is>
      </c>
      <c r="E1" s="1" t="inlineStr">
        <is>
          <t>Origin</t>
        </is>
      </c>
      <c r="F1" s="1" t="inlineStr">
        <is>
          <t>Audited</t>
        </is>
      </c>
      <c r="G1" s="1" t="inlineStr">
        <is>
          <t>Pages</t>
        </is>
      </c>
      <c r="H1" s="1" t="inlineStr">
        <is>
          <t>Link</t>
        </is>
      </c>
    </row>
    <row r="2">
      <c r="A2" s="2" t="inlineStr">
        <is>
          <t>S1</t>
        </is>
      </c>
      <c r="B2" s="2" t="inlineStr">
        <is>
          <t>annual report</t>
        </is>
      </c>
      <c r="C2" s="2" t="inlineStr">
        <is>
          <t>FY2023</t>
        </is>
      </c>
      <c r="D2" s="2" t="inlineStr">
        <is>
          <t>2024-03-27</t>
        </is>
      </c>
      <c r="E2" s="3" t="inlineStr">
        <is>
          <t>Katjes International GmbH &amp; Co. KG, Emmerich am Rhein (consolidated financial statements and group management report; auditor EY GmbH &amp; Co. KG)</t>
        </is>
      </c>
      <c r="F2" s="2" t="b">
        <v>1</v>
      </c>
      <c r="G2" s="2" t="n">
        <v>95</v>
      </c>
      <c r="H2" s="3" t="inlineStr">
        <is>
          <t>https://vanillabonds.com/dossier-data/pdf/katjes/katjes-2023-annual-report.pdf</t>
        </is>
      </c>
    </row>
    <row r="3">
      <c r="A3" s="2" t="inlineStr">
        <is>
          <t>S2</t>
        </is>
      </c>
      <c r="B3" s="2" t="inlineStr">
        <is>
          <t>annual report</t>
        </is>
      </c>
      <c r="C3" s="2" t="inlineStr">
        <is>
          <t>FY2024</t>
        </is>
      </c>
      <c r="D3" s="2" t="inlineStr">
        <is>
          <t>2025-04-09</t>
        </is>
      </c>
      <c r="E3" s="3" t="inlineStr">
        <is>
          <t>Katjes International GmbH &amp; Co. KG (audited by EY GmbH &amp; Co. KG)</t>
        </is>
      </c>
      <c r="F3" s="2" t="b">
        <v>1</v>
      </c>
      <c r="G3" s="2" t="n">
        <v>91</v>
      </c>
      <c r="H3" s="3" t="inlineStr">
        <is>
          <t>https://vanillabonds.com/dossier-data/pdf/katjes/katjes-2024-annual-report.pdf</t>
        </is>
      </c>
    </row>
    <row r="4">
      <c r="A4" s="2" t="inlineStr">
        <is>
          <t>S3</t>
        </is>
      </c>
      <c r="B4" s="2" t="inlineStr">
        <is>
          <t>annual report</t>
        </is>
      </c>
      <c r="C4" s="2" t="inlineStr">
        <is>
          <t>FY2025</t>
        </is>
      </c>
      <c r="D4" s="2" t="inlineStr">
        <is>
          <t>2026-04-02</t>
        </is>
      </c>
      <c r="E4" s="3" t="inlineStr">
        <is>
          <t>Katjes International GmbH &amp; Co. KG, Emmerich am Rhein (management; auditor EY GmbH &amp; Co. KG)</t>
        </is>
      </c>
      <c r="F4" s="2" t="b">
        <v>1</v>
      </c>
      <c r="G4" s="2" t="n">
        <v>92</v>
      </c>
      <c r="H4" s="3" t="inlineStr">
        <is>
          <t>https://vanillabonds.com/dossier-data/pdf/katjes/katjes-2025-annual-report.pdf</t>
        </is>
      </c>
    </row>
    <row r="5">
      <c r="A5" s="2" t="inlineStr">
        <is>
          <t>S4</t>
        </is>
      </c>
      <c r="B5" s="2" t="inlineStr">
        <is>
          <t>term sheet</t>
        </is>
      </c>
      <c r="C5" s="3" t="inlineStr">
        <is>
          <t>2023-09-21 to 2028-09-21 (bond 2023/2028)</t>
        </is>
      </c>
      <c r="D5" s="2" t="inlineStr">
        <is>
          <t>2023-09-21</t>
        </is>
      </c>
      <c r="E5" s="3" t="inlineStr">
        <is>
          <t>Katjes International GmbH &amp; Co. KG (issuer; author of the sheet not stated)</t>
        </is>
      </c>
      <c r="F5" s="2" t="b">
        <v>0</v>
      </c>
      <c r="G5" s="2" t="n">
        <v>2</v>
      </c>
      <c r="H5" s="3" t="inlineStr">
        <is>
          <t>https://vanillabonds.com/dossier-data/pdf/katjes/katjes-bond-2023-2028-terms.pdf</t>
        </is>
      </c>
    </row>
    <row r="6">
      <c r="A6" s="2" t="inlineStr">
        <is>
          <t>S5</t>
        </is>
      </c>
      <c r="B6" s="2" t="inlineStr">
        <is>
          <t>interim report</t>
        </is>
      </c>
      <c r="C6" s="2" t="inlineStr">
        <is>
          <t>H1-2026</t>
        </is>
      </c>
      <c r="D6" s="2" t="inlineStr">
        <is>
          <t>2026-09-08</t>
        </is>
      </c>
      <c r="E6" s="2" t="inlineStr">
        <is>
          <t>Katjes International GmbH &amp; Co. KG</t>
        </is>
      </c>
      <c r="F6" s="2" t="b">
        <v>0</v>
      </c>
      <c r="G6" s="2" t="n">
        <v>52</v>
      </c>
      <c r="H6" s="3" t="inlineStr">
        <is>
          <t>https://vanillabonds.com/dossier-data/pdf/katjes/katjes-h1-2026-interim-report.pdf</t>
        </is>
      </c>
    </row>
    <row r="7">
      <c r="A7" s="2" t="inlineStr">
        <is>
          <t>S6</t>
        </is>
      </c>
      <c r="B7" s="2" t="inlineStr">
        <is>
          <t>web page</t>
        </is>
      </c>
      <c r="C7" s="2" t="n"/>
      <c r="D7" s="2" t="inlineStr">
        <is>
          <t>2026-10-20</t>
        </is>
      </c>
      <c r="E7" s="2" t="inlineStr">
        <is>
          <t>GLEIF</t>
        </is>
      </c>
      <c r="F7" s="2" t="b">
        <v>0</v>
      </c>
      <c r="G7" s="2" t="n">
        <v>0</v>
      </c>
      <c r="H7" s="3" t="inlineStr">
        <is>
          <t>https://api.gleif.org/api/v1/lei-records?filter[entity.legalName]=Katjes International</t>
        </is>
      </c>
    </row>
    <row r="8">
      <c r="A8" s="2" t="inlineStr">
        <is>
          <t>S7</t>
        </is>
      </c>
      <c r="B8" s="2" t="inlineStr">
        <is>
          <t>web page</t>
        </is>
      </c>
      <c r="C8" s="2" t="n"/>
      <c r="D8" s="2" t="inlineStr">
        <is>
          <t>2026-10-20</t>
        </is>
      </c>
      <c r="E8" s="2" t="inlineStr">
        <is>
          <t>onvista</t>
        </is>
      </c>
      <c r="F8" s="2" t="b">
        <v>0</v>
      </c>
      <c r="G8" s="2" t="n">
        <v>0</v>
      </c>
      <c r="H8" s="3" t="inlineStr">
        <is>
          <t>https://www.onvista.de/anleihen/KATJES-INT-IHS-23-28-Anleihe-NO0012888769</t>
        </is>
      </c>
    </row>
    <row r="9">
      <c r="A9" s="2" t="inlineStr">
        <is>
          <t>S8</t>
        </is>
      </c>
      <c r="B9" s="2" t="inlineStr">
        <is>
          <t>web page</t>
        </is>
      </c>
      <c r="C9" s="2" t="n"/>
      <c r="D9" s="2" t="inlineStr">
        <is>
          <t>2026-10-20</t>
        </is>
      </c>
      <c r="E9" s="2" t="inlineStr">
        <is>
          <t>EQS-News via Placera</t>
        </is>
      </c>
      <c r="F9" s="2" t="b">
        <v>0</v>
      </c>
      <c r="G9" s="2" t="n">
        <v>0</v>
      </c>
      <c r="H9" s="3" t="inlineStr">
        <is>
          <t>https://www.placera.se/pressmeddelanden/katjes-international-successfully-taps-its-corporate-bond-by-eur-70-million-20250805</t>
        </is>
      </c>
    </row>
    <row r="10">
      <c r="A10" s="2" t="inlineStr">
        <is>
          <t>S9</t>
        </is>
      </c>
      <c r="B10" s="2" t="inlineStr">
        <is>
          <t>web page</t>
        </is>
      </c>
      <c r="C10" s="2" t="n"/>
      <c r="D10" s="2" t="inlineStr">
        <is>
          <t>2026-10-20</t>
        </is>
      </c>
      <c r="E10" s="2" t="inlineStr">
        <is>
          <t>Hogan Lovells</t>
        </is>
      </c>
      <c r="F10" s="2" t="b">
        <v>0</v>
      </c>
      <c r="G10" s="2" t="n">
        <v>0</v>
      </c>
      <c r="H10" s="3" t="inlineStr">
        <is>
          <t>https://www.hlc.com/de/news/hogan-lovells-beraet-katjes-bei-aufstockung-ihrer-nordic-bonds</t>
        </is>
      </c>
    </row>
    <row r="11">
      <c r="A11" s="2" t="inlineStr">
        <is>
          <t>S10</t>
        </is>
      </c>
      <c r="B11" s="2" t="inlineStr">
        <is>
          <t>web page</t>
        </is>
      </c>
      <c r="C11" s="2" t="n"/>
      <c r="D11" s="2" t="inlineStr">
        <is>
          <t>2026-10-20</t>
        </is>
      </c>
      <c r="E11" s="3" t="inlineStr">
        <is>
          <t>yumda (article dated 2026-04-09, reproducing the company release)</t>
        </is>
      </c>
      <c r="F11" s="2" t="b">
        <v>0</v>
      </c>
      <c r="G11" s="2" t="n">
        <v>0</v>
      </c>
      <c r="H11" s="3" t="inlineStr">
        <is>
          <t>https://www.yumda.com/de/news/1188448/katjes-mit-rekord-bei-umsatz-und-ergebnis.html</t>
        </is>
      </c>
    </row>
    <row r="12">
      <c r="A12" s="2" t="inlineStr">
        <is>
          <t>S11</t>
        </is>
      </c>
      <c r="B12" s="2" t="inlineStr">
        <is>
          <t>web page</t>
        </is>
      </c>
      <c r="C12" s="2" t="n"/>
      <c r="D12" s="2" t="inlineStr">
        <is>
          <t>2026-10-20</t>
        </is>
      </c>
      <c r="E12" s="2" t="inlineStr">
        <is>
          <t>yumda</t>
        </is>
      </c>
      <c r="F12" s="2" t="b">
        <v>0</v>
      </c>
      <c r="G12" s="2" t="n">
        <v>0</v>
      </c>
      <c r="H12" s="3" t="inlineStr">
        <is>
          <t>https://www.yumda.com/de/news/1147058/katjes-und-zuckerproduzenten-streiten-vor-gericht-um-schadensersatz.html</t>
        </is>
      </c>
    </row>
    <row r="13">
      <c r="A13" s="2" t="inlineStr">
        <is>
          <t>S12</t>
        </is>
      </c>
      <c r="B13" s="2" t="inlineStr">
        <is>
          <t>web page</t>
        </is>
      </c>
      <c r="C13" s="2" t="n"/>
      <c r="D13" s="2" t="inlineStr">
        <is>
          <t>2026-10-20</t>
        </is>
      </c>
      <c r="E13" s="2" t="inlineStr">
        <is>
          <t>Wikipedia</t>
        </is>
      </c>
      <c r="F13" s="2" t="b">
        <v>0</v>
      </c>
      <c r="G13" s="2" t="n">
        <v>0</v>
      </c>
      <c r="H13" s="3" t="inlineStr">
        <is>
          <t>https://en.wikipedia.org/wiki/Katjes_International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2026-10-22T14:00:02Z</dcterms:created>
  <dcterms:modified xmlns:dcterms="http://purl.org/dc/terms/" xmlns:xsi="http://www.w3.org/2001/XMLSchema-instance" xsi:type="dcterms:W3CDTF">2026-10-22T14:00:02Z</dcterms:modified>
</cp:coreProperties>
</file>